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s9o\Google Drive\xFC Analysis\Paper\Scenarios\Boston\"/>
    </mc:Choice>
  </mc:AlternateContent>
  <xr:revisionPtr revIDLastSave="0" documentId="13_ncr:1_{211BDCF3-993B-4D25-B80D-3A5F43B9C307}" xr6:coauthVersionLast="47" xr6:coauthVersionMax="47" xr10:uidLastSave="{00000000-0000-0000-0000-000000000000}"/>
  <bookViews>
    <workbookView xWindow="28680" yWindow="-120" windowWidth="29040" windowHeight="15840" tabRatio="678" xr2:uid="{2CF50DCF-24F5-4A52-BD6A-3ABC31B3DBA7}"/>
  </bookViews>
  <sheets>
    <sheet name="Intro" sheetId="8" r:id="rId1"/>
    <sheet name="Main" sheetId="4" r:id="rId2"/>
    <sheet name="Bat Elec-The" sheetId="1" r:id="rId3"/>
    <sheet name="Bat Age" sheetId="2" r:id="rId4"/>
    <sheet name="Veh Dyn" sheetId="3" r:id="rId5"/>
    <sheet name="Chrg" sheetId="5" r:id="rId6"/>
    <sheet name="DayTrip" sheetId="6" r:id="rId7"/>
    <sheet name="Results" sheetId="7" r:id="rId8"/>
  </sheets>
  <functionGroups builtInGroupCount="19"/>
  <externalReferences>
    <externalReference r:id="rId9"/>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6" hidden="1">DayTrip!$A$1:$L$1</definedName>
    <definedName name="cycMps" localSheetId="1">Main!$B$1376:$B$1521</definedName>
    <definedName name="mphPerMps" localSheetId="1">[1]Sheet1!$B$127</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 i="6" l="1"/>
  <c r="K3" i="6"/>
  <c r="K4" i="6"/>
  <c r="K5" i="6"/>
  <c r="K6" i="6"/>
  <c r="K7" i="6"/>
  <c r="K8" i="6"/>
  <c r="K9" i="6"/>
  <c r="K10" i="6"/>
  <c r="K11" i="6"/>
  <c r="K12" i="6"/>
  <c r="K13" i="6"/>
  <c r="K14" i="6"/>
  <c r="K15" i="6"/>
  <c r="K16" i="6"/>
  <c r="K17" i="6"/>
  <c r="K18" i="6"/>
  <c r="K19" i="6"/>
  <c r="K20" i="6"/>
  <c r="K21" i="6"/>
  <c r="K22" i="6"/>
  <c r="K23" i="6"/>
  <c r="K24" i="6"/>
  <c r="K25" i="6"/>
  <c r="K26" i="6"/>
  <c r="K27" i="6"/>
  <c r="K28" i="6"/>
  <c r="K29" i="6"/>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 r="K60" i="6"/>
  <c r="K61" i="6"/>
  <c r="K62" i="6"/>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K93" i="6"/>
  <c r="K94" i="6"/>
  <c r="K95" i="6"/>
  <c r="K96" i="6"/>
  <c r="K97" i="6"/>
  <c r="K98" i="6"/>
  <c r="K99" i="6"/>
  <c r="K100" i="6"/>
  <c r="K101" i="6"/>
  <c r="K102" i="6"/>
  <c r="K103" i="6"/>
  <c r="K104" i="6"/>
  <c r="K105" i="6"/>
  <c r="K106" i="6"/>
  <c r="K107" i="6"/>
  <c r="K108" i="6"/>
  <c r="K109" i="6"/>
  <c r="K110" i="6"/>
  <c r="K111" i="6"/>
  <c r="K112" i="6"/>
  <c r="K113" i="6"/>
  <c r="K114" i="6"/>
  <c r="K115" i="6"/>
  <c r="K116" i="6"/>
  <c r="K117" i="6"/>
  <c r="K118" i="6"/>
  <c r="K119" i="6"/>
  <c r="K120" i="6"/>
  <c r="K121" i="6"/>
  <c r="K122" i="6"/>
  <c r="K123" i="6"/>
  <c r="K124" i="6"/>
  <c r="K125" i="6"/>
  <c r="K126" i="6"/>
  <c r="K127" i="6"/>
  <c r="K128" i="6"/>
  <c r="K129" i="6"/>
  <c r="K130" i="6"/>
  <c r="K131" i="6"/>
  <c r="K132" i="6"/>
  <c r="K133" i="6"/>
  <c r="K134" i="6"/>
  <c r="K135" i="6"/>
  <c r="K136" i="6"/>
  <c r="K137" i="6"/>
  <c r="K138" i="6"/>
  <c r="K139" i="6"/>
  <c r="K140" i="6"/>
  <c r="K141" i="6"/>
  <c r="K142" i="6"/>
  <c r="K143" i="6"/>
  <c r="K144" i="6"/>
  <c r="K145" i="6"/>
  <c r="K146" i="6"/>
  <c r="K147" i="6"/>
  <c r="K148" i="6"/>
  <c r="K149" i="6"/>
  <c r="K150" i="6"/>
  <c r="K151" i="6"/>
  <c r="K152" i="6"/>
  <c r="K153" i="6"/>
  <c r="K154" i="6"/>
  <c r="K155" i="6"/>
  <c r="K156" i="6"/>
  <c r="K157" i="6"/>
  <c r="K158" i="6"/>
  <c r="K159" i="6"/>
  <c r="K160" i="6"/>
  <c r="K161" i="6"/>
  <c r="K162" i="6"/>
  <c r="K163" i="6"/>
  <c r="K164" i="6"/>
  <c r="K165" i="6"/>
  <c r="K166" i="6"/>
  <c r="K167" i="6"/>
  <c r="K168" i="6"/>
  <c r="K169" i="6"/>
  <c r="K170" i="6"/>
  <c r="K171" i="6"/>
  <c r="K172" i="6"/>
  <c r="K173" i="6"/>
  <c r="K174" i="6"/>
  <c r="K175" i="6"/>
  <c r="K176" i="6"/>
  <c r="K177" i="6"/>
  <c r="K178" i="6"/>
  <c r="K179" i="6"/>
  <c r="K180" i="6"/>
  <c r="K181" i="6"/>
  <c r="K182" i="6"/>
  <c r="K183" i="6"/>
  <c r="K184" i="6"/>
  <c r="K185" i="6"/>
  <c r="K186" i="6"/>
  <c r="K187" i="6"/>
  <c r="K188" i="6"/>
  <c r="K189" i="6"/>
  <c r="K190" i="6"/>
  <c r="K191" i="6"/>
  <c r="K192" i="6"/>
  <c r="K193" i="6"/>
  <c r="K194" i="6"/>
  <c r="K195" i="6"/>
  <c r="K196" i="6"/>
  <c r="K197" i="6"/>
  <c r="K198" i="6"/>
  <c r="K199" i="6"/>
  <c r="K200" i="6"/>
  <c r="K201" i="6"/>
  <c r="K202" i="6"/>
  <c r="K203" i="6"/>
  <c r="K204" i="6"/>
  <c r="K205" i="6"/>
  <c r="K206" i="6"/>
  <c r="K207" i="6"/>
  <c r="K208" i="6"/>
  <c r="K209" i="6"/>
  <c r="K210" i="6"/>
  <c r="K211" i="6"/>
  <c r="K212" i="6"/>
  <c r="K213" i="6"/>
  <c r="K214" i="6"/>
  <c r="K215" i="6"/>
  <c r="K216" i="6"/>
  <c r="K217" i="6"/>
  <c r="K218" i="6"/>
  <c r="K219" i="6"/>
  <c r="K220" i="6"/>
  <c r="K221" i="6"/>
  <c r="K222" i="6"/>
  <c r="K223" i="6"/>
  <c r="K224" i="6"/>
  <c r="K225" i="6"/>
  <c r="K226" i="6"/>
  <c r="K227" i="6"/>
  <c r="K228" i="6"/>
  <c r="K229" i="6"/>
  <c r="K230" i="6"/>
  <c r="K231" i="6"/>
  <c r="K232" i="6"/>
  <c r="K233" i="6"/>
  <c r="K234" i="6"/>
  <c r="K235" i="6"/>
  <c r="K236" i="6"/>
  <c r="K237" i="6"/>
  <c r="K238" i="6"/>
  <c r="K239" i="6"/>
  <c r="K240" i="6"/>
  <c r="K241" i="6"/>
  <c r="K242" i="6"/>
  <c r="K243" i="6"/>
  <c r="K244" i="6"/>
  <c r="K245" i="6"/>
  <c r="K246" i="6"/>
  <c r="K247" i="6"/>
  <c r="K248" i="6"/>
  <c r="K249" i="6"/>
  <c r="K250" i="6"/>
  <c r="K251" i="6"/>
  <c r="K252" i="6"/>
  <c r="K253" i="6"/>
  <c r="K254" i="6"/>
  <c r="K255" i="6"/>
  <c r="K256" i="6"/>
  <c r="K257" i="6"/>
  <c r="K258" i="6"/>
  <c r="K259" i="6"/>
  <c r="K260" i="6"/>
  <c r="K261" i="6"/>
  <c r="K262" i="6"/>
  <c r="K263" i="6"/>
  <c r="K264" i="6"/>
  <c r="K265" i="6"/>
  <c r="K266" i="6"/>
  <c r="K267" i="6"/>
  <c r="K268" i="6"/>
  <c r="K269" i="6"/>
  <c r="K270" i="6"/>
  <c r="K271" i="6"/>
  <c r="K272" i="6"/>
  <c r="K273" i="6"/>
  <c r="K274" i="6"/>
  <c r="K275" i="6"/>
  <c r="K276" i="6"/>
  <c r="K277" i="6"/>
  <c r="K278" i="6"/>
  <c r="K279" i="6"/>
  <c r="K280" i="6"/>
  <c r="K281" i="6"/>
  <c r="K282" i="6"/>
  <c r="K283" i="6"/>
  <c r="K284" i="6"/>
  <c r="K285" i="6"/>
  <c r="K286" i="6"/>
  <c r="K287" i="6"/>
  <c r="K288" i="6"/>
  <c r="K289" i="6"/>
  <c r="K290" i="6"/>
  <c r="K291" i="6"/>
  <c r="K292" i="6"/>
  <c r="K293" i="6"/>
  <c r="K294" i="6"/>
  <c r="K295" i="6"/>
  <c r="K296" i="6"/>
  <c r="K297" i="6"/>
  <c r="K298" i="6"/>
  <c r="K299" i="6"/>
  <c r="K300" i="6"/>
  <c r="K301" i="6"/>
  <c r="K302" i="6"/>
  <c r="K303" i="6"/>
  <c r="K304" i="6"/>
  <c r="K305" i="6"/>
  <c r="K306" i="6"/>
  <c r="K307" i="6"/>
  <c r="K308" i="6"/>
  <c r="K309" i="6"/>
  <c r="K310" i="6"/>
  <c r="K311" i="6"/>
  <c r="K312" i="6"/>
  <c r="K313" i="6"/>
  <c r="K314" i="6"/>
  <c r="K315" i="6"/>
  <c r="K316" i="6"/>
  <c r="K317" i="6"/>
  <c r="K318" i="6"/>
  <c r="K319" i="6"/>
  <c r="K320" i="6"/>
  <c r="K321" i="6"/>
  <c r="K322" i="6"/>
  <c r="K323" i="6"/>
  <c r="K324" i="6"/>
  <c r="K325" i="6"/>
  <c r="K326" i="6"/>
  <c r="K327" i="6"/>
  <c r="K328" i="6"/>
  <c r="K329" i="6"/>
  <c r="K330" i="6"/>
  <c r="K331" i="6"/>
  <c r="K332" i="6"/>
  <c r="K333" i="6"/>
  <c r="K334" i="6"/>
  <c r="K335" i="6"/>
  <c r="K336" i="6"/>
  <c r="K337" i="6"/>
  <c r="K338" i="6"/>
  <c r="K339" i="6"/>
  <c r="K340" i="6"/>
  <c r="K341" i="6"/>
  <c r="K342" i="6"/>
  <c r="K343" i="6"/>
  <c r="K344" i="6"/>
  <c r="K345" i="6"/>
  <c r="K346" i="6"/>
  <c r="K347" i="6"/>
  <c r="K348" i="6"/>
  <c r="K349" i="6"/>
  <c r="K350" i="6"/>
  <c r="K351" i="6"/>
  <c r="K352" i="6"/>
  <c r="K353" i="6"/>
  <c r="K354" i="6"/>
  <c r="K355" i="6"/>
  <c r="K356" i="6"/>
  <c r="K357" i="6"/>
  <c r="K358" i="6"/>
  <c r="K359" i="6"/>
  <c r="K360" i="6"/>
  <c r="K361" i="6"/>
  <c r="K362" i="6"/>
  <c r="K363" i="6"/>
  <c r="K364" i="6"/>
  <c r="K365" i="6"/>
  <c r="K366" i="6"/>
  <c r="K367" i="6"/>
  <c r="K368" i="6"/>
  <c r="K369" i="6"/>
  <c r="K370" i="6"/>
  <c r="K371" i="6"/>
  <c r="K372" i="6"/>
  <c r="K373" i="6"/>
  <c r="K374" i="6"/>
  <c r="K375" i="6"/>
  <c r="K376" i="6"/>
  <c r="K377" i="6"/>
  <c r="K378" i="6"/>
  <c r="K379" i="6"/>
  <c r="K380" i="6"/>
  <c r="K381" i="6"/>
  <c r="K382" i="6"/>
  <c r="K383" i="6"/>
  <c r="K384" i="6"/>
  <c r="K385" i="6"/>
  <c r="K386" i="6"/>
  <c r="K387" i="6"/>
  <c r="K388" i="6"/>
  <c r="K389" i="6"/>
  <c r="K390" i="6"/>
  <c r="K391" i="6"/>
  <c r="K392" i="6"/>
  <c r="K393" i="6"/>
  <c r="K394" i="6"/>
  <c r="K395" i="6"/>
  <c r="K396" i="6"/>
  <c r="K397" i="6"/>
  <c r="K398" i="6"/>
  <c r="K399" i="6"/>
  <c r="K400" i="6"/>
  <c r="K401" i="6"/>
  <c r="K402" i="6"/>
  <c r="K403" i="6"/>
  <c r="K404" i="6"/>
  <c r="K405" i="6"/>
  <c r="K406" i="6"/>
  <c r="K407" i="6"/>
  <c r="K408" i="6"/>
  <c r="K409" i="6"/>
  <c r="K410" i="6"/>
  <c r="K411" i="6"/>
  <c r="K412" i="6"/>
  <c r="K413" i="6"/>
  <c r="K414" i="6"/>
  <c r="K415" i="6"/>
  <c r="K416" i="6"/>
  <c r="K417" i="6"/>
  <c r="K418" i="6"/>
  <c r="K419" i="6"/>
  <c r="K420" i="6"/>
  <c r="K421" i="6"/>
  <c r="K422" i="6"/>
  <c r="K423" i="6"/>
  <c r="K424" i="6"/>
  <c r="K425" i="6"/>
  <c r="K426" i="6"/>
  <c r="K427" i="6"/>
  <c r="K428" i="6"/>
  <c r="K429" i="6"/>
  <c r="K430" i="6"/>
  <c r="K431" i="6"/>
  <c r="K432" i="6"/>
  <c r="K433" i="6"/>
  <c r="K434" i="6"/>
  <c r="K435" i="6"/>
  <c r="K436" i="6"/>
  <c r="K437" i="6"/>
  <c r="K438" i="6"/>
  <c r="K439" i="6"/>
  <c r="K440" i="6"/>
  <c r="K441" i="6"/>
  <c r="K442" i="6"/>
  <c r="K443" i="6"/>
  <c r="K444" i="6"/>
  <c r="K445" i="6"/>
  <c r="K446" i="6"/>
  <c r="K447" i="6"/>
  <c r="K448" i="6"/>
  <c r="K449" i="6"/>
  <c r="K450" i="6"/>
  <c r="K451" i="6"/>
  <c r="K452" i="6"/>
  <c r="K453" i="6"/>
  <c r="K454" i="6"/>
  <c r="K455" i="6"/>
  <c r="K456" i="6"/>
  <c r="K457" i="6"/>
  <c r="K458" i="6"/>
  <c r="K459" i="6"/>
  <c r="K460" i="6"/>
  <c r="K461" i="6"/>
  <c r="K462" i="6"/>
  <c r="K463" i="6"/>
  <c r="K464" i="6"/>
  <c r="K465" i="6"/>
  <c r="K466" i="6"/>
  <c r="K467" i="6"/>
  <c r="K468" i="6"/>
  <c r="K469" i="6"/>
  <c r="K470" i="6"/>
  <c r="K471" i="6"/>
  <c r="K472" i="6"/>
  <c r="K473" i="6"/>
  <c r="K474" i="6"/>
  <c r="K475" i="6"/>
  <c r="K476" i="6"/>
  <c r="K477" i="6"/>
  <c r="K478" i="6"/>
  <c r="K479" i="6"/>
  <c r="K480" i="6"/>
  <c r="K481" i="6"/>
  <c r="K482" i="6"/>
  <c r="K483" i="6"/>
  <c r="K484" i="6"/>
  <c r="K485" i="6"/>
  <c r="K486" i="6"/>
  <c r="K487" i="6"/>
  <c r="K488" i="6"/>
  <c r="K489" i="6"/>
  <c r="K490" i="6"/>
  <c r="K491" i="6"/>
  <c r="K492" i="6"/>
  <c r="K493" i="6"/>
  <c r="K494" i="6"/>
  <c r="K495" i="6"/>
  <c r="K496" i="6"/>
  <c r="K497" i="6"/>
  <c r="K498" i="6"/>
  <c r="K499" i="6"/>
  <c r="K500" i="6"/>
  <c r="K501" i="6"/>
  <c r="K502" i="6"/>
  <c r="K503" i="6"/>
  <c r="K504" i="6"/>
  <c r="K505" i="6"/>
  <c r="K506" i="6"/>
  <c r="K507" i="6"/>
  <c r="K508" i="6"/>
  <c r="K509" i="6"/>
  <c r="K510" i="6"/>
  <c r="K511" i="6"/>
  <c r="K512" i="6"/>
  <c r="K513" i="6"/>
  <c r="K514" i="6"/>
  <c r="K515" i="6"/>
  <c r="K516" i="6"/>
  <c r="K517" i="6"/>
  <c r="K518" i="6"/>
  <c r="K519" i="6"/>
  <c r="K520" i="6"/>
  <c r="K521" i="6"/>
  <c r="K522" i="6"/>
  <c r="K523" i="6"/>
  <c r="K524" i="6"/>
  <c r="K525" i="6"/>
  <c r="K526" i="6"/>
  <c r="K527" i="6"/>
  <c r="K528" i="6"/>
  <c r="K529" i="6"/>
  <c r="K530" i="6"/>
  <c r="K531" i="6"/>
  <c r="K532" i="6"/>
  <c r="K533" i="6"/>
  <c r="K534" i="6"/>
  <c r="K535" i="6"/>
  <c r="K536" i="6"/>
  <c r="K537" i="6"/>
  <c r="K538" i="6"/>
  <c r="K539" i="6"/>
  <c r="K540" i="6"/>
  <c r="K541" i="6"/>
  <c r="K542" i="6"/>
  <c r="K543" i="6"/>
  <c r="K544" i="6"/>
  <c r="K545" i="6"/>
  <c r="K546" i="6"/>
  <c r="K547" i="6"/>
  <c r="K548" i="6"/>
  <c r="K549" i="6"/>
  <c r="K550" i="6"/>
  <c r="K551" i="6"/>
  <c r="K552" i="6"/>
  <c r="K553" i="6"/>
  <c r="K554" i="6"/>
  <c r="K555" i="6"/>
  <c r="K556" i="6"/>
  <c r="K557" i="6"/>
  <c r="K558" i="6"/>
  <c r="K559" i="6"/>
  <c r="K560" i="6"/>
  <c r="K561" i="6"/>
  <c r="K562" i="6"/>
  <c r="K563" i="6"/>
  <c r="K564" i="6"/>
  <c r="K565" i="6"/>
  <c r="K566" i="6"/>
  <c r="K567" i="6"/>
  <c r="K568" i="6"/>
  <c r="K569" i="6"/>
  <c r="K570" i="6"/>
  <c r="K571" i="6"/>
  <c r="K572" i="6"/>
  <c r="K573" i="6"/>
  <c r="K574" i="6"/>
  <c r="K575" i="6"/>
  <c r="K576" i="6"/>
  <c r="K577" i="6"/>
  <c r="K578" i="6"/>
  <c r="K579" i="6"/>
  <c r="K580" i="6"/>
  <c r="K581" i="6"/>
  <c r="K582" i="6"/>
  <c r="K583" i="6"/>
  <c r="K584" i="6"/>
  <c r="K585" i="6"/>
  <c r="K586" i="6"/>
  <c r="K587" i="6"/>
  <c r="K588" i="6"/>
  <c r="K589" i="6"/>
  <c r="K590" i="6"/>
  <c r="K591" i="6"/>
  <c r="K592" i="6"/>
  <c r="K593" i="6"/>
  <c r="K594" i="6"/>
  <c r="K595" i="6"/>
  <c r="K596" i="6"/>
  <c r="K597" i="6"/>
  <c r="K598" i="6"/>
  <c r="K599" i="6"/>
  <c r="K600" i="6"/>
  <c r="K601" i="6"/>
  <c r="K602" i="6"/>
  <c r="K603" i="6"/>
  <c r="K604" i="6"/>
  <c r="K605" i="6"/>
  <c r="K606" i="6"/>
  <c r="K607" i="6"/>
  <c r="K608" i="6"/>
  <c r="K609" i="6"/>
  <c r="K610" i="6"/>
  <c r="K611" i="6"/>
  <c r="K612" i="6"/>
  <c r="K613" i="6"/>
  <c r="K614" i="6"/>
  <c r="K615" i="6"/>
  <c r="K616" i="6"/>
  <c r="K617" i="6"/>
  <c r="K618" i="6"/>
  <c r="K619" i="6"/>
  <c r="K620" i="6"/>
  <c r="K621" i="6"/>
  <c r="K622" i="6"/>
  <c r="K623" i="6"/>
  <c r="K624" i="6"/>
  <c r="K625" i="6"/>
  <c r="K626" i="6"/>
  <c r="K627" i="6"/>
  <c r="K628" i="6"/>
  <c r="K629" i="6"/>
  <c r="K630" i="6"/>
  <c r="K631" i="6"/>
  <c r="K632" i="6"/>
  <c r="K633" i="6"/>
  <c r="K634" i="6"/>
  <c r="K635" i="6"/>
  <c r="K636" i="6"/>
  <c r="K637" i="6"/>
  <c r="K638" i="6"/>
  <c r="K639" i="6"/>
  <c r="K640" i="6"/>
  <c r="K641" i="6"/>
  <c r="K642" i="6"/>
  <c r="K643" i="6"/>
  <c r="K644" i="6"/>
  <c r="K645" i="6"/>
  <c r="K646" i="6"/>
  <c r="K647" i="6"/>
  <c r="K648" i="6"/>
  <c r="K649" i="6"/>
  <c r="K650" i="6"/>
  <c r="K651" i="6"/>
  <c r="K652" i="6"/>
  <c r="K653" i="6"/>
  <c r="K654" i="6"/>
  <c r="K655" i="6"/>
  <c r="K656" i="6"/>
  <c r="K657" i="6"/>
  <c r="K658" i="6"/>
  <c r="K659" i="6"/>
  <c r="K660" i="6"/>
  <c r="K661" i="6"/>
  <c r="K662" i="6"/>
  <c r="K663" i="6"/>
  <c r="K664" i="6"/>
  <c r="K665" i="6"/>
  <c r="K666" i="6"/>
  <c r="K667" i="6"/>
  <c r="K668" i="6"/>
  <c r="K669" i="6"/>
  <c r="K670" i="6"/>
  <c r="K671" i="6"/>
  <c r="K672" i="6"/>
  <c r="K673" i="6"/>
  <c r="K674" i="6"/>
  <c r="K675" i="6"/>
  <c r="K676" i="6"/>
  <c r="K677" i="6"/>
  <c r="K678" i="6"/>
  <c r="K679" i="6"/>
  <c r="K680" i="6"/>
  <c r="K681" i="6"/>
  <c r="K682" i="6"/>
  <c r="K683" i="6"/>
  <c r="K684" i="6"/>
  <c r="K685" i="6"/>
  <c r="K686" i="6"/>
  <c r="K687" i="6"/>
  <c r="K688" i="6"/>
  <c r="K689" i="6"/>
  <c r="K690" i="6"/>
  <c r="K691" i="6"/>
  <c r="K692" i="6"/>
  <c r="K693" i="6"/>
  <c r="K694" i="6"/>
  <c r="K695" i="6"/>
  <c r="K696" i="6"/>
  <c r="K697" i="6"/>
  <c r="K698" i="6"/>
  <c r="K699" i="6"/>
  <c r="K700" i="6"/>
  <c r="K701" i="6"/>
  <c r="K702" i="6"/>
  <c r="K703" i="6"/>
  <c r="K704" i="6"/>
  <c r="K705" i="6"/>
  <c r="K706" i="6"/>
  <c r="K707" i="6"/>
  <c r="K708" i="6"/>
  <c r="K709" i="6"/>
  <c r="K710" i="6"/>
  <c r="K711" i="6"/>
  <c r="K712" i="6"/>
  <c r="K713" i="6"/>
  <c r="K714" i="6"/>
  <c r="K715" i="6"/>
  <c r="K716" i="6"/>
  <c r="K717" i="6"/>
  <c r="K718" i="6"/>
  <c r="K719" i="6"/>
  <c r="K720" i="6"/>
  <c r="K721" i="6"/>
  <c r="K722" i="6"/>
  <c r="K723" i="6"/>
  <c r="K724" i="6"/>
  <c r="K725" i="6"/>
  <c r="K726" i="6"/>
  <c r="K727" i="6"/>
  <c r="K728" i="6"/>
  <c r="K729" i="6"/>
  <c r="K730" i="6"/>
  <c r="K731" i="6"/>
  <c r="K732" i="6"/>
  <c r="K733" i="6"/>
  <c r="K734" i="6"/>
  <c r="K735" i="6"/>
  <c r="K736" i="6"/>
  <c r="K737" i="6"/>
  <c r="K738" i="6"/>
  <c r="K739" i="6"/>
  <c r="K740" i="6"/>
  <c r="K741" i="6"/>
  <c r="K742" i="6"/>
  <c r="K743" i="6"/>
  <c r="K744" i="6"/>
  <c r="K745" i="6"/>
  <c r="K746" i="6"/>
  <c r="K747" i="6"/>
  <c r="K748" i="6"/>
  <c r="K749" i="6"/>
  <c r="K750" i="6"/>
  <c r="K751" i="6"/>
  <c r="K752" i="6"/>
  <c r="K753" i="6"/>
  <c r="K754" i="6"/>
  <c r="K755" i="6"/>
  <c r="K756" i="6"/>
  <c r="K757" i="6"/>
  <c r="K758" i="6"/>
  <c r="K759" i="6"/>
  <c r="K760" i="6"/>
  <c r="K761" i="6"/>
  <c r="K762" i="6"/>
  <c r="K763" i="6"/>
  <c r="K764" i="6"/>
  <c r="K765" i="6"/>
  <c r="K766" i="6"/>
  <c r="K767" i="6"/>
  <c r="K768" i="6"/>
  <c r="K769" i="6"/>
  <c r="K770" i="6"/>
  <c r="K771" i="6"/>
  <c r="K772" i="6"/>
  <c r="K773" i="6"/>
  <c r="K774" i="6"/>
  <c r="K775" i="6"/>
  <c r="K776" i="6"/>
  <c r="K777" i="6"/>
  <c r="K778" i="6"/>
  <c r="K779" i="6"/>
  <c r="K780" i="6"/>
  <c r="K781" i="6"/>
  <c r="K782" i="6"/>
  <c r="K783" i="6"/>
  <c r="K784" i="6"/>
  <c r="K785" i="6"/>
  <c r="K786" i="6"/>
  <c r="K787" i="6"/>
  <c r="K788" i="6"/>
  <c r="K789" i="6"/>
  <c r="K790" i="6"/>
  <c r="K791" i="6"/>
  <c r="K792" i="6"/>
  <c r="K793" i="6"/>
  <c r="K794" i="6"/>
  <c r="K795" i="6"/>
  <c r="K796" i="6"/>
  <c r="K797" i="6"/>
  <c r="K798" i="6"/>
  <c r="K799" i="6"/>
  <c r="K800" i="6"/>
  <c r="K801" i="6"/>
  <c r="K802" i="6"/>
  <c r="K803" i="6"/>
  <c r="K804" i="6"/>
  <c r="K805" i="6"/>
  <c r="K806" i="6"/>
  <c r="K807" i="6"/>
  <c r="K808" i="6"/>
  <c r="K809" i="6"/>
  <c r="K810" i="6"/>
  <c r="K811" i="6"/>
  <c r="K812" i="6"/>
  <c r="K813" i="6"/>
  <c r="K814" i="6"/>
  <c r="K815" i="6"/>
  <c r="K816" i="6"/>
  <c r="K817" i="6"/>
  <c r="K818" i="6"/>
  <c r="K819" i="6"/>
  <c r="K820" i="6"/>
  <c r="K821" i="6"/>
  <c r="K822" i="6"/>
  <c r="K823" i="6"/>
  <c r="K824" i="6"/>
  <c r="K825" i="6"/>
  <c r="K826" i="6"/>
  <c r="K827" i="6"/>
  <c r="K828" i="6"/>
  <c r="K829" i="6"/>
  <c r="K830" i="6"/>
  <c r="K831" i="6"/>
  <c r="K832" i="6"/>
  <c r="K833" i="6"/>
  <c r="K834" i="6"/>
  <c r="K835" i="6"/>
  <c r="K836" i="6"/>
  <c r="K837" i="6"/>
  <c r="K838" i="6"/>
  <c r="K839" i="6"/>
  <c r="K840" i="6"/>
  <c r="K841" i="6"/>
  <c r="K842" i="6"/>
  <c r="K843" i="6"/>
  <c r="K844" i="6"/>
  <c r="K845" i="6"/>
  <c r="K846" i="6"/>
  <c r="K847" i="6"/>
  <c r="K848" i="6"/>
  <c r="K849" i="6"/>
  <c r="K850" i="6"/>
  <c r="K851" i="6"/>
  <c r="K852" i="6"/>
  <c r="K853" i="6"/>
  <c r="K854" i="6"/>
  <c r="K855" i="6"/>
  <c r="K856" i="6"/>
  <c r="K857" i="6"/>
  <c r="K858" i="6"/>
  <c r="K859" i="6"/>
  <c r="K860" i="6"/>
  <c r="K861" i="6"/>
  <c r="K862" i="6"/>
  <c r="K863" i="6"/>
  <c r="K864" i="6"/>
  <c r="K865" i="6"/>
  <c r="K866" i="6"/>
  <c r="K867" i="6"/>
  <c r="K868" i="6"/>
  <c r="K869" i="6"/>
  <c r="K870" i="6"/>
  <c r="K871" i="6"/>
  <c r="K872" i="6"/>
  <c r="K873" i="6"/>
  <c r="K874" i="6"/>
  <c r="K875" i="6"/>
  <c r="K876" i="6"/>
  <c r="K877" i="6"/>
  <c r="K878" i="6"/>
  <c r="K879" i="6"/>
  <c r="K880" i="6"/>
  <c r="K881" i="6"/>
  <c r="K882" i="6"/>
  <c r="K883" i="6"/>
  <c r="K884" i="6"/>
  <c r="K885" i="6"/>
  <c r="K886" i="6"/>
  <c r="K887" i="6"/>
  <c r="K888" i="6"/>
  <c r="K889" i="6"/>
  <c r="K890" i="6"/>
  <c r="K891" i="6"/>
  <c r="K892" i="6"/>
  <c r="K893" i="6"/>
  <c r="K894" i="6"/>
  <c r="K895" i="6"/>
  <c r="K896" i="6"/>
  <c r="K897" i="6"/>
  <c r="K898" i="6"/>
  <c r="K899" i="6"/>
  <c r="K900" i="6"/>
  <c r="K901" i="6"/>
  <c r="K902" i="6"/>
  <c r="K903" i="6"/>
  <c r="K904" i="6"/>
  <c r="K905" i="6"/>
  <c r="K906" i="6"/>
  <c r="K907" i="6"/>
  <c r="K908" i="6"/>
  <c r="K909" i="6"/>
  <c r="K910" i="6"/>
  <c r="K911" i="6"/>
  <c r="K912" i="6"/>
  <c r="K913" i="6"/>
  <c r="K914" i="6"/>
  <c r="K915" i="6"/>
  <c r="K916" i="6"/>
  <c r="K917" i="6"/>
  <c r="K918" i="6"/>
  <c r="K919" i="6"/>
  <c r="K920" i="6"/>
  <c r="K921" i="6"/>
  <c r="K922" i="6"/>
  <c r="K923" i="6"/>
  <c r="K924" i="6"/>
  <c r="K925" i="6"/>
  <c r="K926" i="6"/>
  <c r="K927" i="6"/>
  <c r="K928" i="6"/>
  <c r="K929" i="6"/>
  <c r="K930" i="6"/>
  <c r="K931" i="6"/>
  <c r="K932" i="6"/>
  <c r="K933" i="6"/>
  <c r="K934" i="6"/>
  <c r="K935" i="6"/>
  <c r="K936" i="6"/>
  <c r="K937" i="6"/>
  <c r="K938" i="6"/>
  <c r="K939" i="6"/>
  <c r="K940" i="6"/>
  <c r="K941" i="6"/>
  <c r="K942" i="6"/>
  <c r="K943" i="6"/>
  <c r="K944" i="6"/>
  <c r="K945" i="6"/>
  <c r="K946" i="6"/>
  <c r="K947" i="6"/>
  <c r="K948" i="6"/>
  <c r="K949" i="6"/>
  <c r="K950" i="6"/>
  <c r="K951" i="6"/>
  <c r="K952" i="6"/>
  <c r="K953" i="6"/>
  <c r="K954" i="6"/>
  <c r="K955" i="6"/>
  <c r="K956" i="6"/>
  <c r="K957" i="6"/>
  <c r="K958" i="6"/>
  <c r="K959" i="6"/>
  <c r="K960" i="6"/>
  <c r="K961" i="6"/>
  <c r="K962" i="6"/>
  <c r="K963" i="6"/>
  <c r="K964" i="6"/>
  <c r="K965" i="6"/>
  <c r="K966" i="6"/>
  <c r="K967" i="6"/>
  <c r="K968" i="6"/>
  <c r="K969" i="6"/>
  <c r="K970" i="6"/>
  <c r="K971" i="6"/>
  <c r="K972" i="6"/>
  <c r="K973" i="6"/>
  <c r="K974" i="6"/>
  <c r="K975" i="6"/>
  <c r="K976" i="6"/>
  <c r="K977" i="6"/>
  <c r="K978" i="6"/>
  <c r="K979" i="6"/>
  <c r="K980" i="6"/>
  <c r="K981" i="6"/>
  <c r="K982" i="6"/>
  <c r="K983" i="6"/>
  <c r="K984" i="6"/>
  <c r="K985" i="6"/>
  <c r="K986" i="6"/>
  <c r="K987" i="6"/>
  <c r="K988" i="6"/>
  <c r="K989" i="6"/>
  <c r="K990" i="6"/>
  <c r="K991" i="6"/>
  <c r="K992" i="6"/>
  <c r="K993" i="6"/>
  <c r="K994" i="6"/>
  <c r="K995" i="6"/>
  <c r="K996" i="6"/>
  <c r="K997" i="6"/>
  <c r="K998" i="6"/>
  <c r="K999" i="6"/>
  <c r="K1000" i="6"/>
  <c r="K1001" i="6"/>
  <c r="K1002" i="6"/>
  <c r="K1003" i="6"/>
  <c r="K1004" i="6"/>
  <c r="K1005" i="6"/>
  <c r="K1006" i="6"/>
  <c r="K1007" i="6"/>
  <c r="K1008" i="6"/>
  <c r="K1009" i="6"/>
  <c r="K1010" i="6"/>
  <c r="K1011" i="6"/>
  <c r="K1012" i="6"/>
  <c r="K1013" i="6"/>
  <c r="K1014" i="6"/>
  <c r="K1015" i="6"/>
  <c r="K1016" i="6"/>
  <c r="K1017" i="6"/>
  <c r="K1018" i="6"/>
  <c r="K1019" i="6"/>
  <c r="K1020" i="6"/>
  <c r="K1021" i="6"/>
  <c r="K1022" i="6"/>
  <c r="K1023" i="6"/>
  <c r="K1024" i="6"/>
  <c r="K1025" i="6"/>
  <c r="K1026" i="6"/>
  <c r="K1027" i="6"/>
  <c r="K1028" i="6"/>
  <c r="K1029" i="6"/>
  <c r="K1030" i="6"/>
  <c r="K1031" i="6"/>
  <c r="K1032" i="6"/>
  <c r="K1033" i="6"/>
  <c r="K1034" i="6"/>
  <c r="K1035" i="6"/>
  <c r="K1036" i="6"/>
  <c r="K1037" i="6"/>
  <c r="K1038" i="6"/>
  <c r="K1039" i="6"/>
  <c r="K1040" i="6"/>
  <c r="K1041" i="6"/>
  <c r="K1042" i="6"/>
  <c r="K1043" i="6"/>
  <c r="K1044" i="6"/>
  <c r="K1045" i="6"/>
  <c r="K1046" i="6"/>
  <c r="K1047" i="6"/>
  <c r="K1048" i="6"/>
  <c r="K1049" i="6"/>
  <c r="K1050" i="6"/>
  <c r="K1051" i="6"/>
  <c r="K1052" i="6"/>
  <c r="K1053" i="6"/>
  <c r="K1054" i="6"/>
  <c r="K1055" i="6"/>
  <c r="K1056" i="6"/>
  <c r="K1057" i="6"/>
  <c r="K1058" i="6"/>
  <c r="K1059" i="6"/>
  <c r="K1060" i="6"/>
  <c r="K1061" i="6"/>
  <c r="K1062" i="6"/>
  <c r="K1063" i="6"/>
  <c r="K1064" i="6"/>
  <c r="K1065" i="6"/>
  <c r="K1066" i="6"/>
  <c r="K1067" i="6"/>
  <c r="K1068" i="6"/>
  <c r="K1069" i="6"/>
  <c r="K1070" i="6"/>
  <c r="K1071" i="6"/>
  <c r="K1072" i="6"/>
  <c r="K1073" i="6"/>
  <c r="K1074" i="6"/>
  <c r="K1075" i="6"/>
  <c r="K1076" i="6"/>
  <c r="K1077" i="6"/>
  <c r="K1078" i="6"/>
  <c r="K1079" i="6"/>
  <c r="K1080" i="6"/>
  <c r="K1081" i="6"/>
  <c r="K1082" i="6"/>
  <c r="K1083" i="6"/>
  <c r="K1084" i="6"/>
  <c r="K1085" i="6"/>
  <c r="K1086" i="6"/>
  <c r="K1087" i="6"/>
  <c r="K1088" i="6"/>
  <c r="K1089" i="6"/>
  <c r="K1090" i="6"/>
  <c r="K1091" i="6"/>
  <c r="K1092" i="6"/>
  <c r="K1093" i="6"/>
  <c r="K1094" i="6"/>
  <c r="K1095" i="6"/>
  <c r="K1096" i="6"/>
  <c r="K1097" i="6"/>
  <c r="K1098" i="6"/>
  <c r="K1099" i="6"/>
  <c r="K1100" i="6"/>
  <c r="K1101" i="6"/>
  <c r="K1102" i="6"/>
  <c r="K1103" i="6"/>
  <c r="K1104" i="6"/>
  <c r="K1105" i="6"/>
  <c r="K1106" i="6"/>
  <c r="K1107" i="6"/>
  <c r="K1108" i="6"/>
  <c r="K1109" i="6"/>
  <c r="K1110" i="6"/>
  <c r="K1111" i="6"/>
  <c r="K1112" i="6"/>
  <c r="K1113" i="6"/>
  <c r="K1114" i="6"/>
  <c r="K1115" i="6"/>
  <c r="K1116" i="6"/>
  <c r="K1117" i="6"/>
  <c r="K1118" i="6"/>
  <c r="K1119" i="6"/>
  <c r="K1120" i="6"/>
  <c r="K1121" i="6"/>
  <c r="K1122" i="6"/>
  <c r="K1123" i="6"/>
  <c r="K1124" i="6"/>
  <c r="K1125" i="6"/>
  <c r="K1126" i="6"/>
  <c r="K1127" i="6"/>
  <c r="K1128" i="6"/>
  <c r="K1129" i="6"/>
  <c r="K1130" i="6"/>
  <c r="K1131" i="6"/>
  <c r="K1132" i="6"/>
  <c r="K1133" i="6"/>
  <c r="K1134" i="6"/>
  <c r="K1135" i="6"/>
  <c r="K1136" i="6"/>
  <c r="K1137" i="6"/>
  <c r="K1138" i="6"/>
  <c r="K1139" i="6"/>
  <c r="K1140" i="6"/>
  <c r="K1141" i="6"/>
  <c r="K1142" i="6"/>
  <c r="K1143" i="6"/>
  <c r="K1144" i="6"/>
  <c r="K1145" i="6"/>
  <c r="K1146" i="6"/>
  <c r="K1147" i="6"/>
  <c r="K1148" i="6"/>
  <c r="K1149" i="6"/>
  <c r="K1150" i="6"/>
  <c r="K1151" i="6"/>
  <c r="K1152" i="6"/>
  <c r="K1153" i="6"/>
  <c r="K1154" i="6"/>
  <c r="K1155" i="6"/>
  <c r="K1156" i="6"/>
  <c r="K1157" i="6"/>
  <c r="K1158" i="6"/>
  <c r="K1159" i="6"/>
  <c r="K1160" i="6"/>
  <c r="K1161" i="6"/>
  <c r="K1162" i="6"/>
  <c r="K1163" i="6"/>
  <c r="K1164" i="6"/>
  <c r="K1165" i="6"/>
  <c r="K1166" i="6"/>
  <c r="K1167" i="6"/>
  <c r="K1168" i="6"/>
  <c r="K1169" i="6"/>
  <c r="K1170" i="6"/>
  <c r="K1171" i="6"/>
  <c r="K1172" i="6"/>
  <c r="K1173" i="6"/>
  <c r="K1174" i="6"/>
  <c r="K1175" i="6"/>
  <c r="K1176" i="6"/>
  <c r="K1177" i="6"/>
  <c r="K1178" i="6"/>
  <c r="K1179" i="6"/>
  <c r="K1180" i="6"/>
  <c r="K1181" i="6"/>
  <c r="K1182" i="6"/>
  <c r="K1183" i="6"/>
  <c r="K1184" i="6"/>
  <c r="K1185" i="6"/>
  <c r="K1186" i="6"/>
  <c r="K1187" i="6"/>
  <c r="K1188" i="6"/>
  <c r="K1189" i="6"/>
  <c r="K1190" i="6"/>
  <c r="K1191" i="6"/>
  <c r="K1192" i="6"/>
  <c r="K1193" i="6"/>
  <c r="K1194" i="6"/>
  <c r="K1195" i="6"/>
  <c r="K1196" i="6"/>
  <c r="K1197" i="6"/>
  <c r="K1198" i="6"/>
  <c r="K1199" i="6"/>
  <c r="K1200" i="6"/>
  <c r="K1201" i="6"/>
  <c r="K1202" i="6"/>
  <c r="K1203" i="6"/>
  <c r="K1204" i="6"/>
  <c r="K1205" i="6"/>
  <c r="K1206" i="6"/>
  <c r="K1207" i="6"/>
  <c r="K1208" i="6"/>
  <c r="K1209" i="6"/>
  <c r="K1210" i="6"/>
  <c r="K1211" i="6"/>
  <c r="K1212" i="6"/>
  <c r="K1213" i="6"/>
  <c r="K1214" i="6"/>
  <c r="K1215" i="6"/>
  <c r="K1216" i="6"/>
  <c r="K1217" i="6"/>
  <c r="K1218" i="6"/>
  <c r="K1219" i="6"/>
  <c r="K1220" i="6"/>
  <c r="K1221" i="6"/>
  <c r="K1222" i="6"/>
  <c r="K1223" i="6"/>
  <c r="K1224" i="6"/>
  <c r="K1225" i="6"/>
  <c r="K1226" i="6"/>
  <c r="K1227" i="6"/>
  <c r="K1228" i="6"/>
  <c r="K1229" i="6"/>
  <c r="K1230" i="6"/>
  <c r="K1231" i="6"/>
  <c r="K1232" i="6"/>
  <c r="K1233" i="6"/>
  <c r="K1234" i="6"/>
  <c r="K1235" i="6"/>
  <c r="K1236" i="6"/>
  <c r="K1237" i="6"/>
  <c r="K1238" i="6"/>
  <c r="K1239" i="6"/>
  <c r="K1240" i="6"/>
  <c r="K1241" i="6"/>
  <c r="K1242" i="6"/>
  <c r="K1243" i="6"/>
  <c r="K1244" i="6"/>
  <c r="K1245" i="6"/>
  <c r="K1246" i="6"/>
  <c r="K1247" i="6"/>
  <c r="K1248" i="6"/>
  <c r="K1249" i="6"/>
  <c r="K1250" i="6"/>
  <c r="K1251" i="6"/>
  <c r="K1252" i="6"/>
  <c r="K1253" i="6"/>
  <c r="K1254" i="6"/>
  <c r="K1255" i="6"/>
  <c r="K1256" i="6"/>
  <c r="K1257" i="6"/>
  <c r="K1258" i="6"/>
  <c r="K1259" i="6"/>
  <c r="K1260" i="6"/>
  <c r="K1261" i="6"/>
  <c r="K1262" i="6"/>
  <c r="K1263" i="6"/>
  <c r="K1264" i="6"/>
  <c r="K1265" i="6"/>
  <c r="K1266" i="6"/>
  <c r="K1267" i="6"/>
  <c r="K1268" i="6"/>
  <c r="K1269" i="6"/>
  <c r="K1270" i="6"/>
  <c r="K1271" i="6"/>
  <c r="K1272" i="6"/>
  <c r="K1273" i="6"/>
  <c r="K1274" i="6"/>
  <c r="K1275" i="6"/>
  <c r="K1276" i="6"/>
  <c r="K1277" i="6"/>
  <c r="K1278" i="6"/>
  <c r="K1279" i="6"/>
  <c r="K1280" i="6"/>
  <c r="K1281" i="6"/>
  <c r="K1282" i="6"/>
  <c r="K1283" i="6"/>
  <c r="K1284" i="6"/>
  <c r="K1285" i="6"/>
  <c r="K1286" i="6"/>
  <c r="K1287" i="6"/>
  <c r="K1288" i="6"/>
  <c r="K1289" i="6"/>
  <c r="K1290" i="6"/>
  <c r="K1291" i="6"/>
  <c r="K1292" i="6"/>
  <c r="K1293" i="6"/>
  <c r="K1294" i="6"/>
  <c r="K1295" i="6"/>
  <c r="K1296" i="6"/>
  <c r="K1297" i="6"/>
  <c r="K1298" i="6"/>
  <c r="K1299" i="6"/>
  <c r="K1300" i="6"/>
  <c r="K1301" i="6"/>
  <c r="K1302" i="6"/>
  <c r="K1303" i="6"/>
  <c r="K1304" i="6"/>
  <c r="K1305" i="6"/>
  <c r="K1306" i="6"/>
  <c r="K1307" i="6"/>
  <c r="K1308" i="6"/>
  <c r="K1309" i="6"/>
  <c r="K1310" i="6"/>
  <c r="K1311" i="6"/>
  <c r="K1312" i="6"/>
  <c r="K1313" i="6"/>
  <c r="K1314" i="6"/>
  <c r="K1315" i="6"/>
  <c r="K1316" i="6"/>
  <c r="K1317" i="6"/>
  <c r="K1318" i="6"/>
  <c r="K1319" i="6"/>
  <c r="K1320" i="6"/>
  <c r="K1321" i="6"/>
  <c r="K1322" i="6"/>
  <c r="K1323" i="6"/>
  <c r="K1324" i="6"/>
  <c r="K1325" i="6"/>
  <c r="K1326" i="6"/>
  <c r="K1327" i="6"/>
  <c r="K1328" i="6"/>
  <c r="K1329" i="6"/>
  <c r="K1330" i="6"/>
  <c r="K1331" i="6"/>
  <c r="K1332" i="6"/>
  <c r="K1333" i="6"/>
  <c r="K1334" i="6"/>
  <c r="K1335" i="6"/>
  <c r="K1336" i="6"/>
  <c r="K1337" i="6"/>
  <c r="K1338" i="6"/>
  <c r="K1339" i="6"/>
  <c r="K1340" i="6"/>
  <c r="K1341" i="6"/>
  <c r="K1342" i="6"/>
  <c r="K1343" i="6"/>
  <c r="K1344" i="6"/>
  <c r="K1345" i="6"/>
  <c r="K1346" i="6"/>
  <c r="K1347" i="6"/>
  <c r="K1348" i="6"/>
  <c r="K1349" i="6"/>
  <c r="K1350" i="6"/>
  <c r="K1351" i="6"/>
  <c r="K1352" i="6"/>
  <c r="K1353" i="6"/>
  <c r="K1354" i="6"/>
  <c r="K1355" i="6"/>
  <c r="K1356" i="6"/>
  <c r="K1357" i="6"/>
  <c r="K1358" i="6"/>
  <c r="K1359" i="6"/>
  <c r="K1360" i="6"/>
  <c r="K1361" i="6"/>
  <c r="K1362" i="6"/>
  <c r="K1363" i="6"/>
  <c r="K1364" i="6"/>
  <c r="K1365" i="6"/>
  <c r="K1366" i="6"/>
  <c r="K1367" i="6"/>
  <c r="K1368" i="6"/>
  <c r="K1369" i="6"/>
  <c r="K1370" i="6"/>
  <c r="K1371" i="6"/>
  <c r="K1372" i="6"/>
  <c r="K1373" i="6"/>
  <c r="K1374" i="6"/>
  <c r="K1375" i="6"/>
  <c r="K1376" i="6"/>
  <c r="K1377" i="6"/>
  <c r="K1378" i="6"/>
  <c r="K1379" i="6"/>
  <c r="K1380" i="6"/>
  <c r="K1381" i="6"/>
  <c r="K1382" i="6"/>
  <c r="K1383" i="6"/>
  <c r="K1384" i="6"/>
  <c r="K1385" i="6"/>
  <c r="K1386" i="6"/>
  <c r="K1387" i="6"/>
  <c r="K1388" i="6"/>
  <c r="K1389" i="6"/>
  <c r="K1390" i="6"/>
  <c r="K1391" i="6"/>
  <c r="K1392" i="6"/>
  <c r="K1393" i="6"/>
  <c r="K1394" i="6"/>
  <c r="K1395" i="6"/>
  <c r="K1396" i="6"/>
  <c r="K1397" i="6"/>
  <c r="K1398" i="6"/>
  <c r="K1399" i="6"/>
  <c r="K1400" i="6"/>
  <c r="K1401" i="6"/>
  <c r="K1402" i="6"/>
  <c r="K1403" i="6"/>
  <c r="K1404" i="6"/>
  <c r="K1405" i="6"/>
  <c r="K1406" i="6"/>
  <c r="K1407" i="6"/>
  <c r="K1408" i="6"/>
  <c r="K1409" i="6"/>
  <c r="K1410" i="6"/>
  <c r="K1411" i="6"/>
  <c r="K1412" i="6"/>
  <c r="K1413" i="6"/>
  <c r="K1414" i="6"/>
  <c r="K1415" i="6"/>
  <c r="K1416" i="6"/>
  <c r="K1417" i="6"/>
  <c r="K1418" i="6"/>
  <c r="K1419" i="6"/>
  <c r="K1420" i="6"/>
  <c r="K1421" i="6"/>
  <c r="K1422" i="6"/>
  <c r="K1423" i="6"/>
  <c r="K1424" i="6"/>
  <c r="K1425" i="6"/>
  <c r="K1426" i="6"/>
  <c r="K1427" i="6"/>
  <c r="K1428" i="6"/>
  <c r="K1429" i="6"/>
  <c r="K1430" i="6"/>
  <c r="K1431" i="6"/>
  <c r="K1432" i="6"/>
  <c r="K1433" i="6"/>
  <c r="K1434" i="6"/>
  <c r="K1435" i="6"/>
  <c r="K1436" i="6"/>
  <c r="K1437" i="6"/>
  <c r="K1438" i="6"/>
  <c r="K1439" i="6"/>
  <c r="K1440" i="6"/>
  <c r="K1441" i="6"/>
  <c r="K1442" i="6"/>
  <c r="K1443" i="6"/>
  <c r="K1444" i="6"/>
  <c r="K1445" i="6"/>
  <c r="K1446" i="6"/>
  <c r="K1447" i="6"/>
  <c r="K1448" i="6"/>
  <c r="K1449" i="6"/>
  <c r="K1450" i="6"/>
  <c r="K1451" i="6"/>
  <c r="K1452" i="6"/>
  <c r="K1453" i="6"/>
  <c r="K1454" i="6"/>
  <c r="K1455" i="6"/>
  <c r="K1456" i="6"/>
  <c r="K1457" i="6"/>
  <c r="K1458" i="6"/>
  <c r="K1459" i="6"/>
  <c r="K1460" i="6"/>
  <c r="K1461" i="6"/>
  <c r="K1462" i="6"/>
  <c r="K1463" i="6"/>
  <c r="K1464" i="6"/>
  <c r="K1465" i="6"/>
  <c r="K1466" i="6"/>
  <c r="K1467" i="6"/>
  <c r="K1468" i="6"/>
  <c r="K1469" i="6"/>
  <c r="K1470" i="6"/>
  <c r="K1471" i="6"/>
  <c r="K1472" i="6"/>
  <c r="K1473" i="6"/>
  <c r="K1474" i="6"/>
  <c r="K1475" i="6"/>
  <c r="K1476" i="6"/>
  <c r="K1477" i="6"/>
  <c r="K1478" i="6"/>
  <c r="N3" i="7"/>
  <c r="L3" i="7"/>
  <c r="M3" i="7"/>
  <c r="W3" i="7"/>
  <c r="X3" i="7"/>
  <c r="Y3" i="7"/>
  <c r="V3" i="7"/>
  <c r="P3" i="7"/>
  <c r="Q3" i="7"/>
  <c r="R3" i="7"/>
  <c r="S3" i="7"/>
  <c r="T3" i="7"/>
  <c r="U3" i="7"/>
  <c r="O3" i="7"/>
  <c r="F3" i="7"/>
  <c r="H3" i="7"/>
  <c r="I3" i="7"/>
  <c r="J3" i="7"/>
  <c r="K3" i="7"/>
  <c r="G3" i="7"/>
  <c r="C3" i="7"/>
  <c r="D3" i="7"/>
  <c r="E3" i="7"/>
  <c r="B3" i="7"/>
  <c r="E4" i="5"/>
  <c r="E7" i="5"/>
  <c r="E6" i="5"/>
  <c r="E5" i="5"/>
  <c r="D17" i="2"/>
  <c r="E17" i="2"/>
  <c r="F17" i="2" s="1"/>
  <c r="G17" i="2" s="1"/>
  <c r="H17" i="2" s="1"/>
  <c r="I17" i="2" s="1"/>
  <c r="J17" i="2" s="1"/>
  <c r="K17" i="2" s="1"/>
  <c r="L17" i="2" s="1"/>
  <c r="M17" i="2" s="1"/>
  <c r="N17" i="2" s="1"/>
  <c r="O17" i="2" s="1"/>
  <c r="P17" i="2" s="1"/>
  <c r="Q17" i="2" s="1"/>
  <c r="R17" i="2" s="1"/>
  <c r="S17" i="2" s="1"/>
  <c r="T17" i="2" s="1"/>
  <c r="U17" i="2" s="1"/>
  <c r="V17" i="2" s="1"/>
  <c r="W17" i="2" s="1"/>
  <c r="X17" i="2" s="1"/>
  <c r="Y17" i="2" s="1"/>
  <c r="Z17" i="2" s="1"/>
  <c r="AA17" i="2" s="1"/>
  <c r="AB17" i="2" s="1"/>
  <c r="AC17" i="2" s="1"/>
  <c r="AD17" i="2" s="1"/>
  <c r="AE17" i="2" s="1"/>
  <c r="AF17" i="2" s="1"/>
  <c r="AG17" i="2" s="1"/>
  <c r="AH17" i="2" s="1"/>
  <c r="AI17" i="2" s="1"/>
  <c r="AJ17" i="2" s="1"/>
  <c r="AK17" i="2" s="1"/>
  <c r="AL17" i="2" s="1"/>
  <c r="AM17" i="2" s="1"/>
  <c r="AN17" i="2" s="1"/>
  <c r="AO17" i="2" s="1"/>
  <c r="AP17" i="2" s="1"/>
  <c r="AQ17" i="2" s="1"/>
  <c r="AR17" i="2" s="1"/>
  <c r="E13" i="2"/>
  <c r="E12" i="2" s="1"/>
  <c r="D12" i="2"/>
  <c r="D5" i="2"/>
  <c r="E6" i="2"/>
  <c r="E5" i="2"/>
  <c r="D9" i="2"/>
  <c r="D8" i="2"/>
  <c r="D10" i="2"/>
  <c r="E10" i="2" s="1"/>
  <c r="F10" i="2" s="1"/>
  <c r="F6" i="2"/>
  <c r="F5" i="2" s="1"/>
  <c r="F8" i="2"/>
  <c r="G6" i="2"/>
  <c r="G9" i="2" s="1"/>
  <c r="E8" i="2"/>
  <c r="F9" i="2"/>
  <c r="E9" i="2"/>
  <c r="H6" i="2"/>
  <c r="I6" i="2" s="1"/>
  <c r="I5" i="2" l="1"/>
  <c r="I8" i="2"/>
  <c r="I9" i="2"/>
  <c r="J6" i="2"/>
  <c r="H9" i="2"/>
  <c r="H8" i="2"/>
  <c r="H5" i="2"/>
  <c r="G8" i="2"/>
  <c r="G10" i="2" s="1"/>
  <c r="H10" i="2" s="1"/>
  <c r="I10" i="2" s="1"/>
  <c r="G5" i="2"/>
  <c r="F13" i="2"/>
  <c r="K6" i="2" l="1"/>
  <c r="J5" i="2"/>
  <c r="J9" i="2"/>
  <c r="J10" i="2" s="1"/>
  <c r="J8" i="2"/>
  <c r="G13" i="2"/>
  <c r="F12" i="2"/>
  <c r="K5" i="2" l="1"/>
  <c r="K9" i="2"/>
  <c r="K8" i="2"/>
  <c r="K10" i="2" s="1"/>
  <c r="L6" i="2"/>
  <c r="G12" i="2"/>
  <c r="H13" i="2"/>
  <c r="L10" i="2" l="1"/>
  <c r="H12" i="2"/>
  <c r="I13" i="2"/>
  <c r="M6" i="2"/>
  <c r="L5" i="2"/>
  <c r="L9" i="2"/>
  <c r="L8" i="2"/>
  <c r="M10" i="2" l="1"/>
  <c r="N6" i="2"/>
  <c r="M5" i="2"/>
  <c r="M9" i="2"/>
  <c r="M8" i="2"/>
  <c r="J13" i="2"/>
  <c r="I12" i="2"/>
  <c r="N8" i="2" l="1"/>
  <c r="N5" i="2"/>
  <c r="O6" i="2"/>
  <c r="N9" i="2"/>
  <c r="K13" i="2"/>
  <c r="J12" i="2"/>
  <c r="N10" i="2"/>
  <c r="O10" i="2" l="1"/>
  <c r="K12" i="2"/>
  <c r="L13" i="2"/>
  <c r="O5" i="2"/>
  <c r="P6" i="2"/>
  <c r="O9" i="2"/>
  <c r="O8" i="2"/>
  <c r="P5" i="2" l="1"/>
  <c r="P8" i="2"/>
  <c r="P10" i="2" s="1"/>
  <c r="P9" i="2"/>
  <c r="Q6" i="2"/>
  <c r="M13" i="2"/>
  <c r="L12" i="2"/>
  <c r="Q10" i="2" l="1"/>
  <c r="N13" i="2"/>
  <c r="M12" i="2"/>
  <c r="Q8" i="2"/>
  <c r="Q9" i="2"/>
  <c r="R6" i="2"/>
  <c r="Q5" i="2"/>
  <c r="O13" i="2" l="1"/>
  <c r="N12" i="2"/>
  <c r="R8" i="2"/>
  <c r="R10" i="2" s="1"/>
  <c r="R9" i="2"/>
  <c r="S6" i="2"/>
  <c r="R5" i="2"/>
  <c r="S10" i="2" l="1"/>
  <c r="P13" i="2"/>
  <c r="O12" i="2"/>
  <c r="S9" i="2"/>
  <c r="S8" i="2"/>
  <c r="T6" i="2"/>
  <c r="S5" i="2"/>
  <c r="T10" i="2" l="1"/>
  <c r="T8" i="2"/>
  <c r="T5" i="2"/>
  <c r="T9" i="2"/>
  <c r="U6" i="2"/>
  <c r="Q13" i="2"/>
  <c r="P12" i="2"/>
  <c r="U10" i="2" l="1"/>
  <c r="Q12" i="2"/>
  <c r="R13" i="2"/>
  <c r="U9" i="2"/>
  <c r="U8" i="2"/>
  <c r="V6" i="2"/>
  <c r="U5" i="2"/>
  <c r="W6" i="2" l="1"/>
  <c r="V5" i="2"/>
  <c r="V9" i="2"/>
  <c r="V8" i="2"/>
  <c r="V10" i="2" s="1"/>
  <c r="S13" i="2"/>
  <c r="R12" i="2"/>
  <c r="W10" i="2" l="1"/>
  <c r="T13" i="2"/>
  <c r="S12" i="2"/>
  <c r="W9" i="2"/>
  <c r="X6" i="2"/>
  <c r="W8" i="2"/>
  <c r="W5" i="2"/>
  <c r="X10" i="2" l="1"/>
  <c r="X5" i="2"/>
  <c r="X8" i="2"/>
  <c r="X9" i="2"/>
  <c r="Y6" i="2"/>
  <c r="T12" i="2"/>
  <c r="U13" i="2"/>
  <c r="Z6" i="2" l="1"/>
  <c r="Y9" i="2"/>
  <c r="Y5" i="2"/>
  <c r="Y8" i="2"/>
  <c r="Y10" i="2" s="1"/>
  <c r="V13" i="2"/>
  <c r="U12" i="2"/>
  <c r="Z10" i="2" l="1"/>
  <c r="W13" i="2"/>
  <c r="V12" i="2"/>
  <c r="Z9" i="2"/>
  <c r="Z5" i="2"/>
  <c r="AA6" i="2"/>
  <c r="Z8" i="2"/>
  <c r="AA8" i="2" l="1"/>
  <c r="AA10" i="2" s="1"/>
  <c r="AA9" i="2"/>
  <c r="AA5" i="2"/>
  <c r="AB6" i="2"/>
  <c r="W12" i="2"/>
  <c r="X13" i="2"/>
  <c r="X12" i="2" l="1"/>
  <c r="Y13" i="2"/>
  <c r="AC6" i="2"/>
  <c r="AB8" i="2"/>
  <c r="AB10" i="2" s="1"/>
  <c r="AB5" i="2"/>
  <c r="AB9" i="2"/>
  <c r="AC10" i="2" l="1"/>
  <c r="AC5" i="2"/>
  <c r="AD6" i="2"/>
  <c r="AC9" i="2"/>
  <c r="AC8" i="2"/>
  <c r="Y12" i="2"/>
  <c r="Z13" i="2"/>
  <c r="AA13" i="2" l="1"/>
  <c r="Z12" i="2"/>
  <c r="AE6" i="2"/>
  <c r="AD5" i="2"/>
  <c r="AD9" i="2"/>
  <c r="AD8" i="2"/>
  <c r="AD10" i="2" s="1"/>
  <c r="AE5" i="2" l="1"/>
  <c r="AE9" i="2"/>
  <c r="AE8" i="2"/>
  <c r="AE10" i="2" s="1"/>
  <c r="AF6" i="2"/>
  <c r="AB13" i="2"/>
  <c r="AA12" i="2"/>
  <c r="AB12" i="2" l="1"/>
  <c r="AC13" i="2"/>
  <c r="AF8" i="2"/>
  <c r="AF10" i="2" s="1"/>
  <c r="AF9" i="2"/>
  <c r="AG6" i="2"/>
  <c r="AF5" i="2"/>
  <c r="AG10" i="2" l="1"/>
  <c r="AG8" i="2"/>
  <c r="AG9" i="2"/>
  <c r="AG5" i="2"/>
  <c r="AH6" i="2"/>
  <c r="AD13" i="2"/>
  <c r="AC12" i="2"/>
  <c r="AH10" i="2" l="1"/>
  <c r="AE13" i="2"/>
  <c r="AD12" i="2"/>
  <c r="AH9" i="2"/>
  <c r="AI6" i="2"/>
  <c r="AH5" i="2"/>
  <c r="AH8" i="2"/>
  <c r="AI10" i="2" l="1"/>
  <c r="AI8" i="2"/>
  <c r="AI5" i="2"/>
  <c r="AJ6" i="2"/>
  <c r="AI9" i="2"/>
  <c r="AE12" i="2"/>
  <c r="AF13" i="2"/>
  <c r="AG13" i="2" l="1"/>
  <c r="AF12" i="2"/>
  <c r="AJ8" i="2"/>
  <c r="AJ9" i="2"/>
  <c r="AJ10" i="2" s="1"/>
  <c r="AK6" i="2"/>
  <c r="AJ5" i="2"/>
  <c r="AK10" i="2" l="1"/>
  <c r="AG12" i="2"/>
  <c r="AH13" i="2"/>
  <c r="AK9" i="2"/>
  <c r="AK8" i="2"/>
  <c r="AL6" i="2"/>
  <c r="AK5" i="2"/>
  <c r="AM6" i="2" l="1"/>
  <c r="AL9" i="2"/>
  <c r="AL8" i="2"/>
  <c r="AL5" i="2"/>
  <c r="AH12" i="2"/>
  <c r="AI13" i="2"/>
  <c r="AL10" i="2"/>
  <c r="AI12" i="2" l="1"/>
  <c r="AJ13" i="2"/>
  <c r="AM9" i="2"/>
  <c r="AM5" i="2"/>
  <c r="AM8" i="2"/>
  <c r="AM10" i="2" s="1"/>
  <c r="AN6" i="2"/>
  <c r="AN8" i="2" l="1"/>
  <c r="AN10" i="2" s="1"/>
  <c r="AN9" i="2"/>
  <c r="AN5" i="2"/>
  <c r="AO6" i="2"/>
  <c r="AJ12" i="2"/>
  <c r="AK13" i="2"/>
  <c r="AL13" i="2" l="1"/>
  <c r="AK12" i="2"/>
  <c r="AO5" i="2"/>
  <c r="AO9" i="2"/>
  <c r="AO8" i="2"/>
  <c r="AO10" i="2" s="1"/>
  <c r="AP6" i="2"/>
  <c r="AP8" i="2" l="1"/>
  <c r="AP10" i="2" s="1"/>
  <c r="AP9" i="2"/>
  <c r="AP5" i="2"/>
  <c r="AQ6" i="2"/>
  <c r="AM13" i="2"/>
  <c r="AL12" i="2"/>
  <c r="AN13" i="2" l="1"/>
  <c r="AM12" i="2"/>
  <c r="AR6" i="2"/>
  <c r="AQ5" i="2"/>
  <c r="AQ8" i="2"/>
  <c r="AQ10" i="2" s="1"/>
  <c r="AQ9" i="2"/>
  <c r="AN12" i="2" l="1"/>
  <c r="AO13" i="2"/>
  <c r="AR9" i="2"/>
  <c r="AR5" i="2"/>
  <c r="AR8" i="2"/>
  <c r="AR10" i="2" s="1"/>
  <c r="AO12" i="2" l="1"/>
  <c r="AP13" i="2"/>
  <c r="AP12" i="2" l="1"/>
  <c r="AQ13" i="2"/>
  <c r="AQ12" i="2" l="1"/>
  <c r="AR13" i="2"/>
  <c r="AR12"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Ou, Shawn</author>
  </authors>
  <commentList>
    <comment ref="B10" authorId="0" shapeId="0" xr:uid="{72F9FDED-1A4C-4B33-A265-8A40CC54688A}">
      <text>
        <r>
          <rPr>
            <b/>
            <sz val="9"/>
            <color indexed="81"/>
            <rFont val="Tahoma"/>
            <family val="2"/>
          </rPr>
          <t>Ou, Shawn:</t>
        </r>
        <r>
          <rPr>
            <sz val="9"/>
            <color indexed="81"/>
            <rFont val="Tahoma"/>
            <family val="2"/>
          </rPr>
          <t xml:space="preserve">
Reference: https://doi.org/10.1016/j.jpowsour.2014.02.083 </t>
        </r>
      </text>
    </comment>
    <comment ref="B20" authorId="0" shapeId="0" xr:uid="{FB88064F-FD1D-48BE-ADB1-BEB18B4F12C4}">
      <text>
        <r>
          <rPr>
            <b/>
            <sz val="9"/>
            <color indexed="81"/>
            <rFont val="Tahoma"/>
            <family val="2"/>
          </rPr>
          <t>Ou, Shawn:</t>
        </r>
        <r>
          <rPr>
            <sz val="9"/>
            <color indexed="81"/>
            <rFont val="Tahoma"/>
            <family val="2"/>
          </rPr>
          <t xml:space="preserve">
Reference: https://doi.org/10.1016/j.jpowsour.2014.02.083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Ou, Shawn</author>
  </authors>
  <commentList>
    <comment ref="C8" authorId="0" shapeId="0" xr:uid="{10DEB237-BECA-4A15-A73D-FD697F7603F4}">
      <text>
        <r>
          <rPr>
            <b/>
            <sz val="9"/>
            <color indexed="81"/>
            <rFont val="Tahoma"/>
            <family val="2"/>
          </rPr>
          <t>Ou, Shawn:</t>
        </r>
        <r>
          <rPr>
            <sz val="9"/>
            <color indexed="81"/>
            <rFont val="Tahoma"/>
            <family val="2"/>
          </rPr>
          <t xml:space="preserve">
The calender degradation is based on reference: https://doi.org/10.3390/app8101825
Eq. (5) (SOC=0.15) and (6) (SOC=0.9).</t>
        </r>
      </text>
    </comment>
    <comment ref="C15" authorId="0" shapeId="0" xr:uid="{8B6014BC-8FB3-46F4-A34C-1948D098785D}">
      <text>
        <r>
          <rPr>
            <b/>
            <sz val="9"/>
            <color indexed="81"/>
            <rFont val="Tahoma"/>
            <family val="2"/>
          </rPr>
          <t>Ou, Shawn:</t>
        </r>
        <r>
          <rPr>
            <sz val="9"/>
            <color indexed="81"/>
            <rFont val="Tahoma"/>
            <family val="2"/>
          </rPr>
          <t xml:space="preserve">
The calender degradation is based on reference: https://doi.org/10.3390/app8101825
Fitting the curves in Figure 3: T=35 @ (SOC=0.15) and (SOC=0.9).</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Ou, Shawn</author>
  </authors>
  <commentList>
    <comment ref="E12" authorId="0" shapeId="0" xr:uid="{0CAFC018-B311-4400-A7FA-7D8A98D87EE9}">
      <text>
        <r>
          <rPr>
            <b/>
            <sz val="9"/>
            <color indexed="81"/>
            <rFont val="Tahoma"/>
            <family val="2"/>
          </rPr>
          <t>Ou, Shawn:</t>
        </r>
        <r>
          <rPr>
            <sz val="9"/>
            <color indexed="81"/>
            <rFont val="Tahoma"/>
            <family val="2"/>
          </rPr>
          <t xml:space="preserve">
汽车旋转质量换算系数</t>
        </r>
      </text>
    </comment>
    <comment ref="D16" authorId="0" shapeId="0" xr:uid="{AB152E76-AAF9-4164-9381-ADB9F8E540A4}">
      <text>
        <r>
          <rPr>
            <b/>
            <sz val="9"/>
            <color indexed="81"/>
            <rFont val="Tahoma"/>
            <family val="2"/>
          </rPr>
          <t>Ou, Shawn:</t>
        </r>
        <r>
          <rPr>
            <sz val="9"/>
            <color indexed="81"/>
            <rFont val="Tahoma"/>
            <family val="2"/>
          </rPr>
          <t xml:space="preserve">
Power to HVAC system:
COP = 1.5 for cooling, and COP = 2.5 for heating.
Reference: https://www.energy.gov/sites/prod/files/2014/03/f8/deer12_maranville.pdf
COP = ratio heat dissipation/electrical power intake</t>
        </r>
      </text>
    </comment>
    <comment ref="E19" authorId="0" shapeId="0" xr:uid="{17F4E59C-0A83-459E-A760-98CBCDD1FC01}">
      <text>
        <r>
          <rPr>
            <b/>
            <sz val="9"/>
            <color indexed="81"/>
            <rFont val="Tahoma"/>
            <family val="2"/>
          </rPr>
          <t>Ou, Shawn:</t>
        </r>
        <r>
          <rPr>
            <sz val="9"/>
            <color indexed="81"/>
            <rFont val="Tahoma"/>
            <family val="2"/>
          </rPr>
          <t xml:space="preserve">
It is an average value which estimates the ratio of stored electricity energy over braking energy; and this value is also correlated to vehicle speed, deceleration, ambient temperature.
Now it is assumed to be 0.63 (https://doi.org/10.1016/j.apenergy.2016.01.051).
Boretti 2013 believes it ranges from 31% to 79% and it is related to temperature. (https://doi.org/10.4271/2013-01-2872)
Reference source: https://www.sciencedirect.com/topics/engineering/regenerative-brakingIf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Ou, Shawn</author>
  </authors>
  <commentList>
    <comment ref="D13" authorId="0" shapeId="0" xr:uid="{D7D2B607-9EE2-4E9D-A82A-0B5E0F44BD35}">
      <text>
        <r>
          <rPr>
            <b/>
            <sz val="9"/>
            <color indexed="81"/>
            <rFont val="Tahoma"/>
            <family val="2"/>
          </rPr>
          <t>Ou, Shawn:</t>
        </r>
        <r>
          <rPr>
            <sz val="9"/>
            <color indexed="81"/>
            <rFont val="Tahoma"/>
            <family val="2"/>
          </rPr>
          <t xml:space="preserve">
Reference: https://calevip.org/electric-vehicle-charging-101
"Level 1 charging power output varies slightly, but is typically between 12 amps and 16 amps of continuous power."
It is assumed to output current is 15 A, so the power would be 1.8kW.</t>
        </r>
      </text>
    </comment>
    <comment ref="E13" authorId="0" shapeId="0" xr:uid="{C53E5DB1-7E93-42CE-8E5D-BD14C27408F6}">
      <text>
        <r>
          <rPr>
            <b/>
            <sz val="9"/>
            <color indexed="81"/>
            <rFont val="Tahoma"/>
            <family val="2"/>
          </rPr>
          <t>Ou, Shawn:</t>
        </r>
        <r>
          <rPr>
            <sz val="9"/>
            <color indexed="81"/>
            <rFont val="Tahoma"/>
            <family val="2"/>
          </rPr>
          <t xml:space="preserve">
Reference: DOE
https://www.energy.gov/eere/electricvehicles/vehicle-charging</t>
        </r>
      </text>
    </comment>
    <comment ref="G13" authorId="0" shapeId="0" xr:uid="{68C440DA-8F97-4FDA-A6D6-DC172E911472}">
      <text>
        <r>
          <rPr>
            <b/>
            <sz val="9"/>
            <color indexed="81"/>
            <rFont val="Tahoma"/>
            <family val="2"/>
          </rPr>
          <t>Ou, Shawn:</t>
        </r>
        <r>
          <rPr>
            <sz val="9"/>
            <color indexed="81"/>
            <rFont val="Tahoma"/>
            <family val="2"/>
          </rPr>
          <t xml:space="preserve">
Reference: https://paylesspower.com/blog/electric-rates-by-state/
The average of 50 states in the U.S. is $132/kWh in 2020.</t>
        </r>
      </text>
    </comment>
    <comment ref="C14" authorId="0" shapeId="0" xr:uid="{48C9908F-52EC-4C39-9083-5D396ECE58B1}">
      <text>
        <r>
          <rPr>
            <b/>
            <sz val="9"/>
            <color indexed="81"/>
            <rFont val="Tahoma"/>
            <family val="2"/>
          </rPr>
          <t>Ou, Shawn:</t>
        </r>
        <r>
          <rPr>
            <sz val="9"/>
            <color indexed="81"/>
            <rFont val="Tahoma"/>
            <family val="2"/>
          </rPr>
          <t xml:space="preserve">
Reference: Neubauer et al. 2014 - Thru-life impacts of driver aggression and battery thermal management on battery electric vehicle utility.
"A level 2 charger that draws up to 7.6 kW (~32 A at 240 V) of alternating current power from the electricity grid and delivers up to 6.5 kW of direct current power to the battery. Efficiency is assumed to be 85% for all load points."</t>
        </r>
      </text>
    </comment>
    <comment ref="D15" authorId="0" shapeId="0" xr:uid="{990622CA-C268-482B-BC8D-FBF1F0E14C08}">
      <text>
        <r>
          <rPr>
            <b/>
            <sz val="9"/>
            <color indexed="81"/>
            <rFont val="Tahoma"/>
            <family val="2"/>
          </rPr>
          <t>Ou, Shawn:</t>
        </r>
        <r>
          <rPr>
            <sz val="9"/>
            <color indexed="81"/>
            <rFont val="Tahoma"/>
            <family val="2"/>
          </rPr>
          <t xml:space="preserve">
Reference: https://calevip.org/electric-vehicle-charging-101
"Currently available DC fast chargers require inputs of 480+ volts and 100+ amps (50-60 kW)."
It is assumed the power be 60kW.</t>
        </r>
      </text>
    </comment>
    <comment ref="E15" authorId="0" shapeId="0" xr:uid="{72139D9D-746F-4945-9D43-87E32C724C7E}">
      <text>
        <r>
          <rPr>
            <b/>
            <sz val="9"/>
            <color indexed="81"/>
            <rFont val="Tahoma"/>
            <family val="2"/>
          </rPr>
          <t>Ou, Shawn:</t>
        </r>
        <r>
          <rPr>
            <sz val="9"/>
            <color indexed="81"/>
            <rFont val="Tahoma"/>
            <family val="2"/>
          </rPr>
          <t xml:space="preserve">
Reference: DOE
https://www.energy.gov/eere/electricvehicles/vehicle-charging</t>
        </r>
      </text>
    </comment>
    <comment ref="G15" authorId="0" shapeId="0" xr:uid="{6ABFE007-0FF1-4C1E-BF83-182C8462F94F}">
      <text>
        <r>
          <rPr>
            <b/>
            <sz val="9"/>
            <color indexed="81"/>
            <rFont val="Tahoma"/>
            <family val="2"/>
          </rPr>
          <t>Ou, Shawn:</t>
        </r>
        <r>
          <rPr>
            <sz val="9"/>
            <color indexed="81"/>
            <rFont val="Tahoma"/>
            <family val="2"/>
          </rPr>
          <t xml:space="preserve">
Source:
Tesla supercharger:
https://www.tesla.com/supercharger</t>
        </r>
      </text>
    </comment>
    <comment ref="C16" authorId="0" shapeId="0" xr:uid="{CBA0C32E-AF03-410C-9632-C7E3D6285EAB}">
      <text>
        <r>
          <rPr>
            <b/>
            <sz val="9"/>
            <color indexed="81"/>
            <rFont val="Tahoma"/>
            <family val="2"/>
          </rPr>
          <t>Ou, Shawn:</t>
        </r>
        <r>
          <rPr>
            <sz val="9"/>
            <color indexed="81"/>
            <rFont val="Tahoma"/>
            <family val="2"/>
          </rPr>
          <t xml:space="preserve">
Reference: DOE 2017. Enabling Fast Charging.
https://www.energy.gov/eere/vehicles/downloads/enabling-extreme-fast-charging-technology-gap-assessment
Table 1. Extreme fast charging (400kW, 800V)</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678EB3E-0E2A-4F9F-AA09-1AFD79A67719}" keepAlive="1" name="Query - Table1" description="Connection to the 'Table1' query in the workbook." type="5" refreshedVersion="6" background="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<sst xmlns="http://schemas.openxmlformats.org/spreadsheetml/2006/main" count="3258" uniqueCount="641">
  <si>
    <t>SOC</t>
  </si>
  <si>
    <t>Open circuit voltage (V)</t>
  </si>
  <si>
    <r>
      <t>Battery ambient temperature (</t>
    </r>
    <r>
      <rPr>
        <b/>
        <sz val="11"/>
        <color theme="1"/>
        <rFont val="Calibri"/>
        <family val="2"/>
      </rPr>
      <t>°C</t>
    </r>
    <r>
      <rPr>
        <b/>
        <sz val="11"/>
        <color theme="1"/>
        <rFont val="Calibri"/>
        <family val="2"/>
        <scheme val="minor"/>
      </rPr>
      <t>)</t>
    </r>
  </si>
  <si>
    <t>Lookup table (OCV vs SOC)</t>
  </si>
  <si>
    <t>Vehicle kinetics information</t>
  </si>
  <si>
    <t>Descriptions</t>
  </si>
  <si>
    <t>Value</t>
  </si>
  <si>
    <t>Parameters</t>
  </si>
  <si>
    <t>rho_air</t>
  </si>
  <si>
    <t>Units</t>
  </si>
  <si>
    <t>kg/m^3</t>
  </si>
  <si>
    <t>Air density</t>
  </si>
  <si>
    <t>m^2</t>
  </si>
  <si>
    <t>A_d</t>
  </si>
  <si>
    <t>c_d</t>
  </si>
  <si>
    <t>c_r</t>
  </si>
  <si>
    <t>Rolling resistance coefficient</t>
  </si>
  <si>
    <t>Coefficient of aerodynamic resistance</t>
  </si>
  <si>
    <t>m_v</t>
  </si>
  <si>
    <t>kg</t>
  </si>
  <si>
    <t>g</t>
  </si>
  <si>
    <t>m/s^2</t>
  </si>
  <si>
    <t>Gravitational constant</t>
  </si>
  <si>
    <t>Vehicle gross weight</t>
  </si>
  <si>
    <t>alpha</t>
  </si>
  <si>
    <t>deg</t>
  </si>
  <si>
    <t>Road inclination</t>
  </si>
  <si>
    <t>v_wind</t>
  </si>
  <si>
    <t>Wind speed</t>
  </si>
  <si>
    <t>m/s</t>
  </si>
  <si>
    <t>kW</t>
  </si>
  <si>
    <t>Powertrain information</t>
  </si>
  <si>
    <t>f_pt</t>
  </si>
  <si>
    <t>sigma</t>
  </si>
  <si>
    <t>Correction coefficient of rotational inertia</t>
  </si>
  <si>
    <t>Front area</t>
  </si>
  <si>
    <t>f_acc</t>
  </si>
  <si>
    <t>Powertrain efficiency (Energy from bat to wheel)</t>
  </si>
  <si>
    <t>Regenarative efficiency (Stored energy/Braking energy)</t>
  </si>
  <si>
    <t>°C</t>
  </si>
  <si>
    <t>V</t>
  </si>
  <si>
    <t>Ah</t>
  </si>
  <si>
    <t>kWh</t>
  </si>
  <si>
    <t>Max voltage</t>
  </si>
  <si>
    <t>Min voltage</t>
  </si>
  <si>
    <t>Max deliverable energy</t>
  </si>
  <si>
    <t>P_d</t>
  </si>
  <si>
    <t>V_max</t>
  </si>
  <si>
    <t>V_min</t>
  </si>
  <si>
    <t>Storage time (Days)</t>
  </si>
  <si>
    <t>Storage time (Years)</t>
  </si>
  <si>
    <t>T=</t>
  </si>
  <si>
    <t>beta</t>
  </si>
  <si>
    <t>&lt;0.45</t>
  </si>
  <si>
    <t>&gt;=0.45</t>
  </si>
  <si>
    <t>E_a</t>
  </si>
  <si>
    <t>J/mol</t>
  </si>
  <si>
    <t>Activation energy</t>
  </si>
  <si>
    <t>R_g</t>
  </si>
  <si>
    <t>Universal gas constant</t>
  </si>
  <si>
    <t>eta</t>
  </si>
  <si>
    <t>Battery current dependence</t>
  </si>
  <si>
    <t>z</t>
  </si>
  <si>
    <t>Lookup table for alpha &amp; beta</t>
  </si>
  <si>
    <t>Accumuated capacity output of battery throughout battery life so far</t>
  </si>
  <si>
    <t>C_ini</t>
  </si>
  <si>
    <t>C_bat</t>
  </si>
  <si>
    <t>Battery initial capacity</t>
  </si>
  <si>
    <t>Q_acc</t>
  </si>
  <si>
    <t>Day</t>
  </si>
  <si>
    <t>kAh</t>
  </si>
  <si>
    <t>Battery thermal basic information</t>
  </si>
  <si>
    <t>C_c</t>
  </si>
  <si>
    <t>J/K</t>
  </si>
  <si>
    <t>Heat capacity of battery</t>
  </si>
  <si>
    <t>Heat capacity of vehicle cabin</t>
  </si>
  <si>
    <t>C_b</t>
  </si>
  <si>
    <t>K_ac</t>
  </si>
  <si>
    <t>W/K</t>
  </si>
  <si>
    <t>Effective heat transfer coefficient between ambient &amp; cabin</t>
  </si>
  <si>
    <t>T_b</t>
  </si>
  <si>
    <t>Temperature of battery</t>
  </si>
  <si>
    <t>T_c</t>
  </si>
  <si>
    <t>Temperature of vehicle cabin</t>
  </si>
  <si>
    <t>Effective heat transfer coefficient between ambient &amp; battery</t>
  </si>
  <si>
    <t>K_ab</t>
  </si>
  <si>
    <t>K_bc</t>
  </si>
  <si>
    <t>Effective heat transfer coefficient between battery &amp; cabin</t>
  </si>
  <si>
    <t>Q_rad</t>
  </si>
  <si>
    <t>Solar irradiance (default = 0)</t>
  </si>
  <si>
    <t>HVAC system</t>
  </si>
  <si>
    <t>BTMS</t>
  </si>
  <si>
    <t>On</t>
  </si>
  <si>
    <t>Off</t>
  </si>
  <si>
    <t>Accessory efficiency (electronics etc)</t>
  </si>
  <si>
    <t>Initial Inputs</t>
  </si>
  <si>
    <t>SOC_Initial</t>
  </si>
  <si>
    <t>Battery state of charge at initial stage</t>
  </si>
  <si>
    <t>Mile</t>
  </si>
  <si>
    <t>VMT</t>
  </si>
  <si>
    <t>Electric vehicle charging information</t>
  </si>
  <si>
    <t>SOC_end</t>
  </si>
  <si>
    <t>Battery state of charge at charging end</t>
  </si>
  <si>
    <t>Battery state of charge at charging begin</t>
  </si>
  <si>
    <t>t_charg</t>
  </si>
  <si>
    <t>mins</t>
  </si>
  <si>
    <t>Charging time spent (mins)</t>
  </si>
  <si>
    <t>SOC_bgn</t>
  </si>
  <si>
    <t>Charging efficiency</t>
  </si>
  <si>
    <t>$/kWh</t>
  </si>
  <si>
    <t>Charging cost</t>
  </si>
  <si>
    <t>pp_charg</t>
  </si>
  <si>
    <t>P_charg</t>
  </si>
  <si>
    <t>Charging power</t>
  </si>
  <si>
    <t>V_charg</t>
  </si>
  <si>
    <t>Charging voltage</t>
  </si>
  <si>
    <t>Level 1</t>
  </si>
  <si>
    <t>Level 2</t>
  </si>
  <si>
    <t>DC Fast</t>
  </si>
  <si>
    <t>Extreme Fast</t>
  </si>
  <si>
    <t>Unit</t>
  </si>
  <si>
    <t>Type</t>
  </si>
  <si>
    <t>Vehicle charger</t>
  </si>
  <si>
    <t>$</t>
  </si>
  <si>
    <t>Charged energy</t>
  </si>
  <si>
    <t>Type of charger</t>
  </si>
  <si>
    <t>eff_charg</t>
  </si>
  <si>
    <t>Charging price</t>
  </si>
  <si>
    <t>Charging efficincy</t>
  </si>
  <si>
    <t>c_charg</t>
  </si>
  <si>
    <t>E_charg</t>
  </si>
  <si>
    <t>Coefficient</t>
  </si>
  <si>
    <t>Electric vehicle chargers</t>
  </si>
  <si>
    <t>T_acharg</t>
  </si>
  <si>
    <t>Results</t>
  </si>
  <si>
    <t>Δt_age</t>
  </si>
  <si>
    <t>Time step for calculating aging</t>
  </si>
  <si>
    <t>theta</t>
  </si>
  <si>
    <t>Time step for vehicle running</t>
  </si>
  <si>
    <t>Temperature of ambient air when charging</t>
  </si>
  <si>
    <t>second</t>
  </si>
  <si>
    <t>Vehicle air conditioning system</t>
  </si>
  <si>
    <t>Battery thermal management system</t>
  </si>
  <si>
    <t>Outputs</t>
  </si>
  <si>
    <t>D</t>
  </si>
  <si>
    <t>Charger Type</t>
  </si>
  <si>
    <t>Charging</t>
  </si>
  <si>
    <t>Trip No.</t>
  </si>
  <si>
    <t>StartTime /hhmm</t>
  </si>
  <si>
    <t>Date</t>
  </si>
  <si>
    <t>State</t>
  </si>
  <si>
    <r>
      <t>Lookup table for calendar degradation (</t>
    </r>
    <r>
      <rPr>
        <sz val="11"/>
        <color theme="1"/>
        <rFont val="Calibri"/>
        <family val="2"/>
        <scheme val="minor"/>
      </rPr>
      <t>% of battery initial capacity</t>
    </r>
    <r>
      <rPr>
        <b/>
        <sz val="11"/>
        <color theme="1"/>
        <rFont val="Calibri"/>
        <family val="2"/>
        <scheme val="minor"/>
      </rPr>
      <t>)</t>
    </r>
  </si>
  <si>
    <r>
      <t>Battery thermo aging (</t>
    </r>
    <r>
      <rPr>
        <sz val="11"/>
        <color theme="1"/>
        <rFont val="Calibri"/>
        <family val="2"/>
        <scheme val="minor"/>
      </rPr>
      <t>% of battery initial capacity</t>
    </r>
    <r>
      <rPr>
        <b/>
        <sz val="11"/>
        <color theme="1"/>
        <rFont val="Calibri"/>
        <family val="2"/>
        <scheme val="minor"/>
      </rPr>
      <t>)</t>
    </r>
  </si>
  <si>
    <t>Battery thermal management system information</t>
  </si>
  <si>
    <t>T_up</t>
  </si>
  <si>
    <t>T_low</t>
  </si>
  <si>
    <t>K_btms</t>
  </si>
  <si>
    <t>Effective heat transfer between battery and battery thermal management system</t>
  </si>
  <si>
    <t>Temperature ceiling that BTMS is not working</t>
  </si>
  <si>
    <t>Temperature bottom that BTMS is not working</t>
  </si>
  <si>
    <t>f_btms</t>
  </si>
  <si>
    <t>Coefficient of BTMS performance (ratio between BTMS heat transfer and BTMS power)</t>
  </si>
  <si>
    <t>J/(mol*K)</t>
  </si>
  <si>
    <t>Regenerative braking system</t>
  </si>
  <si>
    <t>RBS</t>
  </si>
  <si>
    <t>f_rbs</t>
  </si>
  <si>
    <t>Person No.</t>
  </si>
  <si>
    <t>Destination Type</t>
  </si>
  <si>
    <t>Metro area (blank)</t>
  </si>
  <si>
    <t>HH No.</t>
  </si>
  <si>
    <t>Veh No.</t>
  </si>
  <si>
    <t>R</t>
  </si>
  <si>
    <t>S</t>
  </si>
  <si>
    <t>Battery general information</t>
  </si>
  <si>
    <t>Lookup table for internal resistance of the whole battery pack (R vs SOC &amp; T_ba)</t>
  </si>
  <si>
    <t>DwellTime /min</t>
  </si>
  <si>
    <t>TravelDuration /min</t>
  </si>
  <si>
    <t>TripMiles /mi</t>
  </si>
  <si>
    <t>Temp/C</t>
  </si>
  <si>
    <t>Time step for vehicle stop/charging</t>
  </si>
  <si>
    <t>Δt_run</t>
  </si>
  <si>
    <t>Δt_stp/chg</t>
  </si>
  <si>
    <t>D_charg</t>
  </si>
  <si>
    <t>FileName</t>
  </si>
  <si>
    <t>Cumulative Information</t>
  </si>
  <si>
    <t>SOC
(After HomeCharg)</t>
  </si>
  <si>
    <t>SOC
(After DayTrip)</t>
  </si>
  <si>
    <t>ChargEnergy (kWh)</t>
  </si>
  <si>
    <t>ChargeTime
(mins)</t>
  </si>
  <si>
    <t>ChargeCost
($)</t>
  </si>
  <si>
    <t>Cumulative ChargTime
(mins)</t>
  </si>
  <si>
    <t>Cumulative VMT (miles)</t>
  </si>
  <si>
    <t>Cumulative Battery Using Time (days)</t>
  </si>
  <si>
    <t>Batttery Remain Capacity (Ah)</t>
  </si>
  <si>
    <t>Cumulative Capacity Output (kAh)</t>
  </si>
  <si>
    <t>Cumulative battery using time (run+charg)</t>
  </si>
  <si>
    <t>Cumulative vehicle miles traveled</t>
  </si>
  <si>
    <t>t_run</t>
  </si>
  <si>
    <t>Hour</t>
  </si>
  <si>
    <t>Cumulative vehicle running time</t>
  </si>
  <si>
    <t>Cumulative Vehicle Run Time (hrs)</t>
  </si>
  <si>
    <t>SOC (Initial)</t>
  </si>
  <si>
    <t>Cummulative charging time (mins)</t>
  </si>
  <si>
    <r>
      <t>Ambient Temp When Charging (</t>
    </r>
    <r>
      <rPr>
        <sz val="11"/>
        <color theme="1"/>
        <rFont val="Calibri"/>
        <family val="2"/>
      </rPr>
      <t>°</t>
    </r>
    <r>
      <rPr>
        <sz val="11"/>
        <color theme="1"/>
        <rFont val="Calibri"/>
        <family val="2"/>
        <scheme val="minor"/>
      </rPr>
      <t>C)</t>
    </r>
  </si>
  <si>
    <r>
      <t>Battery Temp, Initial (</t>
    </r>
    <r>
      <rPr>
        <sz val="11"/>
        <color theme="1"/>
        <rFont val="Calibri"/>
        <family val="2"/>
      </rPr>
      <t>°</t>
    </r>
    <r>
      <rPr>
        <sz val="11"/>
        <color theme="1"/>
        <rFont val="Calibri"/>
        <family val="2"/>
        <scheme val="minor"/>
      </rPr>
      <t>C)</t>
    </r>
  </si>
  <si>
    <r>
      <t>Ambient Temp, Initial (</t>
    </r>
    <r>
      <rPr>
        <sz val="11"/>
        <color theme="1"/>
        <rFont val="Calibri"/>
        <family val="2"/>
      </rPr>
      <t>°</t>
    </r>
    <r>
      <rPr>
        <sz val="11"/>
        <color theme="1"/>
        <rFont val="Calibri"/>
        <family val="2"/>
        <scheme val="minor"/>
      </rPr>
      <t>C)</t>
    </r>
  </si>
  <si>
    <r>
      <t>Vehicle Cabin Temp, Initial (</t>
    </r>
    <r>
      <rPr>
        <sz val="11"/>
        <color theme="1"/>
        <rFont val="Calibri"/>
        <family val="2"/>
      </rPr>
      <t>°</t>
    </r>
    <r>
      <rPr>
        <sz val="11"/>
        <color theme="1"/>
        <rFont val="Calibri"/>
        <family val="2"/>
        <scheme val="minor"/>
      </rPr>
      <t>C)</t>
    </r>
  </si>
  <si>
    <t>Time Step, Vehicle Run (sec)</t>
  </si>
  <si>
    <t>Time Step, Vehicle Stop (sec)</t>
  </si>
  <si>
    <t>Time Step, Aging (sec)</t>
  </si>
  <si>
    <t>BTMS System</t>
  </si>
  <si>
    <t>HVAC System</t>
  </si>
  <si>
    <t>RBS System</t>
  </si>
  <si>
    <t>Complete the day trips or not</t>
  </si>
  <si>
    <t>DayTrips</t>
  </si>
  <si>
    <t>Complete DayTrips Or Not?</t>
  </si>
  <si>
    <t>Battery remain capacity by the day end</t>
  </si>
  <si>
    <t>10:30</t>
  </si>
  <si>
    <t>MA</t>
  </si>
  <si>
    <t>13:00</t>
  </si>
  <si>
    <t>14:35</t>
  </si>
  <si>
    <t>11:00</t>
  </si>
  <si>
    <t>ME</t>
  </si>
  <si>
    <t>11:45</t>
  </si>
  <si>
    <t>12:10</t>
  </si>
  <si>
    <t>12:45</t>
  </si>
  <si>
    <t>08:25</t>
  </si>
  <si>
    <t>15:00</t>
  </si>
  <si>
    <t>15:45</t>
  </si>
  <si>
    <t>17:00</t>
  </si>
  <si>
    <t>06:38</t>
  </si>
  <si>
    <t>VT</t>
  </si>
  <si>
    <t>15:32</t>
  </si>
  <si>
    <t>16:57</t>
  </si>
  <si>
    <t>07:10</t>
  </si>
  <si>
    <t>15:30</t>
  </si>
  <si>
    <t>09:55</t>
  </si>
  <si>
    <t>12:05</t>
  </si>
  <si>
    <t>12:40</t>
  </si>
  <si>
    <t>12:46</t>
  </si>
  <si>
    <t>13:30</t>
  </si>
  <si>
    <t>17:15</t>
  </si>
  <si>
    <t>18:55</t>
  </si>
  <si>
    <t>19:10</t>
  </si>
  <si>
    <t>08:45</t>
  </si>
  <si>
    <t>19:00</t>
  </si>
  <si>
    <t>07:40</t>
  </si>
  <si>
    <t>16:30</t>
  </si>
  <si>
    <t>06:00</t>
  </si>
  <si>
    <t>NH</t>
  </si>
  <si>
    <t>14:00</t>
  </si>
  <si>
    <t>07:30</t>
  </si>
  <si>
    <t>16:00</t>
  </si>
  <si>
    <t>18:00</t>
  </si>
  <si>
    <t>07:15</t>
  </si>
  <si>
    <t>22:40</t>
  </si>
  <si>
    <t>06:30</t>
  </si>
  <si>
    <t>RI</t>
  </si>
  <si>
    <t>17:30</t>
  </si>
  <si>
    <t>18:45</t>
  </si>
  <si>
    <t>04:45</t>
  </si>
  <si>
    <t>05:05</t>
  </si>
  <si>
    <t>11:30</t>
  </si>
  <si>
    <t>11:55</t>
  </si>
  <si>
    <t>17:55</t>
  </si>
  <si>
    <t>20:40</t>
  </si>
  <si>
    <t>09:40</t>
  </si>
  <si>
    <t>09:50</t>
  </si>
  <si>
    <t>15:15</t>
  </si>
  <si>
    <t>15:44</t>
  </si>
  <si>
    <t>16:40</t>
  </si>
  <si>
    <t>16:55</t>
  </si>
  <si>
    <t>17:22</t>
  </si>
  <si>
    <t>08:00</t>
  </si>
  <si>
    <t>16:15</t>
  </si>
  <si>
    <t>06:20</t>
  </si>
  <si>
    <t>15:40</t>
  </si>
  <si>
    <t>07:14</t>
  </si>
  <si>
    <t>16:21</t>
  </si>
  <si>
    <t>17:10</t>
  </si>
  <si>
    <t>18:20</t>
  </si>
  <si>
    <t>17:45</t>
  </si>
  <si>
    <t>12:35</t>
  </si>
  <si>
    <t>10:00</t>
  </si>
  <si>
    <t>11:53</t>
  </si>
  <si>
    <t>12:22</t>
  </si>
  <si>
    <t>08:30</t>
  </si>
  <si>
    <t>09:15</t>
  </si>
  <si>
    <t>09:19</t>
  </si>
  <si>
    <t>09:26</t>
  </si>
  <si>
    <t>10:55</t>
  </si>
  <si>
    <t>13:21</t>
  </si>
  <si>
    <t>23:00</t>
  </si>
  <si>
    <t>05:30</t>
  </si>
  <si>
    <t>14:30</t>
  </si>
  <si>
    <t>09:00</t>
  </si>
  <si>
    <t>09:20</t>
  </si>
  <si>
    <t>10:10</t>
  </si>
  <si>
    <t>11:50</t>
  </si>
  <si>
    <t>13:10</t>
  </si>
  <si>
    <t>18:30</t>
  </si>
  <si>
    <t>05:10</t>
  </si>
  <si>
    <t>CT</t>
  </si>
  <si>
    <t>05:50</t>
  </si>
  <si>
    <t>17:31</t>
  </si>
  <si>
    <t>07:00</t>
  </si>
  <si>
    <t>17:37</t>
  </si>
  <si>
    <t>17:43</t>
  </si>
  <si>
    <t>09:24</t>
  </si>
  <si>
    <t>18:10</t>
  </si>
  <si>
    <t>18:50</t>
  </si>
  <si>
    <t>09:45</t>
  </si>
  <si>
    <t>09:56</t>
  </si>
  <si>
    <t>10:36</t>
  </si>
  <si>
    <t>12:30</t>
  </si>
  <si>
    <t>13:45</t>
  </si>
  <si>
    <t>15:26</t>
  </si>
  <si>
    <t>16:45</t>
  </si>
  <si>
    <t>12:00</t>
  </si>
  <si>
    <t>20:00</t>
  </si>
  <si>
    <t>07:50</t>
  </si>
  <si>
    <t>08:10</t>
  </si>
  <si>
    <t>20:30</t>
  </si>
  <si>
    <t>07:38</t>
  </si>
  <si>
    <t>16:12</t>
  </si>
  <si>
    <t>17:16</t>
  </si>
  <si>
    <t>09:30</t>
  </si>
  <si>
    <t>11:15</t>
  </si>
  <si>
    <t>14:50</t>
  </si>
  <si>
    <t>08:55</t>
  </si>
  <si>
    <t>13:25</t>
  </si>
  <si>
    <t>20:05</t>
  </si>
  <si>
    <t>09:48</t>
  </si>
  <si>
    <t>14:05</t>
  </si>
  <si>
    <t>14:28</t>
  </si>
  <si>
    <t>14:49</t>
  </si>
  <si>
    <t>08:50</t>
  </si>
  <si>
    <t>11:10</t>
  </si>
  <si>
    <t>13:20</t>
  </si>
  <si>
    <t>09:35</t>
  </si>
  <si>
    <t>13:05</t>
  </si>
  <si>
    <t>13:40</t>
  </si>
  <si>
    <t>14:45</t>
  </si>
  <si>
    <t>21:00</t>
  </si>
  <si>
    <t>07:45</t>
  </si>
  <si>
    <t>07:43</t>
  </si>
  <si>
    <t>07:08</t>
  </si>
  <si>
    <t>20:15</t>
  </si>
  <si>
    <t>16:05</t>
  </si>
  <si>
    <t>16:25</t>
  </si>
  <si>
    <t>12:15</t>
  </si>
  <si>
    <t>14:20</t>
  </si>
  <si>
    <t>19:25</t>
  </si>
  <si>
    <t>08:48</t>
  </si>
  <si>
    <t>09:10</t>
  </si>
  <si>
    <t>12:20</t>
  </si>
  <si>
    <t>21:15</t>
  </si>
  <si>
    <t>10:15</t>
  </si>
  <si>
    <t>18:15</t>
  </si>
  <si>
    <t>12:04</t>
  </si>
  <si>
    <t>12:24</t>
  </si>
  <si>
    <t>12:39</t>
  </si>
  <si>
    <t>12:52</t>
  </si>
  <si>
    <t>14:10</t>
  </si>
  <si>
    <t>14:31</t>
  </si>
  <si>
    <t>14:51</t>
  </si>
  <si>
    <t>15:08</t>
  </si>
  <si>
    <t>06:15</t>
  </si>
  <si>
    <t>06:45</t>
  </si>
  <si>
    <t>13:15</t>
  </si>
  <si>
    <t>22:23</t>
  </si>
  <si>
    <t>16:20</t>
  </si>
  <si>
    <t>16:32</t>
  </si>
  <si>
    <t>16:38</t>
  </si>
  <si>
    <t>19:30</t>
  </si>
  <si>
    <t>07:26</t>
  </si>
  <si>
    <t>16:10</t>
  </si>
  <si>
    <t>12:55</t>
  </si>
  <si>
    <t>10:25</t>
  </si>
  <si>
    <t>10:40</t>
  </si>
  <si>
    <t>17:05</t>
  </si>
  <si>
    <t>22:45</t>
  </si>
  <si>
    <t>14:15</t>
  </si>
  <si>
    <t>17:25</t>
  </si>
  <si>
    <t>08:35</t>
  </si>
  <si>
    <t>10:20</t>
  </si>
  <si>
    <t>10:35</t>
  </si>
  <si>
    <t>11:20</t>
  </si>
  <si>
    <t>10:45</t>
  </si>
  <si>
    <t>08:15</t>
  </si>
  <si>
    <t>06:18</t>
  </si>
  <si>
    <t>18:25</t>
  </si>
  <si>
    <t>20:36</t>
  </si>
  <si>
    <t>07:36</t>
  </si>
  <si>
    <t>16:06</t>
  </si>
  <si>
    <t>19:35</t>
  </si>
  <si>
    <t>10:05</t>
  </si>
  <si>
    <t>12:50</t>
  </si>
  <si>
    <t>09:09</t>
  </si>
  <si>
    <t>19:18</t>
  </si>
  <si>
    <t>09:05</t>
  </si>
  <si>
    <t>17:52</t>
  </si>
  <si>
    <t>08:28</t>
  </si>
  <si>
    <t>16:07</t>
  </si>
  <si>
    <t>05:55</t>
  </si>
  <si>
    <t>19:32</t>
  </si>
  <si>
    <t>09:49</t>
  </si>
  <si>
    <t>10:23</t>
  </si>
  <si>
    <t>17:20</t>
  </si>
  <si>
    <t>18:40</t>
  </si>
  <si>
    <t>20:14</t>
  </si>
  <si>
    <t>20:35</t>
  </si>
  <si>
    <t>18:35</t>
  </si>
  <si>
    <t>18:05</t>
  </si>
  <si>
    <t>05:00</t>
  </si>
  <si>
    <t>19:15</t>
  </si>
  <si>
    <t>20:45</t>
  </si>
  <si>
    <t>10:50</t>
  </si>
  <si>
    <t>10:58</t>
  </si>
  <si>
    <t>11:09</t>
  </si>
  <si>
    <t>16:24</t>
  </si>
  <si>
    <t>16:56</t>
  </si>
  <si>
    <t>13:09</t>
  </si>
  <si>
    <t>13:55</t>
  </si>
  <si>
    <t>14:57</t>
  </si>
  <si>
    <t>06:40</t>
  </si>
  <si>
    <t>15:05</t>
  </si>
  <si>
    <t>12:48</t>
  </si>
  <si>
    <t>12:54</t>
  </si>
  <si>
    <t>15:35</t>
  </si>
  <si>
    <t>17:03</t>
  </si>
  <si>
    <t>18:04</t>
  </si>
  <si>
    <t>19:46</t>
  </si>
  <si>
    <t>19:49</t>
  </si>
  <si>
    <t>15:55</t>
  </si>
  <si>
    <t>21:30</t>
  </si>
  <si>
    <t>21:45</t>
  </si>
  <si>
    <t>09:11</t>
  </si>
  <si>
    <t>14:25</t>
  </si>
  <si>
    <t>16:46</t>
  </si>
  <si>
    <t>22:30</t>
  </si>
  <si>
    <t>08:20</t>
  </si>
  <si>
    <t>13:35</t>
  </si>
  <si>
    <t>04:01</t>
  </si>
  <si>
    <t>08:26</t>
  </si>
  <si>
    <t>08:34</t>
  </si>
  <si>
    <t>08:57</t>
  </si>
  <si>
    <t>13:37</t>
  </si>
  <si>
    <t>14:34</t>
  </si>
  <si>
    <t>16:33</t>
  </si>
  <si>
    <t>14:40</t>
  </si>
  <si>
    <t>14:55</t>
  </si>
  <si>
    <t>08:05</t>
  </si>
  <si>
    <t>11:32</t>
  </si>
  <si>
    <t>12:03</t>
  </si>
  <si>
    <t>17:35</t>
  </si>
  <si>
    <t>08:06</t>
  </si>
  <si>
    <t>15:25</t>
  </si>
  <si>
    <t>05:17</t>
  </si>
  <si>
    <t>05:25</t>
  </si>
  <si>
    <t>15:10</t>
  </si>
  <si>
    <t>04:15</t>
  </si>
  <si>
    <t>12:25</t>
  </si>
  <si>
    <t>13:42</t>
  </si>
  <si>
    <t>06:50</t>
  </si>
  <si>
    <t>11:06</t>
  </si>
  <si>
    <t>11:14</t>
  </si>
  <si>
    <t>09:25</t>
  </si>
  <si>
    <t>10:48</t>
  </si>
  <si>
    <t>12:31</t>
  </si>
  <si>
    <t>23:30</t>
  </si>
  <si>
    <t>23:41</t>
  </si>
  <si>
    <t>15:20</t>
  </si>
  <si>
    <t>13:06</t>
  </si>
  <si>
    <t>15:16</t>
  </si>
  <si>
    <t>19:58</t>
  </si>
  <si>
    <t>20:57</t>
  </si>
  <si>
    <t>07:48</t>
  </si>
  <si>
    <t>11:35</t>
  </si>
  <si>
    <t>14:12</t>
  </si>
  <si>
    <t>14:16</t>
  </si>
  <si>
    <t>07:11</t>
  </si>
  <si>
    <t>22:20</t>
  </si>
  <si>
    <t>12:38</t>
  </si>
  <si>
    <t>18:37</t>
  </si>
  <si>
    <t>07:05</t>
  </si>
  <si>
    <t>19:45</t>
  </si>
  <si>
    <t>21:25</t>
  </si>
  <si>
    <t>11:26</t>
  </si>
  <si>
    <t>13:03</t>
  </si>
  <si>
    <t>13:50</t>
  </si>
  <si>
    <t>07:16</t>
  </si>
  <si>
    <t>07:25</t>
  </si>
  <si>
    <t>08:32</t>
  </si>
  <si>
    <t>16:03</t>
  </si>
  <si>
    <t>19:50</t>
  </si>
  <si>
    <t>08:40</t>
  </si>
  <si>
    <t>11:05</t>
  </si>
  <si>
    <t>11:33</t>
  </si>
  <si>
    <t>13:24</t>
  </si>
  <si>
    <t>14:23</t>
  </si>
  <si>
    <t>08:09</t>
  </si>
  <si>
    <t>06:05</t>
  </si>
  <si>
    <t>05:13</t>
  </si>
  <si>
    <t>08:12</t>
  </si>
  <si>
    <t>22:00</t>
  </si>
  <si>
    <t>17:11</t>
  </si>
  <si>
    <t>18:09</t>
  </si>
  <si>
    <t>21:38</t>
  </si>
  <si>
    <t>11:41</t>
  </si>
  <si>
    <t>10:38</t>
  </si>
  <si>
    <t>10:57</t>
  </si>
  <si>
    <t>11:58</t>
  </si>
  <si>
    <t>11:40</t>
  </si>
  <si>
    <t>11:01</t>
  </si>
  <si>
    <t>01:00</t>
  </si>
  <si>
    <t>09:01</t>
  </si>
  <si>
    <t>09:57</t>
  </si>
  <si>
    <t>12:12</t>
  </si>
  <si>
    <t>15:58</t>
  </si>
  <si>
    <t>20:10</t>
  </si>
  <si>
    <t>20:12</t>
  </si>
  <si>
    <t>11:25</t>
  </si>
  <si>
    <t>13:28</t>
  </si>
  <si>
    <t>13:38</t>
  </si>
  <si>
    <t>06:29</t>
  </si>
  <si>
    <t>17:56</t>
  </si>
  <si>
    <t>18:13</t>
  </si>
  <si>
    <t>19:28</t>
  </si>
  <si>
    <t>06:27</t>
  </si>
  <si>
    <t>07:28</t>
  </si>
  <si>
    <t>18:46</t>
  </si>
  <si>
    <t>22:19</t>
  </si>
  <si>
    <t>08:07</t>
  </si>
  <si>
    <t>14:01</t>
  </si>
  <si>
    <t>14:39</t>
  </si>
  <si>
    <t>11:31</t>
  </si>
  <si>
    <t>12:47</t>
  </si>
  <si>
    <t>12:59</t>
  </si>
  <si>
    <t>21:40</t>
  </si>
  <si>
    <t>09:16</t>
  </si>
  <si>
    <t>14:24</t>
  </si>
  <si>
    <t>17:13</t>
  </si>
  <si>
    <t>17:17</t>
  </si>
  <si>
    <t>15:24</t>
  </si>
  <si>
    <t>18:02</t>
  </si>
  <si>
    <t>22:05</t>
  </si>
  <si>
    <t>22:25</t>
  </si>
  <si>
    <t>05:15</t>
  </si>
  <si>
    <t>17:50</t>
  </si>
  <si>
    <t>06:42</t>
  </si>
  <si>
    <t>09:37</t>
  </si>
  <si>
    <t>09:58</t>
  </si>
  <si>
    <t>10:08</t>
  </si>
  <si>
    <t>16:08</t>
  </si>
  <si>
    <t>10:53</t>
  </si>
  <si>
    <t>17:02</t>
  </si>
  <si>
    <t>06:16</t>
  </si>
  <si>
    <t>18:53</t>
  </si>
  <si>
    <t>09:41</t>
  </si>
  <si>
    <t>19:48</t>
  </si>
  <si>
    <t>07:35</t>
  </si>
  <si>
    <t>07:46</t>
  </si>
  <si>
    <t>19:02</t>
  </si>
  <si>
    <t>15:04</t>
  </si>
  <si>
    <t>11:52</t>
  </si>
  <si>
    <t>15:06</t>
  </si>
  <si>
    <t>15:02</t>
  </si>
  <si>
    <t>05:45</t>
  </si>
  <si>
    <t>17:47</t>
  </si>
  <si>
    <t>16:50</t>
  </si>
  <si>
    <t>15:48</t>
  </si>
  <si>
    <t>17:40</t>
  </si>
  <si>
    <t>06:25</t>
  </si>
  <si>
    <t>21:20</t>
  </si>
  <si>
    <t>07:51</t>
  </si>
  <si>
    <t>19:55</t>
  </si>
  <si>
    <t>08:18</t>
  </si>
  <si>
    <t>07:20</t>
  </si>
  <si>
    <t>16:35</t>
  </si>
  <si>
    <t>04:05</t>
  </si>
  <si>
    <t>04:20</t>
  </si>
  <si>
    <t>07:03</t>
  </si>
  <si>
    <t>16:04</t>
  </si>
  <si>
    <t>13:17</t>
  </si>
  <si>
    <t>18:34</t>
  </si>
  <si>
    <t>10:07</t>
  </si>
  <si>
    <t>05:20</t>
  </si>
  <si>
    <t>07:06</t>
  </si>
  <si>
    <t>09:12</t>
  </si>
  <si>
    <t>08:58</t>
  </si>
  <si>
    <t>12:28</t>
  </si>
  <si>
    <t>14:13</t>
  </si>
  <si>
    <t>06:48</t>
  </si>
  <si>
    <t>09:03</t>
  </si>
  <si>
    <t>12:14</t>
  </si>
  <si>
    <t>17:09</t>
  </si>
  <si>
    <t>17:33</t>
  </si>
  <si>
    <t>18:12</t>
  </si>
  <si>
    <t>18:23</t>
  </si>
  <si>
    <t>01:25</t>
  </si>
  <si>
    <t>06:55</t>
  </si>
  <si>
    <t>22:55</t>
  </si>
  <si>
    <t>17:57</t>
  </si>
  <si>
    <t>12:53</t>
  </si>
  <si>
    <t>17:48</t>
  </si>
  <si>
    <t>14:48</t>
  </si>
  <si>
    <t>17:01</t>
  </si>
  <si>
    <t>08:08</t>
  </si>
  <si>
    <t>06:35</t>
  </si>
  <si>
    <t>14:04</t>
  </si>
  <si>
    <t>15:34</t>
  </si>
  <si>
    <t>18:32</t>
  </si>
  <si>
    <t>02:00</t>
  </si>
  <si>
    <t>09:32</t>
  </si>
  <si>
    <t>04:30</t>
  </si>
  <si>
    <t>18:03</t>
  </si>
  <si>
    <t>10:26</t>
  </si>
  <si>
    <t>10:39</t>
  </si>
  <si>
    <t>14:58</t>
  </si>
  <si>
    <t>17:32</t>
  </si>
  <si>
    <t>18:16</t>
  </si>
  <si>
    <t>18:29</t>
  </si>
  <si>
    <t>00:35</t>
  </si>
  <si>
    <t>17:27</t>
  </si>
  <si>
    <t>14:03</t>
  </si>
  <si>
    <t>14:46</t>
  </si>
  <si>
    <t>23:36</t>
  </si>
  <si>
    <t>06:54</t>
  </si>
  <si>
    <t>15:47</t>
  </si>
  <si>
    <t>Trip_File_2017-04-30.xlsx</t>
  </si>
  <si>
    <t>Contacts:</t>
  </si>
  <si>
    <t>Oak Ridge National Laboratory</t>
  </si>
  <si>
    <t>DOE Vehicle Technologies Office</t>
  </si>
  <si>
    <t>Release Date:</t>
  </si>
  <si>
    <t>Battery Run-down under Electric Vehicle Operation (BREVO) model</t>
  </si>
  <si>
    <t>Model Version for Paper: Estimate Long-term Impact on Battery Degradation by Considering Electric Vehicle Real-world End-use Factors</t>
  </si>
  <si>
    <t>Shiqi(Shawn) Ou ous1@ornl.gov, shiqi.ou@hotmail.com</t>
  </si>
  <si>
    <t>Raphael Isaac, Patrick Walsh</t>
  </si>
  <si>
    <t>Download:</t>
  </si>
  <si>
    <t>https://github.com/ous-ornl/brevo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</si>
</sst>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
    <numFmt numFmtId="166" formatCode="0.0000"/>
    <numFmt numFmtId="167" formatCode="#,##0.000"/>
    <numFmt numFmtId="168" formatCode="yyyy\-mm\-dd;@"/>
    <numFmt numFmtId="169" formatCode="h:mm:ss;@"/>
  </numFmts>
  <fonts count="16" x14ac:knownFonts="1">
    <font>
      <sz val="11"/>
      <color theme="1"/>
      <name val="Calibri"/>
      <family val="2"/>
      <scheme val="minor"/>
    </font>
    <font>
      <sz val="11"/>
      <color theme="1"/>
      <name val="Calibri"/>
      <family val="2"/>
      <scheme val="minor"/>
    </font>
    <font>
      <b/>
      <sz val="11"/>
      <color theme="1"/>
      <name val="Calibri"/>
      <family val="2"/>
      <scheme val="minor"/>
    </font>
    <font>
      <b/>
      <sz val="11"/>
      <color theme="1"/>
      <name val="Calibri"/>
      <family val="2"/>
    </font>
    <font>
      <i/>
      <sz val="11"/>
      <color theme="1"/>
      <name val="Calibri"/>
      <family val="2"/>
      <scheme val="minor"/>
    </font>
    <font>
      <sz val="9"/>
      <color indexed="81"/>
      <name val="Tahoma"/>
      <family val="2"/>
    </font>
    <font>
      <b/>
      <sz val="9"/>
      <color indexed="81"/>
      <name val="Tahoma"/>
      <family val="2"/>
    </font>
    <font>
      <sz val="11"/>
      <color theme="1"/>
      <name val="Calibri"/>
      <family val="2"/>
    </font>
    <font>
      <b/>
      <sz val="10"/>
      <color rgb="FF000000"/>
      <name val="Tahoma"/>
      <family val="2"/>
    </font>
    <font>
      <sz val="8"/>
      <name val="Calibri"/>
      <family val="2"/>
      <scheme val="minor"/>
    </font>
    <font>
      <sz val="11"/>
      <color rgb="FFFF0000"/>
      <name val="Calibri"/>
      <family val="2"/>
      <scheme val="minor"/>
    </font>
    <font>
      <sz val="11"/>
      <color theme="0"/>
      <name val="Calibri"/>
      <family val="2"/>
      <scheme val="minor"/>
    </font>
    <font>
      <sz val="11"/>
      <color theme="0" tint="-0.34998626667073579"/>
      <name val="Calibri"/>
      <family val="2"/>
      <scheme val="minor"/>
    </font>
    <font>
      <b/>
      <sz val="20"/>
      <color theme="1"/>
      <name val="Calibri"/>
      <family val="2"/>
      <scheme val="minor"/>
    </font>
    <font>
      <b/>
      <sz val="10"/>
      <name val="Arial"/>
      <family val="2"/>
    </font>
    <font>
      <b/>
      <sz val="16"/>
      <color theme="1"/>
      <name val="Calibri"/>
      <family val="2"/>
      <scheme val="minor"/>
    </font>
  </fonts>
  <fills count="5">
    <fill>
      <patternFill patternType="none"/>
    </fill>
    <fill>
      <patternFill patternType="gray125"/>
    </fill>
    <fill>
      <patternFill patternType="solid">
        <fgColor theme="9"/>
        <bgColor indexed="64"/>
      </patternFill>
    </fill>
    <fill>
      <patternFill patternType="solid">
        <fgColor rgb="FFFFFFCC"/>
      </patternFill>
    </fill>
    <fill>
      <patternFill patternType="solid">
        <fgColor theme="7" tint="0.79998168889431442"/>
        <bgColor indexed="64"/>
      </patternFill>
    </fill>
  </fills>
  <borders count="19">
    <border>
      <left/>
      <right/>
      <top/>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s>
  <cellStyleXfs count="3">
    <xf numFmtId="0" fontId="0" fillId="0" borderId="0"/>
    <xf numFmtId="9" fontId="1" fillId="0" borderId="0" applyFont="0" applyFill="0" applyBorder="0" applyAlignment="0" applyProtection="0"/>
    <xf numFmtId="0" fontId="1" fillId="3" borderId="16" applyNumberFormat="0" applyFont="0" applyAlignment="0" applyProtection="0"/>
  </cellStyleXfs>
  <cellXfs count="152">
    <xf numFmtId="0" fontId="0" fillId="0" borderId="0" xfId="0"/>
    <xf numFmtId="2" fontId="0" fillId="0" borderId="0" xfId="0" applyNumberFormat="1"/>
    <xf numFmtId="0" fontId="2" fillId="0" borderId="0" xfId="0" applyFont="1"/>
    <xf numFmtId="164" fontId="0" fillId="0" borderId="0" xfId="0" applyNumberFormat="1" applyBorder="1"/>
    <xf numFmtId="164" fontId="0" fillId="0" borderId="4" xfId="0" applyNumberFormat="1" applyBorder="1"/>
    <xf numFmtId="164" fontId="0" fillId="0" borderId="5" xfId="0" applyNumberFormat="1" applyBorder="1"/>
    <xf numFmtId="164" fontId="0" fillId="0" borderId="6" xfId="0" applyNumberFormat="1" applyBorder="1"/>
    <xf numFmtId="0" fontId="4" fillId="0" borderId="5" xfId="0" applyFont="1" applyBorder="1"/>
    <xf numFmtId="0" fontId="4" fillId="0" borderId="6" xfId="0" applyFont="1" applyBorder="1"/>
    <xf numFmtId="0" fontId="0" fillId="0" borderId="7" xfId="0" applyBorder="1"/>
    <xf numFmtId="0" fontId="2" fillId="0" borderId="8" xfId="0" applyFont="1" applyBorder="1" applyAlignment="1">
      <alignment horizontal="center" vertical="center"/>
    </xf>
    <xf numFmtId="2" fontId="4" fillId="0" borderId="9" xfId="0" applyNumberFormat="1" applyFont="1" applyBorder="1"/>
    <xf numFmtId="2" fontId="4" fillId="0" borderId="8" xfId="0" applyNumberFormat="1" applyFont="1" applyBorder="1"/>
    <xf numFmtId="0" fontId="0" fillId="0" borderId="4" xfId="0" applyBorder="1"/>
    <xf numFmtId="0" fontId="0" fillId="0" borderId="6" xfId="0" applyBorder="1"/>
    <xf numFmtId="0" fontId="2" fillId="0" borderId="10" xfId="0" applyFont="1" applyBorder="1" applyAlignment="1">
      <alignment horizontal="center" vertical="center"/>
    </xf>
    <xf numFmtId="0" fontId="2" fillId="0" borderId="1" xfId="0" applyFont="1" applyBorder="1" applyAlignment="1">
      <alignment horizontal="center" vertical="center"/>
    </xf>
    <xf numFmtId="0" fontId="0" fillId="0" borderId="12" xfId="0" applyBorder="1"/>
    <xf numFmtId="0" fontId="0" fillId="0" borderId="0" xfId="0" applyBorder="1"/>
    <xf numFmtId="0" fontId="0" fillId="0" borderId="13" xfId="0" applyBorder="1"/>
    <xf numFmtId="0" fontId="0" fillId="0" borderId="5" xfId="0" applyBorder="1"/>
    <xf numFmtId="0" fontId="2" fillId="0" borderId="13" xfId="0" applyFont="1" applyBorder="1"/>
    <xf numFmtId="0" fontId="2" fillId="0" borderId="5" xfId="0" applyFont="1" applyBorder="1"/>
    <xf numFmtId="0" fontId="2" fillId="0" borderId="6" xfId="0" applyFont="1" applyBorder="1"/>
    <xf numFmtId="0" fontId="0" fillId="0" borderId="2" xfId="0" applyBorder="1"/>
    <xf numFmtId="0" fontId="0" fillId="0" borderId="11" xfId="0" applyBorder="1"/>
    <xf numFmtId="0" fontId="0" fillId="0" borderId="3" xfId="0" applyBorder="1"/>
    <xf numFmtId="0" fontId="7" fillId="0" borderId="0" xfId="0" applyFont="1" applyBorder="1"/>
    <xf numFmtId="0" fontId="7" fillId="0" borderId="12" xfId="0" applyFont="1" applyBorder="1"/>
    <xf numFmtId="0" fontId="0" fillId="0" borderId="0" xfId="0" applyFill="1" applyBorder="1"/>
    <xf numFmtId="0" fontId="7" fillId="0" borderId="0" xfId="0" applyFont="1" applyFill="1" applyBorder="1"/>
    <xf numFmtId="9" fontId="0" fillId="0" borderId="0" xfId="1" applyFont="1"/>
    <xf numFmtId="2" fontId="0" fillId="0" borderId="0" xfId="0" applyNumberFormat="1" applyBorder="1"/>
    <xf numFmtId="9" fontId="0" fillId="0" borderId="0" xfId="1" applyFont="1" applyBorder="1"/>
    <xf numFmtId="9" fontId="0" fillId="0" borderId="4" xfId="1" applyFont="1" applyBorder="1"/>
    <xf numFmtId="9" fontId="0" fillId="0" borderId="0" xfId="1" applyNumberFormat="1" applyFont="1" applyBorder="1"/>
    <xf numFmtId="2" fontId="0" fillId="0" borderId="5" xfId="0" applyNumberFormat="1" applyBorder="1"/>
    <xf numFmtId="9" fontId="0" fillId="0" borderId="5" xfId="1" applyNumberFormat="1" applyFont="1" applyBorder="1"/>
    <xf numFmtId="9" fontId="0" fillId="0" borderId="6" xfId="1" applyNumberFormat="1" applyFont="1" applyBorder="1"/>
    <xf numFmtId="0" fontId="2" fillId="0" borderId="3" xfId="0" applyFont="1" applyBorder="1" applyAlignment="1">
      <alignment vertical="center"/>
    </xf>
    <xf numFmtId="0" fontId="2" fillId="0" borderId="6" xfId="0" applyFont="1" applyBorder="1" applyAlignment="1">
      <alignment vertical="center"/>
    </xf>
    <xf numFmtId="2" fontId="4" fillId="0" borderId="4" xfId="0" applyNumberFormat="1" applyFont="1" applyBorder="1"/>
    <xf numFmtId="2" fontId="4" fillId="0" borderId="6" xfId="0" applyNumberFormat="1" applyFont="1" applyBorder="1"/>
    <xf numFmtId="165" fontId="4" fillId="0" borderId="2" xfId="0" applyNumberFormat="1" applyFont="1" applyBorder="1" applyAlignment="1">
      <alignment vertical="center"/>
    </xf>
    <xf numFmtId="165" fontId="4" fillId="0" borderId="3" xfId="0" applyNumberFormat="1" applyFont="1" applyBorder="1" applyAlignment="1">
      <alignment vertical="center"/>
    </xf>
    <xf numFmtId="0" fontId="2" fillId="0" borderId="7" xfId="0" applyFont="1" applyBorder="1" applyAlignment="1">
      <alignment horizontal="center" vertical="center"/>
    </xf>
    <xf numFmtId="10" fontId="0" fillId="0" borderId="0" xfId="1" applyNumberFormat="1" applyFont="1"/>
    <xf numFmtId="2" fontId="0" fillId="0" borderId="12" xfId="0" applyNumberFormat="1" applyBorder="1"/>
    <xf numFmtId="0" fontId="0" fillId="0" borderId="4" xfId="1" applyNumberFormat="1" applyFont="1" applyBorder="1"/>
    <xf numFmtId="0" fontId="0" fillId="0" borderId="6" xfId="1" applyNumberFormat="1" applyFont="1" applyBorder="1"/>
    <xf numFmtId="0" fontId="2" fillId="0" borderId="14" xfId="0" applyFont="1" applyBorder="1"/>
    <xf numFmtId="0" fontId="2" fillId="0" borderId="15" xfId="0" applyFont="1" applyBorder="1"/>
    <xf numFmtId="0" fontId="2" fillId="0" borderId="10" xfId="0" applyFont="1" applyBorder="1"/>
    <xf numFmtId="0" fontId="2" fillId="0" borderId="1" xfId="0" applyFont="1" applyBorder="1"/>
    <xf numFmtId="0" fontId="2" fillId="0" borderId="9" xfId="0" applyFont="1" applyBorder="1"/>
    <xf numFmtId="0" fontId="2" fillId="0" borderId="8" xfId="0" applyFont="1" applyBorder="1"/>
    <xf numFmtId="2" fontId="2" fillId="0" borderId="15" xfId="0" applyNumberFormat="1" applyFont="1" applyBorder="1" applyAlignment="1">
      <alignment horizontal="center" vertical="center"/>
    </xf>
    <xf numFmtId="9" fontId="2" fillId="0" borderId="10" xfId="1" applyFont="1" applyBorder="1" applyAlignment="1">
      <alignment horizontal="center" vertical="center"/>
    </xf>
    <xf numFmtId="0" fontId="0" fillId="0" borderId="12" xfId="0" applyFont="1" applyBorder="1"/>
    <xf numFmtId="0" fontId="0" fillId="0" borderId="0" xfId="0" applyFont="1" applyBorder="1"/>
    <xf numFmtId="0" fontId="0" fillId="0" borderId="12" xfId="0" applyFill="1" applyBorder="1"/>
    <xf numFmtId="0" fontId="0" fillId="0" borderId="13" xfId="0" applyFill="1" applyBorder="1"/>
    <xf numFmtId="0" fontId="0" fillId="0" borderId="5" xfId="0" applyFill="1" applyBorder="1"/>
    <xf numFmtId="0" fontId="0" fillId="0" borderId="3" xfId="0" applyBorder="1" applyAlignment="1">
      <alignment horizontal="right"/>
    </xf>
    <xf numFmtId="0" fontId="0" fillId="0" borderId="6" xfId="0" applyBorder="1" applyAlignment="1">
      <alignment horizontal="right"/>
    </xf>
    <xf numFmtId="3" fontId="0" fillId="0" borderId="4" xfId="0" applyNumberFormat="1" applyBorder="1"/>
    <xf numFmtId="167" fontId="0" fillId="0" borderId="4" xfId="0" applyNumberFormat="1" applyBorder="1"/>
    <xf numFmtId="167" fontId="0" fillId="0" borderId="3" xfId="0" applyNumberFormat="1" applyBorder="1"/>
    <xf numFmtId="167" fontId="0" fillId="0" borderId="6" xfId="0" applyNumberFormat="1" applyBorder="1"/>
    <xf numFmtId="0" fontId="0" fillId="0" borderId="11" xfId="0" applyFont="1" applyBorder="1"/>
    <xf numFmtId="0" fontId="0" fillId="0" borderId="2" xfId="0" applyFont="1" applyBorder="1"/>
    <xf numFmtId="167" fontId="0" fillId="2" borderId="4" xfId="0" applyNumberFormat="1" applyFill="1" applyBorder="1"/>
    <xf numFmtId="2" fontId="0" fillId="2" borderId="4" xfId="0" applyNumberFormat="1" applyFill="1" applyBorder="1"/>
    <xf numFmtId="0" fontId="0" fillId="0" borderId="0" xfId="0" applyFont="1" applyFill="1" applyBorder="1"/>
    <xf numFmtId="0" fontId="2" fillId="0" borderId="1" xfId="0" applyFont="1" applyFill="1" applyBorder="1" applyAlignment="1">
      <alignment horizontal="center" vertical="center"/>
    </xf>
    <xf numFmtId="0" fontId="0" fillId="0" borderId="9" xfId="0" applyBorder="1"/>
    <xf numFmtId="0" fontId="2" fillId="0" borderId="9" xfId="0" applyFont="1" applyBorder="1" applyAlignment="1">
      <alignment horizontal="center" vertical="center"/>
    </xf>
    <xf numFmtId="0" fontId="2" fillId="0" borderId="8" xfId="0" applyFont="1" applyBorder="1" applyAlignment="1">
      <alignment horizontal="center" vertical="center"/>
    </xf>
    <xf numFmtId="0" fontId="2" fillId="0" borderId="15" xfId="0" applyFont="1" applyFill="1" applyBorder="1"/>
    <xf numFmtId="0" fontId="2" fillId="0" borderId="10" xfId="0" applyFont="1" applyFill="1" applyBorder="1"/>
    <xf numFmtId="0" fontId="2" fillId="0" borderId="15" xfId="0" applyFont="1" applyFill="1" applyBorder="1" applyAlignment="1">
      <alignment horizontal="center" vertical="center"/>
    </xf>
    <xf numFmtId="0" fontId="0" fillId="0" borderId="15" xfId="0" applyBorder="1" applyAlignment="1">
      <alignment horizontal="center" vertical="center"/>
    </xf>
    <xf numFmtId="0" fontId="2" fillId="0" borderId="10" xfId="0" applyFont="1" applyFill="1" applyBorder="1" applyAlignment="1">
      <alignment horizontal="center" vertical="center"/>
    </xf>
    <xf numFmtId="0" fontId="0" fillId="0" borderId="8" xfId="0" applyBorder="1"/>
    <xf numFmtId="0" fontId="0" fillId="0" borderId="4" xfId="0" applyBorder="1" applyAlignment="1">
      <alignment horizontal="right"/>
    </xf>
    <xf numFmtId="0" fontId="7" fillId="0" borderId="13" xfId="0" applyFont="1" applyBorder="1"/>
    <xf numFmtId="0" fontId="7" fillId="0" borderId="5" xfId="0" applyFont="1" applyBorder="1"/>
    <xf numFmtId="167" fontId="0" fillId="2" borderId="6" xfId="0" applyNumberFormat="1" applyFill="1" applyBorder="1"/>
    <xf numFmtId="0" fontId="11" fillId="0" borderId="0" xfId="0" applyFont="1" applyAlignment="1">
      <alignment horizontal="right" vertical="center"/>
    </xf>
    <xf numFmtId="0" fontId="2" fillId="0" borderId="11" xfId="0" applyFont="1" applyBorder="1"/>
    <xf numFmtId="0" fontId="0" fillId="0" borderId="0" xfId="0" applyFill="1"/>
    <xf numFmtId="0" fontId="0" fillId="0" borderId="2" xfId="0" applyFill="1" applyBorder="1"/>
    <xf numFmtId="167" fontId="0" fillId="0" borderId="4" xfId="0" applyNumberFormat="1" applyFill="1" applyBorder="1"/>
    <xf numFmtId="167" fontId="0" fillId="0" borderId="0" xfId="0" applyNumberFormat="1" applyFill="1" applyBorder="1"/>
    <xf numFmtId="0" fontId="0" fillId="0" borderId="0" xfId="0" applyFill="1" applyBorder="1" applyAlignment="1">
      <alignment horizontal="left" vertical="center"/>
    </xf>
    <xf numFmtId="2" fontId="0" fillId="0" borderId="3" xfId="0" applyNumberFormat="1" applyBorder="1"/>
    <xf numFmtId="0" fontId="10" fillId="0" borderId="0" xfId="0" applyFont="1"/>
    <xf numFmtId="2" fontId="0" fillId="0" borderId="13" xfId="0" applyNumberFormat="1" applyBorder="1"/>
    <xf numFmtId="2" fontId="0" fillId="0" borderId="2" xfId="0" applyNumberFormat="1" applyFill="1" applyBorder="1"/>
    <xf numFmtId="166" fontId="0" fillId="0" borderId="2" xfId="0" applyNumberFormat="1" applyFill="1" applyBorder="1"/>
    <xf numFmtId="0" fontId="7" fillId="0" borderId="12" xfId="0" applyFont="1" applyFill="1" applyBorder="1"/>
    <xf numFmtId="167" fontId="0" fillId="0" borderId="3" xfId="0" applyNumberFormat="1" applyFont="1" applyFill="1" applyBorder="1"/>
    <xf numFmtId="164" fontId="0" fillId="0" borderId="4" xfId="0" applyNumberFormat="1" applyFill="1" applyBorder="1"/>
    <xf numFmtId="0" fontId="0" fillId="0" borderId="13" xfId="0" applyFont="1" applyBorder="1"/>
    <xf numFmtId="0" fontId="0" fillId="0" borderId="5" xfId="0" applyFont="1" applyFill="1" applyBorder="1"/>
    <xf numFmtId="0" fontId="0" fillId="0" borderId="0" xfId="0" applyAlignment="1">
      <alignment wrapText="1"/>
    </xf>
    <xf numFmtId="166" fontId="0" fillId="0" borderId="0" xfId="0" applyNumberFormat="1"/>
    <xf numFmtId="0" fontId="2" fillId="0" borderId="12" xfId="0" applyFont="1" applyBorder="1"/>
    <xf numFmtId="0" fontId="0" fillId="0" borderId="5" xfId="0" applyFont="1" applyBorder="1"/>
    <xf numFmtId="0" fontId="0" fillId="0" borderId="0" xfId="0" applyAlignment="1"/>
    <xf numFmtId="168" fontId="0" fillId="0" borderId="0" xfId="0" applyNumberFormat="1"/>
    <xf numFmtId="169" fontId="0" fillId="0" borderId="0" xfId="0" applyNumberFormat="1"/>
    <xf numFmtId="0" fontId="0" fillId="0" borderId="0" xfId="0" applyNumberFormat="1"/>
    <xf numFmtId="0" fontId="0" fillId="4" borderId="8" xfId="2" applyFont="1" applyFill="1" applyBorder="1"/>
    <xf numFmtId="164" fontId="0" fillId="4" borderId="17" xfId="1" applyNumberFormat="1" applyFont="1" applyFill="1" applyBorder="1"/>
    <xf numFmtId="164" fontId="0" fillId="4" borderId="18" xfId="1" applyNumberFormat="1" applyFont="1" applyFill="1" applyBorder="1"/>
    <xf numFmtId="0" fontId="2" fillId="0" borderId="1" xfId="0" applyFont="1" applyBorder="1" applyAlignment="1">
      <alignment vertical="center" wrapText="1"/>
    </xf>
    <xf numFmtId="0" fontId="0" fillId="0" borderId="1" xfId="0" applyFont="1" applyBorder="1" applyAlignment="1">
      <alignment horizontal="center" vertical="center" wrapText="1"/>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2" fontId="0" fillId="0" borderId="1" xfId="0" applyNumberFormat="1" applyBorder="1" applyAlignment="1">
      <alignment horizontal="center" vertical="center" wrapText="1"/>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0" fontId="0" fillId="0" borderId="1" xfId="0" applyFont="1" applyBorder="1" applyAlignment="1">
      <alignment horizontal="center" vertical="center"/>
    </xf>
    <xf numFmtId="164" fontId="0" fillId="0" borderId="0" xfId="0" applyNumberFormat="1"/>
    <xf numFmtId="0" fontId="4" fillId="0" borderId="0" xfId="0" applyFont="1" applyFill="1" applyBorder="1"/>
    <xf numFmtId="0" fontId="0" fillId="0" borderId="6" xfId="0" applyBorder="1" applyAlignment="1">
      <alignment horizontal="center" vertical="center"/>
    </xf>
    <xf numFmtId="164" fontId="12" fillId="4" borderId="18" xfId="1" applyNumberFormat="1" applyFont="1" applyFill="1" applyBorder="1"/>
    <xf numFmtId="1" fontId="0" fillId="0" borderId="0" xfId="0" applyNumberFormat="1"/>
    <xf numFmtId="0" fontId="2" fillId="0" borderId="14" xfId="0" applyFont="1" applyBorder="1" applyAlignment="1">
      <alignment horizontal="center" vertical="center"/>
    </xf>
    <xf numFmtId="0" fontId="2" fillId="0" borderId="15" xfId="0" applyFont="1" applyBorder="1" applyAlignment="1">
      <alignment horizontal="center" vertical="center"/>
    </xf>
    <xf numFmtId="0" fontId="2" fillId="0" borderId="10" xfId="0" applyFont="1" applyBorder="1" applyAlignment="1">
      <alignment horizontal="center" vertical="center"/>
    </xf>
    <xf numFmtId="0" fontId="2" fillId="0" borderId="14" xfId="0" applyFont="1" applyBorder="1" applyAlignment="1">
      <alignment horizontal="center"/>
    </xf>
    <xf numFmtId="0" fontId="2" fillId="0" borderId="15" xfId="0" applyFont="1" applyBorder="1" applyAlignment="1">
      <alignment horizontal="center"/>
    </xf>
    <xf numFmtId="0" fontId="2" fillId="0" borderId="10" xfId="0" applyFont="1" applyBorder="1" applyAlignment="1">
      <alignment horizont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9" fontId="2" fillId="0" borderId="14" xfId="1" applyFont="1" applyBorder="1" applyAlignment="1">
      <alignment horizontal="center" vertical="center"/>
    </xf>
    <xf numFmtId="9" fontId="2" fillId="0" borderId="15" xfId="1" applyFont="1" applyBorder="1" applyAlignment="1">
      <alignment horizontal="center" vertical="center"/>
    </xf>
    <xf numFmtId="9" fontId="2" fillId="0" borderId="10" xfId="1" applyFont="1" applyBorder="1" applyAlignment="1">
      <alignment horizontal="center" vertical="center"/>
    </xf>
    <xf numFmtId="0" fontId="2" fillId="0" borderId="12" xfId="0" applyFont="1" applyBorder="1" applyAlignment="1">
      <alignment horizontal="center" vertical="center"/>
    </xf>
    <xf numFmtId="0" fontId="2" fillId="0" borderId="13" xfId="0" applyFont="1" applyBorder="1" applyAlignment="1">
      <alignment horizontal="center" vertical="center"/>
    </xf>
    <xf numFmtId="2" fontId="2" fillId="0" borderId="14" xfId="0" applyNumberFormat="1" applyFont="1" applyBorder="1" applyAlignment="1">
      <alignment horizontal="center" vertical="center"/>
    </xf>
    <xf numFmtId="2" fontId="2" fillId="0" borderId="15" xfId="0" applyNumberFormat="1" applyFont="1" applyBorder="1" applyAlignment="1">
      <alignment horizontal="center" vertical="center"/>
    </xf>
    <xf numFmtId="2" fontId="2" fillId="0" borderId="10" xfId="0" applyNumberFormat="1" applyFont="1" applyBorder="1" applyAlignment="1">
      <alignment horizontal="center" vertical="center"/>
    </xf>
    <xf numFmtId="0" fontId="2" fillId="0" borderId="1" xfId="0" applyFont="1" applyBorder="1" applyAlignment="1">
      <alignment horizontal="center" vertical="center"/>
    </xf>
    <xf numFmtId="0" fontId="2" fillId="0" borderId="1" xfId="0" applyFont="1" applyBorder="1" applyAlignment="1">
      <alignment horizontal="center"/>
    </xf>
    <xf numFmtId="0" fontId="13" fillId="0" borderId="0" xfId="0" applyFont="1"/>
    <xf numFmtId="0" fontId="14" fillId="0" borderId="0" xfId="0" applyFont="1"/>
    <xf numFmtId="15" fontId="0" fillId="0" borderId="5" xfId="0" applyNumberFormat="1" applyBorder="1"/>
    <xf numFmtId="0" fontId="15" fillId="0" borderId="0" xfId="0" applyFont="1"/>
    <xf numFmtId="15" fontId="0" fillId="0" borderId="0" xfId="0" applyNumberFormat="1" applyBorder="1"/>
  </cellXfs>
  <cellStyles count="3">
    <cellStyle name="Normal" xfId="0" builtinId="0"/>
    <cellStyle name="Note" xfId="2" builtinId="1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2</xdr:row>
          <xdr:rowOff>19050</xdr:rowOff>
        </xdr:from>
        <xdr:to>
          <xdr:col>2</xdr:col>
          <xdr:colOff>619125</xdr:colOff>
          <xdr:row>3</xdr:row>
          <xdr:rowOff>142875</xdr:rowOff>
        </xdr:to>
        <xdr:sp macro="" textlink="">
          <xdr:nvSpPr>
            <xdr:cNvPr id="9218" name="Button 1"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Tahoma"/>
                  <a:ea typeface="Tahoma"/>
                  <a:cs typeface="Tahoma"/>
                </a:rPr>
                <a:t>Trip 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xdr:row>
          <xdr:rowOff>19050</xdr:rowOff>
        </xdr:from>
        <xdr:to>
          <xdr:col>3</xdr:col>
          <xdr:colOff>1657350</xdr:colOff>
          <xdr:row>3</xdr:row>
          <xdr:rowOff>152400</xdr:rowOff>
        </xdr:to>
        <xdr:sp macro="" textlink="">
          <xdr:nvSpPr>
            <xdr:cNvPr id="9219" name="Button 1" hidden="1">
              <a:extLst>
                <a:ext uri="{63B3BB69-23CF-44E3-9099-C40C66FF867C}">
                  <a14:compatExt spid="_x0000_s9219"/>
                </a:ext>
                <a:ext uri="{FF2B5EF4-FFF2-40B4-BE49-F238E27FC236}">
                  <a16:creationId xmlns:a16="http://schemas.microsoft.com/office/drawing/2014/main" id="{00000000-0008-0000-0000-000003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Tahoma"/>
                  <a:ea typeface="Tahoma"/>
                  <a:cs typeface="Tahoma"/>
                </a:rPr>
                <a:t>Reset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2</xdr:row>
          <xdr:rowOff>19050</xdr:rowOff>
        </xdr:from>
        <xdr:to>
          <xdr:col>6</xdr:col>
          <xdr:colOff>276225</xdr:colOff>
          <xdr:row>3</xdr:row>
          <xdr:rowOff>142875</xdr:rowOff>
        </xdr:to>
        <xdr:sp macro="" textlink="">
          <xdr:nvSpPr>
            <xdr:cNvPr id="9220" name="Button 1" hidden="1">
              <a:extLst>
                <a:ext uri="{63B3BB69-23CF-44E3-9099-C40C66FF867C}">
                  <a14:compatExt spid="_x0000_s9220"/>
                </a:ext>
                <a:ext uri="{FF2B5EF4-FFF2-40B4-BE49-F238E27FC236}">
                  <a16:creationId xmlns:a16="http://schemas.microsoft.com/office/drawing/2014/main" id="{00000000-0008-0000-0000-000004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Tahoma"/>
                  <a:ea typeface="Tahoma"/>
                  <a:cs typeface="Tahoma"/>
                </a:rPr>
                <a:t>Charge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xdr:colOff>
          <xdr:row>4</xdr:row>
          <xdr:rowOff>19050</xdr:rowOff>
        </xdr:from>
        <xdr:to>
          <xdr:col>4</xdr:col>
          <xdr:colOff>104775</xdr:colOff>
          <xdr:row>5</xdr:row>
          <xdr:rowOff>142875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Tahoma"/>
                  <a:ea typeface="Tahoma"/>
                  <a:cs typeface="Tahoma"/>
                </a:rPr>
                <a:t>Trip Generator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4</xdr:row>
          <xdr:rowOff>19050</xdr:rowOff>
        </xdr:from>
        <xdr:to>
          <xdr:col>4</xdr:col>
          <xdr:colOff>104775</xdr:colOff>
          <xdr:row>5</xdr:row>
          <xdr:rowOff>142875</xdr:rowOff>
        </xdr:to>
        <xdr:sp macro="" textlink="">
          <xdr:nvSpPr>
            <xdr:cNvPr id="14338" name="Button 1" hidden="1">
              <a:extLst>
                <a:ext uri="{63B3BB69-23CF-44E3-9099-C40C66FF867C}">
                  <a14:compatExt spid="_x0000_s14338"/>
                </a:ext>
                <a:ext uri="{FF2B5EF4-FFF2-40B4-BE49-F238E27FC236}">
                  <a16:creationId xmlns:a16="http://schemas.microsoft.com/office/drawing/2014/main" id="{00000000-0008-0000-0500-000002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Tahoma"/>
                  <a:ea typeface="Tahoma"/>
                  <a:cs typeface="Tahoma"/>
                </a:rPr>
                <a:t>Trip Generator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4</xdr:row>
          <xdr:rowOff>19050</xdr:rowOff>
        </xdr:from>
        <xdr:to>
          <xdr:col>4</xdr:col>
          <xdr:colOff>104775</xdr:colOff>
          <xdr:row>5</xdr:row>
          <xdr:rowOff>142875</xdr:rowOff>
        </xdr:to>
        <xdr:sp macro="" textlink="">
          <xdr:nvSpPr>
            <xdr:cNvPr id="14339" name="Button 1" hidden="1">
              <a:extLst>
                <a:ext uri="{63B3BB69-23CF-44E3-9099-C40C66FF867C}">
                  <a14:compatExt spid="_x0000_s14339"/>
                </a:ext>
                <a:ext uri="{FF2B5EF4-FFF2-40B4-BE49-F238E27FC236}">
                  <a16:creationId xmlns:a16="http://schemas.microsoft.com/office/drawing/2014/main" id="{00000000-0008-0000-0500-000003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Tahoma"/>
                  <a:ea typeface="Tahoma"/>
                  <a:cs typeface="Tahoma"/>
                </a:rPr>
                <a:t>Trip Generator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4</xdr:row>
          <xdr:rowOff>19050</xdr:rowOff>
        </xdr:from>
        <xdr:to>
          <xdr:col>4</xdr:col>
          <xdr:colOff>104775</xdr:colOff>
          <xdr:row>5</xdr:row>
          <xdr:rowOff>142875</xdr:rowOff>
        </xdr:to>
        <xdr:sp macro="" textlink="">
          <xdr:nvSpPr>
            <xdr:cNvPr id="14340" name="Button 1" hidden="1">
              <a:extLst>
                <a:ext uri="{63B3BB69-23CF-44E3-9099-C40C66FF867C}">
                  <a14:compatExt spid="_x0000_s14340"/>
                </a:ext>
                <a:ext uri="{FF2B5EF4-FFF2-40B4-BE49-F238E27FC236}">
                  <a16:creationId xmlns:a16="http://schemas.microsoft.com/office/drawing/2014/main" id="{00000000-0008-0000-0500-000004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Tahoma"/>
                  <a:ea typeface="Tahoma"/>
                  <a:cs typeface="Tahoma"/>
                </a:rPr>
                <a:t>Trip Generator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9o/Desktop/Tri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127">
          <cell r="B127">
            <v>0.98350395636818821</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0BCD0-DFC4-488F-9D39-D596709B3121}">
  <dimension ref="B3:H20"/>
  <sheetViews>
    <sheetView tabSelected="1" workbookViewId="0">
      <selection activeCell="C23" sqref="C23"/>
    </sheetView>
  </sheetViews>
  <sheetFormatPr defaultRowHeight="15" x14ac:dyDescent="0.25"/>
  <sheetData>
    <row r="3" spans="2:8" ht="26.25" x14ac:dyDescent="0.4">
      <c r="B3" s="147" t="s">
        <v>635</v>
      </c>
    </row>
    <row r="4" spans="2:8" ht="21" x14ac:dyDescent="0.35">
      <c r="B4" s="150" t="s">
        <v>636</v>
      </c>
    </row>
    <row r="6" spans="2:8" ht="15.75" thickBot="1" x14ac:dyDescent="0.3"/>
    <row r="7" spans="2:8" x14ac:dyDescent="0.25">
      <c r="B7" s="25"/>
      <c r="C7" s="24"/>
      <c r="D7" s="24"/>
      <c r="E7" s="24"/>
      <c r="F7" s="24"/>
      <c r="G7" s="24"/>
      <c r="H7" s="26"/>
    </row>
    <row r="8" spans="2:8" x14ac:dyDescent="0.25">
      <c r="B8" s="107" t="s">
        <v>631</v>
      </c>
      <c r="F8" s="18"/>
      <c r="G8" s="18"/>
      <c r="H8" s="13"/>
    </row>
    <row r="9" spans="2:8" x14ac:dyDescent="0.25">
      <c r="B9" s="17"/>
      <c r="C9" t="s">
        <v>637</v>
      </c>
      <c r="F9" s="18"/>
      <c r="G9" s="18"/>
      <c r="H9" s="13"/>
    </row>
    <row r="10" spans="2:8" x14ac:dyDescent="0.25">
      <c r="B10" s="17"/>
      <c r="C10" s="148" t="s">
        <v>632</v>
      </c>
      <c r="F10" s="18"/>
      <c r="G10" s="18"/>
      <c r="H10" s="13"/>
    </row>
    <row r="11" spans="2:8" x14ac:dyDescent="0.25">
      <c r="B11" s="17"/>
      <c r="C11" s="148"/>
      <c r="F11" s="18"/>
      <c r="G11" s="18"/>
      <c r="H11" s="13"/>
    </row>
    <row r="12" spans="2:8" x14ac:dyDescent="0.25">
      <c r="B12" s="17"/>
      <c r="C12" t="s">
        <v>638</v>
      </c>
      <c r="F12" s="18"/>
      <c r="G12" s="18"/>
      <c r="H12" s="13"/>
    </row>
    <row r="13" spans="2:8" x14ac:dyDescent="0.25">
      <c r="B13" s="17"/>
      <c r="C13" s="148" t="s">
        <v>633</v>
      </c>
      <c r="F13" s="18"/>
      <c r="G13" s="18"/>
      <c r="H13" s="13"/>
    </row>
    <row r="14" spans="2:8" x14ac:dyDescent="0.25">
      <c r="B14" s="17"/>
      <c r="C14" s="148"/>
      <c r="F14" s="18"/>
      <c r="G14" s="18"/>
      <c r="H14" s="13"/>
    </row>
    <row r="15" spans="2:8" x14ac:dyDescent="0.25">
      <c r="B15" s="107" t="s">
        <v>634</v>
      </c>
      <c r="F15" s="18"/>
      <c r="G15" s="18"/>
      <c r="H15" s="13"/>
    </row>
    <row r="16" spans="2:8" x14ac:dyDescent="0.25">
      <c r="B16" s="17"/>
      <c r="C16" s="151">
        <v>45017</v>
      </c>
      <c r="F16" s="18"/>
      <c r="G16" s="18"/>
      <c r="H16" s="13"/>
    </row>
    <row r="17" spans="2:8" x14ac:dyDescent="0.25">
      <c r="B17" s="17"/>
      <c r="C17" s="151"/>
      <c r="F17" s="18"/>
      <c r="G17" s="18"/>
      <c r="H17" s="13"/>
    </row>
    <row r="18" spans="2:8" x14ac:dyDescent="0.25">
      <c r="B18" s="107" t="s">
        <v>639</v>
      </c>
      <c r="C18" s="151"/>
      <c r="F18" s="18"/>
      <c r="G18" s="18"/>
      <c r="H18" s="13"/>
    </row>
    <row r="19" spans="2:8" x14ac:dyDescent="0.25">
      <c r="B19" s="17"/>
      <c r="C19" t="s">
        <v>640</v>
      </c>
      <c r="F19" s="18"/>
      <c r="G19" s="18"/>
      <c r="H19" s="13"/>
    </row>
    <row r="20" spans="2:8" ht="15.75" thickBot="1" x14ac:dyDescent="0.3">
      <c r="B20" s="19"/>
      <c r="C20" s="149"/>
      <c r="D20" s="20"/>
      <c r="E20" s="20"/>
      <c r="F20" s="20"/>
      <c r="G20" s="20"/>
      <c r="H20" s="1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FF61B-597B-4278-85CA-C0B08028FF78}">
  <sheetPr codeName="Sheet4"/>
  <dimension ref="A1:K1378"/>
  <sheetViews>
    <sheetView zoomScale="86" workbookViewId="0">
      <selection activeCell="C29" sqref="C29"/>
    </sheetView>
  </sheetViews>
  <sheetFormatPr defaultRowHeight="15" x14ac:dyDescent="0.25"/>
  <cols>
    <col min="2" max="2" width="14.28515625" customWidth="1"/>
    <col min="3" max="3" width="11.42578125" customWidth="1"/>
    <col min="4" max="4" width="35" bestFit="1" customWidth="1"/>
    <col min="5" max="5" width="11" bestFit="1" customWidth="1"/>
    <col min="6" max="6" width="10.5703125" customWidth="1"/>
    <col min="8" max="8" width="11" customWidth="1"/>
    <col min="10" max="10" width="55.5703125" bestFit="1" customWidth="1"/>
    <col min="11" max="11" width="10.140625" bestFit="1" customWidth="1"/>
  </cols>
  <sheetData>
    <row r="1" spans="1:11" x14ac:dyDescent="0.25">
      <c r="A1" s="2"/>
    </row>
    <row r="5" spans="1:11" ht="15.75" thickBot="1" x14ac:dyDescent="0.3"/>
    <row r="6" spans="1:11" ht="15.75" thickBot="1" x14ac:dyDescent="0.3">
      <c r="B6" s="129" t="s">
        <v>95</v>
      </c>
      <c r="C6" s="130"/>
      <c r="D6" s="130"/>
      <c r="E6" s="131"/>
      <c r="H6" s="129" t="s">
        <v>134</v>
      </c>
      <c r="I6" s="130"/>
      <c r="J6" s="130"/>
      <c r="K6" s="131"/>
    </row>
    <row r="7" spans="1:11" ht="15.75" thickBot="1" x14ac:dyDescent="0.3">
      <c r="B7" s="21" t="s">
        <v>7</v>
      </c>
      <c r="C7" s="22" t="s">
        <v>9</v>
      </c>
      <c r="D7" s="22" t="s">
        <v>5</v>
      </c>
      <c r="E7" s="23" t="s">
        <v>6</v>
      </c>
      <c r="H7" s="21" t="s">
        <v>143</v>
      </c>
      <c r="I7" s="22" t="s">
        <v>9</v>
      </c>
      <c r="J7" s="22" t="s">
        <v>5</v>
      </c>
      <c r="K7" s="23" t="s">
        <v>6</v>
      </c>
    </row>
    <row r="8" spans="1:11" ht="15.75" thickBot="1" x14ac:dyDescent="0.3">
      <c r="B8" s="17" t="s">
        <v>96</v>
      </c>
      <c r="C8" s="18"/>
      <c r="D8" s="18" t="s">
        <v>97</v>
      </c>
      <c r="E8" s="71">
        <v>0.8</v>
      </c>
      <c r="H8" s="132" t="s">
        <v>184</v>
      </c>
      <c r="I8" s="133"/>
      <c r="J8" s="133"/>
      <c r="K8" s="134"/>
    </row>
    <row r="9" spans="1:11" x14ac:dyDescent="0.25">
      <c r="B9" s="60" t="s">
        <v>133</v>
      </c>
      <c r="C9" s="18" t="s">
        <v>39</v>
      </c>
      <c r="D9" s="29" t="s">
        <v>139</v>
      </c>
      <c r="E9" s="72">
        <v>25</v>
      </c>
      <c r="H9" s="69" t="s">
        <v>66</v>
      </c>
      <c r="I9" s="70" t="s">
        <v>41</v>
      </c>
      <c r="J9" s="70" t="s">
        <v>216</v>
      </c>
      <c r="K9" s="101">
        <v>198.5</v>
      </c>
    </row>
    <row r="10" spans="1:11" x14ac:dyDescent="0.25">
      <c r="B10" s="17" t="s">
        <v>80</v>
      </c>
      <c r="C10" s="18" t="s">
        <v>39</v>
      </c>
      <c r="D10" s="18" t="s">
        <v>81</v>
      </c>
      <c r="E10" s="72">
        <v>25</v>
      </c>
      <c r="H10" s="28" t="s">
        <v>144</v>
      </c>
      <c r="I10" s="30" t="s">
        <v>69</v>
      </c>
      <c r="J10" s="29" t="s">
        <v>195</v>
      </c>
      <c r="K10" s="92">
        <v>0</v>
      </c>
    </row>
    <row r="11" spans="1:11" x14ac:dyDescent="0.25">
      <c r="B11" s="60" t="s">
        <v>82</v>
      </c>
      <c r="C11" s="18" t="s">
        <v>39</v>
      </c>
      <c r="D11" s="29" t="s">
        <v>83</v>
      </c>
      <c r="E11" s="72">
        <v>25</v>
      </c>
      <c r="H11" s="100" t="s">
        <v>99</v>
      </c>
      <c r="I11" s="30" t="s">
        <v>98</v>
      </c>
      <c r="J11" s="29" t="s">
        <v>196</v>
      </c>
      <c r="K11" s="102">
        <v>0</v>
      </c>
    </row>
    <row r="12" spans="1:11" x14ac:dyDescent="0.25">
      <c r="B12" s="28" t="s">
        <v>180</v>
      </c>
      <c r="C12" s="27" t="s">
        <v>140</v>
      </c>
      <c r="D12" s="18" t="s">
        <v>138</v>
      </c>
      <c r="E12" s="71">
        <v>1</v>
      </c>
      <c r="H12" s="47" t="s">
        <v>68</v>
      </c>
      <c r="I12" s="18" t="s">
        <v>70</v>
      </c>
      <c r="J12" s="32" t="s">
        <v>64</v>
      </c>
      <c r="K12" s="102">
        <v>0</v>
      </c>
    </row>
    <row r="13" spans="1:11" ht="15.75" thickBot="1" x14ac:dyDescent="0.3">
      <c r="B13" s="28" t="s">
        <v>181</v>
      </c>
      <c r="C13" s="27" t="s">
        <v>140</v>
      </c>
      <c r="D13" s="18" t="s">
        <v>179</v>
      </c>
      <c r="E13" s="71">
        <v>5</v>
      </c>
      <c r="H13" s="19" t="s">
        <v>197</v>
      </c>
      <c r="I13" s="20" t="s">
        <v>198</v>
      </c>
      <c r="J13" s="20" t="s">
        <v>199</v>
      </c>
      <c r="K13" s="6">
        <v>0</v>
      </c>
    </row>
    <row r="14" spans="1:11" ht="15.75" thickBot="1" x14ac:dyDescent="0.3">
      <c r="B14" s="85" t="s">
        <v>135</v>
      </c>
      <c r="C14" s="86" t="s">
        <v>140</v>
      </c>
      <c r="D14" s="20" t="s">
        <v>136</v>
      </c>
      <c r="E14" s="87">
        <v>60</v>
      </c>
    </row>
    <row r="15" spans="1:11" ht="15.75" thickBot="1" x14ac:dyDescent="0.3">
      <c r="H15" s="132" t="s">
        <v>146</v>
      </c>
      <c r="I15" s="133"/>
      <c r="J15" s="133"/>
      <c r="K15" s="134"/>
    </row>
    <row r="16" spans="1:11" ht="15.75" thickBot="1" x14ac:dyDescent="0.3">
      <c r="B16" s="89" t="s">
        <v>90</v>
      </c>
      <c r="C16" s="24"/>
      <c r="D16" s="24" t="s">
        <v>141</v>
      </c>
      <c r="E16" s="63" t="s">
        <v>93</v>
      </c>
      <c r="F16" s="88" t="s">
        <v>92</v>
      </c>
      <c r="H16" s="50" t="s">
        <v>134</v>
      </c>
      <c r="I16" s="51" t="s">
        <v>9</v>
      </c>
      <c r="J16" s="51" t="s">
        <v>5</v>
      </c>
      <c r="K16" s="52" t="s">
        <v>6</v>
      </c>
    </row>
    <row r="17" spans="2:11" x14ac:dyDescent="0.25">
      <c r="B17" s="107" t="s">
        <v>91</v>
      </c>
      <c r="C17" s="18"/>
      <c r="D17" s="18" t="s">
        <v>142</v>
      </c>
      <c r="E17" s="84" t="s">
        <v>93</v>
      </c>
      <c r="F17" s="88" t="s">
        <v>93</v>
      </c>
      <c r="H17" s="17" t="s">
        <v>107</v>
      </c>
      <c r="I17" s="18"/>
      <c r="J17" s="18" t="s">
        <v>103</v>
      </c>
      <c r="K17" s="4"/>
    </row>
    <row r="18" spans="2:11" x14ac:dyDescent="0.25">
      <c r="B18" s="107" t="s">
        <v>164</v>
      </c>
      <c r="C18" s="18"/>
      <c r="D18" s="18" t="s">
        <v>163</v>
      </c>
      <c r="E18" s="84" t="s">
        <v>93</v>
      </c>
      <c r="H18" s="17" t="s">
        <v>101</v>
      </c>
      <c r="I18" s="18"/>
      <c r="J18" s="18" t="s">
        <v>102</v>
      </c>
      <c r="K18" s="4"/>
    </row>
    <row r="19" spans="2:11" ht="15.75" thickBot="1" x14ac:dyDescent="0.3">
      <c r="B19" s="21" t="s">
        <v>145</v>
      </c>
      <c r="C19" s="108"/>
      <c r="D19" s="108" t="s">
        <v>125</v>
      </c>
      <c r="E19" s="64" t="s">
        <v>116</v>
      </c>
      <c r="H19" s="17" t="s">
        <v>130</v>
      </c>
      <c r="I19" s="18" t="s">
        <v>42</v>
      </c>
      <c r="J19" s="29" t="s">
        <v>124</v>
      </c>
      <c r="K19" s="4"/>
    </row>
    <row r="20" spans="2:11" x14ac:dyDescent="0.25">
      <c r="H20" s="17" t="s">
        <v>104</v>
      </c>
      <c r="I20" s="18" t="s">
        <v>105</v>
      </c>
      <c r="J20" s="18" t="s">
        <v>106</v>
      </c>
      <c r="K20" s="4"/>
    </row>
    <row r="21" spans="2:11" x14ac:dyDescent="0.25">
      <c r="H21" s="17" t="s">
        <v>129</v>
      </c>
      <c r="I21" s="18" t="s">
        <v>123</v>
      </c>
      <c r="J21" s="18" t="s">
        <v>110</v>
      </c>
      <c r="K21" s="4"/>
    </row>
    <row r="22" spans="2:11" x14ac:dyDescent="0.25">
      <c r="H22" s="60" t="s">
        <v>133</v>
      </c>
      <c r="I22" s="18" t="s">
        <v>39</v>
      </c>
      <c r="J22" s="29" t="s">
        <v>139</v>
      </c>
      <c r="K22" s="4"/>
    </row>
    <row r="23" spans="2:11" x14ac:dyDescent="0.25">
      <c r="H23" s="60" t="s">
        <v>182</v>
      </c>
      <c r="I23" s="29" t="s">
        <v>105</v>
      </c>
      <c r="J23" s="29" t="s">
        <v>202</v>
      </c>
      <c r="K23" s="4">
        <v>0</v>
      </c>
    </row>
    <row r="24" spans="2:11" ht="15.75" thickBot="1" x14ac:dyDescent="0.3">
      <c r="H24" s="61" t="s">
        <v>214</v>
      </c>
      <c r="I24" s="20"/>
      <c r="J24" s="62" t="s">
        <v>213</v>
      </c>
      <c r="K24" s="126"/>
    </row>
    <row r="29" spans="2:11" x14ac:dyDescent="0.25">
      <c r="K29" s="106"/>
    </row>
    <row r="1378" spans="5:5" x14ac:dyDescent="0.25">
      <c r="E1378" s="1"/>
    </row>
  </sheetData>
  <mergeCells count="4">
    <mergeCell ref="B6:E6"/>
    <mergeCell ref="H6:K6"/>
    <mergeCell ref="H8:K8"/>
    <mergeCell ref="H15:K15"/>
  </mergeCells>
  <dataValidations count="2">
    <dataValidation type="list" showInputMessage="1" showErrorMessage="1" errorTitle="Invalid Entry!" error="Please select On or Off from the list" promptTitle="On/Off" sqref="E16" xr:uid="{5AD712F1-AACD-4C13-B409-64F2155F715C}">
      <formula1>$F$16:$F$17</formula1>
    </dataValidation>
    <dataValidation type="list" showInputMessage="1" showErrorMessage="1" errorTitle="Invalid Entry!" error="Please select On or Off from the list!" sqref="E17:E18" xr:uid="{E64B383F-B1BB-4663-891E-D006936FCC19}">
      <formula1>$F$16:$F$17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1">
              <controlPr defaultSize="0" print="0" autoFill="0" autoPict="0" macro="[0]!Sheet4.btnRun_Click">
                <anchor moveWithCells="1" sizeWithCells="1">
                  <from>
                    <xdr:col>1</xdr:col>
                    <xdr:colOff>19050</xdr:colOff>
                    <xdr:row>2</xdr:row>
                    <xdr:rowOff>19050</xdr:rowOff>
                  </from>
                  <to>
                    <xdr:col>2</xdr:col>
                    <xdr:colOff>619125</xdr:colOff>
                    <xdr:row>3</xdr:row>
                    <xdr:rowOff>142875</xdr:rowOff>
                  </to>
                </anchor>
              </controlPr>
            </control>
          </mc:Choice>
        </mc:AlternateContent>
        <mc:AlternateContent xmlns:mc="http://schemas.openxmlformats.org/markup-compatibility/2006">
          <mc:Choice Requires="x14">
            <control shapeId="9219" r:id="rId5" name="Button 3">
              <controlPr defaultSize="0" print="0" autoFill="0" autoPict="0" macro="[0]!Sheet4.btnReset_Click">
                <anchor moveWithCells="1" sizeWithCells="1">
                  <from>
                    <xdr:col>3</xdr:col>
                    <xdr:colOff>38100</xdr:colOff>
                    <xdr:row>2</xdr:row>
                    <xdr:rowOff>19050</xdr:rowOff>
                  </from>
                  <to>
                    <xdr:col>3</xdr:col>
                    <xdr:colOff>1657350</xdr:colOff>
                    <xdr:row>3</xdr:row>
                    <xdr:rowOff>152400</xdr:rowOff>
                  </to>
                </anchor>
              </controlPr>
            </control>
          </mc:Choice>
        </mc:AlternateContent>
        <mc:AlternateContent xmlns:mc="http://schemas.openxmlformats.org/markup-compatibility/2006">
          <mc:Choice Requires="x14">
            <control shapeId="9220" r:id="rId6" name="Button 4">
              <controlPr defaultSize="0" print="0" autoFill="0" autoPict="0" macro="[0]!Sheet5.btnCharg_Click">
                <anchor moveWithCells="1" sizeWithCells="1">
                  <from>
                    <xdr:col>4</xdr:col>
                    <xdr:colOff>19050</xdr:colOff>
                    <xdr:row>2</xdr:row>
                    <xdr:rowOff>19050</xdr:rowOff>
                  </from>
                  <to>
                    <xdr:col>6</xdr:col>
                    <xdr:colOff>276225</xdr:colOff>
                    <xdr:row>3</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errorTitle="Invalid Entry!" error="Please select the chargers from the list" promptTitle="Charger type" xr:uid="{431EB897-46D3-4FAA-A76B-FFA5092F7BAA}">
          <x14:formula1>
            <xm:f>Chrg!$C$13:$C$16</xm:f>
          </x14:formula1>
          <xm:sqref>E19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30977-4004-41A5-9199-03463CF0DB9C}">
  <sheetPr codeName="Sheet1"/>
  <dimension ref="B1:R25"/>
  <sheetViews>
    <sheetView topLeftCell="A6" zoomScale="115" zoomScaleNormal="115" workbookViewId="0">
      <selection activeCell="D21" sqref="D21"/>
    </sheetView>
  </sheetViews>
  <sheetFormatPr defaultRowHeight="15" x14ac:dyDescent="0.25"/>
  <cols>
    <col min="1" max="1" width="5" customWidth="1"/>
    <col min="2" max="2" width="24.5703125" bestFit="1" customWidth="1"/>
    <col min="3" max="3" width="5.140625" bestFit="1" customWidth="1"/>
    <col min="4" max="4" width="73.85546875" bestFit="1" customWidth="1"/>
    <col min="5" max="5" width="10" customWidth="1"/>
    <col min="6" max="6" width="3" customWidth="1"/>
    <col min="7" max="7" width="17.5703125" customWidth="1"/>
    <col min="8" max="8" width="10" customWidth="1"/>
    <col min="9" max="9" width="20.140625" bestFit="1" customWidth="1"/>
    <col min="10" max="10" width="13.5703125" customWidth="1"/>
  </cols>
  <sheetData>
    <row r="1" spans="2:18" ht="15.75" thickBot="1" x14ac:dyDescent="0.3"/>
    <row r="2" spans="2:18" ht="15.75" thickBot="1" x14ac:dyDescent="0.3">
      <c r="B2" s="129" t="s">
        <v>173</v>
      </c>
      <c r="C2" s="130"/>
      <c r="D2" s="130"/>
      <c r="E2" s="131"/>
      <c r="H2" s="2" t="s">
        <v>3</v>
      </c>
    </row>
    <row r="3" spans="2:18" ht="15.75" thickBot="1" x14ac:dyDescent="0.3">
      <c r="B3" s="21" t="s">
        <v>7</v>
      </c>
      <c r="C3" s="22" t="s">
        <v>9</v>
      </c>
      <c r="D3" s="22" t="s">
        <v>5</v>
      </c>
      <c r="E3" s="23" t="s">
        <v>6</v>
      </c>
      <c r="H3" s="16" t="s">
        <v>0</v>
      </c>
      <c r="I3" s="15" t="s">
        <v>1</v>
      </c>
    </row>
    <row r="4" spans="2:18" x14ac:dyDescent="0.25">
      <c r="B4" s="17" t="s">
        <v>65</v>
      </c>
      <c r="C4" s="18" t="s">
        <v>41</v>
      </c>
      <c r="D4" s="18" t="s">
        <v>67</v>
      </c>
      <c r="E4" s="13">
        <v>198.5</v>
      </c>
      <c r="H4" s="11">
        <v>0</v>
      </c>
      <c r="I4" s="13">
        <v>333</v>
      </c>
    </row>
    <row r="5" spans="2:18" x14ac:dyDescent="0.25">
      <c r="B5" s="17" t="s">
        <v>47</v>
      </c>
      <c r="C5" s="18" t="s">
        <v>40</v>
      </c>
      <c r="D5" s="18" t="s">
        <v>43</v>
      </c>
      <c r="E5" s="13">
        <v>400</v>
      </c>
      <c r="H5" s="11">
        <v>0.2</v>
      </c>
      <c r="I5" s="13">
        <v>351</v>
      </c>
    </row>
    <row r="6" spans="2:18" x14ac:dyDescent="0.25">
      <c r="B6" s="17" t="s">
        <v>48</v>
      </c>
      <c r="C6" s="18" t="s">
        <v>40</v>
      </c>
      <c r="D6" s="18" t="s">
        <v>44</v>
      </c>
      <c r="E6" s="13">
        <v>270</v>
      </c>
      <c r="H6" s="11">
        <v>0.5</v>
      </c>
      <c r="I6" s="13">
        <v>364</v>
      </c>
    </row>
    <row r="7" spans="2:18" ht="15.75" thickBot="1" x14ac:dyDescent="0.3">
      <c r="B7" s="19" t="s">
        <v>46</v>
      </c>
      <c r="C7" s="20" t="s">
        <v>42</v>
      </c>
      <c r="D7" s="20" t="s">
        <v>45</v>
      </c>
      <c r="E7" s="14">
        <v>85</v>
      </c>
      <c r="H7" s="11">
        <v>0.9</v>
      </c>
      <c r="I7" s="13">
        <v>388</v>
      </c>
    </row>
    <row r="8" spans="2:18" ht="15.75" thickBot="1" x14ac:dyDescent="0.3">
      <c r="H8" s="12">
        <v>1</v>
      </c>
      <c r="I8" s="14">
        <v>400</v>
      </c>
    </row>
    <row r="9" spans="2:18" ht="15.75" thickBot="1" x14ac:dyDescent="0.3"/>
    <row r="10" spans="2:18" ht="15.75" thickBot="1" x14ac:dyDescent="0.3">
      <c r="B10" s="129" t="s">
        <v>71</v>
      </c>
      <c r="C10" s="130"/>
      <c r="D10" s="130"/>
      <c r="E10" s="131"/>
      <c r="H10" s="2" t="s">
        <v>174</v>
      </c>
    </row>
    <row r="11" spans="2:18" ht="15.75" thickBot="1" x14ac:dyDescent="0.3">
      <c r="B11" s="21" t="s">
        <v>7</v>
      </c>
      <c r="C11" s="22" t="s">
        <v>9</v>
      </c>
      <c r="D11" s="22" t="s">
        <v>5</v>
      </c>
      <c r="E11" s="23" t="s">
        <v>6</v>
      </c>
      <c r="H11" s="9"/>
      <c r="I11" s="135" t="s">
        <v>2</v>
      </c>
      <c r="J11" s="135"/>
      <c r="K11" s="136"/>
    </row>
    <row r="12" spans="2:18" ht="15.75" thickBot="1" x14ac:dyDescent="0.3">
      <c r="B12" s="17" t="s">
        <v>76</v>
      </c>
      <c r="C12" s="18" t="s">
        <v>73</v>
      </c>
      <c r="D12" s="18" t="s">
        <v>74</v>
      </c>
      <c r="E12" s="65">
        <v>101771</v>
      </c>
      <c r="H12" s="10" t="s">
        <v>0</v>
      </c>
      <c r="I12" s="7">
        <v>-15</v>
      </c>
      <c r="J12" s="7">
        <v>0</v>
      </c>
      <c r="K12" s="8">
        <v>30</v>
      </c>
      <c r="L12" s="125"/>
      <c r="M12" s="125"/>
      <c r="N12" s="125"/>
      <c r="O12" s="125"/>
      <c r="P12" s="125"/>
      <c r="Q12" s="125"/>
      <c r="R12" s="125"/>
    </row>
    <row r="13" spans="2:18" x14ac:dyDescent="0.25">
      <c r="B13" s="17" t="s">
        <v>72</v>
      </c>
      <c r="C13" s="18" t="s">
        <v>73</v>
      </c>
      <c r="D13" s="18" t="s">
        <v>75</v>
      </c>
      <c r="E13" s="65">
        <v>182000</v>
      </c>
      <c r="H13" s="11">
        <v>0</v>
      </c>
      <c r="I13" s="3">
        <v>1.34</v>
      </c>
      <c r="J13" s="3">
        <v>1.08</v>
      </c>
      <c r="K13" s="4">
        <v>0.32</v>
      </c>
    </row>
    <row r="14" spans="2:18" x14ac:dyDescent="0.25">
      <c r="B14" s="17" t="s">
        <v>77</v>
      </c>
      <c r="C14" s="18" t="s">
        <v>78</v>
      </c>
      <c r="D14" s="18" t="s">
        <v>79</v>
      </c>
      <c r="E14" s="66">
        <v>22.6</v>
      </c>
      <c r="H14" s="11">
        <v>0.1</v>
      </c>
      <c r="I14" s="3">
        <v>1.34</v>
      </c>
      <c r="J14" s="3">
        <v>1.08</v>
      </c>
      <c r="K14" s="4">
        <v>0.2</v>
      </c>
    </row>
    <row r="15" spans="2:18" x14ac:dyDescent="0.25">
      <c r="B15" s="17" t="s">
        <v>85</v>
      </c>
      <c r="C15" s="18" t="s">
        <v>78</v>
      </c>
      <c r="D15" s="18" t="s">
        <v>84</v>
      </c>
      <c r="E15" s="13">
        <v>4.343</v>
      </c>
      <c r="H15" s="11">
        <v>0.2</v>
      </c>
      <c r="I15" s="3">
        <v>1.34</v>
      </c>
      <c r="J15" s="3">
        <v>1.08</v>
      </c>
      <c r="K15" s="4">
        <v>0.15</v>
      </c>
    </row>
    <row r="16" spans="2:18" x14ac:dyDescent="0.25">
      <c r="B16" s="17" t="s">
        <v>86</v>
      </c>
      <c r="C16" s="18" t="s">
        <v>78</v>
      </c>
      <c r="D16" s="18" t="s">
        <v>87</v>
      </c>
      <c r="E16" s="13">
        <v>3.468</v>
      </c>
      <c r="H16" s="11">
        <v>0.30000000000000004</v>
      </c>
      <c r="I16" s="3">
        <v>1.34</v>
      </c>
      <c r="J16" s="3">
        <v>0.3</v>
      </c>
      <c r="K16" s="4">
        <v>0.125</v>
      </c>
    </row>
    <row r="17" spans="2:11" ht="15.75" thickBot="1" x14ac:dyDescent="0.3">
      <c r="B17" s="61" t="s">
        <v>88</v>
      </c>
      <c r="C17" s="62" t="s">
        <v>30</v>
      </c>
      <c r="D17" s="20" t="s">
        <v>89</v>
      </c>
      <c r="E17" s="14">
        <v>0</v>
      </c>
      <c r="F17" s="96"/>
      <c r="H17" s="11">
        <v>0.4</v>
      </c>
      <c r="I17" s="3">
        <v>0.68</v>
      </c>
      <c r="J17" s="3">
        <v>0.25</v>
      </c>
      <c r="K17" s="4">
        <v>0.125</v>
      </c>
    </row>
    <row r="18" spans="2:11" x14ac:dyDescent="0.25">
      <c r="H18" s="11">
        <v>0.5</v>
      </c>
      <c r="I18" s="3">
        <v>0.48499999999999999</v>
      </c>
      <c r="J18" s="3">
        <v>0.26</v>
      </c>
      <c r="K18" s="4">
        <v>0.13</v>
      </c>
    </row>
    <row r="19" spans="2:11" ht="15.75" thickBot="1" x14ac:dyDescent="0.3">
      <c r="H19" s="11">
        <v>0.6</v>
      </c>
      <c r="I19" s="3">
        <v>0.43</v>
      </c>
      <c r="J19" s="3">
        <v>0.25</v>
      </c>
      <c r="K19" s="4">
        <v>0.13</v>
      </c>
    </row>
    <row r="20" spans="2:11" ht="15.75" thickBot="1" x14ac:dyDescent="0.3">
      <c r="B20" s="129" t="s">
        <v>153</v>
      </c>
      <c r="C20" s="130"/>
      <c r="D20" s="130"/>
      <c r="E20" s="131"/>
      <c r="H20" s="11">
        <v>0.7</v>
      </c>
      <c r="I20" s="3">
        <v>0.41499999999999998</v>
      </c>
      <c r="J20" s="3">
        <v>0.24</v>
      </c>
      <c r="K20" s="4">
        <v>0.16</v>
      </c>
    </row>
    <row r="21" spans="2:11" ht="15.75" thickBot="1" x14ac:dyDescent="0.3">
      <c r="B21" s="21" t="s">
        <v>7</v>
      </c>
      <c r="C21" s="22" t="s">
        <v>9</v>
      </c>
      <c r="D21" s="22" t="s">
        <v>5</v>
      </c>
      <c r="E21" s="23" t="s">
        <v>6</v>
      </c>
      <c r="H21" s="11">
        <v>0.79999999999999993</v>
      </c>
      <c r="I21" s="3">
        <v>0.42</v>
      </c>
      <c r="J21" s="3">
        <v>0.255</v>
      </c>
      <c r="K21" s="4">
        <v>0.16500000000000001</v>
      </c>
    </row>
    <row r="22" spans="2:11" x14ac:dyDescent="0.25">
      <c r="B22" s="17" t="s">
        <v>154</v>
      </c>
      <c r="C22" s="18" t="s">
        <v>39</v>
      </c>
      <c r="D22" s="18" t="s">
        <v>158</v>
      </c>
      <c r="E22" s="65">
        <v>30</v>
      </c>
      <c r="H22" s="11">
        <v>0.89999999999999991</v>
      </c>
      <c r="I22" s="3">
        <v>0.43</v>
      </c>
      <c r="J22" s="3">
        <v>0.26</v>
      </c>
      <c r="K22" s="4">
        <v>0.13</v>
      </c>
    </row>
    <row r="23" spans="2:11" ht="15.75" thickBot="1" x14ac:dyDescent="0.3">
      <c r="B23" s="17" t="s">
        <v>155</v>
      </c>
      <c r="C23" s="18" t="s">
        <v>39</v>
      </c>
      <c r="D23" s="18" t="s">
        <v>159</v>
      </c>
      <c r="E23" s="65">
        <v>10</v>
      </c>
      <c r="H23" s="12">
        <v>0.99999999999999989</v>
      </c>
      <c r="I23" s="5">
        <v>0.44</v>
      </c>
      <c r="J23" s="5">
        <v>0.27</v>
      </c>
      <c r="K23" s="6">
        <v>0.13</v>
      </c>
    </row>
    <row r="24" spans="2:11" x14ac:dyDescent="0.25">
      <c r="B24" s="17" t="s">
        <v>156</v>
      </c>
      <c r="C24" s="18" t="s">
        <v>78</v>
      </c>
      <c r="D24" s="18" t="s">
        <v>157</v>
      </c>
      <c r="E24" s="13">
        <v>340</v>
      </c>
    </row>
    <row r="25" spans="2:11" ht="15.75" thickBot="1" x14ac:dyDescent="0.3">
      <c r="B25" s="19" t="s">
        <v>160</v>
      </c>
      <c r="C25" s="20"/>
      <c r="D25" s="20" t="s">
        <v>161</v>
      </c>
      <c r="E25" s="14">
        <v>0.9</v>
      </c>
    </row>
  </sheetData>
  <mergeCells count="4">
    <mergeCell ref="I11:K11"/>
    <mergeCell ref="B2:E2"/>
    <mergeCell ref="B10:E10"/>
    <mergeCell ref="B20:E20"/>
  </mergeCells>
  <phoneticPr fontId="9" type="noConversion"/>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949BD-6445-43B2-A5FD-943EC4F836A0}">
  <sheetPr codeName="Sheet2"/>
  <dimension ref="A3:AR47"/>
  <sheetViews>
    <sheetView workbookViewId="0">
      <selection activeCell="E26" sqref="E26"/>
    </sheetView>
  </sheetViews>
  <sheetFormatPr defaultRowHeight="15" x14ac:dyDescent="0.25"/>
  <cols>
    <col min="1" max="1" width="4" customWidth="1"/>
    <col min="2" max="2" width="12.28515625" customWidth="1"/>
    <col min="3" max="3" width="17.28515625" bestFit="1" customWidth="1"/>
    <col min="4" max="4" width="57.28515625" bestFit="1" customWidth="1"/>
    <col min="5" max="5" width="18.28515625" customWidth="1"/>
  </cols>
  <sheetData>
    <row r="3" spans="2:44" ht="15.75" thickBot="1" x14ac:dyDescent="0.3"/>
    <row r="4" spans="2:44" ht="15.75" thickBot="1" x14ac:dyDescent="0.3">
      <c r="B4" s="129" t="s">
        <v>151</v>
      </c>
      <c r="C4" s="130"/>
      <c r="D4" s="130"/>
      <c r="E4" s="131"/>
    </row>
    <row r="5" spans="2:44" x14ac:dyDescent="0.25">
      <c r="B5" s="45" t="s">
        <v>51</v>
      </c>
      <c r="C5" s="39" t="s">
        <v>50</v>
      </c>
      <c r="D5" s="43">
        <f>D6/365</f>
        <v>0</v>
      </c>
      <c r="E5" s="43">
        <f t="shared" ref="E5:Z5" si="0">E6/365</f>
        <v>0.54794520547945202</v>
      </c>
      <c r="F5" s="43">
        <f t="shared" si="0"/>
        <v>1.095890410958904</v>
      </c>
      <c r="G5" s="43">
        <f t="shared" si="0"/>
        <v>1.6438356164383561</v>
      </c>
      <c r="H5" s="43">
        <f t="shared" si="0"/>
        <v>2.1917808219178081</v>
      </c>
      <c r="I5" s="43">
        <f t="shared" si="0"/>
        <v>2.7397260273972601</v>
      </c>
      <c r="J5" s="43">
        <f t="shared" si="0"/>
        <v>3.2876712328767121</v>
      </c>
      <c r="K5" s="43">
        <f t="shared" si="0"/>
        <v>3.8356164383561642</v>
      </c>
      <c r="L5" s="43">
        <f t="shared" si="0"/>
        <v>4.3835616438356162</v>
      </c>
      <c r="M5" s="43">
        <f t="shared" si="0"/>
        <v>4.9315068493150687</v>
      </c>
      <c r="N5" s="43">
        <f t="shared" si="0"/>
        <v>5.4794520547945202</v>
      </c>
      <c r="O5" s="43">
        <f t="shared" si="0"/>
        <v>6.0273972602739727</v>
      </c>
      <c r="P5" s="43">
        <f t="shared" si="0"/>
        <v>6.5753424657534243</v>
      </c>
      <c r="Q5" s="43">
        <f t="shared" si="0"/>
        <v>7.1232876712328768</v>
      </c>
      <c r="R5" s="43">
        <f t="shared" si="0"/>
        <v>7.6712328767123283</v>
      </c>
      <c r="S5" s="43">
        <f t="shared" si="0"/>
        <v>8.2191780821917817</v>
      </c>
      <c r="T5" s="43">
        <f t="shared" si="0"/>
        <v>8.7671232876712324</v>
      </c>
      <c r="U5" s="43">
        <f t="shared" si="0"/>
        <v>9.3150684931506849</v>
      </c>
      <c r="V5" s="43">
        <f t="shared" si="0"/>
        <v>9.8630136986301373</v>
      </c>
      <c r="W5" s="43">
        <f t="shared" si="0"/>
        <v>10.41095890410959</v>
      </c>
      <c r="X5" s="43">
        <f t="shared" si="0"/>
        <v>10.95890410958904</v>
      </c>
      <c r="Y5" s="43">
        <f t="shared" si="0"/>
        <v>11.506849315068493</v>
      </c>
      <c r="Z5" s="43">
        <f t="shared" si="0"/>
        <v>12.054794520547945</v>
      </c>
      <c r="AA5" s="43">
        <f t="shared" ref="AA5" si="1">AA6/365</f>
        <v>12.602739726027398</v>
      </c>
      <c r="AB5" s="43">
        <f t="shared" ref="AB5" si="2">AB6/365</f>
        <v>13.150684931506849</v>
      </c>
      <c r="AC5" s="43">
        <f t="shared" ref="AC5" si="3">AC6/365</f>
        <v>13.698630136986301</v>
      </c>
      <c r="AD5" s="43">
        <f t="shared" ref="AD5" si="4">AD6/365</f>
        <v>14.246575342465754</v>
      </c>
      <c r="AE5" s="43">
        <f t="shared" ref="AE5" si="5">AE6/365</f>
        <v>14.794520547945206</v>
      </c>
      <c r="AF5" s="43">
        <f t="shared" ref="AF5" si="6">AF6/365</f>
        <v>15.342465753424657</v>
      </c>
      <c r="AG5" s="43">
        <f t="shared" ref="AG5" si="7">AG6/365</f>
        <v>15.890410958904109</v>
      </c>
      <c r="AH5" s="43">
        <f t="shared" ref="AH5" si="8">AH6/365</f>
        <v>16.438356164383563</v>
      </c>
      <c r="AI5" s="43">
        <f t="shared" ref="AI5" si="9">AI6/365</f>
        <v>16.986301369863014</v>
      </c>
      <c r="AJ5" s="43">
        <f t="shared" ref="AJ5" si="10">AJ6/365</f>
        <v>17.534246575342465</v>
      </c>
      <c r="AK5" s="43">
        <f t="shared" ref="AK5" si="11">AK6/365</f>
        <v>18.082191780821919</v>
      </c>
      <c r="AL5" s="43">
        <f t="shared" ref="AL5" si="12">AL6/365</f>
        <v>18.63013698630137</v>
      </c>
      <c r="AM5" s="43">
        <f t="shared" ref="AM5" si="13">AM6/365</f>
        <v>19.17808219178082</v>
      </c>
      <c r="AN5" s="43">
        <f t="shared" ref="AN5" si="14">AN6/365</f>
        <v>19.726027397260275</v>
      </c>
      <c r="AO5" s="43">
        <f t="shared" ref="AO5" si="15">AO6/365</f>
        <v>20.273972602739725</v>
      </c>
      <c r="AP5" s="43">
        <f t="shared" ref="AP5" si="16">AP6/365</f>
        <v>20.82191780821918</v>
      </c>
      <c r="AQ5" s="43">
        <f t="shared" ref="AQ5" si="17">AQ6/365</f>
        <v>21.36986301369863</v>
      </c>
      <c r="AR5" s="44">
        <f t="shared" ref="AR5" si="18">AR6/365</f>
        <v>21.917808219178081</v>
      </c>
    </row>
    <row r="6" spans="2:44" ht="15.75" thickBot="1" x14ac:dyDescent="0.3">
      <c r="B6" s="10">
        <v>25</v>
      </c>
      <c r="C6" s="40" t="s">
        <v>49</v>
      </c>
      <c r="D6" s="7">
        <v>0</v>
      </c>
      <c r="E6" s="7">
        <f>D6+200</f>
        <v>200</v>
      </c>
      <c r="F6" s="7">
        <f t="shared" ref="F6:Z6" si="19">E6+200</f>
        <v>400</v>
      </c>
      <c r="G6" s="7">
        <f t="shared" si="19"/>
        <v>600</v>
      </c>
      <c r="H6" s="7">
        <f t="shared" si="19"/>
        <v>800</v>
      </c>
      <c r="I6" s="7">
        <f t="shared" si="19"/>
        <v>1000</v>
      </c>
      <c r="J6" s="7">
        <f t="shared" si="19"/>
        <v>1200</v>
      </c>
      <c r="K6" s="7">
        <f t="shared" si="19"/>
        <v>1400</v>
      </c>
      <c r="L6" s="7">
        <f t="shared" si="19"/>
        <v>1600</v>
      </c>
      <c r="M6" s="7">
        <f t="shared" si="19"/>
        <v>1800</v>
      </c>
      <c r="N6" s="7">
        <f t="shared" si="19"/>
        <v>2000</v>
      </c>
      <c r="O6" s="7">
        <f t="shared" si="19"/>
        <v>2200</v>
      </c>
      <c r="P6" s="7">
        <f>O6+200</f>
        <v>2400</v>
      </c>
      <c r="Q6" s="7">
        <f t="shared" si="19"/>
        <v>2600</v>
      </c>
      <c r="R6" s="7">
        <f t="shared" si="19"/>
        <v>2800</v>
      </c>
      <c r="S6" s="7">
        <f t="shared" si="19"/>
        <v>3000</v>
      </c>
      <c r="T6" s="7">
        <f t="shared" si="19"/>
        <v>3200</v>
      </c>
      <c r="U6" s="7">
        <f t="shared" si="19"/>
        <v>3400</v>
      </c>
      <c r="V6" s="7">
        <f t="shared" si="19"/>
        <v>3600</v>
      </c>
      <c r="W6" s="7">
        <f>V6+200</f>
        <v>3800</v>
      </c>
      <c r="X6" s="7">
        <f t="shared" si="19"/>
        <v>4000</v>
      </c>
      <c r="Y6" s="7">
        <f t="shared" si="19"/>
        <v>4200</v>
      </c>
      <c r="Z6" s="7">
        <f t="shared" si="19"/>
        <v>4400</v>
      </c>
      <c r="AA6" s="7">
        <f t="shared" ref="AA6:AI6" si="20">Z6+200</f>
        <v>4600</v>
      </c>
      <c r="AB6" s="7">
        <f t="shared" si="20"/>
        <v>4800</v>
      </c>
      <c r="AC6" s="7">
        <f t="shared" si="20"/>
        <v>5000</v>
      </c>
      <c r="AD6" s="7">
        <f t="shared" si="20"/>
        <v>5200</v>
      </c>
      <c r="AE6" s="7">
        <f t="shared" si="20"/>
        <v>5400</v>
      </c>
      <c r="AF6" s="7">
        <f t="shared" si="20"/>
        <v>5600</v>
      </c>
      <c r="AG6" s="7">
        <f t="shared" si="20"/>
        <v>5800</v>
      </c>
      <c r="AH6" s="7">
        <f t="shared" si="20"/>
        <v>6000</v>
      </c>
      <c r="AI6" s="7">
        <f t="shared" si="20"/>
        <v>6200</v>
      </c>
      <c r="AJ6" s="7">
        <f t="shared" ref="AJ6:AR6" si="21">AI6+200</f>
        <v>6400</v>
      </c>
      <c r="AK6" s="7">
        <f t="shared" si="21"/>
        <v>6600</v>
      </c>
      <c r="AL6" s="7">
        <f t="shared" si="21"/>
        <v>6800</v>
      </c>
      <c r="AM6" s="7">
        <f t="shared" si="21"/>
        <v>7000</v>
      </c>
      <c r="AN6" s="7">
        <f t="shared" si="21"/>
        <v>7200</v>
      </c>
      <c r="AO6" s="7">
        <f t="shared" si="21"/>
        <v>7400</v>
      </c>
      <c r="AP6" s="7">
        <f t="shared" si="21"/>
        <v>7600</v>
      </c>
      <c r="AQ6" s="7">
        <f t="shared" si="21"/>
        <v>7800</v>
      </c>
      <c r="AR6" s="8">
        <f t="shared" si="21"/>
        <v>8000</v>
      </c>
    </row>
    <row r="7" spans="2:44" x14ac:dyDescent="0.25">
      <c r="B7" s="140" t="s">
        <v>0</v>
      </c>
      <c r="C7" s="41">
        <v>0</v>
      </c>
      <c r="D7" s="33">
        <v>1</v>
      </c>
      <c r="E7" s="33">
        <v>1</v>
      </c>
      <c r="F7" s="33">
        <v>1</v>
      </c>
      <c r="G7" s="33">
        <v>1</v>
      </c>
      <c r="H7" s="33">
        <v>1</v>
      </c>
      <c r="I7" s="33">
        <v>1</v>
      </c>
      <c r="J7" s="33">
        <v>1</v>
      </c>
      <c r="K7" s="33">
        <v>1</v>
      </c>
      <c r="L7" s="33">
        <v>1</v>
      </c>
      <c r="M7" s="33">
        <v>1</v>
      </c>
      <c r="N7" s="33">
        <v>1</v>
      </c>
      <c r="O7" s="33">
        <v>1</v>
      </c>
      <c r="P7" s="33">
        <v>1</v>
      </c>
      <c r="Q7" s="33">
        <v>1</v>
      </c>
      <c r="R7" s="33">
        <v>1</v>
      </c>
      <c r="S7" s="33">
        <v>1</v>
      </c>
      <c r="T7" s="33">
        <v>1</v>
      </c>
      <c r="U7" s="33">
        <v>1</v>
      </c>
      <c r="V7" s="33">
        <v>1</v>
      </c>
      <c r="W7" s="33">
        <v>1</v>
      </c>
      <c r="X7" s="33">
        <v>1</v>
      </c>
      <c r="Y7" s="33">
        <v>1</v>
      </c>
      <c r="Z7" s="33">
        <v>1</v>
      </c>
      <c r="AA7" s="33">
        <v>1</v>
      </c>
      <c r="AB7" s="33">
        <v>1</v>
      </c>
      <c r="AC7" s="33">
        <v>1</v>
      </c>
      <c r="AD7" s="33">
        <v>1</v>
      </c>
      <c r="AE7" s="33">
        <v>1</v>
      </c>
      <c r="AF7" s="33">
        <v>1</v>
      </c>
      <c r="AG7" s="33">
        <v>1</v>
      </c>
      <c r="AH7" s="33">
        <v>1</v>
      </c>
      <c r="AI7" s="33">
        <v>1</v>
      </c>
      <c r="AJ7" s="33">
        <v>1</v>
      </c>
      <c r="AK7" s="33">
        <v>1</v>
      </c>
      <c r="AL7" s="33">
        <v>1</v>
      </c>
      <c r="AM7" s="33">
        <v>1</v>
      </c>
      <c r="AN7" s="33">
        <v>1</v>
      </c>
      <c r="AO7" s="33">
        <v>1</v>
      </c>
      <c r="AP7" s="33">
        <v>1</v>
      </c>
      <c r="AQ7" s="33">
        <v>1</v>
      </c>
      <c r="AR7" s="34">
        <v>1</v>
      </c>
    </row>
    <row r="8" spans="2:44" x14ac:dyDescent="0.25">
      <c r="B8" s="140"/>
      <c r="C8" s="41">
        <v>0.15</v>
      </c>
      <c r="D8" s="33">
        <f>(0.07433*EXP(-0.009545*D6)+(26-0.07433)*EXP(-1.9*10^(-5)*D6))/26</f>
        <v>1</v>
      </c>
      <c r="E8" s="33">
        <f t="shared" ref="E8:P8" si="22">(0.07433*EXP(-0.009545*E6)+(26-0.07433)*EXP(-1.9*10^(-5)*E6))/26</f>
        <v>0.99378297030459994</v>
      </c>
      <c r="F8" s="33">
        <f t="shared" si="22"/>
        <v>0.98965441940946886</v>
      </c>
      <c r="G8" s="33">
        <f t="shared" si="22"/>
        <v>0.98584760419128514</v>
      </c>
      <c r="H8" s="33">
        <f t="shared" si="22"/>
        <v>0.98210059676084016</v>
      </c>
      <c r="I8" s="33">
        <f t="shared" si="22"/>
        <v>0.97837452597059793</v>
      </c>
      <c r="J8" s="33">
        <f t="shared" si="22"/>
        <v>0.97466358422272381</v>
      </c>
      <c r="K8" s="33">
        <f t="shared" si="22"/>
        <v>0.9709668650547667</v>
      </c>
      <c r="L8" s="33">
        <f t="shared" si="22"/>
        <v>0.9672841886654151</v>
      </c>
      <c r="M8" s="33">
        <f t="shared" si="22"/>
        <v>0.96361548313761325</v>
      </c>
      <c r="N8" s="33">
        <f t="shared" si="22"/>
        <v>0.95996069271751372</v>
      </c>
      <c r="O8" s="33">
        <f t="shared" si="22"/>
        <v>0.95631976421814835</v>
      </c>
      <c r="P8" s="33">
        <f t="shared" si="22"/>
        <v>0.95269264500341633</v>
      </c>
      <c r="Q8" s="33">
        <f t="shared" ref="Q8:AR8" si="23">(0.07433*EXP(-0.009545*Q6)+(26-0.07433)*EXP(-1.9*10^(-5)*Q6))/26</f>
        <v>0.94907928268860653</v>
      </c>
      <c r="R8" s="33">
        <f t="shared" si="23"/>
        <v>0.94547962509536343</v>
      </c>
      <c r="S8" s="33">
        <f t="shared" si="23"/>
        <v>0.94189362024437007</v>
      </c>
      <c r="T8" s="33">
        <f t="shared" si="23"/>
        <v>0.93832121635362453</v>
      </c>
      <c r="U8" s="33">
        <f t="shared" si="23"/>
        <v>0.93476236183754835</v>
      </c>
      <c r="V8" s="33">
        <f t="shared" si="23"/>
        <v>0.93121700530621987</v>
      </c>
      <c r="W8" s="33">
        <f t="shared" si="23"/>
        <v>0.92768509556462908</v>
      </c>
      <c r="X8" s="33">
        <f t="shared" si="23"/>
        <v>0.92416658161193765</v>
      </c>
      <c r="Y8" s="33">
        <f t="shared" si="23"/>
        <v>0.92066141264074319</v>
      </c>
      <c r="Z8" s="33">
        <f t="shared" si="23"/>
        <v>0.91716953803634482</v>
      </c>
      <c r="AA8" s="33">
        <f t="shared" si="23"/>
        <v>0.91369090737601266</v>
      </c>
      <c r="AB8" s="33">
        <f t="shared" si="23"/>
        <v>0.91022547042825919</v>
      </c>
      <c r="AC8" s="33">
        <f t="shared" si="23"/>
        <v>0.90677317715211514</v>
      </c>
      <c r="AD8" s="33">
        <f t="shared" si="23"/>
        <v>0.90333397769640533</v>
      </c>
      <c r="AE8" s="33">
        <f t="shared" si="23"/>
        <v>0.89990782239902978</v>
      </c>
      <c r="AF8" s="33">
        <f t="shared" si="23"/>
        <v>0.8964946617862467</v>
      </c>
      <c r="AG8" s="33">
        <f t="shared" si="23"/>
        <v>0.89309444657195747</v>
      </c>
      <c r="AH8" s="33">
        <f t="shared" si="23"/>
        <v>0.88970712765699522</v>
      </c>
      <c r="AI8" s="33">
        <f t="shared" si="23"/>
        <v>0.88633265612841605</v>
      </c>
      <c r="AJ8" s="33">
        <f t="shared" si="23"/>
        <v>0.88297098325879242</v>
      </c>
      <c r="AK8" s="33">
        <f t="shared" si="23"/>
        <v>0.87962206050550962</v>
      </c>
      <c r="AL8" s="33">
        <f t="shared" si="23"/>
        <v>0.876285839510065</v>
      </c>
      <c r="AM8" s="33">
        <f t="shared" si="23"/>
        <v>0.87296227209736932</v>
      </c>
      <c r="AN8" s="33">
        <f t="shared" si="23"/>
        <v>0.8696513102750516</v>
      </c>
      <c r="AO8" s="33">
        <f t="shared" si="23"/>
        <v>0.86635290623276517</v>
      </c>
      <c r="AP8" s="33">
        <f t="shared" si="23"/>
        <v>0.86306701234149885</v>
      </c>
      <c r="AQ8" s="33">
        <f t="shared" si="23"/>
        <v>0.8597935811528874</v>
      </c>
      <c r="AR8" s="34">
        <f t="shared" si="23"/>
        <v>0.85653256539852773</v>
      </c>
    </row>
    <row r="9" spans="2:44" x14ac:dyDescent="0.25">
      <c r="B9" s="140"/>
      <c r="C9" s="41">
        <v>0.9</v>
      </c>
      <c r="D9" s="35">
        <f>(0.29*EXP(-0.04173*D6)+(25.843-0.29)*EXP(-6.153*10^(-5)*D6))/26</f>
        <v>0.99396153846153845</v>
      </c>
      <c r="E9" s="33">
        <f t="shared" ref="E9:P9" si="24">(0.29*EXP(-0.04173*E6)+(25.843-0.29)*EXP(-6.153*10^(-5)*E6))/26</f>
        <v>0.97079002085951493</v>
      </c>
      <c r="F9" s="33">
        <f t="shared" si="24"/>
        <v>0.95891407104297977</v>
      </c>
      <c r="G9" s="33">
        <f t="shared" si="24"/>
        <v>0.94718598478094751</v>
      </c>
      <c r="H9" s="33">
        <f t="shared" si="24"/>
        <v>0.93560134056351374</v>
      </c>
      <c r="I9" s="33">
        <f t="shared" si="24"/>
        <v>0.92415838338953138</v>
      </c>
      <c r="J9" s="33">
        <f t="shared" si="24"/>
        <v>0.91285538034259939</v>
      </c>
      <c r="K9" s="33">
        <f t="shared" si="24"/>
        <v>0.90169061970105502</v>
      </c>
      <c r="L9" s="33">
        <f t="shared" si="24"/>
        <v>0.89066241067860297</v>
      </c>
      <c r="M9" s="33">
        <f t="shared" si="24"/>
        <v>0.87976908316826341</v>
      </c>
      <c r="N9" s="33">
        <f t="shared" si="24"/>
        <v>0.86900898748945132</v>
      </c>
      <c r="O9" s="33">
        <f t="shared" si="24"/>
        <v>0.85838049413815054</v>
      </c>
      <c r="P9" s="33">
        <f t="shared" si="24"/>
        <v>0.84788199354014104</v>
      </c>
      <c r="Q9" s="33">
        <f t="shared" ref="Q9:AR9" si="25">(0.29*EXP(-0.04173*Q6)+(25.843-0.29)*EXP(-6.153*10^(-5)*Q6))/26</f>
        <v>0.83751189580724672</v>
      </c>
      <c r="R9" s="33">
        <f t="shared" si="25"/>
        <v>0.82726863049656341</v>
      </c>
      <c r="S9" s="33">
        <f t="shared" si="25"/>
        <v>0.81715064637263146</v>
      </c>
      <c r="T9" s="33">
        <f t="shared" si="25"/>
        <v>0.80715641117251713</v>
      </c>
      <c r="U9" s="33">
        <f t="shared" si="25"/>
        <v>0.79728441137376804</v>
      </c>
      <c r="V9" s="33">
        <f t="shared" si="25"/>
        <v>0.78753315196520535</v>
      </c>
      <c r="W9" s="33">
        <f t="shared" si="25"/>
        <v>0.7779011562205207</v>
      </c>
      <c r="X9" s="33">
        <f t="shared" si="25"/>
        <v>0.76838696547464025</v>
      </c>
      <c r="Y9" s="33">
        <f t="shared" si="25"/>
        <v>0.75898913890282649</v>
      </c>
      <c r="Z9" s="33">
        <f t="shared" si="25"/>
        <v>0.74970625330247898</v>
      </c>
      <c r="AA9" s="33">
        <f t="shared" si="25"/>
        <v>0.74053690287760676</v>
      </c>
      <c r="AB9" s="33">
        <f t="shared" si="25"/>
        <v>0.73147969902593424</v>
      </c>
      <c r="AC9" s="33">
        <f t="shared" si="25"/>
        <v>0.72253327012861146</v>
      </c>
      <c r="AD9" s="33">
        <f t="shared" si="25"/>
        <v>0.71369626134249831</v>
      </c>
      <c r="AE9" s="33">
        <f t="shared" si="25"/>
        <v>0.70496733439498616</v>
      </c>
      <c r="AF9" s="33">
        <f t="shared" si="25"/>
        <v>0.6963451673813309</v>
      </c>
      <c r="AG9" s="33">
        <f t="shared" si="25"/>
        <v>0.68782845456446506</v>
      </c>
      <c r="AH9" s="33">
        <f t="shared" si="25"/>
        <v>0.67941590617725656</v>
      </c>
      <c r="AI9" s="33">
        <f t="shared" si="25"/>
        <v>0.67110624822718767</v>
      </c>
      <c r="AJ9" s="33">
        <f t="shared" si="25"/>
        <v>0.66289822230342166</v>
      </c>
      <c r="AK9" s="33">
        <f t="shared" si="25"/>
        <v>0.6547905853862297</v>
      </c>
      <c r="AL9" s="33">
        <f t="shared" si="25"/>
        <v>0.64678210965874894</v>
      </c>
      <c r="AM9" s="33">
        <f t="shared" si="25"/>
        <v>0.6388715823210418</v>
      </c>
      <c r="AN9" s="33">
        <f t="shared" si="25"/>
        <v>0.6310578054064313</v>
      </c>
      <c r="AO9" s="33">
        <f t="shared" si="25"/>
        <v>0.62333959560007957</v>
      </c>
      <c r="AP9" s="33">
        <f t="shared" si="25"/>
        <v>0.61571578405978933</v>
      </c>
      <c r="AQ9" s="33">
        <f t="shared" si="25"/>
        <v>0.60818521623899335</v>
      </c>
      <c r="AR9" s="34">
        <f t="shared" si="25"/>
        <v>0.6007467517119115</v>
      </c>
    </row>
    <row r="10" spans="2:44" ht="15.75" thickBot="1" x14ac:dyDescent="0.3">
      <c r="B10" s="141"/>
      <c r="C10" s="42">
        <v>1</v>
      </c>
      <c r="D10" s="37">
        <f>FORECAST(C10,D8:D9,C8:C9)</f>
        <v>0.99315641025641044</v>
      </c>
      <c r="E10" s="37">
        <f t="shared" ref="E10:AJ10" si="26">FORECAST(D10,E8:E9,D8:D9)</f>
        <v>0.96772429426683759</v>
      </c>
      <c r="F10" s="37">
        <f t="shared" si="26"/>
        <v>0.95481535792744876</v>
      </c>
      <c r="G10" s="37">
        <f t="shared" si="26"/>
        <v>0.94203110219290376</v>
      </c>
      <c r="H10" s="37">
        <f t="shared" si="26"/>
        <v>0.92940143973720502</v>
      </c>
      <c r="I10" s="37">
        <f t="shared" si="26"/>
        <v>0.9169295643787243</v>
      </c>
      <c r="J10" s="37">
        <f t="shared" si="26"/>
        <v>0.904614286491918</v>
      </c>
      <c r="K10" s="37">
        <f t="shared" si="26"/>
        <v>0.89245378698722899</v>
      </c>
      <c r="L10" s="37">
        <f t="shared" si="26"/>
        <v>0.88044617361369715</v>
      </c>
      <c r="M10" s="37">
        <f t="shared" si="26"/>
        <v>0.86858956317235281</v>
      </c>
      <c r="N10" s="37">
        <f t="shared" si="26"/>
        <v>0.85688209345904598</v>
      </c>
      <c r="O10" s="37">
        <f t="shared" si="26"/>
        <v>0.84532192479415391</v>
      </c>
      <c r="P10" s="37">
        <f t="shared" si="26"/>
        <v>0.83390724001170757</v>
      </c>
      <c r="Q10" s="37">
        <f t="shared" si="26"/>
        <v>0.82263624422306891</v>
      </c>
      <c r="R10" s="37">
        <f t="shared" si="26"/>
        <v>0.81150716455006044</v>
      </c>
      <c r="S10" s="37">
        <f t="shared" si="26"/>
        <v>0.80051824985640363</v>
      </c>
      <c r="T10" s="37">
        <f t="shared" si="26"/>
        <v>0.78966777048170689</v>
      </c>
      <c r="U10" s="37">
        <f t="shared" si="26"/>
        <v>0.77895401797860153</v>
      </c>
      <c r="V10" s="37">
        <f t="shared" si="26"/>
        <v>0.76837530485307448</v>
      </c>
      <c r="W10" s="37">
        <f t="shared" si="26"/>
        <v>0.75792996430797754</v>
      </c>
      <c r="X10" s="37">
        <f t="shared" si="26"/>
        <v>0.74761634998967197</v>
      </c>
      <c r="Y10" s="37">
        <f t="shared" si="26"/>
        <v>0.73743283573777574</v>
      </c>
      <c r="Z10" s="37">
        <f t="shared" si="26"/>
        <v>0.72737781533796864</v>
      </c>
      <c r="AA10" s="37">
        <f t="shared" si="26"/>
        <v>0.71744970227782456</v>
      </c>
      <c r="AB10" s="37">
        <f t="shared" si="26"/>
        <v>0.70764692950562968</v>
      </c>
      <c r="AC10" s="37">
        <f t="shared" si="26"/>
        <v>0.69796794919214999</v>
      </c>
      <c r="AD10" s="37">
        <f t="shared" si="26"/>
        <v>0.68841123249531655</v>
      </c>
      <c r="AE10" s="37">
        <f t="shared" si="26"/>
        <v>0.67897526932778629</v>
      </c>
      <c r="AF10" s="37">
        <f t="shared" si="26"/>
        <v>0.66965856812734825</v>
      </c>
      <c r="AG10" s="37">
        <f t="shared" si="26"/>
        <v>0.66045965563013909</v>
      </c>
      <c r="AH10" s="37">
        <f t="shared" si="26"/>
        <v>0.65137707664663125</v>
      </c>
      <c r="AI10" s="37">
        <f t="shared" si="26"/>
        <v>0.64240939384036388</v>
      </c>
      <c r="AJ10" s="37">
        <f t="shared" si="26"/>
        <v>0.633555187509379</v>
      </c>
      <c r="AK10" s="37">
        <f>FORECAST(AJ10,AK8:AK9,AJ8:AJ9)</f>
        <v>0.6248130553703326</v>
      </c>
      <c r="AL10" s="37">
        <f t="shared" ref="AL10" si="27">FORECAST(AK10,AL8:AL9,AK8:AK9)</f>
        <v>0.61618161234524715</v>
      </c>
      <c r="AM10" s="37">
        <f t="shared" ref="AM10" si="28">FORECAST(AL10,AM8:AM9,AL8:AL9)</f>
        <v>0.60765949035087186</v>
      </c>
      <c r="AN10" s="37">
        <f t="shared" ref="AN10" si="29">FORECAST(AM10,AN8:AN9,AM8:AM9)</f>
        <v>0.59924533809062241</v>
      </c>
      <c r="AO10" s="37">
        <f t="shared" ref="AO10" si="30">FORECAST(AN10,AO8:AO9,AN8:AN9)</f>
        <v>0.59093782084906221</v>
      </c>
      <c r="AP10" s="37">
        <f t="shared" ref="AP10" si="31">FORECAST(AO10,AP8:AP9,AO8:AO9)</f>
        <v>0.58273562028890225</v>
      </c>
      <c r="AQ10" s="37">
        <f>FORECAST(AP10,AQ8:AQ9,AP8:AP9)</f>
        <v>0.57463743425048175</v>
      </c>
      <c r="AR10" s="38">
        <f t="shared" ref="AR10" si="32">FORECAST(AQ10,AR8:AR9,AQ8:AQ9)</f>
        <v>0.56664197655370374</v>
      </c>
    </row>
    <row r="11" spans="2:44" ht="15.75" thickBot="1" x14ac:dyDescent="0.3">
      <c r="B11" s="129"/>
      <c r="C11" s="130"/>
      <c r="D11" s="130"/>
      <c r="E11" s="130"/>
      <c r="F11" s="130"/>
      <c r="G11" s="130"/>
      <c r="H11" s="130"/>
      <c r="I11" s="130"/>
      <c r="J11" s="130"/>
      <c r="K11" s="130"/>
      <c r="L11" s="130"/>
      <c r="M11" s="130"/>
      <c r="N11" s="130"/>
      <c r="O11" s="130"/>
      <c r="P11" s="130"/>
      <c r="Q11" s="130"/>
      <c r="R11" s="130"/>
      <c r="S11" s="130"/>
      <c r="T11" s="130"/>
      <c r="U11" s="130"/>
      <c r="V11" s="130"/>
      <c r="W11" s="130"/>
      <c r="X11" s="130"/>
      <c r="Y11" s="130"/>
      <c r="Z11" s="130"/>
      <c r="AA11" s="130"/>
      <c r="AB11" s="130"/>
      <c r="AC11" s="130"/>
      <c r="AD11" s="130"/>
      <c r="AE11" s="130"/>
      <c r="AF11" s="130"/>
      <c r="AG11" s="130"/>
      <c r="AH11" s="130"/>
      <c r="AI11" s="130"/>
      <c r="AJ11" s="130"/>
      <c r="AK11" s="130"/>
      <c r="AL11" s="130"/>
      <c r="AM11" s="130"/>
      <c r="AN11" s="130"/>
      <c r="AO11" s="130"/>
      <c r="AP11" s="130"/>
      <c r="AQ11" s="130"/>
      <c r="AR11" s="131"/>
    </row>
    <row r="12" spans="2:44" x14ac:dyDescent="0.25">
      <c r="B12" s="45" t="s">
        <v>51</v>
      </c>
      <c r="C12" s="39" t="s">
        <v>50</v>
      </c>
      <c r="D12" s="43">
        <f>D13/365</f>
        <v>0</v>
      </c>
      <c r="E12" s="43">
        <f t="shared" ref="E12" si="33">E13/365</f>
        <v>0.54794520547945202</v>
      </c>
      <c r="F12" s="43">
        <f t="shared" ref="F12" si="34">F13/365</f>
        <v>1.095890410958904</v>
      </c>
      <c r="G12" s="43">
        <f t="shared" ref="G12" si="35">G13/365</f>
        <v>1.6438356164383561</v>
      </c>
      <c r="H12" s="43">
        <f t="shared" ref="H12" si="36">H13/365</f>
        <v>2.1917808219178081</v>
      </c>
      <c r="I12" s="43">
        <f t="shared" ref="I12" si="37">I13/365</f>
        <v>2.7397260273972601</v>
      </c>
      <c r="J12" s="43">
        <f t="shared" ref="J12" si="38">J13/365</f>
        <v>3.2876712328767121</v>
      </c>
      <c r="K12" s="43">
        <f t="shared" ref="K12" si="39">K13/365</f>
        <v>3.8356164383561642</v>
      </c>
      <c r="L12" s="43">
        <f t="shared" ref="L12" si="40">L13/365</f>
        <v>4.3835616438356162</v>
      </c>
      <c r="M12" s="43">
        <f t="shared" ref="M12" si="41">M13/365</f>
        <v>4.9315068493150687</v>
      </c>
      <c r="N12" s="43">
        <f t="shared" ref="N12" si="42">N13/365</f>
        <v>5.4794520547945202</v>
      </c>
      <c r="O12" s="43">
        <f t="shared" ref="O12" si="43">O13/365</f>
        <v>6.0273972602739727</v>
      </c>
      <c r="P12" s="43">
        <f t="shared" ref="P12" si="44">P13/365</f>
        <v>6.5753424657534243</v>
      </c>
      <c r="Q12" s="43">
        <f t="shared" ref="Q12" si="45">Q13/365</f>
        <v>7.1232876712328768</v>
      </c>
      <c r="R12" s="43">
        <f t="shared" ref="R12" si="46">R13/365</f>
        <v>7.6712328767123283</v>
      </c>
      <c r="S12" s="43">
        <f t="shared" ref="S12" si="47">S13/365</f>
        <v>8.2191780821917817</v>
      </c>
      <c r="T12" s="43">
        <f t="shared" ref="T12" si="48">T13/365</f>
        <v>8.7671232876712324</v>
      </c>
      <c r="U12" s="43">
        <f t="shared" ref="U12" si="49">U13/365</f>
        <v>9.3150684931506849</v>
      </c>
      <c r="V12" s="43">
        <f t="shared" ref="V12" si="50">V13/365</f>
        <v>9.8630136986301373</v>
      </c>
      <c r="W12" s="43">
        <f t="shared" ref="W12" si="51">W13/365</f>
        <v>10.41095890410959</v>
      </c>
      <c r="X12" s="43">
        <f t="shared" ref="X12" si="52">X13/365</f>
        <v>10.95890410958904</v>
      </c>
      <c r="Y12" s="43">
        <f t="shared" ref="Y12" si="53">Y13/365</f>
        <v>11.506849315068493</v>
      </c>
      <c r="Z12" s="43">
        <f t="shared" ref="Z12" si="54">Z13/365</f>
        <v>12.054794520547945</v>
      </c>
      <c r="AA12" s="43">
        <f t="shared" ref="AA12" si="55">AA13/365</f>
        <v>12.602739726027398</v>
      </c>
      <c r="AB12" s="43">
        <f t="shared" ref="AB12" si="56">AB13/365</f>
        <v>13.150684931506849</v>
      </c>
      <c r="AC12" s="43">
        <f t="shared" ref="AC12" si="57">AC13/365</f>
        <v>13.698630136986301</v>
      </c>
      <c r="AD12" s="43">
        <f t="shared" ref="AD12" si="58">AD13/365</f>
        <v>14.246575342465754</v>
      </c>
      <c r="AE12" s="43">
        <f t="shared" ref="AE12" si="59">AE13/365</f>
        <v>14.794520547945206</v>
      </c>
      <c r="AF12" s="43">
        <f t="shared" ref="AF12" si="60">AF13/365</f>
        <v>15.342465753424657</v>
      </c>
      <c r="AG12" s="43">
        <f t="shared" ref="AG12" si="61">AG13/365</f>
        <v>15.890410958904109</v>
      </c>
      <c r="AH12" s="43">
        <f t="shared" ref="AH12" si="62">AH13/365</f>
        <v>16.438356164383563</v>
      </c>
      <c r="AI12" s="43">
        <f t="shared" ref="AI12" si="63">AI13/365</f>
        <v>16.986301369863014</v>
      </c>
      <c r="AJ12" s="43">
        <f t="shared" ref="AJ12" si="64">AJ13/365</f>
        <v>17.534246575342465</v>
      </c>
      <c r="AK12" s="43">
        <f t="shared" ref="AK12" si="65">AK13/365</f>
        <v>18.082191780821919</v>
      </c>
      <c r="AL12" s="43">
        <f t="shared" ref="AL12" si="66">AL13/365</f>
        <v>18.63013698630137</v>
      </c>
      <c r="AM12" s="43">
        <f t="shared" ref="AM12" si="67">AM13/365</f>
        <v>19.17808219178082</v>
      </c>
      <c r="AN12" s="43">
        <f t="shared" ref="AN12" si="68">AN13/365</f>
        <v>19.726027397260275</v>
      </c>
      <c r="AO12" s="43">
        <f t="shared" ref="AO12" si="69">AO13/365</f>
        <v>20.273972602739725</v>
      </c>
      <c r="AP12" s="43">
        <f t="shared" ref="AP12" si="70">AP13/365</f>
        <v>20.82191780821918</v>
      </c>
      <c r="AQ12" s="43">
        <f t="shared" ref="AQ12" si="71">AQ13/365</f>
        <v>21.36986301369863</v>
      </c>
      <c r="AR12" s="44">
        <f t="shared" ref="AR12" si="72">AR13/365</f>
        <v>21.917808219178081</v>
      </c>
    </row>
    <row r="13" spans="2:44" ht="15.75" thickBot="1" x14ac:dyDescent="0.3">
      <c r="B13" s="10">
        <v>35</v>
      </c>
      <c r="C13" s="40" t="s">
        <v>49</v>
      </c>
      <c r="D13" s="7">
        <v>0</v>
      </c>
      <c r="E13" s="7">
        <f>D13+200</f>
        <v>200</v>
      </c>
      <c r="F13" s="7">
        <f t="shared" ref="F13:O13" si="73">E13+200</f>
        <v>400</v>
      </c>
      <c r="G13" s="7">
        <f t="shared" si="73"/>
        <v>600</v>
      </c>
      <c r="H13" s="7">
        <f t="shared" si="73"/>
        <v>800</v>
      </c>
      <c r="I13" s="7">
        <f t="shared" si="73"/>
        <v>1000</v>
      </c>
      <c r="J13" s="7">
        <f t="shared" si="73"/>
        <v>1200</v>
      </c>
      <c r="K13" s="7">
        <f t="shared" si="73"/>
        <v>1400</v>
      </c>
      <c r="L13" s="7">
        <f t="shared" si="73"/>
        <v>1600</v>
      </c>
      <c r="M13" s="7">
        <f t="shared" si="73"/>
        <v>1800</v>
      </c>
      <c r="N13" s="7">
        <f t="shared" si="73"/>
        <v>2000</v>
      </c>
      <c r="O13" s="7">
        <f t="shared" si="73"/>
        <v>2200</v>
      </c>
      <c r="P13" s="7">
        <f>O13+200</f>
        <v>2400</v>
      </c>
      <c r="Q13" s="7">
        <f t="shared" ref="Q13:V13" si="74">P13+200</f>
        <v>2600</v>
      </c>
      <c r="R13" s="7">
        <f t="shared" si="74"/>
        <v>2800</v>
      </c>
      <c r="S13" s="7">
        <f t="shared" si="74"/>
        <v>3000</v>
      </c>
      <c r="T13" s="7">
        <f t="shared" si="74"/>
        <v>3200</v>
      </c>
      <c r="U13" s="7">
        <f t="shared" si="74"/>
        <v>3400</v>
      </c>
      <c r="V13" s="7">
        <f t="shared" si="74"/>
        <v>3600</v>
      </c>
      <c r="W13" s="7">
        <f>V13+200</f>
        <v>3800</v>
      </c>
      <c r="X13" s="7">
        <f t="shared" ref="X13:AR13" si="75">W13+200</f>
        <v>4000</v>
      </c>
      <c r="Y13" s="7">
        <f t="shared" si="75"/>
        <v>4200</v>
      </c>
      <c r="Z13" s="7">
        <f t="shared" si="75"/>
        <v>4400</v>
      </c>
      <c r="AA13" s="7">
        <f t="shared" si="75"/>
        <v>4600</v>
      </c>
      <c r="AB13" s="7">
        <f t="shared" si="75"/>
        <v>4800</v>
      </c>
      <c r="AC13" s="7">
        <f t="shared" si="75"/>
        <v>5000</v>
      </c>
      <c r="AD13" s="7">
        <f t="shared" si="75"/>
        <v>5200</v>
      </c>
      <c r="AE13" s="7">
        <f t="shared" si="75"/>
        <v>5400</v>
      </c>
      <c r="AF13" s="7">
        <f t="shared" si="75"/>
        <v>5600</v>
      </c>
      <c r="AG13" s="7">
        <f t="shared" si="75"/>
        <v>5800</v>
      </c>
      <c r="AH13" s="7">
        <f t="shared" si="75"/>
        <v>6000</v>
      </c>
      <c r="AI13" s="7">
        <f t="shared" si="75"/>
        <v>6200</v>
      </c>
      <c r="AJ13" s="7">
        <f t="shared" si="75"/>
        <v>6400</v>
      </c>
      <c r="AK13" s="7">
        <f t="shared" si="75"/>
        <v>6600</v>
      </c>
      <c r="AL13" s="7">
        <f t="shared" si="75"/>
        <v>6800</v>
      </c>
      <c r="AM13" s="7">
        <f t="shared" si="75"/>
        <v>7000</v>
      </c>
      <c r="AN13" s="7">
        <f t="shared" si="75"/>
        <v>7200</v>
      </c>
      <c r="AO13" s="7">
        <f t="shared" si="75"/>
        <v>7400</v>
      </c>
      <c r="AP13" s="7">
        <f t="shared" si="75"/>
        <v>7600</v>
      </c>
      <c r="AQ13" s="7">
        <f t="shared" si="75"/>
        <v>7800</v>
      </c>
      <c r="AR13" s="8">
        <f t="shared" si="75"/>
        <v>8000</v>
      </c>
    </row>
    <row r="14" spans="2:44" x14ac:dyDescent="0.25">
      <c r="B14" s="140" t="s">
        <v>0</v>
      </c>
      <c r="C14" s="41">
        <v>0</v>
      </c>
      <c r="D14" s="33">
        <v>1</v>
      </c>
      <c r="E14" s="33">
        <v>1</v>
      </c>
      <c r="F14" s="33">
        <v>1</v>
      </c>
      <c r="G14" s="33">
        <v>1</v>
      </c>
      <c r="H14" s="33">
        <v>1</v>
      </c>
      <c r="I14" s="33">
        <v>1</v>
      </c>
      <c r="J14" s="33">
        <v>1</v>
      </c>
      <c r="K14" s="33">
        <v>1</v>
      </c>
      <c r="L14" s="33">
        <v>1</v>
      </c>
      <c r="M14" s="33">
        <v>1</v>
      </c>
      <c r="N14" s="33">
        <v>1</v>
      </c>
      <c r="O14" s="33">
        <v>1</v>
      </c>
      <c r="P14" s="33">
        <v>1</v>
      </c>
      <c r="Q14" s="33">
        <v>1</v>
      </c>
      <c r="R14" s="33">
        <v>1</v>
      </c>
      <c r="S14" s="33">
        <v>1</v>
      </c>
      <c r="T14" s="33">
        <v>1</v>
      </c>
      <c r="U14" s="33">
        <v>1</v>
      </c>
      <c r="V14" s="33">
        <v>1</v>
      </c>
      <c r="W14" s="33">
        <v>1</v>
      </c>
      <c r="X14" s="33">
        <v>1</v>
      </c>
      <c r="Y14" s="33">
        <v>1</v>
      </c>
      <c r="Z14" s="33">
        <v>1</v>
      </c>
      <c r="AA14" s="33">
        <v>1</v>
      </c>
      <c r="AB14" s="33">
        <v>1</v>
      </c>
      <c r="AC14" s="33">
        <v>1</v>
      </c>
      <c r="AD14" s="33">
        <v>1</v>
      </c>
      <c r="AE14" s="33">
        <v>1</v>
      </c>
      <c r="AF14" s="33">
        <v>1</v>
      </c>
      <c r="AG14" s="33">
        <v>1</v>
      </c>
      <c r="AH14" s="33">
        <v>1</v>
      </c>
      <c r="AI14" s="33">
        <v>1</v>
      </c>
      <c r="AJ14" s="33">
        <v>1</v>
      </c>
      <c r="AK14" s="33">
        <v>1</v>
      </c>
      <c r="AL14" s="33">
        <v>1</v>
      </c>
      <c r="AM14" s="33">
        <v>1</v>
      </c>
      <c r="AN14" s="33">
        <v>1</v>
      </c>
      <c r="AO14" s="33">
        <v>1</v>
      </c>
      <c r="AP14" s="33">
        <v>1</v>
      </c>
      <c r="AQ14" s="33">
        <v>1</v>
      </c>
      <c r="AR14" s="34">
        <v>1</v>
      </c>
    </row>
    <row r="15" spans="2:44" x14ac:dyDescent="0.25">
      <c r="B15" s="140"/>
      <c r="C15" s="41">
        <v>0.15</v>
      </c>
      <c r="D15" s="33">
        <v>1</v>
      </c>
      <c r="E15" s="33">
        <v>0.99038461538461542</v>
      </c>
      <c r="F15" s="33">
        <v>0.98461538461538467</v>
      </c>
      <c r="G15" s="33">
        <v>0.98076923076923073</v>
      </c>
      <c r="H15" s="33">
        <v>0.97889999999999999</v>
      </c>
      <c r="I15" s="33">
        <v>0.97489999999999999</v>
      </c>
      <c r="J15" s="33">
        <v>0.97089999999999999</v>
      </c>
      <c r="K15" s="33">
        <v>0.96689999999999998</v>
      </c>
      <c r="L15" s="33">
        <v>0.96289999999999998</v>
      </c>
      <c r="M15" s="33">
        <v>0.95889999999999997</v>
      </c>
      <c r="N15" s="33">
        <v>0.95489999999999997</v>
      </c>
      <c r="O15" s="33">
        <v>0.95089999999999997</v>
      </c>
      <c r="P15" s="33">
        <v>0.94689999999999996</v>
      </c>
      <c r="Q15" s="33">
        <v>0.94289999999999996</v>
      </c>
      <c r="R15" s="33">
        <v>0.93889999999999996</v>
      </c>
      <c r="S15" s="33">
        <v>0.93489999999999995</v>
      </c>
      <c r="T15" s="33">
        <v>0.93090000000000006</v>
      </c>
      <c r="U15" s="33">
        <v>0.92690000000000006</v>
      </c>
      <c r="V15" s="33">
        <v>0.92290000000000005</v>
      </c>
      <c r="W15" s="33">
        <v>0.91890000000000005</v>
      </c>
      <c r="X15" s="33">
        <v>0.91490000000000005</v>
      </c>
      <c r="Y15" s="33">
        <v>0.91090000000000004</v>
      </c>
      <c r="Z15" s="33">
        <v>0.90690000000000004</v>
      </c>
      <c r="AA15" s="33">
        <v>0.90290000000000004</v>
      </c>
      <c r="AB15" s="33">
        <v>0.89890000000000003</v>
      </c>
      <c r="AC15" s="33">
        <v>0.89490000000000003</v>
      </c>
      <c r="AD15" s="33">
        <v>0.89090000000000003</v>
      </c>
      <c r="AE15" s="33">
        <v>0.88690000000000002</v>
      </c>
      <c r="AF15" s="33">
        <v>0.88290000000000002</v>
      </c>
      <c r="AG15" s="33">
        <v>0.87890000000000001</v>
      </c>
      <c r="AH15" s="33">
        <v>0.87490000000000001</v>
      </c>
      <c r="AI15" s="33">
        <v>0.87090000000000001</v>
      </c>
      <c r="AJ15" s="33">
        <v>0.8669</v>
      </c>
      <c r="AK15" s="33">
        <v>0.8629</v>
      </c>
      <c r="AL15" s="33">
        <v>0.8589</v>
      </c>
      <c r="AM15" s="33">
        <v>0.85489999999999999</v>
      </c>
      <c r="AN15" s="33">
        <v>0.85089999999999999</v>
      </c>
      <c r="AO15" s="33">
        <v>0.84689999999999999</v>
      </c>
      <c r="AP15" s="33">
        <v>0.84289999999999998</v>
      </c>
      <c r="AQ15" s="33">
        <v>0.83889999999999998</v>
      </c>
      <c r="AR15" s="34">
        <v>0.83489999999999998</v>
      </c>
    </row>
    <row r="16" spans="2:44" x14ac:dyDescent="0.25">
      <c r="B16" s="140"/>
      <c r="C16" s="41">
        <v>0.9</v>
      </c>
      <c r="D16" s="35">
        <v>0.99038461538461542</v>
      </c>
      <c r="E16" s="33">
        <v>0.95884615384615379</v>
      </c>
      <c r="F16" s="33">
        <v>0.9538461538461539</v>
      </c>
      <c r="G16" s="33">
        <v>0.91461538461538461</v>
      </c>
      <c r="H16" s="33">
        <v>0.90670000000000006</v>
      </c>
      <c r="I16" s="33">
        <v>0.88670000000000004</v>
      </c>
      <c r="J16" s="33">
        <v>0.86670000000000003</v>
      </c>
      <c r="K16" s="33">
        <v>0.84670000000000001</v>
      </c>
      <c r="L16" s="33">
        <v>0.82669999999999999</v>
      </c>
      <c r="M16" s="33">
        <v>0.80669999999999997</v>
      </c>
      <c r="N16" s="33">
        <v>0.78669999999999995</v>
      </c>
      <c r="O16" s="33">
        <v>0.76670000000000005</v>
      </c>
      <c r="P16" s="33">
        <v>0.74670000000000003</v>
      </c>
      <c r="Q16" s="33">
        <v>0.72670000000000001</v>
      </c>
      <c r="R16" s="33">
        <v>0.70669999999999999</v>
      </c>
      <c r="S16" s="33">
        <v>0.68670000000000009</v>
      </c>
      <c r="T16" s="33">
        <v>0.66670000000000007</v>
      </c>
      <c r="U16" s="33">
        <v>0.64670000000000005</v>
      </c>
      <c r="V16" s="33">
        <v>0.62670000000000003</v>
      </c>
      <c r="W16" s="33">
        <v>0.60670000000000002</v>
      </c>
      <c r="X16" s="33">
        <v>0.5867</v>
      </c>
      <c r="Y16" s="33">
        <v>0.56669999999999998</v>
      </c>
      <c r="Z16" s="33">
        <v>0.54669999999999996</v>
      </c>
      <c r="AA16" s="33">
        <v>0.52669999999999995</v>
      </c>
      <c r="AB16" s="33">
        <v>0.50669999999999993</v>
      </c>
      <c r="AC16" s="33">
        <v>0.48670000000000002</v>
      </c>
      <c r="AD16" s="33">
        <v>0.4667</v>
      </c>
      <c r="AE16" s="33">
        <v>0.44669999999999999</v>
      </c>
      <c r="AF16" s="33">
        <v>0.42669999999999997</v>
      </c>
      <c r="AG16" s="33">
        <v>0.40669999999999995</v>
      </c>
      <c r="AH16" s="33">
        <v>0.38670000000000004</v>
      </c>
      <c r="AI16" s="33">
        <v>0.36670000000000003</v>
      </c>
      <c r="AJ16" s="33">
        <v>0.34670000000000001</v>
      </c>
      <c r="AK16" s="33">
        <v>0.32669999999999999</v>
      </c>
      <c r="AL16" s="33">
        <v>0.30669999999999997</v>
      </c>
      <c r="AM16" s="33">
        <v>0.28669999999999995</v>
      </c>
      <c r="AN16" s="33">
        <v>0.26669999999999994</v>
      </c>
      <c r="AO16" s="33">
        <v>0.24670000000000003</v>
      </c>
      <c r="AP16" s="33">
        <v>0.22670000000000001</v>
      </c>
      <c r="AQ16" s="33">
        <v>0.20669999999999999</v>
      </c>
      <c r="AR16" s="34">
        <v>0.18669999999999998</v>
      </c>
    </row>
    <row r="17" spans="1:44" ht="15.75" thickBot="1" x14ac:dyDescent="0.3">
      <c r="B17" s="141"/>
      <c r="C17" s="42">
        <v>1</v>
      </c>
      <c r="D17" s="37">
        <f>FORECAST(C17,D14:D16,C14:C16)</f>
        <v>0.98940239867659241</v>
      </c>
      <c r="E17" s="37">
        <f t="shared" ref="E17:AR17" si="76">FORECAST(D17,E14:E16,D14:D16)</f>
        <v>0.95513337468982673</v>
      </c>
      <c r="F17" s="37">
        <f t="shared" si="76"/>
        <v>0.94916223071088623</v>
      </c>
      <c r="G17" s="37">
        <f t="shared" si="76"/>
        <v>0.90772740923022122</v>
      </c>
      <c r="H17" s="37">
        <f t="shared" si="76"/>
        <v>0.89916401473620222</v>
      </c>
      <c r="I17" s="37">
        <f t="shared" si="76"/>
        <v>0.8776062503902361</v>
      </c>
      <c r="J17" s="37">
        <f t="shared" si="76"/>
        <v>0.85604701805316952</v>
      </c>
      <c r="K17" s="37">
        <f t="shared" si="76"/>
        <v>0.83448691565314914</v>
      </c>
      <c r="L17" s="37">
        <f t="shared" si="76"/>
        <v>0.81292625562767995</v>
      </c>
      <c r="M17" s="37">
        <f t="shared" si="76"/>
        <v>0.79136521697144446</v>
      </c>
      <c r="N17" s="37">
        <f t="shared" si="76"/>
        <v>0.76980390954400479</v>
      </c>
      <c r="O17" s="37">
        <f t="shared" si="76"/>
        <v>0.74824240448441792</v>
      </c>
      <c r="P17" s="37">
        <f t="shared" si="76"/>
        <v>0.72668074987793407</v>
      </c>
      <c r="Q17" s="37">
        <f t="shared" si="76"/>
        <v>0.70511897938961676</v>
      </c>
      <c r="R17" s="37">
        <f t="shared" si="76"/>
        <v>0.68355711729024426</v>
      </c>
      <c r="S17" s="37">
        <f t="shared" si="76"/>
        <v>0.66199518151805625</v>
      </c>
      <c r="T17" s="37">
        <f t="shared" si="76"/>
        <v>0.64043318561678531</v>
      </c>
      <c r="U17" s="37">
        <f t="shared" si="76"/>
        <v>0.61887114000323806</v>
      </c>
      <c r="V17" s="37">
        <f t="shared" si="76"/>
        <v>0.59730905282018598</v>
      </c>
      <c r="W17" s="37">
        <f t="shared" si="76"/>
        <v>0.57574693052461667</v>
      </c>
      <c r="X17" s="37">
        <f t="shared" si="76"/>
        <v>0.55418477830240997</v>
      </c>
      <c r="Y17" s="37">
        <f t="shared" si="76"/>
        <v>0.53262260036637799</v>
      </c>
      <c r="Z17" s="37">
        <f t="shared" si="76"/>
        <v>0.51106040017421983</v>
      </c>
      <c r="AA17" s="37">
        <f t="shared" si="76"/>
        <v>0.48949818059041728</v>
      </c>
      <c r="AB17" s="37">
        <f t="shared" si="76"/>
        <v>0.46793594400819838</v>
      </c>
      <c r="AC17" s="37">
        <f t="shared" si="76"/>
        <v>0.44637369244260355</v>
      </c>
      <c r="AD17" s="37">
        <f t="shared" si="76"/>
        <v>0.42481142760233798</v>
      </c>
      <c r="AE17" s="37">
        <f t="shared" si="76"/>
        <v>0.40324915094584546</v>
      </c>
      <c r="AF17" s="37">
        <f t="shared" si="76"/>
        <v>0.38168686372550076</v>
      </c>
      <c r="AG17" s="37">
        <f t="shared" si="76"/>
        <v>0.36012456702275875</v>
      </c>
      <c r="AH17" s="37">
        <f t="shared" si="76"/>
        <v>0.33856226177634691</v>
      </c>
      <c r="AI17" s="37">
        <f t="shared" si="76"/>
        <v>0.31699994880505661</v>
      </c>
      <c r="AJ17" s="37">
        <f t="shared" si="76"/>
        <v>0.29543762882630326</v>
      </c>
      <c r="AK17" s="37">
        <f t="shared" si="76"/>
        <v>0.27387530247134223</v>
      </c>
      <c r="AL17" s="37">
        <f t="shared" si="76"/>
        <v>0.25231297029782601</v>
      </c>
      <c r="AM17" s="37">
        <f t="shared" si="76"/>
        <v>0.23075063280022629</v>
      </c>
      <c r="AN17" s="37">
        <f t="shared" si="76"/>
        <v>0.20918829041853448</v>
      </c>
      <c r="AO17" s="37">
        <f t="shared" si="76"/>
        <v>0.18762594354556375</v>
      </c>
      <c r="AP17" s="37">
        <f t="shared" si="76"/>
        <v>0.16606359253310612</v>
      </c>
      <c r="AQ17" s="37">
        <f t="shared" si="76"/>
        <v>0.14450123769715126</v>
      </c>
      <c r="AR17" s="38">
        <f t="shared" si="76"/>
        <v>0.12293887932232747</v>
      </c>
    </row>
    <row r="18" spans="1:44" x14ac:dyDescent="0.25">
      <c r="B18" s="1"/>
      <c r="D18" s="46"/>
      <c r="E18" s="46"/>
      <c r="F18" s="46"/>
      <c r="G18" s="46"/>
    </row>
    <row r="19" spans="1:44" ht="15.75" thickBot="1" x14ac:dyDescent="0.3">
      <c r="B19" s="1"/>
      <c r="D19" s="46"/>
      <c r="E19" s="46"/>
      <c r="F19" s="46"/>
      <c r="G19" s="46"/>
    </row>
    <row r="20" spans="1:44" ht="15.75" thickBot="1" x14ac:dyDescent="0.3">
      <c r="B20" s="142" t="s">
        <v>152</v>
      </c>
      <c r="C20" s="143"/>
      <c r="D20" s="143"/>
      <c r="E20" s="144"/>
      <c r="F20" s="46"/>
      <c r="G20" s="137" t="s">
        <v>63</v>
      </c>
      <c r="H20" s="138"/>
      <c r="I20" s="139"/>
    </row>
    <row r="21" spans="1:44" ht="15.75" thickBot="1" x14ac:dyDescent="0.3">
      <c r="B21" s="50" t="s">
        <v>7</v>
      </c>
      <c r="C21" s="51" t="s">
        <v>9</v>
      </c>
      <c r="D21" s="51" t="s">
        <v>5</v>
      </c>
      <c r="E21" s="52" t="s">
        <v>6</v>
      </c>
      <c r="F21" s="1"/>
      <c r="G21" s="53" t="s">
        <v>0</v>
      </c>
      <c r="H21" s="56" t="s">
        <v>53</v>
      </c>
      <c r="I21" s="57" t="s">
        <v>54</v>
      </c>
    </row>
    <row r="22" spans="1:44" x14ac:dyDescent="0.25">
      <c r="B22" s="25" t="s">
        <v>55</v>
      </c>
      <c r="C22" s="24" t="s">
        <v>56</v>
      </c>
      <c r="D22" s="24" t="s">
        <v>57</v>
      </c>
      <c r="E22" s="26">
        <v>31500</v>
      </c>
      <c r="F22" s="1"/>
      <c r="G22" s="54" t="s">
        <v>24</v>
      </c>
      <c r="H22" s="32">
        <v>2897.8</v>
      </c>
      <c r="I22" s="48">
        <v>2694.3</v>
      </c>
    </row>
    <row r="23" spans="1:44" ht="15.75" thickBot="1" x14ac:dyDescent="0.3">
      <c r="B23" s="47" t="s">
        <v>58</v>
      </c>
      <c r="C23" s="32" t="s">
        <v>162</v>
      </c>
      <c r="D23" s="32" t="s">
        <v>59</v>
      </c>
      <c r="E23" s="48">
        <v>8.3140000000000001</v>
      </c>
      <c r="F23" s="1"/>
      <c r="G23" s="55" t="s">
        <v>52</v>
      </c>
      <c r="H23" s="36">
        <v>7413.1</v>
      </c>
      <c r="I23" s="49">
        <v>6025.6</v>
      </c>
    </row>
    <row r="24" spans="1:44" x14ac:dyDescent="0.25">
      <c r="B24" s="47" t="s">
        <v>60</v>
      </c>
      <c r="C24" s="18"/>
      <c r="D24" s="32" t="s">
        <v>61</v>
      </c>
      <c r="E24" s="48">
        <v>152.6</v>
      </c>
      <c r="F24" s="1"/>
    </row>
    <row r="25" spans="1:44" ht="15.75" thickBot="1" x14ac:dyDescent="0.3">
      <c r="B25" s="97" t="s">
        <v>62</v>
      </c>
      <c r="C25" s="20"/>
      <c r="D25" s="36" t="s">
        <v>131</v>
      </c>
      <c r="E25" s="49">
        <v>0.4</v>
      </c>
      <c r="F25" s="1"/>
      <c r="G25" s="31"/>
    </row>
    <row r="26" spans="1:44" x14ac:dyDescent="0.25">
      <c r="B26" s="98"/>
      <c r="C26" s="91"/>
      <c r="D26" s="91"/>
      <c r="E26" s="99"/>
      <c r="F26" s="1"/>
      <c r="G26" s="31"/>
    </row>
    <row r="27" spans="1:44" x14ac:dyDescent="0.25">
      <c r="B27" s="90"/>
      <c r="C27" s="90"/>
      <c r="D27" s="90"/>
      <c r="E27" s="90"/>
      <c r="F27" s="1"/>
      <c r="G27" s="31"/>
    </row>
    <row r="28" spans="1:44" x14ac:dyDescent="0.25">
      <c r="B28" s="90"/>
      <c r="C28" s="90"/>
      <c r="D28" s="90"/>
      <c r="E28" s="90"/>
      <c r="F28" s="1"/>
      <c r="G28" s="31"/>
    </row>
    <row r="29" spans="1:44" x14ac:dyDescent="0.25">
      <c r="A29" s="31"/>
      <c r="B29" s="31"/>
      <c r="C29" s="31"/>
      <c r="D29" s="31"/>
      <c r="E29" s="31"/>
      <c r="F29" s="31"/>
      <c r="G29" s="31"/>
      <c r="H29" s="31"/>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c r="AJ29" s="31"/>
      <c r="AK29" s="31"/>
      <c r="AL29" s="31"/>
      <c r="AM29" s="31"/>
      <c r="AN29" s="31"/>
      <c r="AO29" s="31"/>
      <c r="AP29" s="31"/>
      <c r="AQ29" s="31"/>
      <c r="AR29" s="31"/>
    </row>
    <row r="30" spans="1:44" x14ac:dyDescent="0.25">
      <c r="B30" s="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31"/>
      <c r="AE30" s="31"/>
      <c r="AF30" s="31"/>
      <c r="AG30" s="31"/>
      <c r="AH30" s="31"/>
      <c r="AI30" s="31"/>
      <c r="AJ30" s="31"/>
      <c r="AK30" s="31"/>
      <c r="AL30" s="31"/>
      <c r="AM30" s="31"/>
      <c r="AN30" s="31"/>
      <c r="AO30" s="31"/>
      <c r="AP30" s="31"/>
      <c r="AQ30" s="31"/>
      <c r="AR30" s="31"/>
    </row>
    <row r="31" spans="1:44" x14ac:dyDescent="0.25">
      <c r="B31" s="1"/>
      <c r="D31" s="1"/>
      <c r="E31" s="31"/>
      <c r="F31" s="1"/>
      <c r="G31" s="31"/>
    </row>
    <row r="32" spans="1:44" x14ac:dyDescent="0.25">
      <c r="B32" s="1"/>
      <c r="D32" s="1"/>
      <c r="E32" s="31"/>
      <c r="F32" s="1"/>
      <c r="G32" s="31"/>
    </row>
    <row r="33" spans="2:7" x14ac:dyDescent="0.25">
      <c r="B33" s="1"/>
      <c r="D33" s="1"/>
      <c r="E33" s="31"/>
      <c r="F33" s="1"/>
      <c r="G33" s="31"/>
    </row>
    <row r="34" spans="2:7" x14ac:dyDescent="0.25">
      <c r="B34" s="1"/>
      <c r="D34" s="1"/>
      <c r="E34" s="31"/>
      <c r="F34" s="1"/>
      <c r="G34" s="31"/>
    </row>
    <row r="35" spans="2:7" x14ac:dyDescent="0.25">
      <c r="B35" s="1"/>
      <c r="D35" s="1"/>
      <c r="E35" s="31"/>
      <c r="F35" s="1"/>
      <c r="G35" s="31"/>
    </row>
    <row r="36" spans="2:7" x14ac:dyDescent="0.25">
      <c r="B36" s="1"/>
      <c r="D36" s="1"/>
      <c r="E36" s="31"/>
      <c r="F36" s="1"/>
      <c r="G36" s="31"/>
    </row>
    <row r="37" spans="2:7" x14ac:dyDescent="0.25">
      <c r="B37" s="1"/>
      <c r="D37" s="1"/>
      <c r="E37" s="31"/>
      <c r="F37" s="1"/>
      <c r="G37" s="31"/>
    </row>
    <row r="38" spans="2:7" x14ac:dyDescent="0.25">
      <c r="B38" s="1"/>
      <c r="D38" s="1"/>
      <c r="E38" s="31"/>
      <c r="F38" s="1"/>
      <c r="G38" s="31"/>
    </row>
    <row r="39" spans="2:7" x14ac:dyDescent="0.25">
      <c r="B39" s="1"/>
      <c r="D39" s="1"/>
      <c r="E39" s="31"/>
      <c r="F39" s="1"/>
      <c r="G39" s="31"/>
    </row>
    <row r="40" spans="2:7" x14ac:dyDescent="0.25">
      <c r="B40" s="1"/>
      <c r="D40" s="1"/>
      <c r="E40" s="31"/>
      <c r="F40" s="1"/>
      <c r="G40" s="31"/>
    </row>
    <row r="41" spans="2:7" x14ac:dyDescent="0.25">
      <c r="B41" s="1"/>
      <c r="D41" s="1"/>
      <c r="E41" s="31"/>
      <c r="F41" s="1"/>
      <c r="G41" s="31"/>
    </row>
    <row r="42" spans="2:7" x14ac:dyDescent="0.25">
      <c r="B42" s="1"/>
      <c r="D42" s="1"/>
      <c r="E42" s="31"/>
      <c r="F42" s="1"/>
      <c r="G42" s="31"/>
    </row>
    <row r="43" spans="2:7" x14ac:dyDescent="0.25">
      <c r="B43" s="1"/>
      <c r="D43" s="1"/>
      <c r="E43" s="31"/>
      <c r="F43" s="1"/>
      <c r="G43" s="31"/>
    </row>
    <row r="44" spans="2:7" x14ac:dyDescent="0.25">
      <c r="B44" s="1"/>
      <c r="D44" s="1"/>
      <c r="E44" s="31"/>
      <c r="F44" s="1"/>
      <c r="G44" s="31"/>
    </row>
    <row r="45" spans="2:7" x14ac:dyDescent="0.25">
      <c r="B45" s="1"/>
      <c r="D45" s="1"/>
      <c r="E45" s="31"/>
      <c r="F45" s="1"/>
      <c r="G45" s="31"/>
    </row>
    <row r="46" spans="2:7" x14ac:dyDescent="0.25">
      <c r="B46" s="1"/>
      <c r="D46" s="1"/>
      <c r="E46" s="31"/>
      <c r="F46" s="1"/>
      <c r="G46" s="31"/>
    </row>
    <row r="47" spans="2:7" x14ac:dyDescent="0.25">
      <c r="B47" s="1"/>
      <c r="D47" s="1"/>
      <c r="E47" s="31"/>
    </row>
  </sheetData>
  <mergeCells count="6">
    <mergeCell ref="G20:I20"/>
    <mergeCell ref="B7:B10"/>
    <mergeCell ref="B14:B17"/>
    <mergeCell ref="B20:E20"/>
    <mergeCell ref="B4:E4"/>
    <mergeCell ref="B11:AR11"/>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2EA672-4284-4A9C-92FB-B2B9776B4AEA}">
  <sheetPr codeName="Sheet3"/>
  <dimension ref="A1:E19"/>
  <sheetViews>
    <sheetView workbookViewId="0">
      <selection activeCell="D13" sqref="D13"/>
    </sheetView>
  </sheetViews>
  <sheetFormatPr defaultRowHeight="15" x14ac:dyDescent="0.25"/>
  <cols>
    <col min="1" max="1" width="3.28515625" customWidth="1"/>
    <col min="2" max="3" width="10" customWidth="1"/>
    <col min="4" max="4" width="48.7109375" bestFit="1" customWidth="1"/>
    <col min="5" max="5" width="12" customWidth="1"/>
    <col min="6" max="6" width="4.42578125" customWidth="1"/>
    <col min="7" max="7" width="10" bestFit="1" customWidth="1"/>
    <col min="8" max="8" width="7.7109375" customWidth="1"/>
    <col min="9" max="9" width="48.7109375" bestFit="1" customWidth="1"/>
    <col min="10" max="10" width="10.85546875" customWidth="1"/>
  </cols>
  <sheetData>
    <row r="1" spans="1:5" ht="15.75" thickBot="1" x14ac:dyDescent="0.3"/>
    <row r="2" spans="1:5" ht="15.75" thickBot="1" x14ac:dyDescent="0.3">
      <c r="B2" s="129" t="s">
        <v>4</v>
      </c>
      <c r="C2" s="130"/>
      <c r="D2" s="130"/>
      <c r="E2" s="131"/>
    </row>
    <row r="3" spans="1:5" ht="15.75" thickBot="1" x14ac:dyDescent="0.3">
      <c r="B3" s="21" t="s">
        <v>7</v>
      </c>
      <c r="C3" s="22" t="s">
        <v>9</v>
      </c>
      <c r="D3" s="22" t="s">
        <v>5</v>
      </c>
      <c r="E3" s="23" t="s">
        <v>6</v>
      </c>
    </row>
    <row r="4" spans="1:5" x14ac:dyDescent="0.25">
      <c r="B4" s="25" t="s">
        <v>8</v>
      </c>
      <c r="C4" s="24" t="s">
        <v>10</v>
      </c>
      <c r="D4" s="24" t="s">
        <v>11</v>
      </c>
      <c r="E4" s="67">
        <v>1.2250000000000001</v>
      </c>
    </row>
    <row r="5" spans="1:5" x14ac:dyDescent="0.25">
      <c r="B5" s="17" t="s">
        <v>13</v>
      </c>
      <c r="C5" s="18" t="s">
        <v>12</v>
      </c>
      <c r="D5" s="18" t="s">
        <v>35</v>
      </c>
      <c r="E5" s="66">
        <v>2.13</v>
      </c>
    </row>
    <row r="6" spans="1:5" x14ac:dyDescent="0.25">
      <c r="B6" s="17" t="s">
        <v>14</v>
      </c>
      <c r="C6" s="18"/>
      <c r="D6" s="18" t="s">
        <v>17</v>
      </c>
      <c r="E6" s="66">
        <v>0.35</v>
      </c>
    </row>
    <row r="7" spans="1:5" x14ac:dyDescent="0.25">
      <c r="B7" s="17" t="s">
        <v>15</v>
      </c>
      <c r="C7" s="18"/>
      <c r="D7" s="18" t="s">
        <v>16</v>
      </c>
      <c r="E7" s="66">
        <v>1.4999999999999999E-2</v>
      </c>
    </row>
    <row r="8" spans="1:5" x14ac:dyDescent="0.25">
      <c r="B8" s="17" t="s">
        <v>18</v>
      </c>
      <c r="C8" s="18" t="s">
        <v>19</v>
      </c>
      <c r="D8" s="18" t="s">
        <v>23</v>
      </c>
      <c r="E8" s="66">
        <v>1100</v>
      </c>
    </row>
    <row r="9" spans="1:5" x14ac:dyDescent="0.25">
      <c r="B9" s="17" t="s">
        <v>20</v>
      </c>
      <c r="C9" s="18" t="s">
        <v>21</v>
      </c>
      <c r="D9" s="18" t="s">
        <v>22</v>
      </c>
      <c r="E9" s="66">
        <v>9.81</v>
      </c>
    </row>
    <row r="10" spans="1:5" x14ac:dyDescent="0.25">
      <c r="B10" s="17" t="s">
        <v>137</v>
      </c>
      <c r="C10" s="18" t="s">
        <v>25</v>
      </c>
      <c r="D10" s="18" t="s">
        <v>26</v>
      </c>
      <c r="E10" s="92">
        <v>0</v>
      </c>
    </row>
    <row r="11" spans="1:5" x14ac:dyDescent="0.25">
      <c r="B11" s="17" t="s">
        <v>27</v>
      </c>
      <c r="C11" s="18" t="s">
        <v>29</v>
      </c>
      <c r="D11" s="18" t="s">
        <v>28</v>
      </c>
      <c r="E11" s="66">
        <v>0</v>
      </c>
    </row>
    <row r="12" spans="1:5" ht="15.75" thickBot="1" x14ac:dyDescent="0.3">
      <c r="B12" s="19" t="s">
        <v>33</v>
      </c>
      <c r="C12" s="20"/>
      <c r="D12" s="20" t="s">
        <v>34</v>
      </c>
      <c r="E12" s="68">
        <v>1.3</v>
      </c>
    </row>
    <row r="13" spans="1:5" x14ac:dyDescent="0.25">
      <c r="A13" s="29"/>
      <c r="B13" s="29"/>
      <c r="C13" s="29"/>
      <c r="D13" s="29"/>
      <c r="E13" s="29"/>
    </row>
    <row r="14" spans="1:5" ht="15.75" thickBot="1" x14ac:dyDescent="0.3">
      <c r="A14" s="29"/>
      <c r="B14" s="94"/>
      <c r="C14" s="29"/>
      <c r="D14" s="29"/>
      <c r="E14" s="93"/>
    </row>
    <row r="15" spans="1:5" ht="15.75" thickBot="1" x14ac:dyDescent="0.3">
      <c r="A15" s="29"/>
      <c r="B15" s="129" t="s">
        <v>31</v>
      </c>
      <c r="C15" s="130"/>
      <c r="D15" s="130"/>
      <c r="E15" s="131"/>
    </row>
    <row r="16" spans="1:5" ht="15.75" thickBot="1" x14ac:dyDescent="0.3">
      <c r="B16" s="21" t="s">
        <v>7</v>
      </c>
      <c r="C16" s="22" t="s">
        <v>9</v>
      </c>
      <c r="D16" s="22" t="s">
        <v>5</v>
      </c>
      <c r="E16" s="23" t="s">
        <v>6</v>
      </c>
    </row>
    <row r="17" spans="2:5" x14ac:dyDescent="0.25">
      <c r="B17" s="25" t="s">
        <v>32</v>
      </c>
      <c r="C17" s="24"/>
      <c r="D17" s="24" t="s">
        <v>37</v>
      </c>
      <c r="E17" s="95">
        <v>0.9</v>
      </c>
    </row>
    <row r="18" spans="2:5" x14ac:dyDescent="0.25">
      <c r="B18" s="17" t="s">
        <v>36</v>
      </c>
      <c r="C18" s="18"/>
      <c r="D18" s="18" t="s">
        <v>94</v>
      </c>
      <c r="E18" s="13">
        <v>0.98</v>
      </c>
    </row>
    <row r="19" spans="2:5" ht="15.75" thickBot="1" x14ac:dyDescent="0.3">
      <c r="B19" s="19" t="s">
        <v>165</v>
      </c>
      <c r="C19" s="20"/>
      <c r="D19" s="20" t="s">
        <v>38</v>
      </c>
      <c r="E19" s="14">
        <v>0.63</v>
      </c>
    </row>
  </sheetData>
  <mergeCells count="2">
    <mergeCell ref="B2:E2"/>
    <mergeCell ref="B15:E15"/>
  </mergeCell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FC0CC-2225-475B-B1CE-0EA3D2E004E5}">
  <sheetPr codeName="Sheet5"/>
  <dimension ref="B1:G16"/>
  <sheetViews>
    <sheetView workbookViewId="0">
      <selection activeCell="E20" sqref="E20"/>
    </sheetView>
  </sheetViews>
  <sheetFormatPr defaultRowHeight="15" x14ac:dyDescent="0.25"/>
  <cols>
    <col min="1" max="1" width="4.7109375" customWidth="1"/>
    <col min="2" max="2" width="13.28515625" customWidth="1"/>
    <col min="3" max="3" width="13.28515625" bestFit="1" customWidth="1"/>
    <col min="4" max="4" width="14.7109375" bestFit="1" customWidth="1"/>
    <col min="5" max="5" width="18" customWidth="1"/>
    <col min="6" max="6" width="16" bestFit="1" customWidth="1"/>
    <col min="7" max="7" width="12.28515625" bestFit="1" customWidth="1"/>
    <col min="8" max="8" width="13.28515625" bestFit="1" customWidth="1"/>
    <col min="9" max="9" width="30.28515625" bestFit="1" customWidth="1"/>
    <col min="10" max="10" width="14.28515625" bestFit="1" customWidth="1"/>
    <col min="11" max="11" width="16" bestFit="1" customWidth="1"/>
    <col min="12" max="12" width="12.28515625" bestFit="1" customWidth="1"/>
  </cols>
  <sheetData>
    <row r="1" spans="2:7" ht="15.75" thickBot="1" x14ac:dyDescent="0.3"/>
    <row r="2" spans="2:7" ht="15.75" thickBot="1" x14ac:dyDescent="0.3">
      <c r="B2" s="129" t="s">
        <v>100</v>
      </c>
      <c r="C2" s="130"/>
      <c r="D2" s="130"/>
      <c r="E2" s="131"/>
    </row>
    <row r="3" spans="2:7" ht="15.75" thickBot="1" x14ac:dyDescent="0.3">
      <c r="B3" s="21" t="s">
        <v>7</v>
      </c>
      <c r="C3" s="22" t="s">
        <v>9</v>
      </c>
      <c r="D3" s="22" t="s">
        <v>5</v>
      </c>
      <c r="E3" s="23" t="s">
        <v>6</v>
      </c>
    </row>
    <row r="4" spans="2:7" x14ac:dyDescent="0.25">
      <c r="B4" s="58" t="s">
        <v>112</v>
      </c>
      <c r="C4" s="59" t="s">
        <v>30</v>
      </c>
      <c r="D4" s="59" t="s">
        <v>113</v>
      </c>
      <c r="E4" s="84">
        <f>IF(Main!$E$19="Level 1", D13, IF(Main!$E$19="Level 2", D14, IF(Main!$E$19="DC Fast", D15, IF(Main!$E$19="Extreme Fast", D16, ""))))</f>
        <v>1.8</v>
      </c>
    </row>
    <row r="5" spans="2:7" x14ac:dyDescent="0.25">
      <c r="B5" s="58" t="s">
        <v>114</v>
      </c>
      <c r="C5" s="59" t="s">
        <v>40</v>
      </c>
      <c r="D5" s="73" t="s">
        <v>115</v>
      </c>
      <c r="E5" s="84">
        <f>IF(Main!$E$19="Level 1", E13, IF(Main!$E$19="Level 2", E14, IF(Main!$E$19="DC Fast", E15, IF(Main!$E$19="Extreme Fast", E16, ""))))</f>
        <v>120</v>
      </c>
    </row>
    <row r="6" spans="2:7" x14ac:dyDescent="0.25">
      <c r="B6" s="58" t="s">
        <v>126</v>
      </c>
      <c r="C6" s="59"/>
      <c r="D6" s="73" t="s">
        <v>128</v>
      </c>
      <c r="E6" s="84">
        <f>IF(Main!$E$19="Level 1", F13, IF(Main!$E$19="Level 2", F14, IF(Main!$E$19="DC Fast", F15, IF(Main!$E$19="Extreme Fast", F16, ""))))</f>
        <v>0.85</v>
      </c>
    </row>
    <row r="7" spans="2:7" ht="15.75" thickBot="1" x14ac:dyDescent="0.3">
      <c r="B7" s="103" t="s">
        <v>111</v>
      </c>
      <c r="C7" s="104" t="s">
        <v>109</v>
      </c>
      <c r="D7" s="104" t="s">
        <v>127</v>
      </c>
      <c r="E7" s="64">
        <f>IF(Main!$E$19="Level 1", G13, IF(Main!$E$19="Level 2", G14, IF(Main!$E$19="DC Fast", G15, IF(Main!$E$19="Extreme Fast", G16, ""))))</f>
        <v>0.13</v>
      </c>
    </row>
    <row r="9" spans="2:7" ht="15.75" thickBot="1" x14ac:dyDescent="0.3"/>
    <row r="10" spans="2:7" ht="15.75" thickBot="1" x14ac:dyDescent="0.3">
      <c r="B10" s="129" t="s">
        <v>132</v>
      </c>
      <c r="C10" s="130"/>
      <c r="D10" s="130"/>
      <c r="E10" s="130"/>
      <c r="F10" s="130"/>
      <c r="G10" s="131"/>
    </row>
    <row r="11" spans="2:7" ht="15.75" thickBot="1" x14ac:dyDescent="0.3">
      <c r="B11" s="16" t="s">
        <v>5</v>
      </c>
      <c r="C11" s="53" t="s">
        <v>122</v>
      </c>
      <c r="D11" s="51" t="s">
        <v>113</v>
      </c>
      <c r="E11" s="51" t="s">
        <v>115</v>
      </c>
      <c r="F11" s="78" t="s">
        <v>108</v>
      </c>
      <c r="G11" s="79" t="s">
        <v>127</v>
      </c>
    </row>
    <row r="12" spans="2:7" ht="15.75" thickBot="1" x14ac:dyDescent="0.3">
      <c r="B12" s="74" t="s">
        <v>120</v>
      </c>
      <c r="C12" s="9"/>
      <c r="D12" s="80" t="s">
        <v>30</v>
      </c>
      <c r="E12" s="80" t="s">
        <v>40</v>
      </c>
      <c r="F12" s="81"/>
      <c r="G12" s="82" t="s">
        <v>109</v>
      </c>
    </row>
    <row r="13" spans="2:7" x14ac:dyDescent="0.25">
      <c r="B13" s="76" t="s">
        <v>121</v>
      </c>
      <c r="C13" s="9" t="s">
        <v>116</v>
      </c>
      <c r="D13" s="18">
        <v>1.8</v>
      </c>
      <c r="E13" s="18">
        <v>120</v>
      </c>
      <c r="F13" s="18">
        <v>0.85</v>
      </c>
      <c r="G13" s="13">
        <v>0.13</v>
      </c>
    </row>
    <row r="14" spans="2:7" x14ac:dyDescent="0.25">
      <c r="B14" s="76"/>
      <c r="C14" s="75" t="s">
        <v>117</v>
      </c>
      <c r="D14" s="18">
        <v>7.6</v>
      </c>
      <c r="E14" s="18">
        <v>240</v>
      </c>
      <c r="F14" s="18">
        <v>0.85</v>
      </c>
      <c r="G14" s="13">
        <v>0.13</v>
      </c>
    </row>
    <row r="15" spans="2:7" x14ac:dyDescent="0.25">
      <c r="B15" s="76"/>
      <c r="C15" s="75" t="s">
        <v>118</v>
      </c>
      <c r="D15" s="18">
        <v>60</v>
      </c>
      <c r="E15" s="18">
        <v>480</v>
      </c>
      <c r="F15" s="18">
        <v>0.85</v>
      </c>
      <c r="G15" s="13">
        <v>0.26</v>
      </c>
    </row>
    <row r="16" spans="2:7" ht="15.75" thickBot="1" x14ac:dyDescent="0.3">
      <c r="B16" s="77"/>
      <c r="C16" s="83" t="s">
        <v>119</v>
      </c>
      <c r="D16" s="20">
        <v>400</v>
      </c>
      <c r="E16" s="20">
        <v>800</v>
      </c>
      <c r="F16" s="20">
        <v>0.85</v>
      </c>
      <c r="G16" s="14">
        <v>0.52</v>
      </c>
    </row>
  </sheetData>
  <mergeCells count="2">
    <mergeCell ref="B2:E2"/>
    <mergeCell ref="B10:G10"/>
  </mergeCell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081A8-3AAA-49ED-9EA9-32A4145A1BE0}">
  <sheetPr codeName="Sheet6"/>
  <dimension ref="A1:AL32714"/>
  <sheetViews>
    <sheetView workbookViewId="0">
      <selection activeCell="E1" sqref="E1"/>
    </sheetView>
  </sheetViews>
  <sheetFormatPr defaultRowHeight="15" x14ac:dyDescent="0.25"/>
  <cols>
    <col min="1" max="7" width="10.7109375" customWidth="1"/>
    <col min="8" max="8" width="11.42578125" customWidth="1"/>
    <col min="9" max="9" width="10.7109375" customWidth="1"/>
    <col min="13" max="13" width="11" bestFit="1" customWidth="1"/>
    <col min="16" max="16" width="6.85546875" bestFit="1" customWidth="1"/>
  </cols>
  <sheetData>
    <row r="1" spans="1:38" ht="30.6" customHeight="1" x14ac:dyDescent="0.25">
      <c r="A1" s="105" t="s">
        <v>147</v>
      </c>
      <c r="B1" s="105" t="s">
        <v>169</v>
      </c>
      <c r="C1" s="105" t="s">
        <v>166</v>
      </c>
      <c r="D1" s="105" t="s">
        <v>170</v>
      </c>
      <c r="E1" s="105" t="s">
        <v>149</v>
      </c>
      <c r="F1" s="105" t="s">
        <v>148</v>
      </c>
      <c r="G1" s="105" t="s">
        <v>177</v>
      </c>
      <c r="H1" s="105" t="s">
        <v>176</v>
      </c>
      <c r="I1" s="105" t="s">
        <v>167</v>
      </c>
      <c r="J1" s="105" t="s">
        <v>175</v>
      </c>
      <c r="K1" s="105" t="s">
        <v>178</v>
      </c>
      <c r="L1" s="105" t="s">
        <v>150</v>
      </c>
      <c r="M1" s="109" t="s">
        <v>168</v>
      </c>
      <c r="O1" s="105"/>
      <c r="Q1" s="105"/>
      <c r="R1" s="105"/>
      <c r="S1" s="105"/>
      <c r="T1" s="105"/>
      <c r="U1" s="105"/>
      <c r="V1" s="105"/>
    </row>
    <row r="2" spans="1:38" x14ac:dyDescent="0.25">
      <c r="A2">
        <v>1</v>
      </c>
      <c r="B2" s="112">
        <v>40005064</v>
      </c>
      <c r="C2">
        <v>1</v>
      </c>
      <c r="E2" s="110">
        <v>42736</v>
      </c>
      <c r="F2" s="111" t="s">
        <v>217</v>
      </c>
      <c r="G2">
        <v>62.54</v>
      </c>
      <c r="H2">
        <v>74.999999999999972</v>
      </c>
      <c r="I2" s="112">
        <v>3</v>
      </c>
      <c r="J2">
        <v>74.999999999999972</v>
      </c>
      <c r="K2" s="1" t="e">
        <f>INDEX($P$4:$AM$15,MATCH(MONTH($E2),$O$4:$O$15,0),MATCH(HOUR($F2),$P$3:$AM$3,0))</f>
        <v>#N/A</v>
      </c>
      <c r="L2" t="s">
        <v>218</v>
      </c>
      <c r="M2" s="111"/>
    </row>
    <row r="3" spans="1:38" x14ac:dyDescent="0.25">
      <c r="A3">
        <v>2</v>
      </c>
      <c r="B3" s="112">
        <v>40005064</v>
      </c>
      <c r="C3">
        <v>2</v>
      </c>
      <c r="E3" s="110">
        <v>42736</v>
      </c>
      <c r="F3" s="111" t="s">
        <v>219</v>
      </c>
      <c r="G3">
        <v>48.584000000000003</v>
      </c>
      <c r="H3">
        <v>75.000000000000057</v>
      </c>
      <c r="I3" s="112">
        <v>3</v>
      </c>
      <c r="J3">
        <v>20.000000000000089</v>
      </c>
      <c r="K3" s="1" t="e">
        <f>INDEX($P$4:$AM$15,MATCH(MONTH($E3),$O$4:$O$15,0),MATCH(HOUR($F3),$P$3:$AM$3,0))</f>
        <v>#N/A</v>
      </c>
      <c r="L3" t="s">
        <v>218</v>
      </c>
      <c r="M3" s="111"/>
    </row>
    <row r="4" spans="1:38" x14ac:dyDescent="0.25">
      <c r="A4">
        <v>3</v>
      </c>
      <c r="B4" s="112">
        <v>40005064</v>
      </c>
      <c r="C4">
        <v>3</v>
      </c>
      <c r="E4" s="110">
        <v>42736</v>
      </c>
      <c r="F4" s="111" t="s">
        <v>220</v>
      </c>
      <c r="G4">
        <v>31.521999999999998</v>
      </c>
      <c r="H4">
        <v>24.999999999999911</v>
      </c>
      <c r="I4" s="112">
        <v>3</v>
      </c>
      <c r="J4">
        <v>1200</v>
      </c>
      <c r="K4" s="1" t="e">
        <f>INDEX($P$4:$AM$15,MATCH(MONTH($E4),$O$4:$O$15,0),MATCH(HOUR($F4),$P$3:$AM$3,0))</f>
        <v>#N/A</v>
      </c>
      <c r="L4" t="s">
        <v>218</v>
      </c>
      <c r="M4" s="111"/>
      <c r="P4" s="1"/>
      <c r="Q4" s="1"/>
      <c r="R4" s="1"/>
      <c r="S4" s="1"/>
      <c r="T4" s="1"/>
      <c r="U4" s="1"/>
      <c r="V4" s="1"/>
      <c r="W4" s="1"/>
      <c r="X4" s="1"/>
      <c r="Y4" s="1"/>
      <c r="Z4" s="1"/>
      <c r="AA4" s="1"/>
      <c r="AB4" s="1"/>
      <c r="AC4" s="1"/>
      <c r="AD4" s="1"/>
      <c r="AE4" s="1"/>
      <c r="AF4" s="1"/>
      <c r="AG4" s="1"/>
      <c r="AH4" s="1"/>
      <c r="AI4" s="1"/>
      <c r="AJ4" s="1"/>
      <c r="AK4" s="1"/>
      <c r="AL4" s="1"/>
    </row>
    <row r="5" spans="1:38" x14ac:dyDescent="0.25">
      <c r="A5">
        <v>4</v>
      </c>
      <c r="B5" s="112">
        <v>40009648</v>
      </c>
      <c r="C5">
        <v>1</v>
      </c>
      <c r="E5" s="110">
        <v>42737</v>
      </c>
      <c r="F5" s="111" t="s">
        <v>221</v>
      </c>
      <c r="G5">
        <v>0.36199999999999999</v>
      </c>
      <c r="H5">
        <v>3.0000000000000693</v>
      </c>
      <c r="I5" s="112">
        <v>4</v>
      </c>
      <c r="J5">
        <v>41.999999999999929</v>
      </c>
      <c r="K5" s="1" t="e">
        <f>INDEX($P$4:$AM$15,MATCH(MONTH($E5),$O$4:$O$15,0),MATCH(HOUR($F5),$P$3:$AM$3,0))</f>
        <v>#N/A</v>
      </c>
      <c r="L5" t="s">
        <v>222</v>
      </c>
      <c r="M5" s="111"/>
      <c r="P5" s="1"/>
      <c r="Q5" s="1"/>
      <c r="R5" s="1"/>
      <c r="S5" s="1"/>
      <c r="T5" s="1"/>
      <c r="U5" s="1"/>
      <c r="V5" s="1"/>
      <c r="W5" s="1"/>
      <c r="X5" s="1"/>
      <c r="Y5" s="1"/>
      <c r="Z5" s="1"/>
      <c r="AA5" s="1"/>
      <c r="AB5" s="1"/>
      <c r="AC5" s="1"/>
      <c r="AD5" s="1"/>
      <c r="AE5" s="1"/>
      <c r="AF5" s="1"/>
      <c r="AG5" s="1"/>
      <c r="AH5" s="1"/>
      <c r="AI5" s="1"/>
      <c r="AJ5" s="1"/>
      <c r="AK5" s="1"/>
      <c r="AL5" s="1"/>
    </row>
    <row r="6" spans="1:38" x14ac:dyDescent="0.25">
      <c r="A6">
        <v>5</v>
      </c>
      <c r="B6" s="112">
        <v>40009648</v>
      </c>
      <c r="C6">
        <v>2</v>
      </c>
      <c r="E6" s="110">
        <v>42737</v>
      </c>
      <c r="F6" s="111" t="s">
        <v>223</v>
      </c>
      <c r="G6">
        <v>16.167000000000002</v>
      </c>
      <c r="H6">
        <v>15.000000000000027</v>
      </c>
      <c r="I6" s="112">
        <v>4</v>
      </c>
      <c r="J6">
        <v>9.9999999999999645</v>
      </c>
      <c r="K6" s="1" t="e">
        <f>INDEX($P$4:$AM$15,MATCH(MONTH($E6),$O$4:$O$15,0),MATCH(HOUR($F6),$P$3:$AM$3,0))</f>
        <v>#N/A</v>
      </c>
      <c r="L6" t="s">
        <v>222</v>
      </c>
      <c r="M6" s="111"/>
      <c r="P6" s="1"/>
      <c r="Q6" s="1"/>
      <c r="R6" s="1"/>
      <c r="S6" s="1"/>
      <c r="T6" s="1"/>
      <c r="U6" s="1"/>
      <c r="V6" s="1"/>
      <c r="W6" s="1"/>
      <c r="X6" s="1"/>
      <c r="Y6" s="1"/>
      <c r="Z6" s="1"/>
      <c r="AA6" s="1"/>
      <c r="AB6" s="1"/>
      <c r="AC6" s="1"/>
      <c r="AD6" s="1"/>
      <c r="AE6" s="1"/>
      <c r="AF6" s="1"/>
      <c r="AG6" s="1"/>
      <c r="AH6" s="1"/>
      <c r="AI6" s="1"/>
      <c r="AJ6" s="1"/>
      <c r="AK6" s="1"/>
      <c r="AL6" s="1"/>
    </row>
    <row r="7" spans="1:38" x14ac:dyDescent="0.25">
      <c r="A7">
        <v>6</v>
      </c>
      <c r="B7" s="112">
        <v>40009648</v>
      </c>
      <c r="C7">
        <v>3</v>
      </c>
      <c r="E7" s="110">
        <v>42737</v>
      </c>
      <c r="F7" s="111" t="s">
        <v>224</v>
      </c>
      <c r="G7">
        <v>6.78</v>
      </c>
      <c r="H7">
        <v>10.000000000000124</v>
      </c>
      <c r="I7" s="112">
        <v>4</v>
      </c>
      <c r="J7">
        <v>24.999999999999911</v>
      </c>
      <c r="K7" s="1" t="e">
        <f>INDEX($P$4:$AM$15,MATCH(MONTH($E7),$O$4:$O$15,0),MATCH(HOUR($F7),$P$3:$AM$3,0))</f>
        <v>#N/A</v>
      </c>
      <c r="L7" t="s">
        <v>222</v>
      </c>
      <c r="M7" s="111"/>
      <c r="P7" s="1"/>
      <c r="Q7" s="1"/>
      <c r="R7" s="1"/>
      <c r="S7" s="1"/>
      <c r="T7" s="1"/>
      <c r="U7" s="1"/>
      <c r="V7" s="1"/>
      <c r="W7" s="1"/>
      <c r="X7" s="1"/>
      <c r="Y7" s="1"/>
      <c r="Z7" s="1"/>
      <c r="AA7" s="1"/>
      <c r="AB7" s="1"/>
      <c r="AC7" s="1"/>
      <c r="AD7" s="1"/>
      <c r="AE7" s="1"/>
      <c r="AF7" s="1"/>
      <c r="AG7" s="1"/>
      <c r="AH7" s="1"/>
      <c r="AI7" s="1"/>
      <c r="AJ7" s="1"/>
      <c r="AK7" s="1"/>
      <c r="AL7" s="1"/>
    </row>
    <row r="8" spans="1:38" x14ac:dyDescent="0.25">
      <c r="A8">
        <v>7</v>
      </c>
      <c r="B8" s="112">
        <v>40009648</v>
      </c>
      <c r="C8">
        <v>4</v>
      </c>
      <c r="E8" s="110">
        <v>42737</v>
      </c>
      <c r="F8" s="111" t="s">
        <v>225</v>
      </c>
      <c r="G8">
        <v>9.8859999999999992</v>
      </c>
      <c r="H8">
        <v>20.000000000000089</v>
      </c>
      <c r="I8" s="112">
        <v>4</v>
      </c>
      <c r="J8">
        <v>1160</v>
      </c>
      <c r="K8" s="1" t="e">
        <f>INDEX($P$4:$AM$15,MATCH(MONTH($E8),$O$4:$O$15,0),MATCH(HOUR($F8),$P$3:$AM$3,0))</f>
        <v>#N/A</v>
      </c>
      <c r="L8" t="s">
        <v>222</v>
      </c>
      <c r="M8" s="111"/>
      <c r="P8" s="1"/>
      <c r="Q8" s="1"/>
      <c r="R8" s="1"/>
      <c r="S8" s="1"/>
      <c r="T8" s="1"/>
      <c r="U8" s="1"/>
      <c r="V8" s="1"/>
      <c r="W8" s="1"/>
      <c r="X8" s="1"/>
      <c r="Y8" s="1"/>
      <c r="Z8" s="1"/>
      <c r="AA8" s="1"/>
      <c r="AB8" s="1"/>
      <c r="AC8" s="1"/>
      <c r="AD8" s="1"/>
      <c r="AE8" s="1"/>
      <c r="AF8" s="1"/>
      <c r="AG8" s="1"/>
      <c r="AH8" s="1"/>
      <c r="AI8" s="1"/>
      <c r="AJ8" s="1"/>
      <c r="AK8" s="1"/>
      <c r="AL8" s="1"/>
    </row>
    <row r="9" spans="1:38" x14ac:dyDescent="0.25">
      <c r="A9">
        <v>8</v>
      </c>
      <c r="B9" s="112">
        <v>40009648</v>
      </c>
      <c r="C9">
        <v>1</v>
      </c>
      <c r="E9" s="110">
        <v>42738</v>
      </c>
      <c r="F9" s="111" t="s">
        <v>226</v>
      </c>
      <c r="G9">
        <v>16.782</v>
      </c>
      <c r="H9">
        <v>35.000000000000036</v>
      </c>
      <c r="I9" s="112">
        <v>3</v>
      </c>
      <c r="J9">
        <v>360</v>
      </c>
      <c r="K9" s="1" t="e">
        <f>INDEX($P$4:$AM$15,MATCH(MONTH($E9),$O$4:$O$15,0),MATCH(HOUR($F9),$P$3:$AM$3,0))</f>
        <v>#N/A</v>
      </c>
      <c r="L9" t="s">
        <v>222</v>
      </c>
      <c r="M9" s="111"/>
      <c r="P9" s="1"/>
      <c r="Q9" s="1"/>
      <c r="R9" s="1"/>
      <c r="S9" s="1"/>
      <c r="T9" s="1"/>
      <c r="U9" s="1"/>
      <c r="V9" s="1"/>
      <c r="W9" s="1"/>
      <c r="X9" s="1"/>
      <c r="Y9" s="1"/>
      <c r="Z9" s="1"/>
      <c r="AA9" s="1"/>
      <c r="AB9" s="1"/>
      <c r="AC9" s="1"/>
      <c r="AD9" s="1"/>
      <c r="AE9" s="1"/>
      <c r="AF9" s="1"/>
      <c r="AG9" s="1"/>
      <c r="AH9" s="1"/>
      <c r="AI9" s="1"/>
      <c r="AJ9" s="1"/>
      <c r="AK9" s="1"/>
      <c r="AL9" s="1"/>
    </row>
    <row r="10" spans="1:38" x14ac:dyDescent="0.25">
      <c r="A10">
        <v>9</v>
      </c>
      <c r="B10" s="112">
        <v>40009648</v>
      </c>
      <c r="C10">
        <v>2</v>
      </c>
      <c r="E10" s="110">
        <v>42738</v>
      </c>
      <c r="F10" s="111" t="s">
        <v>227</v>
      </c>
      <c r="G10">
        <v>16.800999999999998</v>
      </c>
      <c r="H10">
        <v>35.000000000000036</v>
      </c>
      <c r="I10" s="112">
        <v>3</v>
      </c>
      <c r="J10">
        <v>9.9999999999999645</v>
      </c>
      <c r="K10" s="1" t="e">
        <f>INDEX($P$4:$AM$15,MATCH(MONTH($E10),$O$4:$O$15,0),MATCH(HOUR($F10),$P$3:$AM$3,0))</f>
        <v>#N/A</v>
      </c>
      <c r="L10" t="s">
        <v>222</v>
      </c>
      <c r="M10" s="111"/>
      <c r="P10" s="1"/>
      <c r="Q10" s="1"/>
      <c r="R10" s="1"/>
      <c r="S10" s="1"/>
      <c r="T10" s="1"/>
      <c r="U10" s="1"/>
      <c r="V10" s="1"/>
      <c r="W10" s="1"/>
      <c r="X10" s="1"/>
      <c r="Y10" s="1"/>
      <c r="Z10" s="1"/>
      <c r="AA10" s="1"/>
      <c r="AB10" s="1"/>
      <c r="AC10" s="1"/>
      <c r="AD10" s="1"/>
      <c r="AE10" s="1"/>
      <c r="AF10" s="1"/>
      <c r="AG10" s="1"/>
      <c r="AH10" s="1"/>
      <c r="AI10" s="1"/>
      <c r="AJ10" s="1"/>
      <c r="AK10" s="1"/>
      <c r="AL10" s="1"/>
    </row>
    <row r="11" spans="1:38" x14ac:dyDescent="0.25">
      <c r="A11">
        <v>10</v>
      </c>
      <c r="B11" s="112">
        <v>40009648</v>
      </c>
      <c r="C11">
        <v>3</v>
      </c>
      <c r="E11" s="110">
        <v>42738</v>
      </c>
      <c r="F11" s="111" t="s">
        <v>228</v>
      </c>
      <c r="G11">
        <v>0.36199999999999999</v>
      </c>
      <c r="H11">
        <v>2.9999999999999893</v>
      </c>
      <c r="I11" s="112">
        <v>4</v>
      </c>
      <c r="J11">
        <v>72.000000000000057</v>
      </c>
      <c r="K11" s="1" t="e">
        <f>INDEX($P$4:$AM$15,MATCH(MONTH($E11),$O$4:$O$15,0),MATCH(HOUR($F11),$P$3:$AM$3,0))</f>
        <v>#N/A</v>
      </c>
      <c r="L11" t="s">
        <v>222</v>
      </c>
      <c r="M11" s="111"/>
      <c r="P11" s="1"/>
      <c r="Q11" s="1"/>
      <c r="R11" s="1"/>
      <c r="S11" s="1"/>
      <c r="T11" s="1"/>
      <c r="U11" s="1"/>
      <c r="V11" s="1"/>
      <c r="W11" s="1"/>
      <c r="X11" s="1"/>
      <c r="Y11" s="1"/>
      <c r="Z11" s="1"/>
      <c r="AA11" s="1"/>
      <c r="AB11" s="1"/>
      <c r="AC11" s="1"/>
      <c r="AD11" s="1"/>
      <c r="AE11" s="1"/>
      <c r="AF11" s="1"/>
      <c r="AG11" s="1"/>
      <c r="AH11" s="1"/>
      <c r="AI11" s="1"/>
      <c r="AJ11" s="1"/>
      <c r="AK11" s="1"/>
      <c r="AL11" s="1"/>
    </row>
    <row r="12" spans="1:38" x14ac:dyDescent="0.25">
      <c r="A12">
        <v>11</v>
      </c>
      <c r="B12" s="112">
        <v>40009648</v>
      </c>
      <c r="C12">
        <v>4</v>
      </c>
      <c r="E12" s="110">
        <v>42738</v>
      </c>
      <c r="F12" s="111" t="s">
        <v>229</v>
      </c>
      <c r="G12">
        <v>0.36199999999999999</v>
      </c>
      <c r="H12">
        <v>4.9999999999998224</v>
      </c>
      <c r="I12" s="112">
        <v>4</v>
      </c>
      <c r="J12">
        <v>813</v>
      </c>
      <c r="K12" s="1" t="e">
        <f>INDEX($P$4:$AM$15,MATCH(MONTH($E12),$O$4:$O$15,0),MATCH(HOUR($F12),$P$3:$AM$3,0))</f>
        <v>#N/A</v>
      </c>
      <c r="L12" t="s">
        <v>222</v>
      </c>
      <c r="M12" s="111"/>
      <c r="P12" s="1"/>
      <c r="Q12" s="1"/>
      <c r="R12" s="1"/>
      <c r="S12" s="1"/>
      <c r="T12" s="1"/>
      <c r="U12" s="1"/>
      <c r="V12" s="1"/>
      <c r="W12" s="1"/>
      <c r="X12" s="1"/>
      <c r="Y12" s="1"/>
      <c r="Z12" s="1"/>
      <c r="AA12" s="1"/>
      <c r="AB12" s="1"/>
      <c r="AC12" s="1"/>
      <c r="AD12" s="1"/>
      <c r="AE12" s="1"/>
      <c r="AF12" s="1"/>
      <c r="AG12" s="1"/>
      <c r="AH12" s="1"/>
      <c r="AI12" s="1"/>
      <c r="AJ12" s="1"/>
      <c r="AK12" s="1"/>
      <c r="AL12" s="1"/>
    </row>
    <row r="13" spans="1:38" x14ac:dyDescent="0.25">
      <c r="A13">
        <v>12</v>
      </c>
      <c r="B13" s="112">
        <v>40009835</v>
      </c>
      <c r="C13">
        <v>1</v>
      </c>
      <c r="E13" s="110">
        <v>42739</v>
      </c>
      <c r="F13" s="111" t="s">
        <v>230</v>
      </c>
      <c r="G13">
        <v>10.356</v>
      </c>
      <c r="H13">
        <v>20.000000000000089</v>
      </c>
      <c r="I13" s="112">
        <v>3</v>
      </c>
      <c r="J13">
        <v>514</v>
      </c>
      <c r="K13" s="1" t="e">
        <f>INDEX($P$4:$AM$15,MATCH(MONTH($E13),$O$4:$O$15,0),MATCH(HOUR($F13),$P$3:$AM$3,0))</f>
        <v>#N/A</v>
      </c>
      <c r="L13" t="s">
        <v>231</v>
      </c>
      <c r="M13" s="111"/>
      <c r="P13" s="1"/>
      <c r="Q13" s="1"/>
      <c r="R13" s="1"/>
      <c r="S13" s="1"/>
      <c r="T13" s="1"/>
      <c r="U13" s="1"/>
      <c r="V13" s="1"/>
      <c r="W13" s="1"/>
      <c r="X13" s="1"/>
      <c r="Y13" s="1"/>
      <c r="Z13" s="1"/>
      <c r="AA13" s="1"/>
      <c r="AB13" s="1"/>
      <c r="AC13" s="1"/>
      <c r="AD13" s="1"/>
      <c r="AE13" s="1"/>
      <c r="AF13" s="1"/>
      <c r="AG13" s="1"/>
      <c r="AH13" s="1"/>
      <c r="AI13" s="1"/>
      <c r="AJ13" s="1"/>
      <c r="AK13" s="1"/>
      <c r="AL13" s="1"/>
    </row>
    <row r="14" spans="1:38" x14ac:dyDescent="0.25">
      <c r="A14">
        <v>13</v>
      </c>
      <c r="B14" s="112">
        <v>40009835</v>
      </c>
      <c r="C14">
        <v>2</v>
      </c>
      <c r="E14" s="110">
        <v>42739</v>
      </c>
      <c r="F14" s="111" t="s">
        <v>232</v>
      </c>
      <c r="G14">
        <v>10.372</v>
      </c>
      <c r="H14">
        <v>18.999999999999932</v>
      </c>
      <c r="I14" s="112">
        <v>3</v>
      </c>
      <c r="J14">
        <v>65.999999999999929</v>
      </c>
      <c r="K14" s="1" t="e">
        <f>INDEX($P$4:$AM$15,MATCH(MONTH($E14),$O$4:$O$15,0),MATCH(HOUR($F14),$P$3:$AM$3,0))</f>
        <v>#N/A</v>
      </c>
      <c r="L14" t="s">
        <v>231</v>
      </c>
      <c r="M14" s="111"/>
      <c r="P14" s="1"/>
      <c r="Q14" s="1"/>
      <c r="R14" s="1"/>
      <c r="S14" s="1"/>
      <c r="T14" s="1"/>
      <c r="U14" s="1"/>
      <c r="V14" s="1"/>
      <c r="W14" s="1"/>
      <c r="X14" s="1"/>
      <c r="Y14" s="1"/>
      <c r="Z14" s="1"/>
      <c r="AA14" s="1"/>
      <c r="AB14" s="1"/>
      <c r="AC14" s="1"/>
      <c r="AD14" s="1"/>
      <c r="AE14" s="1"/>
      <c r="AF14" s="1"/>
      <c r="AG14" s="1"/>
      <c r="AH14" s="1"/>
      <c r="AI14" s="1"/>
      <c r="AJ14" s="1"/>
      <c r="AK14" s="1"/>
      <c r="AL14" s="1"/>
    </row>
    <row r="15" spans="1:38" x14ac:dyDescent="0.25">
      <c r="A15">
        <v>14</v>
      </c>
      <c r="B15" s="112">
        <v>40009835</v>
      </c>
      <c r="C15">
        <v>3</v>
      </c>
      <c r="E15" s="110">
        <v>42739</v>
      </c>
      <c r="F15" s="111" t="s">
        <v>233</v>
      </c>
      <c r="G15">
        <v>1.2410000000000001</v>
      </c>
      <c r="H15">
        <v>6.0000000000001386</v>
      </c>
      <c r="I15" s="112">
        <v>3</v>
      </c>
      <c r="J15">
        <v>846.99999999999989</v>
      </c>
      <c r="K15" s="1" t="e">
        <f>INDEX($P$4:$AM$15,MATCH(MONTH($E15),$O$4:$O$15,0),MATCH(HOUR($F15),$P$3:$AM$3,0))</f>
        <v>#N/A</v>
      </c>
      <c r="L15" t="s">
        <v>231</v>
      </c>
      <c r="M15" s="111"/>
      <c r="P15" s="1"/>
      <c r="Q15" s="1"/>
      <c r="R15" s="1"/>
      <c r="S15" s="1"/>
      <c r="T15" s="1"/>
      <c r="U15" s="1"/>
      <c r="V15" s="1"/>
      <c r="W15" s="1"/>
      <c r="X15" s="1"/>
      <c r="Y15" s="1"/>
      <c r="Z15" s="1"/>
      <c r="AA15" s="1"/>
      <c r="AB15" s="1"/>
      <c r="AC15" s="1"/>
      <c r="AD15" s="1"/>
      <c r="AE15" s="1"/>
      <c r="AF15" s="1"/>
      <c r="AG15" s="1"/>
      <c r="AH15" s="1"/>
      <c r="AI15" s="1"/>
      <c r="AJ15" s="1"/>
      <c r="AK15" s="1"/>
      <c r="AL15" s="1"/>
    </row>
    <row r="16" spans="1:38" x14ac:dyDescent="0.25">
      <c r="A16">
        <v>15</v>
      </c>
      <c r="B16" s="112">
        <v>40012105</v>
      </c>
      <c r="C16">
        <v>1</v>
      </c>
      <c r="E16" s="110">
        <v>42740</v>
      </c>
      <c r="F16" s="111" t="s">
        <v>234</v>
      </c>
      <c r="G16">
        <v>3.4929999999999999</v>
      </c>
      <c r="H16">
        <v>20.000000000000007</v>
      </c>
      <c r="I16" s="112">
        <v>3</v>
      </c>
      <c r="J16">
        <v>480</v>
      </c>
      <c r="K16" s="1" t="e">
        <f>INDEX($P$4:$AM$15,MATCH(MONTH($E16),$O$4:$O$15,0),MATCH(HOUR($F16),$P$3:$AM$3,0))</f>
        <v>#N/A</v>
      </c>
      <c r="L16" t="s">
        <v>218</v>
      </c>
      <c r="M16" s="111"/>
    </row>
    <row r="17" spans="1:13" x14ac:dyDescent="0.25">
      <c r="A17">
        <v>16</v>
      </c>
      <c r="B17" s="112">
        <v>40012105</v>
      </c>
      <c r="C17">
        <v>2</v>
      </c>
      <c r="E17" s="110">
        <v>42740</v>
      </c>
      <c r="F17" s="111" t="s">
        <v>235</v>
      </c>
      <c r="G17">
        <v>3.4929999999999999</v>
      </c>
      <c r="H17">
        <v>29.999999999999893</v>
      </c>
      <c r="I17" s="112">
        <v>3</v>
      </c>
      <c r="J17">
        <v>1075</v>
      </c>
      <c r="K17" s="1" t="e">
        <f>INDEX($P$4:$AM$15,MATCH(MONTH($E17),$O$4:$O$15,0),MATCH(HOUR($F17),$P$3:$AM$3,0))</f>
        <v>#N/A</v>
      </c>
      <c r="L17" t="s">
        <v>218</v>
      </c>
      <c r="M17" s="111"/>
    </row>
    <row r="18" spans="1:13" x14ac:dyDescent="0.25">
      <c r="A18">
        <v>17</v>
      </c>
      <c r="B18" s="112">
        <v>40021136</v>
      </c>
      <c r="C18">
        <v>1</v>
      </c>
      <c r="E18" s="110">
        <v>42741</v>
      </c>
      <c r="F18" s="111" t="s">
        <v>236</v>
      </c>
      <c r="G18">
        <v>0.68200000000000005</v>
      </c>
      <c r="H18">
        <v>5.0000000000000622</v>
      </c>
      <c r="I18" s="112">
        <v>4</v>
      </c>
      <c r="J18">
        <v>124.99999999999996</v>
      </c>
      <c r="K18" s="1" t="e">
        <f>INDEX($P$4:$AM$15,MATCH(MONTH($E18),$O$4:$O$15,0),MATCH(HOUR($F18),$P$3:$AM$3,0))</f>
        <v>#N/A</v>
      </c>
      <c r="L18" t="s">
        <v>218</v>
      </c>
      <c r="M18" s="111"/>
    </row>
    <row r="19" spans="1:13" x14ac:dyDescent="0.25">
      <c r="A19">
        <v>18</v>
      </c>
      <c r="B19" s="112">
        <v>40021136</v>
      </c>
      <c r="C19">
        <v>2</v>
      </c>
      <c r="E19" s="110">
        <v>42741</v>
      </c>
      <c r="F19" s="111" t="s">
        <v>237</v>
      </c>
      <c r="G19">
        <v>0.65100000000000002</v>
      </c>
      <c r="H19">
        <v>4.9999999999999822</v>
      </c>
      <c r="I19" s="112">
        <v>4</v>
      </c>
      <c r="J19">
        <v>30.000000000000053</v>
      </c>
      <c r="K19" s="1" t="e">
        <f>INDEX($P$4:$AM$15,MATCH(MONTH($E19),$O$4:$O$15,0),MATCH(HOUR($F19),$P$3:$AM$3,0))</f>
        <v>#N/A</v>
      </c>
      <c r="L19" t="s">
        <v>218</v>
      </c>
      <c r="M19" s="111"/>
    </row>
    <row r="20" spans="1:13" x14ac:dyDescent="0.25">
      <c r="A20">
        <v>19</v>
      </c>
      <c r="B20" s="112">
        <v>40021136</v>
      </c>
      <c r="C20">
        <v>3</v>
      </c>
      <c r="E20" s="110">
        <v>42741</v>
      </c>
      <c r="F20" s="111" t="s">
        <v>238</v>
      </c>
      <c r="G20">
        <v>0.85699999999999998</v>
      </c>
      <c r="H20">
        <v>4.9999999999999822</v>
      </c>
      <c r="I20" s="112">
        <v>4</v>
      </c>
      <c r="J20">
        <v>0.99999999999999645</v>
      </c>
      <c r="K20" s="1" t="e">
        <f>INDEX($P$4:$AM$15,MATCH(MONTH($E20),$O$4:$O$15,0),MATCH(HOUR($F20),$P$3:$AM$3,0))</f>
        <v>#N/A</v>
      </c>
      <c r="L20" t="s">
        <v>218</v>
      </c>
      <c r="M20" s="111"/>
    </row>
    <row r="21" spans="1:13" x14ac:dyDescent="0.25">
      <c r="A21">
        <v>20</v>
      </c>
      <c r="B21" s="112">
        <v>40021136</v>
      </c>
      <c r="C21">
        <v>4</v>
      </c>
      <c r="E21" s="110">
        <v>42741</v>
      </c>
      <c r="F21" s="111" t="s">
        <v>239</v>
      </c>
      <c r="G21">
        <v>0.81200000000000006</v>
      </c>
      <c r="H21">
        <v>5.9999999999999787</v>
      </c>
      <c r="I21" s="112">
        <v>4</v>
      </c>
      <c r="J21">
        <v>38.000000000000028</v>
      </c>
      <c r="K21" s="1" t="e">
        <f>INDEX($P$4:$AM$15,MATCH(MONTH($E21),$O$4:$O$15,0),MATCH(HOUR($F21),$P$3:$AM$3,0))</f>
        <v>#N/A</v>
      </c>
      <c r="L21" t="s">
        <v>218</v>
      </c>
      <c r="M21" s="111"/>
    </row>
    <row r="22" spans="1:13" x14ac:dyDescent="0.25">
      <c r="A22">
        <v>21</v>
      </c>
      <c r="B22" s="112">
        <v>40021136</v>
      </c>
      <c r="C22">
        <v>5</v>
      </c>
      <c r="E22" s="110">
        <v>42741</v>
      </c>
      <c r="F22" s="111" t="s">
        <v>240</v>
      </c>
      <c r="G22">
        <v>5.7930000000000001</v>
      </c>
      <c r="H22">
        <v>30.000000000000053</v>
      </c>
      <c r="I22" s="112">
        <v>4</v>
      </c>
      <c r="J22">
        <v>194.99999999999994</v>
      </c>
      <c r="K22" s="1" t="e">
        <f>INDEX($P$4:$AM$15,MATCH(MONTH($E22),$O$4:$O$15,0),MATCH(HOUR($F22),$P$3:$AM$3,0))</f>
        <v>#N/A</v>
      </c>
      <c r="L22" t="s">
        <v>218</v>
      </c>
      <c r="M22" s="111"/>
    </row>
    <row r="23" spans="1:13" x14ac:dyDescent="0.25">
      <c r="A23">
        <v>22</v>
      </c>
      <c r="B23" s="112">
        <v>40021136</v>
      </c>
      <c r="C23">
        <v>6</v>
      </c>
      <c r="E23" s="110">
        <v>42741</v>
      </c>
      <c r="F23" s="111" t="s">
        <v>241</v>
      </c>
      <c r="G23">
        <v>5.7569999999999997</v>
      </c>
      <c r="H23">
        <v>25.000000000000071</v>
      </c>
      <c r="I23" s="112">
        <v>4</v>
      </c>
      <c r="J23">
        <v>75.000000000000057</v>
      </c>
      <c r="K23" s="1" t="e">
        <f>INDEX($P$4:$AM$15,MATCH(MONTH($E23),$O$4:$O$15,0),MATCH(HOUR($F23),$P$3:$AM$3,0))</f>
        <v>#N/A</v>
      </c>
      <c r="L23" t="s">
        <v>218</v>
      </c>
      <c r="M23" s="111"/>
    </row>
    <row r="24" spans="1:13" x14ac:dyDescent="0.25">
      <c r="A24">
        <v>23</v>
      </c>
      <c r="B24" s="112">
        <v>40021136</v>
      </c>
      <c r="C24">
        <v>7</v>
      </c>
      <c r="E24" s="110">
        <v>42741</v>
      </c>
      <c r="F24" s="111" t="s">
        <v>242</v>
      </c>
      <c r="G24">
        <v>0.85699999999999998</v>
      </c>
      <c r="H24">
        <v>4.9999999999998224</v>
      </c>
      <c r="I24" s="112">
        <v>4</v>
      </c>
      <c r="J24">
        <v>10.000000000000124</v>
      </c>
      <c r="K24" s="1" t="e">
        <f>INDEX($P$4:$AM$15,MATCH(MONTH($E24),$O$4:$O$15,0),MATCH(HOUR($F24),$P$3:$AM$3,0))</f>
        <v>#N/A</v>
      </c>
      <c r="L24" t="s">
        <v>218</v>
      </c>
      <c r="M24" s="111"/>
    </row>
    <row r="25" spans="1:13" x14ac:dyDescent="0.25">
      <c r="A25">
        <v>24</v>
      </c>
      <c r="B25" s="112">
        <v>40021136</v>
      </c>
      <c r="C25">
        <v>8</v>
      </c>
      <c r="E25" s="110">
        <v>42741</v>
      </c>
      <c r="F25" s="111" t="s">
        <v>243</v>
      </c>
      <c r="G25">
        <v>0.81200000000000006</v>
      </c>
      <c r="H25">
        <v>4.9999999999999822</v>
      </c>
      <c r="I25" s="112">
        <v>4</v>
      </c>
      <c r="J25">
        <v>809.99999999999989</v>
      </c>
      <c r="K25" s="1" t="e">
        <f>INDEX($P$4:$AM$15,MATCH(MONTH($E25),$O$4:$O$15,0),MATCH(HOUR($F25),$P$3:$AM$3,0))</f>
        <v>#N/A</v>
      </c>
      <c r="L25" t="s">
        <v>218</v>
      </c>
      <c r="M25" s="111"/>
    </row>
    <row r="26" spans="1:13" x14ac:dyDescent="0.25">
      <c r="A26">
        <v>25</v>
      </c>
      <c r="B26" s="112">
        <v>40022773</v>
      </c>
      <c r="C26">
        <v>1</v>
      </c>
      <c r="E26" s="110">
        <v>42742</v>
      </c>
      <c r="F26" s="111" t="s">
        <v>244</v>
      </c>
      <c r="G26">
        <v>5.41</v>
      </c>
      <c r="H26">
        <v>24.999999999999993</v>
      </c>
      <c r="I26" s="112">
        <v>4</v>
      </c>
      <c r="J26">
        <v>589.99999999999989</v>
      </c>
      <c r="K26" s="1" t="e">
        <f>INDEX($P$4:$AM$15,MATCH(MONTH($E26),$O$4:$O$15,0),MATCH(HOUR($F26),$P$3:$AM$3,0))</f>
        <v>#N/A</v>
      </c>
      <c r="L26" t="s">
        <v>218</v>
      </c>
      <c r="M26" s="111"/>
    </row>
    <row r="27" spans="1:13" x14ac:dyDescent="0.25">
      <c r="A27">
        <v>26</v>
      </c>
      <c r="B27" s="112">
        <v>40022773</v>
      </c>
      <c r="C27">
        <v>2</v>
      </c>
      <c r="E27" s="110">
        <v>42742</v>
      </c>
      <c r="F27" s="111" t="s">
        <v>245</v>
      </c>
      <c r="G27">
        <v>5.9539999999999997</v>
      </c>
      <c r="H27">
        <v>22.000000000000082</v>
      </c>
      <c r="I27" s="112">
        <v>4</v>
      </c>
      <c r="J27">
        <v>738</v>
      </c>
      <c r="K27" s="1" t="e">
        <f>INDEX($P$4:$AM$15,MATCH(MONTH($E27),$O$4:$O$15,0),MATCH(HOUR($F27),$P$3:$AM$3,0))</f>
        <v>#N/A</v>
      </c>
      <c r="L27" t="s">
        <v>218</v>
      </c>
      <c r="M27" s="111"/>
    </row>
    <row r="28" spans="1:13" x14ac:dyDescent="0.25">
      <c r="A28">
        <v>27</v>
      </c>
      <c r="B28" s="112">
        <v>40022773</v>
      </c>
      <c r="C28">
        <v>1</v>
      </c>
      <c r="E28" s="110">
        <v>42743</v>
      </c>
      <c r="F28" s="111" t="s">
        <v>246</v>
      </c>
      <c r="G28">
        <v>0.29899999999999999</v>
      </c>
      <c r="H28">
        <v>1.9999999999999929</v>
      </c>
      <c r="I28" s="112">
        <v>6</v>
      </c>
      <c r="J28">
        <v>527.99999999999989</v>
      </c>
      <c r="K28" s="1" t="e">
        <f>INDEX($P$4:$AM$15,MATCH(MONTH($E28),$O$4:$O$15,0),MATCH(HOUR($F28),$P$3:$AM$3,0))</f>
        <v>#N/A</v>
      </c>
      <c r="L28" t="s">
        <v>218</v>
      </c>
      <c r="M28" s="111"/>
    </row>
    <row r="29" spans="1:13" x14ac:dyDescent="0.25">
      <c r="A29">
        <v>28</v>
      </c>
      <c r="B29" s="112">
        <v>40022773</v>
      </c>
      <c r="C29">
        <v>2</v>
      </c>
      <c r="E29" s="110">
        <v>42743</v>
      </c>
      <c r="F29" s="111" t="s">
        <v>247</v>
      </c>
      <c r="G29">
        <v>0.29899999999999999</v>
      </c>
      <c r="H29">
        <v>2.0000000000001528</v>
      </c>
      <c r="I29" s="112">
        <v>6</v>
      </c>
      <c r="J29">
        <v>807.99999999999989</v>
      </c>
      <c r="K29" s="1" t="e">
        <f>INDEX($P$4:$AM$15,MATCH(MONTH($E29),$O$4:$O$15,0),MATCH(HOUR($F29),$P$3:$AM$3,0))</f>
        <v>#N/A</v>
      </c>
      <c r="L29" t="s">
        <v>218</v>
      </c>
      <c r="M29" s="111"/>
    </row>
    <row r="30" spans="1:13" x14ac:dyDescent="0.25">
      <c r="A30">
        <v>29</v>
      </c>
      <c r="B30" s="112">
        <v>40025562</v>
      </c>
      <c r="C30">
        <v>1</v>
      </c>
      <c r="E30" s="110">
        <v>42744</v>
      </c>
      <c r="F30" s="111" t="s">
        <v>248</v>
      </c>
      <c r="G30">
        <v>93.923000000000002</v>
      </c>
      <c r="H30">
        <v>119.99999999999997</v>
      </c>
      <c r="I30" s="112">
        <v>3</v>
      </c>
      <c r="J30">
        <v>360.00000000000011</v>
      </c>
      <c r="K30" s="1" t="e">
        <f>INDEX($P$4:$AM$15,MATCH(MONTH($E30),$O$4:$O$15,0),MATCH(HOUR($F30),$P$3:$AM$3,0))</f>
        <v>#N/A</v>
      </c>
      <c r="L30" t="s">
        <v>249</v>
      </c>
      <c r="M30" s="111"/>
    </row>
    <row r="31" spans="1:13" x14ac:dyDescent="0.25">
      <c r="A31">
        <v>30</v>
      </c>
      <c r="B31" s="112">
        <v>40025562</v>
      </c>
      <c r="C31">
        <v>2</v>
      </c>
      <c r="E31" s="110">
        <v>42744</v>
      </c>
      <c r="F31" s="111" t="s">
        <v>250</v>
      </c>
      <c r="G31">
        <v>93.784000000000006</v>
      </c>
      <c r="H31">
        <v>119.99999999999989</v>
      </c>
      <c r="I31" s="112">
        <v>3</v>
      </c>
      <c r="J31">
        <v>930</v>
      </c>
      <c r="K31" s="1" t="e">
        <f>INDEX($P$4:$AM$15,MATCH(MONTH($E31),$O$4:$O$15,0),MATCH(HOUR($F31),$P$3:$AM$3,0))</f>
        <v>#N/A</v>
      </c>
      <c r="L31" t="s">
        <v>249</v>
      </c>
      <c r="M31" s="111"/>
    </row>
    <row r="32" spans="1:13" x14ac:dyDescent="0.25">
      <c r="A32">
        <v>31</v>
      </c>
      <c r="B32" s="112">
        <v>40027435</v>
      </c>
      <c r="C32">
        <v>1</v>
      </c>
      <c r="E32" s="110">
        <v>42745</v>
      </c>
      <c r="F32" s="111" t="s">
        <v>251</v>
      </c>
      <c r="G32">
        <v>5.8410000000000002</v>
      </c>
      <c r="H32">
        <v>20.000000000000007</v>
      </c>
      <c r="I32" s="112">
        <v>3</v>
      </c>
      <c r="J32">
        <v>489.99999999999994</v>
      </c>
      <c r="K32" s="1" t="e">
        <f>INDEX($P$4:$AM$15,MATCH(MONTH($E32),$O$4:$O$15,0),MATCH(HOUR($F32),$P$3:$AM$3,0))</f>
        <v>#N/A</v>
      </c>
      <c r="L32" t="s">
        <v>249</v>
      </c>
      <c r="M32" s="111"/>
    </row>
    <row r="33" spans="1:13" x14ac:dyDescent="0.25">
      <c r="A33">
        <v>32</v>
      </c>
      <c r="B33" s="112">
        <v>40027435</v>
      </c>
      <c r="C33">
        <v>2</v>
      </c>
      <c r="E33" s="110">
        <v>42745</v>
      </c>
      <c r="F33" s="111" t="s">
        <v>252</v>
      </c>
      <c r="G33">
        <v>5.7850000000000001</v>
      </c>
      <c r="H33">
        <v>25.000000000000071</v>
      </c>
      <c r="I33" s="112">
        <v>3</v>
      </c>
      <c r="J33">
        <v>1085</v>
      </c>
      <c r="K33" s="1" t="e">
        <f>INDEX($P$4:$AM$15,MATCH(MONTH($E33),$O$4:$O$15,0),MATCH(HOUR($F33),$P$3:$AM$3,0))</f>
        <v>#N/A</v>
      </c>
      <c r="L33" t="s">
        <v>249</v>
      </c>
      <c r="M33" s="111"/>
    </row>
    <row r="34" spans="1:13" x14ac:dyDescent="0.25">
      <c r="A34">
        <v>33</v>
      </c>
      <c r="B34" s="112">
        <v>40027435</v>
      </c>
      <c r="C34">
        <v>1</v>
      </c>
      <c r="E34" s="110">
        <v>42746</v>
      </c>
      <c r="F34" s="111" t="s">
        <v>217</v>
      </c>
      <c r="G34">
        <v>6.6429999999999998</v>
      </c>
      <c r="H34">
        <v>20.000000000000007</v>
      </c>
      <c r="I34" s="112">
        <v>3</v>
      </c>
      <c r="J34">
        <v>429.99999999999994</v>
      </c>
      <c r="K34" s="1" t="e">
        <f>INDEX($P$4:$AM$15,MATCH(MONTH($E34),$O$4:$O$15,0),MATCH(HOUR($F34),$P$3:$AM$3,0))</f>
        <v>#N/A</v>
      </c>
      <c r="L34" t="s">
        <v>249</v>
      </c>
      <c r="M34" s="111"/>
    </row>
    <row r="35" spans="1:13" x14ac:dyDescent="0.25">
      <c r="A35">
        <v>34</v>
      </c>
      <c r="B35" s="112">
        <v>40027435</v>
      </c>
      <c r="C35">
        <v>2</v>
      </c>
      <c r="E35" s="110">
        <v>42746</v>
      </c>
      <c r="F35" s="111" t="s">
        <v>253</v>
      </c>
      <c r="G35">
        <v>5.827</v>
      </c>
      <c r="H35">
        <v>19.999999999999929</v>
      </c>
      <c r="I35" s="112">
        <v>3</v>
      </c>
      <c r="J35">
        <v>775.00000000000011</v>
      </c>
      <c r="K35" s="1" t="e">
        <f>INDEX($P$4:$AM$15,MATCH(MONTH($E35),$O$4:$O$15,0),MATCH(HOUR($F35),$P$3:$AM$3,0))</f>
        <v>#N/A</v>
      </c>
      <c r="L35" t="s">
        <v>249</v>
      </c>
      <c r="M35" s="111"/>
    </row>
    <row r="36" spans="1:13" x14ac:dyDescent="0.25">
      <c r="A36">
        <v>35</v>
      </c>
      <c r="B36" s="112">
        <v>40027435</v>
      </c>
      <c r="C36">
        <v>1</v>
      </c>
      <c r="E36" s="110">
        <v>42747</v>
      </c>
      <c r="F36" s="111" t="s">
        <v>254</v>
      </c>
      <c r="G36">
        <v>27.123999999999999</v>
      </c>
      <c r="H36">
        <v>35.000000000000036</v>
      </c>
      <c r="I36" s="112">
        <v>3</v>
      </c>
      <c r="J36">
        <v>520</v>
      </c>
      <c r="K36" s="1" t="e">
        <f>INDEX($P$4:$AM$15,MATCH(MONTH($E36),$O$4:$O$15,0),MATCH(HOUR($F36),$P$3:$AM$3,0))</f>
        <v>#N/A</v>
      </c>
      <c r="L36" t="s">
        <v>249</v>
      </c>
      <c r="M36" s="111"/>
    </row>
    <row r="37" spans="1:13" x14ac:dyDescent="0.25">
      <c r="A37">
        <v>36</v>
      </c>
      <c r="B37" s="112">
        <v>40027435</v>
      </c>
      <c r="C37">
        <v>2</v>
      </c>
      <c r="E37" s="110">
        <v>42747</v>
      </c>
      <c r="F37" s="111" t="s">
        <v>247</v>
      </c>
      <c r="G37">
        <v>7.8460000000000001</v>
      </c>
      <c r="H37">
        <v>10.000000000000124</v>
      </c>
      <c r="I37" s="112">
        <v>3</v>
      </c>
      <c r="J37">
        <v>360</v>
      </c>
      <c r="K37" s="1" t="e">
        <f>INDEX($P$4:$AM$15,MATCH(MONTH($E37),$O$4:$O$15,0),MATCH(HOUR($F37),$P$3:$AM$3,0))</f>
        <v>#N/A</v>
      </c>
      <c r="L37" t="s">
        <v>249</v>
      </c>
      <c r="M37" s="111"/>
    </row>
    <row r="38" spans="1:13" x14ac:dyDescent="0.25">
      <c r="A38">
        <v>37</v>
      </c>
      <c r="B38" s="112">
        <v>40027435</v>
      </c>
      <c r="C38">
        <v>3</v>
      </c>
      <c r="E38" s="110">
        <v>42747</v>
      </c>
      <c r="F38" s="111" t="s">
        <v>255</v>
      </c>
      <c r="G38">
        <v>24.885999999999999</v>
      </c>
      <c r="H38">
        <v>34.999999999999872</v>
      </c>
      <c r="I38" s="112">
        <v>3</v>
      </c>
      <c r="J38">
        <v>435</v>
      </c>
      <c r="K38" s="1" t="e">
        <f>INDEX($P$4:$AM$15,MATCH(MONTH($E38),$O$4:$O$15,0),MATCH(HOUR($F38),$P$3:$AM$3,0))</f>
        <v>#N/A</v>
      </c>
      <c r="L38" t="s">
        <v>249</v>
      </c>
      <c r="M38" s="111"/>
    </row>
    <row r="39" spans="1:13" x14ac:dyDescent="0.25">
      <c r="A39">
        <v>38</v>
      </c>
      <c r="B39" s="112">
        <v>40030933</v>
      </c>
      <c r="C39">
        <v>1</v>
      </c>
      <c r="E39" s="110">
        <v>42748</v>
      </c>
      <c r="F39" s="111" t="s">
        <v>256</v>
      </c>
      <c r="G39">
        <v>12.683</v>
      </c>
      <c r="H39">
        <v>30.000000000000053</v>
      </c>
      <c r="I39" s="112">
        <v>3</v>
      </c>
      <c r="J39">
        <v>629.99999999999989</v>
      </c>
      <c r="K39" s="1" t="e">
        <f>INDEX($P$4:$AM$15,MATCH(MONTH($E39),$O$4:$O$15,0),MATCH(HOUR($F39),$P$3:$AM$3,0))</f>
        <v>#N/A</v>
      </c>
      <c r="L39" t="s">
        <v>257</v>
      </c>
      <c r="M39" s="111"/>
    </row>
    <row r="40" spans="1:13" x14ac:dyDescent="0.25">
      <c r="A40">
        <v>39</v>
      </c>
      <c r="B40" s="112">
        <v>40030933</v>
      </c>
      <c r="C40">
        <v>2</v>
      </c>
      <c r="E40" s="110">
        <v>42748</v>
      </c>
      <c r="F40" s="111" t="s">
        <v>258</v>
      </c>
      <c r="G40">
        <v>13.087</v>
      </c>
      <c r="H40">
        <v>30.000000000000053</v>
      </c>
      <c r="I40" s="112">
        <v>3</v>
      </c>
      <c r="J40">
        <v>45</v>
      </c>
      <c r="K40" s="1" t="e">
        <f>INDEX($P$4:$AM$15,MATCH(MONTH($E40),$O$4:$O$15,0),MATCH(HOUR($F40),$P$3:$AM$3,0))</f>
        <v>#N/A</v>
      </c>
      <c r="L40" t="s">
        <v>257</v>
      </c>
      <c r="M40" s="111"/>
    </row>
    <row r="41" spans="1:13" x14ac:dyDescent="0.25">
      <c r="A41">
        <v>40</v>
      </c>
      <c r="B41" s="112">
        <v>40030933</v>
      </c>
      <c r="C41">
        <v>3</v>
      </c>
      <c r="E41" s="110">
        <v>42748</v>
      </c>
      <c r="F41" s="111" t="s">
        <v>259</v>
      </c>
      <c r="G41">
        <v>1.8440000000000001</v>
      </c>
      <c r="H41">
        <v>14.999999999999947</v>
      </c>
      <c r="I41" s="112">
        <v>3</v>
      </c>
      <c r="J41">
        <v>585</v>
      </c>
      <c r="K41" s="1" t="e">
        <f>INDEX($P$4:$AM$15,MATCH(MONTH($E41),$O$4:$O$15,0),MATCH(HOUR($F41),$P$3:$AM$3,0))</f>
        <v>#N/A</v>
      </c>
      <c r="L41" t="s">
        <v>257</v>
      </c>
      <c r="M41" s="111"/>
    </row>
    <row r="42" spans="1:13" x14ac:dyDescent="0.25">
      <c r="A42">
        <v>41</v>
      </c>
      <c r="B42" s="112">
        <v>40031047</v>
      </c>
      <c r="C42">
        <v>1</v>
      </c>
      <c r="E42" s="110">
        <v>42749</v>
      </c>
      <c r="F42" s="111" t="s">
        <v>260</v>
      </c>
      <c r="G42">
        <v>0.65100000000000002</v>
      </c>
      <c r="H42">
        <v>4.9999999999999822</v>
      </c>
      <c r="I42" s="112">
        <v>3</v>
      </c>
      <c r="J42">
        <v>15.000000000000027</v>
      </c>
      <c r="K42" s="1" t="e">
        <f>INDEX($P$4:$AM$15,MATCH(MONTH($E42),$O$4:$O$15,0),MATCH(HOUR($F42),$P$3:$AM$3,0))</f>
        <v>#N/A</v>
      </c>
      <c r="L42" t="s">
        <v>231</v>
      </c>
      <c r="M42" s="111"/>
    </row>
    <row r="43" spans="1:13" x14ac:dyDescent="0.25">
      <c r="A43">
        <v>42</v>
      </c>
      <c r="B43" s="112">
        <v>40031047</v>
      </c>
      <c r="C43">
        <v>2</v>
      </c>
      <c r="E43" s="110">
        <v>42749</v>
      </c>
      <c r="F43" s="111" t="s">
        <v>261</v>
      </c>
      <c r="G43">
        <v>0.65500000000000003</v>
      </c>
      <c r="H43">
        <v>1.9999999999999929</v>
      </c>
      <c r="I43" s="112">
        <v>3</v>
      </c>
      <c r="J43">
        <v>383.00000000000006</v>
      </c>
      <c r="K43" s="1" t="e">
        <f>INDEX($P$4:$AM$15,MATCH(MONTH($E43),$O$4:$O$15,0),MATCH(HOUR($F43),$P$3:$AM$3,0))</f>
        <v>#N/A</v>
      </c>
      <c r="L43" t="s">
        <v>231</v>
      </c>
      <c r="M43" s="111"/>
    </row>
    <row r="44" spans="1:13" x14ac:dyDescent="0.25">
      <c r="A44">
        <v>43</v>
      </c>
      <c r="B44" s="112">
        <v>40031047</v>
      </c>
      <c r="C44">
        <v>3</v>
      </c>
      <c r="E44" s="110">
        <v>42749</v>
      </c>
      <c r="F44" s="111" t="s">
        <v>262</v>
      </c>
      <c r="G44">
        <v>1.3340000000000001</v>
      </c>
      <c r="H44">
        <v>4.9999999999999822</v>
      </c>
      <c r="I44" s="112">
        <v>3</v>
      </c>
      <c r="J44">
        <v>19.999999999999929</v>
      </c>
      <c r="K44" s="1" t="e">
        <f>INDEX($P$4:$AM$15,MATCH(MONTH($E44),$O$4:$O$15,0),MATCH(HOUR($F44),$P$3:$AM$3,0))</f>
        <v>#N/A</v>
      </c>
      <c r="L44" t="s">
        <v>231</v>
      </c>
      <c r="M44" s="111"/>
    </row>
    <row r="45" spans="1:13" x14ac:dyDescent="0.25">
      <c r="A45">
        <v>44</v>
      </c>
      <c r="B45" s="112">
        <v>40031047</v>
      </c>
      <c r="C45">
        <v>4</v>
      </c>
      <c r="E45" s="110">
        <v>42749</v>
      </c>
      <c r="F45" s="111" t="s">
        <v>263</v>
      </c>
      <c r="G45">
        <v>1.3029999999999999</v>
      </c>
      <c r="H45">
        <v>10.000000000000044</v>
      </c>
      <c r="I45" s="112">
        <v>3</v>
      </c>
      <c r="J45">
        <v>220.00000000000003</v>
      </c>
      <c r="K45" s="1" t="e">
        <f>INDEX($P$4:$AM$15,MATCH(MONTH($E45),$O$4:$O$15,0),MATCH(HOUR($F45),$P$3:$AM$3,0))</f>
        <v>#N/A</v>
      </c>
      <c r="L45" t="s">
        <v>231</v>
      </c>
      <c r="M45" s="111"/>
    </row>
    <row r="46" spans="1:13" x14ac:dyDescent="0.25">
      <c r="A46">
        <v>45</v>
      </c>
      <c r="B46" s="112">
        <v>40031047</v>
      </c>
      <c r="C46">
        <v>5</v>
      </c>
      <c r="E46" s="110">
        <v>42749</v>
      </c>
      <c r="F46" s="111" t="s">
        <v>228</v>
      </c>
      <c r="G46">
        <v>1.3340000000000001</v>
      </c>
      <c r="H46">
        <v>9.9999999999999645</v>
      </c>
      <c r="I46" s="112">
        <v>3</v>
      </c>
      <c r="J46">
        <v>35.000000000000036</v>
      </c>
      <c r="K46" s="1" t="e">
        <f>INDEX($P$4:$AM$15,MATCH(MONTH($E46),$O$4:$O$15,0),MATCH(HOUR($F46),$P$3:$AM$3,0))</f>
        <v>#N/A</v>
      </c>
      <c r="L46" t="s">
        <v>231</v>
      </c>
      <c r="M46" s="111"/>
    </row>
    <row r="47" spans="1:13" x14ac:dyDescent="0.25">
      <c r="A47">
        <v>46</v>
      </c>
      <c r="B47" s="112">
        <v>40031047</v>
      </c>
      <c r="C47">
        <v>6</v>
      </c>
      <c r="E47" s="110">
        <v>42749</v>
      </c>
      <c r="F47" s="111" t="s">
        <v>247</v>
      </c>
      <c r="G47">
        <v>58.439</v>
      </c>
      <c r="H47">
        <v>70.000000000000071</v>
      </c>
      <c r="I47" s="112">
        <v>3</v>
      </c>
      <c r="J47">
        <v>14.999999999999947</v>
      </c>
      <c r="K47" s="1" t="e">
        <f>INDEX($P$4:$AM$15,MATCH(MONTH($E47),$O$4:$O$15,0),MATCH(HOUR($F47),$P$3:$AM$3,0))</f>
        <v>#N/A</v>
      </c>
      <c r="L47" t="s">
        <v>231</v>
      </c>
      <c r="M47" s="111"/>
    </row>
    <row r="48" spans="1:13" x14ac:dyDescent="0.25">
      <c r="A48">
        <v>47</v>
      </c>
      <c r="B48" s="112">
        <v>40031047</v>
      </c>
      <c r="C48">
        <v>7</v>
      </c>
      <c r="E48" s="110">
        <v>42749</v>
      </c>
      <c r="F48" s="111" t="s">
        <v>264</v>
      </c>
      <c r="G48">
        <v>0.88800000000000001</v>
      </c>
      <c r="H48">
        <v>4.9999999999999822</v>
      </c>
      <c r="I48" s="112">
        <v>3</v>
      </c>
      <c r="J48">
        <v>160.00000000000006</v>
      </c>
      <c r="K48" s="1" t="e">
        <f>INDEX($P$4:$AM$15,MATCH(MONTH($E48),$O$4:$O$15,0),MATCH(HOUR($F48),$P$3:$AM$3,0))</f>
        <v>#N/A</v>
      </c>
      <c r="L48" t="s">
        <v>231</v>
      </c>
      <c r="M48" s="111"/>
    </row>
    <row r="49" spans="1:13" x14ac:dyDescent="0.25">
      <c r="A49">
        <v>48</v>
      </c>
      <c r="B49" s="112">
        <v>40031047</v>
      </c>
      <c r="C49">
        <v>8</v>
      </c>
      <c r="E49" s="110">
        <v>42749</v>
      </c>
      <c r="F49" s="111" t="s">
        <v>265</v>
      </c>
      <c r="G49">
        <v>58.895000000000003</v>
      </c>
      <c r="H49">
        <v>90</v>
      </c>
      <c r="I49" s="112">
        <v>3</v>
      </c>
      <c r="J49">
        <v>689.99999999999977</v>
      </c>
      <c r="K49" s="1" t="e">
        <f>INDEX($P$4:$AM$15,MATCH(MONTH($E49),$O$4:$O$15,0),MATCH(HOUR($F49),$P$3:$AM$3,0))</f>
        <v>#N/A</v>
      </c>
      <c r="L49" t="s">
        <v>231</v>
      </c>
      <c r="M49" s="111"/>
    </row>
    <row r="50" spans="1:13" x14ac:dyDescent="0.25">
      <c r="A50">
        <v>49</v>
      </c>
      <c r="B50" s="112">
        <v>40036458</v>
      </c>
      <c r="C50">
        <v>1</v>
      </c>
      <c r="E50" s="110">
        <v>42750</v>
      </c>
      <c r="F50" s="111" t="s">
        <v>266</v>
      </c>
      <c r="G50">
        <v>1.865</v>
      </c>
      <c r="H50">
        <v>5.0000000000000622</v>
      </c>
      <c r="I50" s="112">
        <v>6</v>
      </c>
      <c r="J50">
        <v>5.0000000000000622</v>
      </c>
      <c r="K50" s="1" t="e">
        <f>INDEX($P$4:$AM$15,MATCH(MONTH($E50),$O$4:$O$15,0),MATCH(HOUR($F50),$P$3:$AM$3,0))</f>
        <v>#N/A</v>
      </c>
      <c r="L50" t="s">
        <v>218</v>
      </c>
      <c r="M50" s="111"/>
    </row>
    <row r="51" spans="1:13" x14ac:dyDescent="0.25">
      <c r="A51">
        <v>50</v>
      </c>
      <c r="B51" s="112">
        <v>40036458</v>
      </c>
      <c r="C51">
        <v>2</v>
      </c>
      <c r="E51" s="110">
        <v>42750</v>
      </c>
      <c r="F51" s="111" t="s">
        <v>267</v>
      </c>
      <c r="G51">
        <v>14.801</v>
      </c>
      <c r="H51">
        <v>24.999999999999911</v>
      </c>
      <c r="I51" s="112">
        <v>6</v>
      </c>
      <c r="J51">
        <v>300</v>
      </c>
      <c r="K51" s="1" t="e">
        <f>INDEX($P$4:$AM$15,MATCH(MONTH($E51),$O$4:$O$15,0),MATCH(HOUR($F51),$P$3:$AM$3,0))</f>
        <v>#N/A</v>
      </c>
      <c r="L51" t="s">
        <v>218</v>
      </c>
      <c r="M51" s="111"/>
    </row>
    <row r="52" spans="1:13" x14ac:dyDescent="0.25">
      <c r="A52">
        <v>51</v>
      </c>
      <c r="B52" s="112">
        <v>40036458</v>
      </c>
      <c r="C52">
        <v>3</v>
      </c>
      <c r="E52" s="110">
        <v>42750</v>
      </c>
      <c r="F52" s="111" t="s">
        <v>268</v>
      </c>
      <c r="G52">
        <v>6.3339999999999996</v>
      </c>
      <c r="H52">
        <v>23.000000000000078</v>
      </c>
      <c r="I52" s="112">
        <v>6</v>
      </c>
      <c r="J52">
        <v>5.9999999999999787</v>
      </c>
      <c r="K52" s="1" t="e">
        <f>INDEX($P$4:$AM$15,MATCH(MONTH($E52),$O$4:$O$15,0),MATCH(HOUR($F52),$P$3:$AM$3,0))</f>
        <v>#N/A</v>
      </c>
      <c r="L52" t="s">
        <v>218</v>
      </c>
      <c r="M52" s="111"/>
    </row>
    <row r="53" spans="1:13" x14ac:dyDescent="0.25">
      <c r="A53">
        <v>52</v>
      </c>
      <c r="B53" s="112">
        <v>40036458</v>
      </c>
      <c r="C53">
        <v>4</v>
      </c>
      <c r="E53" s="110">
        <v>42750</v>
      </c>
      <c r="F53" s="111" t="s">
        <v>269</v>
      </c>
      <c r="G53">
        <v>21.056000000000001</v>
      </c>
      <c r="H53">
        <v>34.000000000000043</v>
      </c>
      <c r="I53" s="112">
        <v>6</v>
      </c>
      <c r="J53">
        <v>22.000000000000082</v>
      </c>
      <c r="K53" s="1" t="e">
        <f>INDEX($P$4:$AM$15,MATCH(MONTH($E53),$O$4:$O$15,0),MATCH(HOUR($F53),$P$3:$AM$3,0))</f>
        <v>#N/A</v>
      </c>
      <c r="L53" t="s">
        <v>218</v>
      </c>
      <c r="M53" s="111"/>
    </row>
    <row r="54" spans="1:13" x14ac:dyDescent="0.25">
      <c r="A54">
        <v>53</v>
      </c>
      <c r="B54" s="112">
        <v>40036458</v>
      </c>
      <c r="C54">
        <v>5</v>
      </c>
      <c r="E54" s="110">
        <v>42750</v>
      </c>
      <c r="F54" s="111" t="s">
        <v>270</v>
      </c>
      <c r="G54">
        <v>4.6740000000000004</v>
      </c>
      <c r="H54">
        <v>9.9999999999998046</v>
      </c>
      <c r="I54" s="112">
        <v>6</v>
      </c>
      <c r="J54">
        <v>5.0000000000001421</v>
      </c>
      <c r="K54" s="1" t="e">
        <f>INDEX($P$4:$AM$15,MATCH(MONTH($E54),$O$4:$O$15,0),MATCH(HOUR($F54),$P$3:$AM$3,0))</f>
        <v>#N/A</v>
      </c>
      <c r="L54" t="s">
        <v>218</v>
      </c>
      <c r="M54" s="111"/>
    </row>
    <row r="55" spans="1:13" x14ac:dyDescent="0.25">
      <c r="A55">
        <v>54</v>
      </c>
      <c r="B55" s="112">
        <v>40036458</v>
      </c>
      <c r="C55">
        <v>6</v>
      </c>
      <c r="E55" s="110">
        <v>42750</v>
      </c>
      <c r="F55" s="111" t="s">
        <v>271</v>
      </c>
      <c r="G55">
        <v>0.60799999999999998</v>
      </c>
      <c r="H55">
        <v>2.9999999999998295</v>
      </c>
      <c r="I55" s="112">
        <v>6</v>
      </c>
      <c r="J55">
        <v>24.000000000000075</v>
      </c>
      <c r="K55" s="1" t="e">
        <f>INDEX($P$4:$AM$15,MATCH(MONTH($E55),$O$4:$O$15,0),MATCH(HOUR($F55),$P$3:$AM$3,0))</f>
        <v>#N/A</v>
      </c>
      <c r="L55" t="s">
        <v>218</v>
      </c>
      <c r="M55" s="111"/>
    </row>
    <row r="56" spans="1:13" x14ac:dyDescent="0.25">
      <c r="A56">
        <v>55</v>
      </c>
      <c r="B56" s="112">
        <v>40036458</v>
      </c>
      <c r="C56">
        <v>7</v>
      </c>
      <c r="E56" s="110">
        <v>42750</v>
      </c>
      <c r="F56" s="111" t="s">
        <v>272</v>
      </c>
      <c r="G56">
        <v>4.32</v>
      </c>
      <c r="H56">
        <v>7.9999999999999716</v>
      </c>
      <c r="I56" s="112">
        <v>6</v>
      </c>
      <c r="J56">
        <v>870</v>
      </c>
      <c r="K56" s="1" t="e">
        <f>INDEX($P$4:$AM$15,MATCH(MONTH($E56),$O$4:$O$15,0),MATCH(HOUR($F56),$P$3:$AM$3,0))</f>
        <v>#N/A</v>
      </c>
      <c r="L56" t="s">
        <v>218</v>
      </c>
      <c r="M56" s="111"/>
    </row>
    <row r="57" spans="1:13" x14ac:dyDescent="0.25">
      <c r="A57">
        <v>56</v>
      </c>
      <c r="B57" s="112">
        <v>40044052</v>
      </c>
      <c r="C57">
        <v>1</v>
      </c>
      <c r="E57" s="110">
        <v>42751</v>
      </c>
      <c r="F57" s="111" t="s">
        <v>273</v>
      </c>
      <c r="G57">
        <v>2.2290000000000001</v>
      </c>
      <c r="H57">
        <v>15.000000000000027</v>
      </c>
      <c r="I57" s="112">
        <v>3</v>
      </c>
      <c r="J57">
        <v>480</v>
      </c>
      <c r="K57" s="1" t="e">
        <f>INDEX($P$4:$AM$15,MATCH(MONTH($E57),$O$4:$O$15,0),MATCH(HOUR($F57),$P$3:$AM$3,0))</f>
        <v>#N/A</v>
      </c>
      <c r="L57" t="s">
        <v>222</v>
      </c>
      <c r="M57" s="111"/>
    </row>
    <row r="58" spans="1:13" x14ac:dyDescent="0.25">
      <c r="A58">
        <v>57</v>
      </c>
      <c r="B58" s="112">
        <v>40044052</v>
      </c>
      <c r="C58">
        <v>2</v>
      </c>
      <c r="E58" s="110">
        <v>42751</v>
      </c>
      <c r="F58" s="111" t="s">
        <v>274</v>
      </c>
      <c r="G58">
        <v>2.109</v>
      </c>
      <c r="H58">
        <v>14.999999999999947</v>
      </c>
      <c r="I58" s="112">
        <v>3</v>
      </c>
      <c r="J58">
        <v>900</v>
      </c>
      <c r="K58" s="1" t="e">
        <f>INDEX($P$4:$AM$15,MATCH(MONTH($E58),$O$4:$O$15,0),MATCH(HOUR($F58),$P$3:$AM$3,0))</f>
        <v>#N/A</v>
      </c>
      <c r="L58" t="s">
        <v>222</v>
      </c>
      <c r="M58" s="111"/>
    </row>
    <row r="59" spans="1:13" x14ac:dyDescent="0.25">
      <c r="A59">
        <v>58</v>
      </c>
      <c r="B59" s="112">
        <v>40057983</v>
      </c>
      <c r="C59">
        <v>1</v>
      </c>
      <c r="E59" s="110">
        <v>42752</v>
      </c>
      <c r="F59" s="111" t="s">
        <v>251</v>
      </c>
      <c r="G59">
        <v>18.483000000000001</v>
      </c>
      <c r="H59">
        <v>60.000000000000028</v>
      </c>
      <c r="I59" s="112">
        <v>3</v>
      </c>
      <c r="J59">
        <v>404.99999999999989</v>
      </c>
      <c r="K59" s="1" t="e">
        <f>INDEX($P$4:$AM$15,MATCH(MONTH($E59),$O$4:$O$15,0),MATCH(HOUR($F59),$P$3:$AM$3,0))</f>
        <v>#N/A</v>
      </c>
      <c r="L59" t="s">
        <v>222</v>
      </c>
      <c r="M59" s="111"/>
    </row>
    <row r="60" spans="1:13" x14ac:dyDescent="0.25">
      <c r="A60">
        <v>59</v>
      </c>
      <c r="B60" s="112">
        <v>40057983</v>
      </c>
      <c r="C60">
        <v>2</v>
      </c>
      <c r="E60" s="110">
        <v>42752</v>
      </c>
      <c r="F60" s="111" t="s">
        <v>268</v>
      </c>
      <c r="G60">
        <v>18.210999999999999</v>
      </c>
      <c r="H60">
        <v>45</v>
      </c>
      <c r="I60" s="112">
        <v>3</v>
      </c>
      <c r="J60">
        <v>1140</v>
      </c>
      <c r="K60" s="1" t="e">
        <f>INDEX($P$4:$AM$15,MATCH(MONTH($E60),$O$4:$O$15,0),MATCH(HOUR($F60),$P$3:$AM$3,0))</f>
        <v>#N/A</v>
      </c>
      <c r="L60" t="s">
        <v>222</v>
      </c>
      <c r="M60" s="111"/>
    </row>
    <row r="61" spans="1:13" x14ac:dyDescent="0.25">
      <c r="A61">
        <v>60</v>
      </c>
      <c r="B61" s="112">
        <v>40060393</v>
      </c>
      <c r="C61">
        <v>1</v>
      </c>
      <c r="E61" s="110">
        <v>42753</v>
      </c>
      <c r="F61" s="111" t="s">
        <v>221</v>
      </c>
      <c r="G61">
        <v>5.5049999999999999</v>
      </c>
      <c r="H61">
        <v>15.000000000000027</v>
      </c>
      <c r="I61" s="112">
        <v>3</v>
      </c>
      <c r="J61">
        <v>15.000000000000027</v>
      </c>
      <c r="K61" s="1" t="e">
        <f>INDEX($P$4:$AM$15,MATCH(MONTH($E61),$O$4:$O$15,0),MATCH(HOUR($F61),$P$3:$AM$3,0))</f>
        <v>#N/A</v>
      </c>
      <c r="L61" t="s">
        <v>218</v>
      </c>
      <c r="M61" s="111"/>
    </row>
    <row r="62" spans="1:13" x14ac:dyDescent="0.25">
      <c r="A62">
        <v>61</v>
      </c>
      <c r="B62" s="112">
        <v>40060393</v>
      </c>
      <c r="C62">
        <v>2</v>
      </c>
      <c r="E62" s="110">
        <v>42753</v>
      </c>
      <c r="F62" s="111" t="s">
        <v>262</v>
      </c>
      <c r="G62">
        <v>5.8710000000000004</v>
      </c>
      <c r="H62">
        <v>14.999999999999947</v>
      </c>
      <c r="I62" s="112">
        <v>3</v>
      </c>
      <c r="J62">
        <v>1115</v>
      </c>
      <c r="K62" s="1" t="e">
        <f>INDEX($P$4:$AM$15,MATCH(MONTH($E62),$O$4:$O$15,0),MATCH(HOUR($F62),$P$3:$AM$3,0))</f>
        <v>#N/A</v>
      </c>
      <c r="L62" t="s">
        <v>218</v>
      </c>
      <c r="M62" s="111"/>
    </row>
    <row r="63" spans="1:13" x14ac:dyDescent="0.25">
      <c r="A63">
        <v>62</v>
      </c>
      <c r="B63" s="112">
        <v>40061500</v>
      </c>
      <c r="C63">
        <v>1</v>
      </c>
      <c r="E63" s="110">
        <v>42754</v>
      </c>
      <c r="F63" s="111" t="s">
        <v>275</v>
      </c>
      <c r="G63">
        <v>16.776</v>
      </c>
      <c r="H63">
        <v>25.999999999999986</v>
      </c>
      <c r="I63" s="112">
        <v>3</v>
      </c>
      <c r="J63">
        <v>534</v>
      </c>
      <c r="K63" s="1" t="e">
        <f>INDEX($P$4:$AM$15,MATCH(MONTH($E63),$O$4:$O$15,0),MATCH(HOUR($F63),$P$3:$AM$3,0))</f>
        <v>#N/A</v>
      </c>
      <c r="L63" t="s">
        <v>231</v>
      </c>
      <c r="M63" s="111"/>
    </row>
    <row r="64" spans="1:13" x14ac:dyDescent="0.25">
      <c r="A64">
        <v>63</v>
      </c>
      <c r="B64" s="112">
        <v>40061500</v>
      </c>
      <c r="C64">
        <v>2</v>
      </c>
      <c r="E64" s="110">
        <v>42754</v>
      </c>
      <c r="F64" s="111" t="s">
        <v>276</v>
      </c>
      <c r="G64">
        <v>1.8520000000000001</v>
      </c>
      <c r="H64">
        <v>9.9999999999999645</v>
      </c>
      <c r="I64" s="112">
        <v>3</v>
      </c>
      <c r="J64">
        <v>9.9999999999999645</v>
      </c>
      <c r="K64" s="1" t="e">
        <f>INDEX($P$4:$AM$15,MATCH(MONTH($E64),$O$4:$O$15,0),MATCH(HOUR($F64),$P$3:$AM$3,0))</f>
        <v>#N/A</v>
      </c>
      <c r="L64" t="s">
        <v>231</v>
      </c>
      <c r="M64" s="111"/>
    </row>
    <row r="65" spans="1:13" x14ac:dyDescent="0.25">
      <c r="A65">
        <v>64</v>
      </c>
      <c r="B65" s="112">
        <v>40061500</v>
      </c>
      <c r="C65">
        <v>3</v>
      </c>
      <c r="E65" s="110">
        <v>42754</v>
      </c>
      <c r="F65" s="111" t="s">
        <v>252</v>
      </c>
      <c r="G65">
        <v>0.97799999999999998</v>
      </c>
      <c r="H65">
        <v>3.0000000000001492</v>
      </c>
      <c r="I65" s="112">
        <v>3</v>
      </c>
      <c r="J65">
        <v>11.999999999999957</v>
      </c>
      <c r="K65" s="1" t="e">
        <f>INDEX($P$4:$AM$15,MATCH(MONTH($E65),$O$4:$O$15,0),MATCH(HOUR($F65),$P$3:$AM$3,0))</f>
        <v>#N/A</v>
      </c>
      <c r="L65" t="s">
        <v>231</v>
      </c>
      <c r="M65" s="111"/>
    </row>
    <row r="66" spans="1:13" x14ac:dyDescent="0.25">
      <c r="A66">
        <v>65</v>
      </c>
      <c r="B66" s="112">
        <v>40061500</v>
      </c>
      <c r="C66">
        <v>4</v>
      </c>
      <c r="E66" s="110">
        <v>42754</v>
      </c>
      <c r="F66" s="111" t="s">
        <v>274</v>
      </c>
      <c r="G66">
        <v>18.558</v>
      </c>
      <c r="H66">
        <v>29.999999999999893</v>
      </c>
      <c r="I66" s="112">
        <v>3</v>
      </c>
      <c r="J66">
        <v>869</v>
      </c>
      <c r="K66" s="1" t="e">
        <f>INDEX($P$4:$AM$15,MATCH(MONTH($E66),$O$4:$O$15,0),MATCH(HOUR($F66),$P$3:$AM$3,0))</f>
        <v>#N/A</v>
      </c>
      <c r="L66" t="s">
        <v>231</v>
      </c>
      <c r="M66" s="111"/>
    </row>
    <row r="67" spans="1:13" x14ac:dyDescent="0.25">
      <c r="A67">
        <v>66</v>
      </c>
      <c r="B67" s="112">
        <v>40061500</v>
      </c>
      <c r="C67">
        <v>1</v>
      </c>
      <c r="E67" s="110">
        <v>42755</v>
      </c>
      <c r="F67" s="111" t="s">
        <v>277</v>
      </c>
      <c r="G67">
        <v>18.526</v>
      </c>
      <c r="H67">
        <v>31.00000000000005</v>
      </c>
      <c r="I67" s="112">
        <v>3</v>
      </c>
      <c r="J67">
        <v>516</v>
      </c>
      <c r="K67" s="1" t="e">
        <f>INDEX($P$4:$AM$15,MATCH(MONTH($E67),$O$4:$O$15,0),MATCH(HOUR($F67),$P$3:$AM$3,0))</f>
        <v>#N/A</v>
      </c>
      <c r="L67" t="s">
        <v>231</v>
      </c>
      <c r="M67" s="111"/>
    </row>
    <row r="68" spans="1:13" x14ac:dyDescent="0.25">
      <c r="A68">
        <v>67</v>
      </c>
      <c r="B68" s="112">
        <v>40061500</v>
      </c>
      <c r="C68">
        <v>2</v>
      </c>
      <c r="E68" s="110">
        <v>42755</v>
      </c>
      <c r="F68" s="111" t="s">
        <v>278</v>
      </c>
      <c r="G68">
        <v>0.89700000000000002</v>
      </c>
      <c r="H68">
        <v>8.999999999999968</v>
      </c>
      <c r="I68" s="112">
        <v>3</v>
      </c>
      <c r="J68">
        <v>40.000000000000014</v>
      </c>
      <c r="K68" s="1" t="e">
        <f>INDEX($P$4:$AM$15,MATCH(MONTH($E68),$O$4:$O$15,0),MATCH(HOUR($F68),$P$3:$AM$3,0))</f>
        <v>#N/A</v>
      </c>
      <c r="L68" t="s">
        <v>231</v>
      </c>
      <c r="M68" s="111"/>
    </row>
    <row r="69" spans="1:13" x14ac:dyDescent="0.25">
      <c r="A69">
        <v>68</v>
      </c>
      <c r="B69" s="112">
        <v>40061500</v>
      </c>
      <c r="C69">
        <v>3</v>
      </c>
      <c r="E69" s="110">
        <v>42755</v>
      </c>
      <c r="F69" s="111" t="s">
        <v>279</v>
      </c>
      <c r="G69">
        <v>0.67200000000000004</v>
      </c>
      <c r="H69">
        <v>9.9999999999999645</v>
      </c>
      <c r="I69" s="112">
        <v>3</v>
      </c>
      <c r="J69">
        <v>59.999999999999943</v>
      </c>
      <c r="K69" s="1" t="e">
        <f>INDEX($P$4:$AM$15,MATCH(MONTH($E69),$O$4:$O$15,0),MATCH(HOUR($F69),$P$3:$AM$3,0))</f>
        <v>#N/A</v>
      </c>
      <c r="L69" t="s">
        <v>231</v>
      </c>
      <c r="M69" s="111"/>
    </row>
    <row r="70" spans="1:13" x14ac:dyDescent="0.25">
      <c r="A70">
        <v>69</v>
      </c>
      <c r="B70" s="112">
        <v>40061500</v>
      </c>
      <c r="C70">
        <v>4</v>
      </c>
      <c r="E70" s="110">
        <v>42755</v>
      </c>
      <c r="F70" s="111" t="s">
        <v>280</v>
      </c>
      <c r="G70">
        <v>1.0489999999999999</v>
      </c>
      <c r="H70">
        <v>6.9999999999999751</v>
      </c>
      <c r="I70" s="112">
        <v>3</v>
      </c>
      <c r="J70">
        <v>838.00000000000011</v>
      </c>
      <c r="K70" s="1" t="e">
        <f>INDEX($P$4:$AM$15,MATCH(MONTH($E70),$O$4:$O$15,0),MATCH(HOUR($F70),$P$3:$AM$3,0))</f>
        <v>#N/A</v>
      </c>
      <c r="L70" t="s">
        <v>231</v>
      </c>
      <c r="M70" s="111"/>
    </row>
    <row r="71" spans="1:13" x14ac:dyDescent="0.25">
      <c r="A71">
        <v>70</v>
      </c>
      <c r="B71" s="112">
        <v>40065302</v>
      </c>
      <c r="C71">
        <v>1</v>
      </c>
      <c r="E71" s="110">
        <v>42756</v>
      </c>
      <c r="F71" s="111" t="s">
        <v>226</v>
      </c>
      <c r="G71">
        <v>5.2279999999999998</v>
      </c>
      <c r="H71">
        <v>20.000000000000007</v>
      </c>
      <c r="I71" s="112">
        <v>5</v>
      </c>
      <c r="J71">
        <v>540.00000000000011</v>
      </c>
      <c r="K71" s="1" t="e">
        <f>INDEX($P$4:$AM$15,MATCH(MONTH($E71),$O$4:$O$15,0),MATCH(HOUR($F71),$P$3:$AM$3,0))</f>
        <v>#N/A</v>
      </c>
      <c r="L71" t="s">
        <v>222</v>
      </c>
      <c r="M71" s="111"/>
    </row>
    <row r="72" spans="1:13" x14ac:dyDescent="0.25">
      <c r="A72">
        <v>71</v>
      </c>
      <c r="B72" s="112">
        <v>40065302</v>
      </c>
      <c r="C72">
        <v>2</v>
      </c>
      <c r="E72" s="110">
        <v>42756</v>
      </c>
      <c r="F72" s="111" t="s">
        <v>281</v>
      </c>
      <c r="G72">
        <v>5.234</v>
      </c>
      <c r="H72">
        <v>19.999999999999929</v>
      </c>
      <c r="I72" s="112">
        <v>5</v>
      </c>
      <c r="J72">
        <v>1015</v>
      </c>
      <c r="K72" s="1" t="e">
        <f>INDEX($P$4:$AM$15,MATCH(MONTH($E72),$O$4:$O$15,0),MATCH(HOUR($F72),$P$3:$AM$3,0))</f>
        <v>#N/A</v>
      </c>
      <c r="L72" t="s">
        <v>222</v>
      </c>
      <c r="M72" s="111"/>
    </row>
    <row r="73" spans="1:13" x14ac:dyDescent="0.25">
      <c r="A73">
        <v>72</v>
      </c>
      <c r="B73" s="112">
        <v>40068581</v>
      </c>
      <c r="C73">
        <v>1</v>
      </c>
      <c r="E73" s="110">
        <v>42757</v>
      </c>
      <c r="F73" s="111" t="s">
        <v>221</v>
      </c>
      <c r="G73">
        <v>3.3380000000000001</v>
      </c>
      <c r="H73">
        <v>15.000000000000027</v>
      </c>
      <c r="I73" s="112">
        <v>3</v>
      </c>
      <c r="J73">
        <v>54.999999999999964</v>
      </c>
      <c r="K73" s="1" t="e">
        <f>INDEX($P$4:$AM$15,MATCH(MONTH($E73),$O$4:$O$15,0),MATCH(HOUR($F73),$P$3:$AM$3,0))</f>
        <v>#N/A</v>
      </c>
      <c r="L73" t="s">
        <v>218</v>
      </c>
      <c r="M73" s="111"/>
    </row>
    <row r="74" spans="1:13" x14ac:dyDescent="0.25">
      <c r="A74">
        <v>73</v>
      </c>
      <c r="B74" s="112">
        <v>40068581</v>
      </c>
      <c r="C74">
        <v>2</v>
      </c>
      <c r="E74" s="110">
        <v>42757</v>
      </c>
      <c r="F74" s="111" t="s">
        <v>224</v>
      </c>
      <c r="G74">
        <v>2.8929999999999998</v>
      </c>
      <c r="H74">
        <v>4.9999999999999822</v>
      </c>
      <c r="I74" s="112">
        <v>3</v>
      </c>
      <c r="J74">
        <v>20.000000000000089</v>
      </c>
      <c r="K74" s="1" t="e">
        <f>INDEX($P$4:$AM$15,MATCH(MONTH($E74),$O$4:$O$15,0),MATCH(HOUR($F74),$P$3:$AM$3,0))</f>
        <v>#N/A</v>
      </c>
      <c r="L74" t="s">
        <v>218</v>
      </c>
      <c r="M74" s="111"/>
    </row>
    <row r="75" spans="1:13" x14ac:dyDescent="0.25">
      <c r="A75">
        <v>74</v>
      </c>
      <c r="B75" s="112">
        <v>40068581</v>
      </c>
      <c r="C75">
        <v>3</v>
      </c>
      <c r="E75" s="110">
        <v>42757</v>
      </c>
      <c r="F75" s="111" t="s">
        <v>282</v>
      </c>
      <c r="G75">
        <v>2.1419999999999999</v>
      </c>
      <c r="H75">
        <v>4.9999999999999822</v>
      </c>
      <c r="I75" s="112">
        <v>3</v>
      </c>
      <c r="J75">
        <v>1280</v>
      </c>
      <c r="K75" s="1" t="e">
        <f>INDEX($P$4:$AM$15,MATCH(MONTH($E75),$O$4:$O$15,0),MATCH(HOUR($F75),$P$3:$AM$3,0))</f>
        <v>#N/A</v>
      </c>
      <c r="L75" t="s">
        <v>218</v>
      </c>
      <c r="M75" s="111"/>
    </row>
    <row r="76" spans="1:13" x14ac:dyDescent="0.25">
      <c r="A76">
        <v>75</v>
      </c>
      <c r="B76" s="112">
        <v>40070431</v>
      </c>
      <c r="C76">
        <v>1</v>
      </c>
      <c r="E76" s="110">
        <v>42758</v>
      </c>
      <c r="F76" s="111" t="s">
        <v>283</v>
      </c>
      <c r="G76">
        <v>59.569000000000003</v>
      </c>
      <c r="H76">
        <v>100.99999999999996</v>
      </c>
      <c r="I76" s="112">
        <v>6</v>
      </c>
      <c r="J76">
        <v>11.999999999999957</v>
      </c>
      <c r="K76" s="1" t="e">
        <f>INDEX($P$4:$AM$15,MATCH(MONTH($E76),$O$4:$O$15,0),MATCH(HOUR($F76),$P$3:$AM$3,0))</f>
        <v>#N/A</v>
      </c>
      <c r="L76" t="s">
        <v>222</v>
      </c>
      <c r="M76" s="111"/>
    </row>
    <row r="77" spans="1:13" x14ac:dyDescent="0.25">
      <c r="A77">
        <v>76</v>
      </c>
      <c r="B77" s="112">
        <v>40070431</v>
      </c>
      <c r="C77">
        <v>2</v>
      </c>
      <c r="E77" s="110">
        <v>42758</v>
      </c>
      <c r="F77" s="111" t="s">
        <v>284</v>
      </c>
      <c r="G77">
        <v>4.1870000000000003</v>
      </c>
      <c r="H77">
        <v>14.00000000000003</v>
      </c>
      <c r="I77" s="112">
        <v>6</v>
      </c>
      <c r="J77">
        <v>15.000000000000107</v>
      </c>
      <c r="K77" s="1" t="e">
        <f>INDEX($P$4:$AM$15,MATCH(MONTH($E77),$O$4:$O$15,0),MATCH(HOUR($F77),$P$3:$AM$3,0))</f>
        <v>#N/A</v>
      </c>
      <c r="L77" t="s">
        <v>222</v>
      </c>
      <c r="M77" s="111"/>
    </row>
    <row r="78" spans="1:13" x14ac:dyDescent="0.25">
      <c r="A78">
        <v>77</v>
      </c>
      <c r="B78" s="112">
        <v>40070431</v>
      </c>
      <c r="C78">
        <v>3</v>
      </c>
      <c r="E78" s="110">
        <v>42758</v>
      </c>
      <c r="F78" s="111" t="s">
        <v>285</v>
      </c>
      <c r="G78">
        <v>62.448999999999998</v>
      </c>
      <c r="H78">
        <v>109.99999999999993</v>
      </c>
      <c r="I78" s="112">
        <v>6</v>
      </c>
      <c r="J78">
        <v>1098</v>
      </c>
      <c r="K78" s="1" t="e">
        <f>INDEX($P$4:$AM$15,MATCH(MONTH($E78),$O$4:$O$15,0),MATCH(HOUR($F78),$P$3:$AM$3,0))</f>
        <v>#N/A</v>
      </c>
      <c r="L78" t="s">
        <v>222</v>
      </c>
      <c r="M78" s="111"/>
    </row>
    <row r="79" spans="1:13" x14ac:dyDescent="0.25">
      <c r="A79">
        <v>78</v>
      </c>
      <c r="B79" s="112">
        <v>40071465</v>
      </c>
      <c r="C79">
        <v>1</v>
      </c>
      <c r="E79" s="110">
        <v>42759</v>
      </c>
      <c r="F79" s="111" t="s">
        <v>286</v>
      </c>
      <c r="G79">
        <v>7.0309999999999997</v>
      </c>
      <c r="H79">
        <v>37.000000000000028</v>
      </c>
      <c r="I79" s="112">
        <v>6</v>
      </c>
      <c r="J79">
        <v>7.9999999999999716</v>
      </c>
      <c r="K79" s="1" t="e">
        <f>INDEX($P$4:$AM$15,MATCH(MONTH($E79),$O$4:$O$15,0),MATCH(HOUR($F79),$P$3:$AM$3,0))</f>
        <v>#N/A</v>
      </c>
      <c r="L79" t="s">
        <v>249</v>
      </c>
      <c r="M79" s="111"/>
    </row>
    <row r="80" spans="1:13" x14ac:dyDescent="0.25">
      <c r="A80">
        <v>79</v>
      </c>
      <c r="B80" s="112">
        <v>40071465</v>
      </c>
      <c r="C80">
        <v>2</v>
      </c>
      <c r="E80" s="110">
        <v>42759</v>
      </c>
      <c r="F80" s="111" t="s">
        <v>287</v>
      </c>
      <c r="G80">
        <v>2.488</v>
      </c>
      <c r="H80">
        <v>0.99999999999999645</v>
      </c>
      <c r="I80" s="112">
        <v>6</v>
      </c>
      <c r="J80">
        <v>2.9999999999999893</v>
      </c>
      <c r="K80" s="1" t="e">
        <f>INDEX($P$4:$AM$15,MATCH(MONTH($E80),$O$4:$O$15,0),MATCH(HOUR($F80),$P$3:$AM$3,0))</f>
        <v>#N/A</v>
      </c>
      <c r="L80" t="s">
        <v>249</v>
      </c>
      <c r="M80" s="111"/>
    </row>
    <row r="81" spans="1:13" x14ac:dyDescent="0.25">
      <c r="A81">
        <v>80</v>
      </c>
      <c r="B81" s="112">
        <v>40071465</v>
      </c>
      <c r="C81">
        <v>3</v>
      </c>
      <c r="E81" s="110">
        <v>42759</v>
      </c>
      <c r="F81" s="111" t="s">
        <v>288</v>
      </c>
      <c r="G81">
        <v>0.30599999999999999</v>
      </c>
      <c r="H81">
        <v>0.99999999999999645</v>
      </c>
      <c r="I81" s="112">
        <v>6</v>
      </c>
      <c r="J81">
        <v>5.9999999999999787</v>
      </c>
      <c r="K81" s="1" t="e">
        <f>INDEX($P$4:$AM$15,MATCH(MONTH($E81),$O$4:$O$15,0),MATCH(HOUR($F81),$P$3:$AM$3,0))</f>
        <v>#N/A</v>
      </c>
      <c r="L81" t="s">
        <v>249</v>
      </c>
      <c r="M81" s="111"/>
    </row>
    <row r="82" spans="1:13" x14ac:dyDescent="0.25">
      <c r="A82">
        <v>81</v>
      </c>
      <c r="B82" s="112">
        <v>40071465</v>
      </c>
      <c r="C82">
        <v>4</v>
      </c>
      <c r="E82" s="110">
        <v>42759</v>
      </c>
      <c r="F82" s="111" t="s">
        <v>289</v>
      </c>
      <c r="G82">
        <v>7.5999999999999998E-2</v>
      </c>
      <c r="H82">
        <v>0.99999999999999645</v>
      </c>
      <c r="I82" s="112">
        <v>6</v>
      </c>
      <c r="J82">
        <v>88</v>
      </c>
      <c r="K82" s="1" t="e">
        <f>INDEX($P$4:$AM$15,MATCH(MONTH($E82),$O$4:$O$15,0),MATCH(HOUR($F82),$P$3:$AM$3,0))</f>
        <v>#N/A</v>
      </c>
      <c r="L82" t="s">
        <v>249</v>
      </c>
      <c r="M82" s="111"/>
    </row>
    <row r="83" spans="1:13" x14ac:dyDescent="0.25">
      <c r="A83">
        <v>82</v>
      </c>
      <c r="B83" s="112">
        <v>40071465</v>
      </c>
      <c r="C83">
        <v>5</v>
      </c>
      <c r="E83" s="110">
        <v>42759</v>
      </c>
      <c r="F83" s="111" t="s">
        <v>290</v>
      </c>
      <c r="G83">
        <v>7.5279999999999996</v>
      </c>
      <c r="H83">
        <v>14.00000000000003</v>
      </c>
      <c r="I83" s="112">
        <v>6</v>
      </c>
      <c r="J83">
        <v>132</v>
      </c>
      <c r="K83" s="1" t="e">
        <f>INDEX($P$4:$AM$15,MATCH(MONTH($E83),$O$4:$O$15,0),MATCH(HOUR($F83),$P$3:$AM$3,0))</f>
        <v>#N/A</v>
      </c>
      <c r="L83" t="s">
        <v>249</v>
      </c>
      <c r="M83" s="111"/>
    </row>
    <row r="84" spans="1:13" x14ac:dyDescent="0.25">
      <c r="A84">
        <v>83</v>
      </c>
      <c r="B84" s="112">
        <v>40071465</v>
      </c>
      <c r="C84">
        <v>6</v>
      </c>
      <c r="E84" s="110">
        <v>42759</v>
      </c>
      <c r="F84" s="111" t="s">
        <v>291</v>
      </c>
      <c r="G84">
        <v>52.286999999999999</v>
      </c>
      <c r="H84">
        <v>63.999999999999929</v>
      </c>
      <c r="I84" s="112">
        <v>6</v>
      </c>
      <c r="J84">
        <v>515.00000000000011</v>
      </c>
      <c r="K84" s="1" t="e">
        <f>INDEX($P$4:$AM$15,MATCH(MONTH($E84),$O$4:$O$15,0),MATCH(HOUR($F84),$P$3:$AM$3,0))</f>
        <v>#N/A</v>
      </c>
      <c r="L84" t="s">
        <v>249</v>
      </c>
      <c r="M84" s="111"/>
    </row>
    <row r="85" spans="1:13" x14ac:dyDescent="0.25">
      <c r="A85">
        <v>84</v>
      </c>
      <c r="B85" s="112">
        <v>40071465</v>
      </c>
      <c r="C85">
        <v>7</v>
      </c>
      <c r="E85" s="110">
        <v>42759</v>
      </c>
      <c r="F85" s="111" t="s">
        <v>292</v>
      </c>
      <c r="G85">
        <v>51.487000000000002</v>
      </c>
      <c r="H85">
        <v>60</v>
      </c>
      <c r="I85" s="112">
        <v>6</v>
      </c>
      <c r="J85">
        <v>330</v>
      </c>
      <c r="K85" s="1" t="e">
        <f>INDEX($P$4:$AM$15,MATCH(MONTH($E85),$O$4:$O$15,0),MATCH(HOUR($F85),$P$3:$AM$3,0))</f>
        <v>#N/A</v>
      </c>
      <c r="L85" t="s">
        <v>249</v>
      </c>
      <c r="M85" s="111"/>
    </row>
    <row r="86" spans="1:13" x14ac:dyDescent="0.25">
      <c r="A86">
        <v>85</v>
      </c>
      <c r="B86" s="112">
        <v>40071465</v>
      </c>
      <c r="C86">
        <v>8</v>
      </c>
      <c r="E86" s="110">
        <v>42759</v>
      </c>
      <c r="F86" s="111" t="s">
        <v>293</v>
      </c>
      <c r="G86">
        <v>11.715</v>
      </c>
      <c r="H86">
        <v>30.000000000000014</v>
      </c>
      <c r="I86" s="112">
        <v>3</v>
      </c>
      <c r="J86">
        <v>510</v>
      </c>
      <c r="K86" s="1" t="e">
        <f>INDEX($P$4:$AM$15,MATCH(MONTH($E86),$O$4:$O$15,0),MATCH(HOUR($F86),$P$3:$AM$3,0))</f>
        <v>#N/A</v>
      </c>
      <c r="L86" t="s">
        <v>249</v>
      </c>
      <c r="M86" s="111"/>
    </row>
    <row r="87" spans="1:13" x14ac:dyDescent="0.25">
      <c r="A87">
        <v>86</v>
      </c>
      <c r="B87" s="112">
        <v>40071465</v>
      </c>
      <c r="C87">
        <v>9</v>
      </c>
      <c r="E87" s="110">
        <v>42759</v>
      </c>
      <c r="F87" s="111" t="s">
        <v>294</v>
      </c>
      <c r="G87">
        <v>11.151</v>
      </c>
      <c r="H87">
        <v>30.000000000000053</v>
      </c>
      <c r="I87" s="112">
        <v>3</v>
      </c>
      <c r="J87">
        <v>990</v>
      </c>
      <c r="K87" s="1" t="e">
        <f>INDEX($P$4:$AM$15,MATCH(MONTH($E87),$O$4:$O$15,0),MATCH(HOUR($F87),$P$3:$AM$3,0))</f>
        <v>#N/A</v>
      </c>
      <c r="L87" t="s">
        <v>249</v>
      </c>
      <c r="M87" s="111"/>
    </row>
    <row r="88" spans="1:13" x14ac:dyDescent="0.25">
      <c r="A88">
        <v>87</v>
      </c>
      <c r="B88" s="112">
        <v>40071808</v>
      </c>
      <c r="C88">
        <v>1</v>
      </c>
      <c r="E88" s="110">
        <v>42760</v>
      </c>
      <c r="F88" s="111" t="s">
        <v>251</v>
      </c>
      <c r="G88">
        <v>1.708</v>
      </c>
      <c r="H88">
        <v>10.000000000000044</v>
      </c>
      <c r="I88" s="112">
        <v>3</v>
      </c>
      <c r="J88">
        <v>79.999999999999957</v>
      </c>
      <c r="K88" s="1" t="e">
        <f>INDEX($P$4:$AM$15,MATCH(MONTH($E88),$O$4:$O$15,0),MATCH(HOUR($F88),$P$3:$AM$3,0))</f>
        <v>#N/A</v>
      </c>
      <c r="L88" t="s">
        <v>218</v>
      </c>
      <c r="M88" s="111"/>
    </row>
    <row r="89" spans="1:13" x14ac:dyDescent="0.25">
      <c r="A89">
        <v>88</v>
      </c>
      <c r="B89" s="112">
        <v>40071808</v>
      </c>
      <c r="C89">
        <v>2</v>
      </c>
      <c r="E89" s="110">
        <v>42760</v>
      </c>
      <c r="F89" s="111" t="s">
        <v>295</v>
      </c>
      <c r="G89">
        <v>6.3550000000000004</v>
      </c>
      <c r="H89">
        <v>15.000000000000027</v>
      </c>
      <c r="I89" s="112">
        <v>3</v>
      </c>
      <c r="J89">
        <v>4.9999999999999822</v>
      </c>
      <c r="K89" s="1" t="e">
        <f>INDEX($P$4:$AM$15,MATCH(MONTH($E89),$O$4:$O$15,0),MATCH(HOUR($F89),$P$3:$AM$3,0))</f>
        <v>#N/A</v>
      </c>
      <c r="L89" t="s">
        <v>218</v>
      </c>
      <c r="M89" s="111"/>
    </row>
    <row r="90" spans="1:13" x14ac:dyDescent="0.25">
      <c r="A90">
        <v>89</v>
      </c>
      <c r="B90" s="112">
        <v>40071808</v>
      </c>
      <c r="C90">
        <v>3</v>
      </c>
      <c r="E90" s="110">
        <v>42760</v>
      </c>
      <c r="F90" s="111" t="s">
        <v>296</v>
      </c>
      <c r="G90">
        <v>7.7389999999999999</v>
      </c>
      <c r="H90">
        <v>15.000000000000027</v>
      </c>
      <c r="I90" s="112">
        <v>3</v>
      </c>
      <c r="J90">
        <v>4.9999999999999023</v>
      </c>
      <c r="K90" s="1" t="e">
        <f>INDEX($P$4:$AM$15,MATCH(MONTH($E90),$O$4:$O$15,0),MATCH(HOUR($F90),$P$3:$AM$3,0))</f>
        <v>#N/A</v>
      </c>
      <c r="L90" t="s">
        <v>218</v>
      </c>
      <c r="M90" s="111"/>
    </row>
    <row r="91" spans="1:13" x14ac:dyDescent="0.25">
      <c r="A91">
        <v>90</v>
      </c>
      <c r="B91" s="112">
        <v>40071808</v>
      </c>
      <c r="C91">
        <v>4</v>
      </c>
      <c r="E91" s="110">
        <v>42760</v>
      </c>
      <c r="F91" s="111" t="s">
        <v>266</v>
      </c>
      <c r="G91">
        <v>2.7850000000000001</v>
      </c>
      <c r="H91">
        <v>20.000000000000089</v>
      </c>
      <c r="I91" s="112">
        <v>3</v>
      </c>
      <c r="J91">
        <v>9.9999999999999645</v>
      </c>
      <c r="K91" s="1" t="e">
        <f>INDEX($P$4:$AM$15,MATCH(MONTH($E91),$O$4:$O$15,0),MATCH(HOUR($F91),$P$3:$AM$3,0))</f>
        <v>#N/A</v>
      </c>
      <c r="L91" t="s">
        <v>218</v>
      </c>
      <c r="M91" s="111"/>
    </row>
    <row r="92" spans="1:13" x14ac:dyDescent="0.25">
      <c r="A92">
        <v>91</v>
      </c>
      <c r="B92" s="112">
        <v>40071808</v>
      </c>
      <c r="C92">
        <v>5</v>
      </c>
      <c r="E92" s="110">
        <v>42760</v>
      </c>
      <c r="F92" s="111" t="s">
        <v>297</v>
      </c>
      <c r="G92">
        <v>8.6389999999999993</v>
      </c>
      <c r="H92">
        <v>20.000000000000007</v>
      </c>
      <c r="I92" s="112">
        <v>3</v>
      </c>
      <c r="J92">
        <v>29.999999999999972</v>
      </c>
      <c r="K92" s="1" t="e">
        <f>INDEX($P$4:$AM$15,MATCH(MONTH($E92),$O$4:$O$15,0),MATCH(HOUR($F92),$P$3:$AM$3,0))</f>
        <v>#N/A</v>
      </c>
      <c r="L92" t="s">
        <v>218</v>
      </c>
      <c r="M92" s="111"/>
    </row>
    <row r="93" spans="1:13" x14ac:dyDescent="0.25">
      <c r="A93">
        <v>92</v>
      </c>
      <c r="B93" s="112">
        <v>40071808</v>
      </c>
      <c r="C93">
        <v>6</v>
      </c>
      <c r="E93" s="110">
        <v>42760</v>
      </c>
      <c r="F93" s="111" t="s">
        <v>221</v>
      </c>
      <c r="G93">
        <v>7.2610000000000001</v>
      </c>
      <c r="H93">
        <v>30.000000000000053</v>
      </c>
      <c r="I93" s="112">
        <v>3</v>
      </c>
      <c r="J93">
        <v>20.000000000000007</v>
      </c>
      <c r="K93" s="1" t="e">
        <f>INDEX($P$4:$AM$15,MATCH(MONTH($E93),$O$4:$O$15,0),MATCH(HOUR($F93),$P$3:$AM$3,0))</f>
        <v>#N/A</v>
      </c>
      <c r="L93" t="s">
        <v>218</v>
      </c>
      <c r="M93" s="111"/>
    </row>
    <row r="94" spans="1:13" x14ac:dyDescent="0.25">
      <c r="A94">
        <v>93</v>
      </c>
      <c r="B94" s="112">
        <v>40071808</v>
      </c>
      <c r="C94">
        <v>7</v>
      </c>
      <c r="E94" s="110">
        <v>42760</v>
      </c>
      <c r="F94" s="111" t="s">
        <v>298</v>
      </c>
      <c r="G94">
        <v>2.9140000000000001</v>
      </c>
      <c r="H94">
        <v>24.999999999999911</v>
      </c>
      <c r="I94" s="112">
        <v>3</v>
      </c>
      <c r="J94">
        <v>54.999999999999964</v>
      </c>
      <c r="K94" s="1" t="e">
        <f>INDEX($P$4:$AM$15,MATCH(MONTH($E94),$O$4:$O$15,0),MATCH(HOUR($F94),$P$3:$AM$3,0))</f>
        <v>#N/A</v>
      </c>
      <c r="L94" t="s">
        <v>218</v>
      </c>
      <c r="M94" s="111"/>
    </row>
    <row r="95" spans="1:13" x14ac:dyDescent="0.25">
      <c r="A95">
        <v>94</v>
      </c>
      <c r="B95" s="112">
        <v>40071808</v>
      </c>
      <c r="C95">
        <v>8</v>
      </c>
      <c r="E95" s="110">
        <v>42760</v>
      </c>
      <c r="F95" s="111" t="s">
        <v>299</v>
      </c>
      <c r="G95">
        <v>2.0470000000000002</v>
      </c>
      <c r="H95">
        <v>20.000000000000089</v>
      </c>
      <c r="I95" s="112">
        <v>3</v>
      </c>
      <c r="J95">
        <v>59.999999999999943</v>
      </c>
      <c r="K95" s="1" t="e">
        <f>INDEX($P$4:$AM$15,MATCH(MONTH($E95),$O$4:$O$15,0),MATCH(HOUR($F95),$P$3:$AM$3,0))</f>
        <v>#N/A</v>
      </c>
      <c r="L95" t="s">
        <v>218</v>
      </c>
      <c r="M95" s="111"/>
    </row>
    <row r="96" spans="1:13" x14ac:dyDescent="0.25">
      <c r="A96">
        <v>95</v>
      </c>
      <c r="B96" s="112">
        <v>40071808</v>
      </c>
      <c r="C96">
        <v>9</v>
      </c>
      <c r="E96" s="110">
        <v>42760</v>
      </c>
      <c r="F96" s="111" t="s">
        <v>294</v>
      </c>
      <c r="G96">
        <v>2.8140000000000001</v>
      </c>
      <c r="H96">
        <v>20.000000000000089</v>
      </c>
      <c r="I96" s="112">
        <v>3</v>
      </c>
      <c r="J96">
        <v>220.00000000000003</v>
      </c>
      <c r="K96" s="1" t="e">
        <f>INDEX($P$4:$AM$15,MATCH(MONTH($E96),$O$4:$O$15,0),MATCH(HOUR($F96),$P$3:$AM$3,0))</f>
        <v>#N/A</v>
      </c>
      <c r="L96" t="s">
        <v>218</v>
      </c>
      <c r="M96" s="111"/>
    </row>
    <row r="97" spans="1:13" x14ac:dyDescent="0.25">
      <c r="A97">
        <v>96</v>
      </c>
      <c r="B97" s="112">
        <v>40071808</v>
      </c>
      <c r="C97">
        <v>10</v>
      </c>
      <c r="E97" s="110">
        <v>42760</v>
      </c>
      <c r="F97" s="111" t="s">
        <v>300</v>
      </c>
      <c r="G97">
        <v>5.3289999999999997</v>
      </c>
      <c r="H97">
        <v>25.000000000000071</v>
      </c>
      <c r="I97" s="112">
        <v>3</v>
      </c>
      <c r="J97">
        <v>14.999999999999947</v>
      </c>
      <c r="K97" s="1" t="e">
        <f>INDEX($P$4:$AM$15,MATCH(MONTH($E97),$O$4:$O$15,0),MATCH(HOUR($F97),$P$3:$AM$3,0))</f>
        <v>#N/A</v>
      </c>
      <c r="L97" t="s">
        <v>218</v>
      </c>
      <c r="M97" s="111"/>
    </row>
    <row r="98" spans="1:13" x14ac:dyDescent="0.25">
      <c r="A98">
        <v>97</v>
      </c>
      <c r="B98" s="112">
        <v>40071808</v>
      </c>
      <c r="C98">
        <v>11</v>
      </c>
      <c r="E98" s="110">
        <v>42760</v>
      </c>
      <c r="F98" s="111" t="s">
        <v>243</v>
      </c>
      <c r="G98">
        <v>0.52500000000000002</v>
      </c>
      <c r="H98">
        <v>4.9999999999999822</v>
      </c>
      <c r="I98" s="112">
        <v>3</v>
      </c>
      <c r="J98">
        <v>595</v>
      </c>
      <c r="K98" s="1" t="e">
        <f>INDEX($P$4:$AM$15,MATCH(MONTH($E98),$O$4:$O$15,0),MATCH(HOUR($F98),$P$3:$AM$3,0))</f>
        <v>#N/A</v>
      </c>
      <c r="L98" t="s">
        <v>218</v>
      </c>
      <c r="M98" s="111"/>
    </row>
    <row r="99" spans="1:13" x14ac:dyDescent="0.25">
      <c r="A99">
        <v>98</v>
      </c>
      <c r="B99" s="112">
        <v>40075049</v>
      </c>
      <c r="C99">
        <v>1</v>
      </c>
      <c r="E99" s="110">
        <v>42761</v>
      </c>
      <c r="F99" s="111" t="s">
        <v>301</v>
      </c>
      <c r="G99">
        <v>2.6680000000000001</v>
      </c>
      <c r="H99">
        <v>5.9999999999999787</v>
      </c>
      <c r="I99" s="112">
        <v>3</v>
      </c>
      <c r="J99">
        <v>34</v>
      </c>
      <c r="K99" s="1" t="e">
        <f>INDEX($P$4:$AM$15,MATCH(MONTH($E99),$O$4:$O$15,0),MATCH(HOUR($F99),$P$3:$AM$3,0))</f>
        <v>#N/A</v>
      </c>
      <c r="L99" t="s">
        <v>302</v>
      </c>
      <c r="M99" s="111"/>
    </row>
    <row r="100" spans="1:13" x14ac:dyDescent="0.25">
      <c r="A100">
        <v>99</v>
      </c>
      <c r="B100" s="112">
        <v>40075049</v>
      </c>
      <c r="C100">
        <v>2</v>
      </c>
      <c r="E100" s="110">
        <v>42761</v>
      </c>
      <c r="F100" s="111" t="s">
        <v>303</v>
      </c>
      <c r="G100">
        <v>2.64</v>
      </c>
      <c r="H100">
        <v>10.000000000000004</v>
      </c>
      <c r="I100" s="112">
        <v>3</v>
      </c>
      <c r="J100">
        <v>29.999999999999972</v>
      </c>
      <c r="K100" s="1" t="e">
        <f>INDEX($P$4:$AM$15,MATCH(MONTH($E100),$O$4:$O$15,0),MATCH(HOUR($F100),$P$3:$AM$3,0))</f>
        <v>#N/A</v>
      </c>
      <c r="L100" t="s">
        <v>302</v>
      </c>
      <c r="M100" s="111"/>
    </row>
    <row r="101" spans="1:13" x14ac:dyDescent="0.25">
      <c r="A101">
        <v>100</v>
      </c>
      <c r="B101" s="112">
        <v>40075049</v>
      </c>
      <c r="C101">
        <v>3</v>
      </c>
      <c r="E101" s="110">
        <v>42761</v>
      </c>
      <c r="F101" s="111" t="s">
        <v>256</v>
      </c>
      <c r="G101">
        <v>2.6680000000000001</v>
      </c>
      <c r="H101">
        <v>5.9999999999999787</v>
      </c>
      <c r="I101" s="112">
        <v>3</v>
      </c>
      <c r="J101">
        <v>394</v>
      </c>
      <c r="K101" s="1" t="e">
        <f>INDEX($P$4:$AM$15,MATCH(MONTH($E101),$O$4:$O$15,0),MATCH(HOUR($F101),$P$3:$AM$3,0))</f>
        <v>#N/A</v>
      </c>
      <c r="L101" t="s">
        <v>302</v>
      </c>
      <c r="M101" s="111"/>
    </row>
    <row r="102" spans="1:13" x14ac:dyDescent="0.25">
      <c r="A102">
        <v>101</v>
      </c>
      <c r="B102" s="112">
        <v>40075049</v>
      </c>
      <c r="C102">
        <v>4</v>
      </c>
      <c r="E102" s="110">
        <v>42761</v>
      </c>
      <c r="F102" s="111" t="s">
        <v>299</v>
      </c>
      <c r="G102">
        <v>2.6680000000000001</v>
      </c>
      <c r="H102">
        <v>6.0000000000001386</v>
      </c>
      <c r="I102" s="112">
        <v>3</v>
      </c>
      <c r="J102">
        <v>254.99999999999989</v>
      </c>
      <c r="K102" s="1" t="e">
        <f>INDEX($P$4:$AM$15,MATCH(MONTH($E102),$O$4:$O$15,0),MATCH(HOUR($F102),$P$3:$AM$3,0))</f>
        <v>#N/A</v>
      </c>
      <c r="L102" t="s">
        <v>302</v>
      </c>
      <c r="M102" s="111"/>
    </row>
    <row r="103" spans="1:13" x14ac:dyDescent="0.25">
      <c r="A103">
        <v>102</v>
      </c>
      <c r="B103" s="112">
        <v>40075049</v>
      </c>
      <c r="C103">
        <v>5</v>
      </c>
      <c r="E103" s="110">
        <v>42761</v>
      </c>
      <c r="F103" s="111" t="s">
        <v>304</v>
      </c>
      <c r="G103">
        <v>1.86</v>
      </c>
      <c r="H103">
        <v>2.9999999999999893</v>
      </c>
      <c r="I103" s="112">
        <v>3</v>
      </c>
      <c r="J103">
        <v>806.00000000000011</v>
      </c>
      <c r="K103" s="1" t="e">
        <f>INDEX($P$4:$AM$15,MATCH(MONTH($E103),$O$4:$O$15,0),MATCH(HOUR($F103),$P$3:$AM$3,0))</f>
        <v>#N/A</v>
      </c>
      <c r="L103" t="s">
        <v>302</v>
      </c>
      <c r="M103" s="111"/>
    </row>
    <row r="104" spans="1:13" x14ac:dyDescent="0.25">
      <c r="A104">
        <v>103</v>
      </c>
      <c r="B104" s="112">
        <v>40075049</v>
      </c>
      <c r="C104">
        <v>1</v>
      </c>
      <c r="E104" s="110">
        <v>42762</v>
      </c>
      <c r="F104" s="111" t="s">
        <v>305</v>
      </c>
      <c r="G104">
        <v>2.669</v>
      </c>
      <c r="H104">
        <v>5.9999999999999787</v>
      </c>
      <c r="I104" s="112">
        <v>4</v>
      </c>
      <c r="J104">
        <v>623.99999999999989</v>
      </c>
      <c r="K104" s="1" t="e">
        <f>INDEX($P$4:$AM$15,MATCH(MONTH($E104),$O$4:$O$15,0),MATCH(HOUR($F104),$P$3:$AM$3,0))</f>
        <v>#N/A</v>
      </c>
      <c r="L104" t="s">
        <v>302</v>
      </c>
      <c r="M104" s="111"/>
    </row>
    <row r="105" spans="1:13" x14ac:dyDescent="0.25">
      <c r="A105">
        <v>104</v>
      </c>
      <c r="B105" s="112">
        <v>40075049</v>
      </c>
      <c r="C105">
        <v>2</v>
      </c>
      <c r="E105" s="110">
        <v>42762</v>
      </c>
      <c r="F105" s="111" t="s">
        <v>258</v>
      </c>
      <c r="G105">
        <v>2.64</v>
      </c>
      <c r="H105">
        <v>6.0000000000001386</v>
      </c>
      <c r="I105" s="112">
        <v>4</v>
      </c>
      <c r="J105">
        <v>0.99999999999999645</v>
      </c>
      <c r="K105" s="1" t="e">
        <f>INDEX($P$4:$AM$15,MATCH(MONTH($E105),$O$4:$O$15,0),MATCH(HOUR($F105),$P$3:$AM$3,0))</f>
        <v>#N/A</v>
      </c>
      <c r="L105" t="s">
        <v>302</v>
      </c>
      <c r="M105" s="111"/>
    </row>
    <row r="106" spans="1:13" x14ac:dyDescent="0.25">
      <c r="A106">
        <v>105</v>
      </c>
      <c r="B106" s="112">
        <v>40075049</v>
      </c>
      <c r="C106">
        <v>3</v>
      </c>
      <c r="E106" s="110">
        <v>42762</v>
      </c>
      <c r="F106" s="111" t="s">
        <v>306</v>
      </c>
      <c r="G106">
        <v>1.86</v>
      </c>
      <c r="H106">
        <v>3.9999999999999858</v>
      </c>
      <c r="I106" s="112">
        <v>4</v>
      </c>
      <c r="J106">
        <v>1.999999999999833</v>
      </c>
      <c r="K106" s="1" t="e">
        <f>INDEX($P$4:$AM$15,MATCH(MONTH($E106),$O$4:$O$15,0),MATCH(HOUR($F106),$P$3:$AM$3,0))</f>
        <v>#N/A</v>
      </c>
      <c r="L106" t="s">
        <v>302</v>
      </c>
      <c r="M106" s="111"/>
    </row>
    <row r="107" spans="1:13" x14ac:dyDescent="0.25">
      <c r="A107">
        <v>106</v>
      </c>
      <c r="B107" s="112">
        <v>40075049</v>
      </c>
      <c r="C107">
        <v>4</v>
      </c>
      <c r="E107" s="110">
        <v>42762</v>
      </c>
      <c r="F107" s="111" t="s">
        <v>307</v>
      </c>
      <c r="G107">
        <v>1.86</v>
      </c>
      <c r="H107">
        <v>2.0000000000001528</v>
      </c>
      <c r="I107" s="112">
        <v>4</v>
      </c>
      <c r="J107">
        <v>938.99999999999989</v>
      </c>
      <c r="K107" s="1" t="e">
        <f>INDEX($P$4:$AM$15,MATCH(MONTH($E107),$O$4:$O$15,0),MATCH(HOUR($F107),$P$3:$AM$3,0))</f>
        <v>#N/A</v>
      </c>
      <c r="L107" t="s">
        <v>302</v>
      </c>
      <c r="M107" s="111"/>
    </row>
    <row r="108" spans="1:13" x14ac:dyDescent="0.25">
      <c r="A108">
        <v>107</v>
      </c>
      <c r="B108" s="112">
        <v>40076140</v>
      </c>
      <c r="C108">
        <v>1</v>
      </c>
      <c r="E108" s="110">
        <v>42763</v>
      </c>
      <c r="F108" s="111" t="s">
        <v>308</v>
      </c>
      <c r="G108">
        <v>4.6399999999999997</v>
      </c>
      <c r="H108">
        <v>11.000000000000041</v>
      </c>
      <c r="I108" s="112">
        <v>3</v>
      </c>
      <c r="J108">
        <v>515.00000000000011</v>
      </c>
      <c r="K108" s="1" t="e">
        <f>INDEX($P$4:$AM$15,MATCH(MONTH($E108),$O$4:$O$15,0),MATCH(HOUR($F108),$P$3:$AM$3,0))</f>
        <v>#N/A</v>
      </c>
      <c r="L108" t="s">
        <v>257</v>
      </c>
      <c r="M108" s="111"/>
    </row>
    <row r="109" spans="1:13" x14ac:dyDescent="0.25">
      <c r="A109">
        <v>108</v>
      </c>
      <c r="B109" s="112">
        <v>40076140</v>
      </c>
      <c r="C109">
        <v>2</v>
      </c>
      <c r="E109" s="110">
        <v>42763</v>
      </c>
      <c r="F109" s="111" t="s">
        <v>309</v>
      </c>
      <c r="G109">
        <v>7.734</v>
      </c>
      <c r="H109">
        <v>12.999999999999794</v>
      </c>
      <c r="I109" s="112">
        <v>3</v>
      </c>
      <c r="J109">
        <v>27.000000000000064</v>
      </c>
      <c r="K109" s="1" t="e">
        <f>INDEX($P$4:$AM$15,MATCH(MONTH($E109),$O$4:$O$15,0),MATCH(HOUR($F109),$P$3:$AM$3,0))</f>
        <v>#N/A</v>
      </c>
      <c r="L109" t="s">
        <v>257</v>
      </c>
      <c r="M109" s="111"/>
    </row>
    <row r="110" spans="1:13" x14ac:dyDescent="0.25">
      <c r="A110">
        <v>109</v>
      </c>
      <c r="B110" s="112">
        <v>40076140</v>
      </c>
      <c r="C110">
        <v>3</v>
      </c>
      <c r="E110" s="110">
        <v>42763</v>
      </c>
      <c r="F110" s="111" t="s">
        <v>310</v>
      </c>
      <c r="G110">
        <v>3.7730000000000001</v>
      </c>
      <c r="H110">
        <v>14.999999999999947</v>
      </c>
      <c r="I110" s="112">
        <v>3</v>
      </c>
      <c r="J110">
        <v>880.00000000000011</v>
      </c>
      <c r="K110" s="1" t="e">
        <f>INDEX($P$4:$AM$15,MATCH(MONTH($E110),$O$4:$O$15,0),MATCH(HOUR($F110),$P$3:$AM$3,0))</f>
        <v>#N/A</v>
      </c>
      <c r="L110" t="s">
        <v>257</v>
      </c>
      <c r="M110" s="111"/>
    </row>
    <row r="111" spans="1:13" x14ac:dyDescent="0.25">
      <c r="A111">
        <v>110</v>
      </c>
      <c r="B111" s="112">
        <v>40076140</v>
      </c>
      <c r="C111">
        <v>1</v>
      </c>
      <c r="E111" s="110">
        <v>42764</v>
      </c>
      <c r="F111" s="111" t="s">
        <v>311</v>
      </c>
      <c r="G111">
        <v>1.5780000000000001</v>
      </c>
      <c r="H111">
        <v>1.9999999999999929</v>
      </c>
      <c r="I111" s="112">
        <v>6</v>
      </c>
      <c r="J111">
        <v>9.000000000000048</v>
      </c>
      <c r="K111" s="1" t="e">
        <f>INDEX($P$4:$AM$15,MATCH(MONTH($E111),$O$4:$O$15,0),MATCH(HOUR($F111),$P$3:$AM$3,0))</f>
        <v>#N/A</v>
      </c>
      <c r="L111" t="s">
        <v>257</v>
      </c>
      <c r="M111" s="111"/>
    </row>
    <row r="112" spans="1:13" x14ac:dyDescent="0.25">
      <c r="A112">
        <v>111</v>
      </c>
      <c r="B112" s="112">
        <v>40076140</v>
      </c>
      <c r="C112">
        <v>2</v>
      </c>
      <c r="E112" s="110">
        <v>42764</v>
      </c>
      <c r="F112" s="111" t="s">
        <v>312</v>
      </c>
      <c r="G112">
        <v>1.575</v>
      </c>
      <c r="H112">
        <v>3.9999999999999858</v>
      </c>
      <c r="I112" s="112">
        <v>6</v>
      </c>
      <c r="J112">
        <v>35.99999999999995</v>
      </c>
      <c r="K112" s="1" t="e">
        <f>INDEX($P$4:$AM$15,MATCH(MONTH($E112),$O$4:$O$15,0),MATCH(HOUR($F112),$P$3:$AM$3,0))</f>
        <v>#N/A</v>
      </c>
      <c r="L112" t="s">
        <v>257</v>
      </c>
      <c r="M112" s="111"/>
    </row>
    <row r="113" spans="1:13" x14ac:dyDescent="0.25">
      <c r="A113">
        <v>112</v>
      </c>
      <c r="B113" s="112">
        <v>40076140</v>
      </c>
      <c r="C113">
        <v>3</v>
      </c>
      <c r="E113" s="110">
        <v>42764</v>
      </c>
      <c r="F113" s="111" t="s">
        <v>313</v>
      </c>
      <c r="G113">
        <v>32.887999999999998</v>
      </c>
      <c r="H113">
        <v>90</v>
      </c>
      <c r="I113" s="112">
        <v>6</v>
      </c>
      <c r="J113">
        <v>24.000000000000075</v>
      </c>
      <c r="K113" s="1" t="e">
        <f>INDEX($P$4:$AM$15,MATCH(MONTH($E113),$O$4:$O$15,0),MATCH(HOUR($F113),$P$3:$AM$3,0))</f>
        <v>#N/A</v>
      </c>
      <c r="L113" t="s">
        <v>257</v>
      </c>
      <c r="M113" s="111"/>
    </row>
    <row r="114" spans="1:13" x14ac:dyDescent="0.25">
      <c r="A114">
        <v>113</v>
      </c>
      <c r="B114" s="112">
        <v>40076140</v>
      </c>
      <c r="C114">
        <v>4</v>
      </c>
      <c r="E114" s="110">
        <v>42764</v>
      </c>
      <c r="F114" s="111" t="s">
        <v>314</v>
      </c>
      <c r="G114">
        <v>15.115</v>
      </c>
      <c r="H114">
        <v>9.9999999999999645</v>
      </c>
      <c r="I114" s="112">
        <v>6</v>
      </c>
      <c r="J114">
        <v>64.999999999999929</v>
      </c>
      <c r="K114" s="1" t="e">
        <f>INDEX($P$4:$AM$15,MATCH(MONTH($E114),$O$4:$O$15,0),MATCH(HOUR($F114),$P$3:$AM$3,0))</f>
        <v>#N/A</v>
      </c>
      <c r="L114" t="s">
        <v>257</v>
      </c>
      <c r="M114" s="111"/>
    </row>
    <row r="115" spans="1:13" x14ac:dyDescent="0.25">
      <c r="A115">
        <v>114</v>
      </c>
      <c r="B115" s="112">
        <v>40076140</v>
      </c>
      <c r="C115">
        <v>5</v>
      </c>
      <c r="E115" s="110">
        <v>42764</v>
      </c>
      <c r="F115" s="111" t="s">
        <v>315</v>
      </c>
      <c r="G115">
        <v>26.66</v>
      </c>
      <c r="H115">
        <v>45</v>
      </c>
      <c r="I115" s="112">
        <v>6</v>
      </c>
      <c r="J115">
        <v>30.000000000000053</v>
      </c>
      <c r="K115" s="1" t="e">
        <f>INDEX($P$4:$AM$15,MATCH(MONTH($E115),$O$4:$O$15,0),MATCH(HOUR($F115),$P$3:$AM$3,0))</f>
        <v>#N/A</v>
      </c>
      <c r="L115" t="s">
        <v>257</v>
      </c>
      <c r="M115" s="111"/>
    </row>
    <row r="116" spans="1:13" x14ac:dyDescent="0.25">
      <c r="A116">
        <v>115</v>
      </c>
      <c r="B116" s="112">
        <v>40076140</v>
      </c>
      <c r="C116">
        <v>6</v>
      </c>
      <c r="E116" s="110">
        <v>42764</v>
      </c>
      <c r="F116" s="111" t="s">
        <v>227</v>
      </c>
      <c r="G116">
        <v>1.659</v>
      </c>
      <c r="H116">
        <v>5.9999999999999787</v>
      </c>
      <c r="I116" s="112">
        <v>6</v>
      </c>
      <c r="J116">
        <v>20.000000000000089</v>
      </c>
      <c r="K116" s="1" t="e">
        <f>INDEX($P$4:$AM$15,MATCH(MONTH($E116),$O$4:$O$15,0),MATCH(HOUR($F116),$P$3:$AM$3,0))</f>
        <v>#N/A</v>
      </c>
      <c r="L116" t="s">
        <v>257</v>
      </c>
      <c r="M116" s="111"/>
    </row>
    <row r="117" spans="1:13" x14ac:dyDescent="0.25">
      <c r="A117">
        <v>116</v>
      </c>
      <c r="B117" s="112">
        <v>40076140</v>
      </c>
      <c r="C117">
        <v>7</v>
      </c>
      <c r="E117" s="110">
        <v>42764</v>
      </c>
      <c r="F117" s="111" t="s">
        <v>316</v>
      </c>
      <c r="G117">
        <v>1.6559999999999999</v>
      </c>
      <c r="H117">
        <v>3.9999999999999858</v>
      </c>
      <c r="I117" s="112">
        <v>6</v>
      </c>
      <c r="J117">
        <v>74.999999999999886</v>
      </c>
      <c r="K117" s="1" t="e">
        <f>INDEX($P$4:$AM$15,MATCH(MONTH($E117),$O$4:$O$15,0),MATCH(HOUR($F117),$P$3:$AM$3,0))</f>
        <v>#N/A</v>
      </c>
      <c r="L117" t="s">
        <v>257</v>
      </c>
      <c r="M117" s="111"/>
    </row>
    <row r="118" spans="1:13" x14ac:dyDescent="0.25">
      <c r="A118">
        <v>117</v>
      </c>
      <c r="B118" s="112">
        <v>40076140</v>
      </c>
      <c r="C118">
        <v>8</v>
      </c>
      <c r="E118" s="110">
        <v>42764</v>
      </c>
      <c r="F118" s="111" t="s">
        <v>317</v>
      </c>
      <c r="G118">
        <v>3.0230000000000001</v>
      </c>
      <c r="H118">
        <v>15.000000000000107</v>
      </c>
      <c r="I118" s="112">
        <v>6</v>
      </c>
      <c r="J118">
        <v>119.99999999999989</v>
      </c>
      <c r="K118" s="1" t="e">
        <f>INDEX($P$4:$AM$15,MATCH(MONTH($E118),$O$4:$O$15,0),MATCH(HOUR($F118),$P$3:$AM$3,0))</f>
        <v>#N/A</v>
      </c>
      <c r="L118" t="s">
        <v>257</v>
      </c>
      <c r="M118" s="111"/>
    </row>
    <row r="119" spans="1:13" x14ac:dyDescent="0.25">
      <c r="A119">
        <v>118</v>
      </c>
      <c r="B119" s="112">
        <v>40076140</v>
      </c>
      <c r="C119">
        <v>9</v>
      </c>
      <c r="E119" s="110">
        <v>42764</v>
      </c>
      <c r="F119" s="111" t="s">
        <v>245</v>
      </c>
      <c r="G119">
        <v>3.2730000000000001</v>
      </c>
      <c r="H119">
        <v>15.000000000000107</v>
      </c>
      <c r="I119" s="112">
        <v>6</v>
      </c>
      <c r="J119">
        <v>1005</v>
      </c>
      <c r="K119" s="1" t="e">
        <f>INDEX($P$4:$AM$15,MATCH(MONTH($E119),$O$4:$O$15,0),MATCH(HOUR($F119),$P$3:$AM$3,0))</f>
        <v>#N/A</v>
      </c>
      <c r="L119" t="s">
        <v>257</v>
      </c>
      <c r="M119" s="111"/>
    </row>
    <row r="120" spans="1:13" x14ac:dyDescent="0.25">
      <c r="A120">
        <v>119</v>
      </c>
      <c r="B120" s="112">
        <v>40077920</v>
      </c>
      <c r="C120">
        <v>1</v>
      </c>
      <c r="E120" s="110">
        <v>42765</v>
      </c>
      <c r="F120" s="111" t="s">
        <v>318</v>
      </c>
      <c r="G120">
        <v>13.592000000000001</v>
      </c>
      <c r="H120">
        <v>20.000000000000089</v>
      </c>
      <c r="I120" s="112">
        <v>3</v>
      </c>
      <c r="J120">
        <v>9.9999999999999645</v>
      </c>
      <c r="K120" s="1" t="e">
        <f>INDEX($P$4:$AM$15,MATCH(MONTH($E120),$O$4:$O$15,0),MATCH(HOUR($F120),$P$3:$AM$3,0))</f>
        <v>#N/A</v>
      </c>
      <c r="L120" t="s">
        <v>302</v>
      </c>
      <c r="M120" s="111"/>
    </row>
    <row r="121" spans="1:13" x14ac:dyDescent="0.25">
      <c r="A121">
        <v>120</v>
      </c>
      <c r="B121" s="112">
        <v>40077920</v>
      </c>
      <c r="C121">
        <v>2</v>
      </c>
      <c r="E121" s="110">
        <v>42765</v>
      </c>
      <c r="F121" s="111" t="s">
        <v>314</v>
      </c>
      <c r="G121">
        <v>1.7949999999999999</v>
      </c>
      <c r="H121">
        <v>4.9999999999999822</v>
      </c>
      <c r="I121" s="112">
        <v>3</v>
      </c>
      <c r="J121">
        <v>9.9999999999999645</v>
      </c>
      <c r="K121" s="1" t="e">
        <f>INDEX($P$4:$AM$15,MATCH(MONTH($E121),$O$4:$O$15,0),MATCH(HOUR($F121),$P$3:$AM$3,0))</f>
        <v>#N/A</v>
      </c>
      <c r="L121" t="s">
        <v>302</v>
      </c>
      <c r="M121" s="111"/>
    </row>
    <row r="122" spans="1:13" x14ac:dyDescent="0.25">
      <c r="A122">
        <v>121</v>
      </c>
      <c r="B122" s="112">
        <v>40077920</v>
      </c>
      <c r="C122">
        <v>3</v>
      </c>
      <c r="E122" s="110">
        <v>42765</v>
      </c>
      <c r="F122" s="111" t="s">
        <v>225</v>
      </c>
      <c r="G122">
        <v>12.034000000000001</v>
      </c>
      <c r="H122">
        <v>14.999999999999947</v>
      </c>
      <c r="I122" s="112">
        <v>3</v>
      </c>
      <c r="J122">
        <v>90</v>
      </c>
      <c r="K122" s="1" t="e">
        <f>INDEX($P$4:$AM$15,MATCH(MONTH($E122),$O$4:$O$15,0),MATCH(HOUR($F122),$P$3:$AM$3,0))</f>
        <v>#N/A</v>
      </c>
      <c r="L122" t="s">
        <v>302</v>
      </c>
      <c r="M122" s="111"/>
    </row>
    <row r="123" spans="1:13" x14ac:dyDescent="0.25">
      <c r="A123">
        <v>122</v>
      </c>
      <c r="B123" s="112">
        <v>40077920</v>
      </c>
      <c r="C123">
        <v>4</v>
      </c>
      <c r="E123" s="110">
        <v>42765</v>
      </c>
      <c r="F123" s="111" t="s">
        <v>294</v>
      </c>
      <c r="G123">
        <v>10.487</v>
      </c>
      <c r="H123">
        <v>30.000000000000053</v>
      </c>
      <c r="I123" s="112">
        <v>3</v>
      </c>
      <c r="J123">
        <v>300.00000000000006</v>
      </c>
      <c r="K123" s="1" t="e">
        <f>INDEX($P$4:$AM$15,MATCH(MONTH($E123),$O$4:$O$15,0),MATCH(HOUR($F123),$P$3:$AM$3,0))</f>
        <v>#N/A</v>
      </c>
      <c r="L123" t="s">
        <v>302</v>
      </c>
      <c r="M123" s="111"/>
    </row>
    <row r="124" spans="1:13" x14ac:dyDescent="0.25">
      <c r="A124">
        <v>123</v>
      </c>
      <c r="B124" s="112">
        <v>40077920</v>
      </c>
      <c r="C124">
        <v>5</v>
      </c>
      <c r="E124" s="110">
        <v>42765</v>
      </c>
      <c r="F124" s="111" t="s">
        <v>319</v>
      </c>
      <c r="G124">
        <v>10.359</v>
      </c>
      <c r="H124">
        <v>9.9999999999999645</v>
      </c>
      <c r="I124" s="112">
        <v>3</v>
      </c>
      <c r="J124">
        <v>700</v>
      </c>
      <c r="K124" s="1" t="e">
        <f>INDEX($P$4:$AM$15,MATCH(MONTH($E124),$O$4:$O$15,0),MATCH(HOUR($F124),$P$3:$AM$3,0))</f>
        <v>#N/A</v>
      </c>
      <c r="L124" t="s">
        <v>302</v>
      </c>
      <c r="M124" s="111"/>
    </row>
    <row r="125" spans="1:13" x14ac:dyDescent="0.25">
      <c r="A125">
        <v>124</v>
      </c>
      <c r="B125" s="112">
        <v>40084829</v>
      </c>
      <c r="C125">
        <v>1</v>
      </c>
      <c r="E125" s="110">
        <v>42766</v>
      </c>
      <c r="F125" s="111" t="s">
        <v>320</v>
      </c>
      <c r="G125">
        <v>5.4450000000000003</v>
      </c>
      <c r="H125">
        <v>9.9999999999999645</v>
      </c>
      <c r="I125" s="112">
        <v>3</v>
      </c>
      <c r="J125">
        <v>701</v>
      </c>
      <c r="K125" s="1" t="e">
        <f>INDEX($P$4:$AM$15,MATCH(MONTH($E125),$O$4:$O$15,0),MATCH(HOUR($F125),$P$3:$AM$3,0))</f>
        <v>#N/A</v>
      </c>
      <c r="L125" t="s">
        <v>231</v>
      </c>
      <c r="M125" s="111"/>
    </row>
    <row r="126" spans="1:13" x14ac:dyDescent="0.25">
      <c r="A126">
        <v>125</v>
      </c>
      <c r="B126" s="112">
        <v>40084829</v>
      </c>
      <c r="C126">
        <v>2</v>
      </c>
      <c r="E126" s="110">
        <v>42766</v>
      </c>
      <c r="F126" s="111" t="s">
        <v>321</v>
      </c>
      <c r="G126">
        <v>2.1360000000000001</v>
      </c>
      <c r="H126">
        <v>5.0000000000000622</v>
      </c>
      <c r="I126" s="112">
        <v>3</v>
      </c>
      <c r="J126">
        <v>702</v>
      </c>
      <c r="K126" s="1" t="e">
        <f>INDEX($P$4:$AM$15,MATCH(MONTH($E126),$O$4:$O$15,0),MATCH(HOUR($F126),$P$3:$AM$3,0))</f>
        <v>#N/A</v>
      </c>
      <c r="L126" t="s">
        <v>231</v>
      </c>
      <c r="M126" s="111"/>
    </row>
    <row r="127" spans="1:13" x14ac:dyDescent="0.25">
      <c r="A127">
        <v>126</v>
      </c>
      <c r="B127" s="112">
        <v>40084829</v>
      </c>
      <c r="C127">
        <v>3</v>
      </c>
      <c r="E127" s="110">
        <v>42766</v>
      </c>
      <c r="F127" s="111" t="s">
        <v>247</v>
      </c>
      <c r="G127">
        <v>2.17</v>
      </c>
      <c r="H127">
        <v>4.9999999999999822</v>
      </c>
      <c r="I127" s="112">
        <v>3</v>
      </c>
      <c r="J127">
        <v>703</v>
      </c>
      <c r="K127" s="1" t="e">
        <f>INDEX($P$4:$AM$15,MATCH(MONTH($E127),$O$4:$O$15,0),MATCH(HOUR($F127),$P$3:$AM$3,0))</f>
        <v>#N/A</v>
      </c>
      <c r="L127" t="s">
        <v>231</v>
      </c>
      <c r="M127" s="111"/>
    </row>
    <row r="128" spans="1:13" x14ac:dyDescent="0.25">
      <c r="A128">
        <v>127</v>
      </c>
      <c r="B128" s="112">
        <v>40084829</v>
      </c>
      <c r="C128">
        <v>4</v>
      </c>
      <c r="E128" s="110">
        <v>42766</v>
      </c>
      <c r="F128" s="111" t="s">
        <v>317</v>
      </c>
      <c r="G128">
        <v>1.833</v>
      </c>
      <c r="H128">
        <v>4.9999999999999822</v>
      </c>
      <c r="I128" s="112">
        <v>3</v>
      </c>
      <c r="J128">
        <v>704</v>
      </c>
      <c r="K128" s="1" t="e">
        <f>INDEX($P$4:$AM$15,MATCH(MONTH($E128),$O$4:$O$15,0),MATCH(HOUR($F128),$P$3:$AM$3,0))</f>
        <v>#N/A</v>
      </c>
      <c r="L128" t="s">
        <v>231</v>
      </c>
      <c r="M128" s="111"/>
    </row>
    <row r="129" spans="1:13" x14ac:dyDescent="0.25">
      <c r="A129">
        <v>128</v>
      </c>
      <c r="B129" s="112">
        <v>40084829</v>
      </c>
      <c r="C129">
        <v>5</v>
      </c>
      <c r="E129" s="110">
        <v>42766</v>
      </c>
      <c r="F129" s="111" t="s">
        <v>300</v>
      </c>
      <c r="G129">
        <v>2.8239999999999998</v>
      </c>
      <c r="H129">
        <v>9.9999999999999645</v>
      </c>
      <c r="I129" s="112">
        <v>3</v>
      </c>
      <c r="J129">
        <v>705</v>
      </c>
      <c r="K129" s="1" t="e">
        <f>INDEX($P$4:$AM$15,MATCH(MONTH($E129),$O$4:$O$15,0),MATCH(HOUR($F129),$P$3:$AM$3,0))</f>
        <v>#N/A</v>
      </c>
      <c r="L129" t="s">
        <v>231</v>
      </c>
      <c r="M129" s="111"/>
    </row>
    <row r="130" spans="1:13" x14ac:dyDescent="0.25">
      <c r="A130">
        <v>129</v>
      </c>
      <c r="B130" s="112">
        <v>40084829</v>
      </c>
      <c r="C130">
        <v>6</v>
      </c>
      <c r="E130" s="110">
        <v>42766</v>
      </c>
      <c r="F130" s="111" t="s">
        <v>322</v>
      </c>
      <c r="G130">
        <v>3.9910000000000001</v>
      </c>
      <c r="H130">
        <v>10.000000000000124</v>
      </c>
      <c r="I130" s="112">
        <v>3</v>
      </c>
      <c r="J130">
        <v>706</v>
      </c>
      <c r="K130" s="1" t="e">
        <f>INDEX($P$4:$AM$15,MATCH(MONTH($E130),$O$4:$O$15,0),MATCH(HOUR($F130),$P$3:$AM$3,0))</f>
        <v>#N/A</v>
      </c>
      <c r="L130" t="s">
        <v>231</v>
      </c>
      <c r="M130" s="111"/>
    </row>
    <row r="131" spans="1:13" x14ac:dyDescent="0.25">
      <c r="A131">
        <v>130</v>
      </c>
      <c r="B131" s="112">
        <v>40000959</v>
      </c>
      <c r="C131">
        <v>1</v>
      </c>
      <c r="E131" s="110">
        <v>42767</v>
      </c>
      <c r="F131" s="111" t="s">
        <v>234</v>
      </c>
      <c r="G131">
        <v>11.427</v>
      </c>
      <c r="H131">
        <v>24.999999999999993</v>
      </c>
      <c r="I131" s="112">
        <v>6</v>
      </c>
      <c r="J131">
        <v>2.9999999999999893</v>
      </c>
      <c r="K131" s="1" t="e">
        <f>INDEX($P$4:$AM$15,MATCH(MONTH($E131),$O$4:$O$15,0),MATCH(HOUR($F131),$P$3:$AM$3,0))</f>
        <v>#N/A</v>
      </c>
      <c r="L131" t="s">
        <v>257</v>
      </c>
      <c r="M131" s="111"/>
    </row>
    <row r="132" spans="1:13" x14ac:dyDescent="0.25">
      <c r="A132">
        <v>131</v>
      </c>
      <c r="B132" s="112">
        <v>40000959</v>
      </c>
      <c r="C132">
        <v>2</v>
      </c>
      <c r="E132" s="110">
        <v>42767</v>
      </c>
      <c r="F132" s="111" t="s">
        <v>323</v>
      </c>
      <c r="G132">
        <v>2.27</v>
      </c>
      <c r="H132">
        <v>7.0000000000000551</v>
      </c>
      <c r="I132" s="112">
        <v>6</v>
      </c>
      <c r="J132">
        <v>506.99999999999983</v>
      </c>
      <c r="K132" s="1" t="e">
        <f>INDEX($P$4:$AM$15,MATCH(MONTH($E132),$O$4:$O$15,0),MATCH(HOUR($F132),$P$3:$AM$3,0))</f>
        <v>#N/A</v>
      </c>
      <c r="L132" t="s">
        <v>257</v>
      </c>
      <c r="M132" s="111"/>
    </row>
    <row r="133" spans="1:13" x14ac:dyDescent="0.25">
      <c r="A133">
        <v>132</v>
      </c>
      <c r="B133" s="112">
        <v>40000959</v>
      </c>
      <c r="C133">
        <v>3</v>
      </c>
      <c r="E133" s="110">
        <v>42767</v>
      </c>
      <c r="F133" s="111" t="s">
        <v>324</v>
      </c>
      <c r="G133">
        <v>9.42</v>
      </c>
      <c r="H133">
        <v>20.000000000000249</v>
      </c>
      <c r="I133" s="112">
        <v>6</v>
      </c>
      <c r="J133">
        <v>1407.9999999999998</v>
      </c>
      <c r="K133" s="1" t="e">
        <f>INDEX($P$4:$AM$15,MATCH(MONTH($E133),$O$4:$O$15,0),MATCH(HOUR($F133),$P$3:$AM$3,0))</f>
        <v>#N/A</v>
      </c>
      <c r="L133" t="s">
        <v>257</v>
      </c>
      <c r="M133" s="111"/>
    </row>
    <row r="134" spans="1:13" x14ac:dyDescent="0.25">
      <c r="A134">
        <v>133</v>
      </c>
      <c r="B134" s="112">
        <v>40005960</v>
      </c>
      <c r="C134">
        <v>1</v>
      </c>
      <c r="E134" s="110">
        <v>42768</v>
      </c>
      <c r="F134" s="111" t="s">
        <v>252</v>
      </c>
      <c r="G134">
        <v>2.4780000000000002</v>
      </c>
      <c r="H134">
        <v>15.000000000000107</v>
      </c>
      <c r="I134" s="112">
        <v>4</v>
      </c>
      <c r="J134">
        <v>59.999999999999943</v>
      </c>
      <c r="K134" s="1" t="e">
        <f>INDEX($P$4:$AM$15,MATCH(MONTH($E134),$O$4:$O$15,0),MATCH(HOUR($F134),$P$3:$AM$3,0))</f>
        <v>#N/A</v>
      </c>
      <c r="L134" t="s">
        <v>222</v>
      </c>
      <c r="M134" s="111"/>
    </row>
    <row r="135" spans="1:13" x14ac:dyDescent="0.25">
      <c r="A135">
        <v>134</v>
      </c>
      <c r="B135" s="112">
        <v>40005960</v>
      </c>
      <c r="C135">
        <v>2</v>
      </c>
      <c r="E135" s="110">
        <v>42768</v>
      </c>
      <c r="F135" s="111" t="s">
        <v>241</v>
      </c>
      <c r="G135">
        <v>2.4710000000000001</v>
      </c>
      <c r="H135">
        <v>14.999999999999947</v>
      </c>
      <c r="I135" s="112">
        <v>4</v>
      </c>
      <c r="J135">
        <v>840</v>
      </c>
      <c r="K135" s="1" t="e">
        <f>INDEX($P$4:$AM$15,MATCH(MONTH($E135),$O$4:$O$15,0),MATCH(HOUR($F135),$P$3:$AM$3,0))</f>
        <v>#N/A</v>
      </c>
      <c r="L135" t="s">
        <v>222</v>
      </c>
      <c r="M135" s="111"/>
    </row>
    <row r="136" spans="1:13" x14ac:dyDescent="0.25">
      <c r="A136">
        <v>135</v>
      </c>
      <c r="B136" s="112">
        <v>40005960</v>
      </c>
      <c r="C136">
        <v>1</v>
      </c>
      <c r="E136" s="110">
        <v>42769</v>
      </c>
      <c r="F136" s="111" t="s">
        <v>251</v>
      </c>
      <c r="G136">
        <v>5.6180000000000003</v>
      </c>
      <c r="H136">
        <v>29.999999999999972</v>
      </c>
      <c r="I136" s="112">
        <v>4</v>
      </c>
      <c r="J136">
        <v>556</v>
      </c>
      <c r="K136" s="1" t="e">
        <f>INDEX($P$4:$AM$15,MATCH(MONTH($E136),$O$4:$O$15,0),MATCH(HOUR($F136),$P$3:$AM$3,0))</f>
        <v>#N/A</v>
      </c>
      <c r="L136" t="s">
        <v>222</v>
      </c>
      <c r="M136" s="111"/>
    </row>
    <row r="137" spans="1:13" x14ac:dyDescent="0.25">
      <c r="A137">
        <v>136</v>
      </c>
      <c r="B137" s="112">
        <v>40005960</v>
      </c>
      <c r="C137">
        <v>2</v>
      </c>
      <c r="E137" s="110">
        <v>42769</v>
      </c>
      <c r="F137" s="111" t="s">
        <v>325</v>
      </c>
      <c r="G137">
        <v>5.835</v>
      </c>
      <c r="H137">
        <v>29.000000000000057</v>
      </c>
      <c r="I137" s="112">
        <v>4</v>
      </c>
      <c r="J137">
        <v>825</v>
      </c>
      <c r="K137" s="1" t="e">
        <f>INDEX($P$4:$AM$15,MATCH(MONTH($E137),$O$4:$O$15,0),MATCH(HOUR($F137),$P$3:$AM$3,0))</f>
        <v>#N/A</v>
      </c>
      <c r="L137" t="s">
        <v>222</v>
      </c>
      <c r="M137" s="111"/>
    </row>
    <row r="138" spans="1:13" x14ac:dyDescent="0.25">
      <c r="A138">
        <v>137</v>
      </c>
      <c r="B138" s="112">
        <v>40012631</v>
      </c>
      <c r="C138">
        <v>1</v>
      </c>
      <c r="E138" s="110">
        <v>42770</v>
      </c>
      <c r="F138" s="111" t="s">
        <v>251</v>
      </c>
      <c r="G138">
        <v>24.794</v>
      </c>
      <c r="H138">
        <v>29.999999999999972</v>
      </c>
      <c r="I138" s="112">
        <v>4</v>
      </c>
      <c r="J138">
        <v>480</v>
      </c>
      <c r="K138" s="1" t="e">
        <f>INDEX($P$4:$AM$15,MATCH(MONTH($E138),$O$4:$O$15,0),MATCH(HOUR($F138),$P$3:$AM$3,0))</f>
        <v>#N/A</v>
      </c>
      <c r="L138" t="s">
        <v>218</v>
      </c>
      <c r="M138" s="111"/>
    </row>
    <row r="139" spans="1:13" x14ac:dyDescent="0.25">
      <c r="A139">
        <v>138</v>
      </c>
      <c r="B139" s="112">
        <v>40012631</v>
      </c>
      <c r="C139">
        <v>2</v>
      </c>
      <c r="E139" s="110">
        <v>42770</v>
      </c>
      <c r="F139" s="111" t="s">
        <v>252</v>
      </c>
      <c r="G139">
        <v>25.155999999999999</v>
      </c>
      <c r="H139">
        <v>90</v>
      </c>
      <c r="I139" s="112">
        <v>4</v>
      </c>
      <c r="J139">
        <v>900.00000000000011</v>
      </c>
      <c r="K139" s="1" t="e">
        <f>INDEX($P$4:$AM$15,MATCH(MONTH($E139),$O$4:$O$15,0),MATCH(HOUR($F139),$P$3:$AM$3,0))</f>
        <v>#N/A</v>
      </c>
      <c r="L139" t="s">
        <v>218</v>
      </c>
      <c r="M139" s="111"/>
    </row>
    <row r="140" spans="1:13" x14ac:dyDescent="0.25">
      <c r="A140">
        <v>139</v>
      </c>
      <c r="B140" s="112">
        <v>40012631</v>
      </c>
      <c r="C140">
        <v>1</v>
      </c>
      <c r="E140" s="110">
        <v>42771</v>
      </c>
      <c r="F140" s="111" t="s">
        <v>286</v>
      </c>
      <c r="G140">
        <v>5.37</v>
      </c>
      <c r="H140">
        <v>29.999999999999972</v>
      </c>
      <c r="I140" s="112">
        <v>4</v>
      </c>
      <c r="J140">
        <v>419.99999999999994</v>
      </c>
      <c r="K140" s="1" t="e">
        <f>INDEX($P$4:$AM$15,MATCH(MONTH($E140),$O$4:$O$15,0),MATCH(HOUR($F140),$P$3:$AM$3,0))</f>
        <v>#N/A</v>
      </c>
      <c r="L140" t="s">
        <v>218</v>
      </c>
      <c r="M140" s="111"/>
    </row>
    <row r="141" spans="1:13" x14ac:dyDescent="0.25">
      <c r="A141">
        <v>140</v>
      </c>
      <c r="B141" s="112">
        <v>40012631</v>
      </c>
      <c r="C141">
        <v>2</v>
      </c>
      <c r="E141" s="110">
        <v>42771</v>
      </c>
      <c r="F141" s="111" t="s">
        <v>252</v>
      </c>
      <c r="G141">
        <v>5.0179999999999998</v>
      </c>
      <c r="H141">
        <v>75.000000000000057</v>
      </c>
      <c r="I141" s="112">
        <v>4</v>
      </c>
      <c r="J141">
        <v>1230</v>
      </c>
      <c r="K141" s="1" t="e">
        <f>INDEX($P$4:$AM$15,MATCH(MONTH($E141),$O$4:$O$15,0),MATCH(HOUR($F141),$P$3:$AM$3,0))</f>
        <v>#N/A</v>
      </c>
      <c r="L141" t="s">
        <v>218</v>
      </c>
      <c r="M141" s="111"/>
    </row>
    <row r="142" spans="1:13" x14ac:dyDescent="0.25">
      <c r="A142">
        <v>141</v>
      </c>
      <c r="B142" s="112">
        <v>40012690</v>
      </c>
      <c r="C142">
        <v>1</v>
      </c>
      <c r="E142" s="110">
        <v>42772</v>
      </c>
      <c r="F142" s="111" t="s">
        <v>315</v>
      </c>
      <c r="G142">
        <v>6.6870000000000003</v>
      </c>
      <c r="H142">
        <v>15.000000000000107</v>
      </c>
      <c r="I142" s="112">
        <v>3</v>
      </c>
      <c r="J142">
        <v>119.99999999999989</v>
      </c>
      <c r="K142" s="1" t="e">
        <f>INDEX($P$4:$AM$15,MATCH(MONTH($E142),$O$4:$O$15,0),MATCH(HOUR($F142),$P$3:$AM$3,0))</f>
        <v>#N/A</v>
      </c>
      <c r="L142" t="s">
        <v>222</v>
      </c>
      <c r="M142" s="111"/>
    </row>
    <row r="143" spans="1:13" x14ac:dyDescent="0.25">
      <c r="A143">
        <v>142</v>
      </c>
      <c r="B143" s="112">
        <v>40012690</v>
      </c>
      <c r="C143">
        <v>2</v>
      </c>
      <c r="E143" s="110">
        <v>42772</v>
      </c>
      <c r="F143" s="111" t="s">
        <v>252</v>
      </c>
      <c r="G143">
        <v>13.657999999999999</v>
      </c>
      <c r="H143">
        <v>19.999999999999929</v>
      </c>
      <c r="I143" s="112">
        <v>3</v>
      </c>
      <c r="J143">
        <v>35.000000000000199</v>
      </c>
      <c r="K143" s="1" t="e">
        <f>INDEX($P$4:$AM$15,MATCH(MONTH($E143),$O$4:$O$15,0),MATCH(HOUR($F143),$P$3:$AM$3,0))</f>
        <v>#N/A</v>
      </c>
      <c r="L143" t="s">
        <v>222</v>
      </c>
      <c r="M143" s="111"/>
    </row>
    <row r="144" spans="1:13" x14ac:dyDescent="0.25">
      <c r="A144">
        <v>143</v>
      </c>
      <c r="B144" s="112">
        <v>40012690</v>
      </c>
      <c r="C144">
        <v>3</v>
      </c>
      <c r="E144" s="110">
        <v>42772</v>
      </c>
      <c r="F144" s="111" t="s">
        <v>271</v>
      </c>
      <c r="G144">
        <v>98.44</v>
      </c>
      <c r="H144">
        <v>84.999999999999858</v>
      </c>
      <c r="I144" s="112">
        <v>3</v>
      </c>
      <c r="J144">
        <v>910.00000000000011</v>
      </c>
      <c r="K144" s="1" t="e">
        <f>INDEX($P$4:$AM$15,MATCH(MONTH($E144),$O$4:$O$15,0),MATCH(HOUR($F144),$P$3:$AM$3,0))</f>
        <v>#N/A</v>
      </c>
      <c r="L144" t="s">
        <v>222</v>
      </c>
      <c r="M144" s="111"/>
    </row>
    <row r="145" spans="1:13" x14ac:dyDescent="0.25">
      <c r="A145">
        <v>144</v>
      </c>
      <c r="B145" s="112">
        <v>40024492</v>
      </c>
      <c r="C145">
        <v>1</v>
      </c>
      <c r="E145" s="110">
        <v>42773</v>
      </c>
      <c r="F145" s="111" t="s">
        <v>326</v>
      </c>
      <c r="G145">
        <v>208.79499999999999</v>
      </c>
      <c r="H145">
        <v>240</v>
      </c>
      <c r="I145" s="112">
        <v>3</v>
      </c>
      <c r="J145">
        <v>1305</v>
      </c>
      <c r="K145" s="1" t="e">
        <f>INDEX($P$4:$AM$15,MATCH(MONTH($E145),$O$4:$O$15,0),MATCH(HOUR($F145),$P$3:$AM$3,0))</f>
        <v>#N/A</v>
      </c>
      <c r="L145" t="s">
        <v>218</v>
      </c>
      <c r="M145" s="111"/>
    </row>
    <row r="146" spans="1:13" x14ac:dyDescent="0.25">
      <c r="A146">
        <v>145</v>
      </c>
      <c r="B146" s="112">
        <v>40024947</v>
      </c>
      <c r="C146">
        <v>1</v>
      </c>
      <c r="E146" s="110">
        <v>42774</v>
      </c>
      <c r="F146" s="111" t="s">
        <v>327</v>
      </c>
      <c r="G146">
        <v>2.3759999999999999</v>
      </c>
      <c r="H146">
        <v>15.000000000000027</v>
      </c>
      <c r="I146" s="112">
        <v>4</v>
      </c>
      <c r="J146">
        <v>60.000000000000028</v>
      </c>
      <c r="K146" s="1" t="e">
        <f>INDEX($P$4:$AM$15,MATCH(MONTH($E146),$O$4:$O$15,0),MATCH(HOUR($F146),$P$3:$AM$3,0))</f>
        <v>#N/A</v>
      </c>
      <c r="L146" t="s">
        <v>257</v>
      </c>
      <c r="M146" s="111"/>
    </row>
    <row r="147" spans="1:13" x14ac:dyDescent="0.25">
      <c r="A147">
        <v>146</v>
      </c>
      <c r="B147" s="112">
        <v>40024947</v>
      </c>
      <c r="C147">
        <v>2</v>
      </c>
      <c r="E147" s="110">
        <v>42774</v>
      </c>
      <c r="F147" s="111" t="s">
        <v>314</v>
      </c>
      <c r="G147">
        <v>2.38</v>
      </c>
      <c r="H147">
        <v>14.999999999999947</v>
      </c>
      <c r="I147" s="112">
        <v>4</v>
      </c>
      <c r="J147">
        <v>125.00000000000003</v>
      </c>
      <c r="K147" s="1" t="e">
        <f>INDEX($P$4:$AM$15,MATCH(MONTH($E147),$O$4:$O$15,0),MATCH(HOUR($F147),$P$3:$AM$3,0))</f>
        <v>#N/A</v>
      </c>
      <c r="L147" t="s">
        <v>257</v>
      </c>
      <c r="M147" s="111"/>
    </row>
    <row r="148" spans="1:13" x14ac:dyDescent="0.25">
      <c r="A148">
        <v>147</v>
      </c>
      <c r="B148" s="112">
        <v>40024947</v>
      </c>
      <c r="C148">
        <v>3</v>
      </c>
      <c r="E148" s="110">
        <v>42774</v>
      </c>
      <c r="F148" s="111" t="s">
        <v>328</v>
      </c>
      <c r="G148">
        <v>1.4279999999999999</v>
      </c>
      <c r="H148">
        <v>9.9999999999999645</v>
      </c>
      <c r="I148" s="112">
        <v>3</v>
      </c>
      <c r="J148">
        <v>14.999999999999947</v>
      </c>
      <c r="K148" s="1" t="e">
        <f>INDEX($P$4:$AM$15,MATCH(MONTH($E148),$O$4:$O$15,0),MATCH(HOUR($F148),$P$3:$AM$3,0))</f>
        <v>#N/A</v>
      </c>
      <c r="L148" t="s">
        <v>257</v>
      </c>
      <c r="M148" s="111"/>
    </row>
    <row r="149" spans="1:13" x14ac:dyDescent="0.25">
      <c r="A149">
        <v>148</v>
      </c>
      <c r="B149" s="112">
        <v>40024947</v>
      </c>
      <c r="C149">
        <v>4</v>
      </c>
      <c r="E149" s="110">
        <v>42774</v>
      </c>
      <c r="F149" s="111" t="s">
        <v>268</v>
      </c>
      <c r="G149">
        <v>1.4279999999999999</v>
      </c>
      <c r="H149">
        <v>9.9999999999999645</v>
      </c>
      <c r="I149" s="112">
        <v>3</v>
      </c>
      <c r="J149">
        <v>1050</v>
      </c>
      <c r="K149" s="1" t="e">
        <f>INDEX($P$4:$AM$15,MATCH(MONTH($E149),$O$4:$O$15,0),MATCH(HOUR($F149),$P$3:$AM$3,0))</f>
        <v>#N/A</v>
      </c>
      <c r="L149" t="s">
        <v>257</v>
      </c>
      <c r="M149" s="111"/>
    </row>
    <row r="150" spans="1:13" x14ac:dyDescent="0.25">
      <c r="A150">
        <v>149</v>
      </c>
      <c r="B150" s="112">
        <v>40035027</v>
      </c>
      <c r="C150">
        <v>1</v>
      </c>
      <c r="E150" s="110">
        <v>42775</v>
      </c>
      <c r="F150" s="111" t="s">
        <v>329</v>
      </c>
      <c r="G150">
        <v>0.90500000000000003</v>
      </c>
      <c r="H150">
        <v>5.0000000000000622</v>
      </c>
      <c r="I150" s="112">
        <v>3</v>
      </c>
      <c r="J150">
        <v>20.000000000000007</v>
      </c>
      <c r="K150" s="1" t="e">
        <f>INDEX($P$4:$AM$15,MATCH(MONTH($E150),$O$4:$O$15,0),MATCH(HOUR($F150),$P$3:$AM$3,0))</f>
        <v>#N/A</v>
      </c>
      <c r="L150" t="s">
        <v>218</v>
      </c>
      <c r="M150" s="111"/>
    </row>
    <row r="151" spans="1:13" x14ac:dyDescent="0.25">
      <c r="A151">
        <v>150</v>
      </c>
      <c r="B151" s="112">
        <v>40035027</v>
      </c>
      <c r="C151">
        <v>2</v>
      </c>
      <c r="E151" s="110">
        <v>42775</v>
      </c>
      <c r="F151" s="111" t="s">
        <v>296</v>
      </c>
      <c r="G151">
        <v>0.90600000000000003</v>
      </c>
      <c r="H151">
        <v>4.9999999999999822</v>
      </c>
      <c r="I151" s="112">
        <v>3</v>
      </c>
      <c r="J151">
        <v>240</v>
      </c>
      <c r="K151" s="1" t="e">
        <f>INDEX($P$4:$AM$15,MATCH(MONTH($E151),$O$4:$O$15,0),MATCH(HOUR($F151),$P$3:$AM$3,0))</f>
        <v>#N/A</v>
      </c>
      <c r="L151" t="s">
        <v>218</v>
      </c>
      <c r="M151" s="111"/>
    </row>
    <row r="152" spans="1:13" x14ac:dyDescent="0.25">
      <c r="A152">
        <v>151</v>
      </c>
      <c r="B152" s="112">
        <v>40035027</v>
      </c>
      <c r="C152">
        <v>3</v>
      </c>
      <c r="E152" s="110">
        <v>42775</v>
      </c>
      <c r="F152" s="111" t="s">
        <v>330</v>
      </c>
      <c r="G152">
        <v>1.2290000000000001</v>
      </c>
      <c r="H152">
        <v>9.9999999999999645</v>
      </c>
      <c r="I152" s="112">
        <v>3</v>
      </c>
      <c r="J152">
        <v>115.00000000000007</v>
      </c>
      <c r="K152" s="1" t="e">
        <f>INDEX($P$4:$AM$15,MATCH(MONTH($E152),$O$4:$O$15,0),MATCH(HOUR($F152),$P$3:$AM$3,0))</f>
        <v>#N/A</v>
      </c>
      <c r="L152" t="s">
        <v>218</v>
      </c>
      <c r="M152" s="111"/>
    </row>
    <row r="153" spans="1:13" x14ac:dyDescent="0.25">
      <c r="A153">
        <v>152</v>
      </c>
      <c r="B153" s="112">
        <v>40035027</v>
      </c>
      <c r="C153">
        <v>4</v>
      </c>
      <c r="E153" s="110">
        <v>42775</v>
      </c>
      <c r="F153" s="111" t="s">
        <v>235</v>
      </c>
      <c r="G153">
        <v>1.087</v>
      </c>
      <c r="H153">
        <v>9.9999999999999645</v>
      </c>
      <c r="I153" s="112">
        <v>3</v>
      </c>
      <c r="J153">
        <v>109.99999999999993</v>
      </c>
      <c r="K153" s="1" t="e">
        <f>INDEX($P$4:$AM$15,MATCH(MONTH($E153),$O$4:$O$15,0),MATCH(HOUR($F153),$P$3:$AM$3,0))</f>
        <v>#N/A</v>
      </c>
      <c r="L153" t="s">
        <v>218</v>
      </c>
      <c r="M153" s="111"/>
    </row>
    <row r="154" spans="1:13" x14ac:dyDescent="0.25">
      <c r="A154">
        <v>153</v>
      </c>
      <c r="B154" s="112">
        <v>40035027</v>
      </c>
      <c r="C154">
        <v>5</v>
      </c>
      <c r="E154" s="110">
        <v>42775</v>
      </c>
      <c r="F154" s="111" t="s">
        <v>258</v>
      </c>
      <c r="G154">
        <v>0.88100000000000001</v>
      </c>
      <c r="H154">
        <v>10.000000000000124</v>
      </c>
      <c r="I154" s="112">
        <v>3</v>
      </c>
      <c r="J154">
        <v>144.9999999999998</v>
      </c>
      <c r="K154" s="1" t="e">
        <f>INDEX($P$4:$AM$15,MATCH(MONTH($E154),$O$4:$O$15,0),MATCH(HOUR($F154),$P$3:$AM$3,0))</f>
        <v>#N/A</v>
      </c>
      <c r="L154" t="s">
        <v>218</v>
      </c>
      <c r="M154" s="111"/>
    </row>
    <row r="155" spans="1:13" x14ac:dyDescent="0.25">
      <c r="A155">
        <v>154</v>
      </c>
      <c r="B155" s="112">
        <v>40035027</v>
      </c>
      <c r="C155">
        <v>6</v>
      </c>
      <c r="E155" s="110">
        <v>42775</v>
      </c>
      <c r="F155" s="111" t="s">
        <v>331</v>
      </c>
      <c r="G155">
        <v>0.82</v>
      </c>
      <c r="H155">
        <v>10.000000000000124</v>
      </c>
      <c r="I155" s="112">
        <v>3</v>
      </c>
      <c r="J155">
        <v>813</v>
      </c>
      <c r="K155" s="1" t="e">
        <f>INDEX($P$4:$AM$15,MATCH(MONTH($E155),$O$4:$O$15,0),MATCH(HOUR($F155),$P$3:$AM$3,0))</f>
        <v>#N/A</v>
      </c>
      <c r="L155" t="s">
        <v>218</v>
      </c>
      <c r="M155" s="111"/>
    </row>
    <row r="156" spans="1:13" x14ac:dyDescent="0.25">
      <c r="A156">
        <v>155</v>
      </c>
      <c r="B156" s="112">
        <v>40047683</v>
      </c>
      <c r="C156">
        <v>1</v>
      </c>
      <c r="E156" s="110">
        <v>42776</v>
      </c>
      <c r="F156" s="111" t="s">
        <v>332</v>
      </c>
      <c r="G156">
        <v>3.3769999999999998</v>
      </c>
      <c r="H156">
        <v>11.999999999999957</v>
      </c>
      <c r="I156" s="112">
        <v>6</v>
      </c>
      <c r="J156">
        <v>119.99999999999997</v>
      </c>
      <c r="K156" s="1" t="e">
        <f>INDEX($P$4:$AM$15,MATCH(MONTH($E156),$O$4:$O$15,0),MATCH(HOUR($F156),$P$3:$AM$3,0))</f>
        <v>#N/A</v>
      </c>
      <c r="L156" t="s">
        <v>222</v>
      </c>
      <c r="M156" s="111"/>
    </row>
    <row r="157" spans="1:13" x14ac:dyDescent="0.25">
      <c r="A157">
        <v>156</v>
      </c>
      <c r="B157" s="112">
        <v>40047683</v>
      </c>
      <c r="C157">
        <v>2</v>
      </c>
      <c r="E157" s="110">
        <v>42776</v>
      </c>
      <c r="F157" s="111" t="s">
        <v>318</v>
      </c>
      <c r="G157">
        <v>2.492</v>
      </c>
      <c r="H157">
        <v>14.999999999999947</v>
      </c>
      <c r="I157" s="112">
        <v>6</v>
      </c>
      <c r="J157">
        <v>90</v>
      </c>
      <c r="K157" s="1" t="e">
        <f>INDEX($P$4:$AM$15,MATCH(MONTH($E157),$O$4:$O$15,0),MATCH(HOUR($F157),$P$3:$AM$3,0))</f>
        <v>#N/A</v>
      </c>
      <c r="L157" t="s">
        <v>222</v>
      </c>
      <c r="M157" s="111"/>
    </row>
    <row r="158" spans="1:13" x14ac:dyDescent="0.25">
      <c r="A158">
        <v>157</v>
      </c>
      <c r="B158" s="112">
        <v>40047683</v>
      </c>
      <c r="C158">
        <v>3</v>
      </c>
      <c r="E158" s="110">
        <v>42776</v>
      </c>
      <c r="F158" s="111" t="s">
        <v>315</v>
      </c>
      <c r="G158">
        <v>0.436</v>
      </c>
      <c r="H158">
        <v>9.9999999999999645</v>
      </c>
      <c r="I158" s="112">
        <v>6</v>
      </c>
      <c r="J158">
        <v>10.000000000000124</v>
      </c>
      <c r="K158" s="1" t="e">
        <f>INDEX($P$4:$AM$15,MATCH(MONTH($E158),$O$4:$O$15,0),MATCH(HOUR($F158),$P$3:$AM$3,0))</f>
        <v>#N/A</v>
      </c>
      <c r="L158" t="s">
        <v>222</v>
      </c>
      <c r="M158" s="111"/>
    </row>
    <row r="159" spans="1:13" x14ac:dyDescent="0.25">
      <c r="A159">
        <v>158</v>
      </c>
      <c r="B159" s="112">
        <v>40047683</v>
      </c>
      <c r="C159">
        <v>4</v>
      </c>
      <c r="E159" s="110">
        <v>42776</v>
      </c>
      <c r="F159" s="111" t="s">
        <v>333</v>
      </c>
      <c r="G159">
        <v>1.1719999999999999</v>
      </c>
      <c r="H159">
        <v>9.9999999999999645</v>
      </c>
      <c r="I159" s="112">
        <v>6</v>
      </c>
      <c r="J159">
        <v>12.999999999999954</v>
      </c>
      <c r="K159" s="1" t="e">
        <f>INDEX($P$4:$AM$15,MATCH(MONTH($E159),$O$4:$O$15,0),MATCH(HOUR($F159),$P$3:$AM$3,0))</f>
        <v>#N/A</v>
      </c>
      <c r="L159" t="s">
        <v>222</v>
      </c>
      <c r="M159" s="111"/>
    </row>
    <row r="160" spans="1:13" x14ac:dyDescent="0.25">
      <c r="A160">
        <v>159</v>
      </c>
      <c r="B160" s="112">
        <v>40047683</v>
      </c>
      <c r="C160">
        <v>5</v>
      </c>
      <c r="E160" s="110">
        <v>42776</v>
      </c>
      <c r="F160" s="111" t="s">
        <v>334</v>
      </c>
      <c r="G160">
        <v>0.50700000000000001</v>
      </c>
      <c r="H160">
        <v>7.000000000000135</v>
      </c>
      <c r="I160" s="112">
        <v>6</v>
      </c>
      <c r="J160">
        <v>13.99999999999995</v>
      </c>
      <c r="K160" s="1" t="e">
        <f>INDEX($P$4:$AM$15,MATCH(MONTH($E160),$O$4:$O$15,0),MATCH(HOUR($F160),$P$3:$AM$3,0))</f>
        <v>#N/A</v>
      </c>
      <c r="L160" t="s">
        <v>222</v>
      </c>
      <c r="M160" s="111"/>
    </row>
    <row r="161" spans="1:13" x14ac:dyDescent="0.25">
      <c r="A161">
        <v>160</v>
      </c>
      <c r="B161" s="112">
        <v>40047683</v>
      </c>
      <c r="C161">
        <v>6</v>
      </c>
      <c r="E161" s="110">
        <v>42776</v>
      </c>
      <c r="F161" s="111" t="s">
        <v>335</v>
      </c>
      <c r="G161">
        <v>154.35300000000001</v>
      </c>
      <c r="H161">
        <v>150.99999999999994</v>
      </c>
      <c r="I161" s="112">
        <v>6</v>
      </c>
      <c r="J161">
        <v>910.00000000000011</v>
      </c>
      <c r="K161" s="1" t="e">
        <f>INDEX($P$4:$AM$15,MATCH(MONTH($E161),$O$4:$O$15,0),MATCH(HOUR($F161),$P$3:$AM$3,0))</f>
        <v>#N/A</v>
      </c>
      <c r="L161" t="s">
        <v>222</v>
      </c>
      <c r="M161" s="111"/>
    </row>
    <row r="162" spans="1:13" x14ac:dyDescent="0.25">
      <c r="A162">
        <v>161</v>
      </c>
      <c r="B162" s="112">
        <v>40048634</v>
      </c>
      <c r="C162">
        <v>1</v>
      </c>
      <c r="E162" s="110">
        <v>42777</v>
      </c>
      <c r="F162" s="111" t="s">
        <v>286</v>
      </c>
      <c r="G162">
        <v>1.492</v>
      </c>
      <c r="H162">
        <v>9.9999999999999645</v>
      </c>
      <c r="I162" s="112">
        <v>3</v>
      </c>
      <c r="J162">
        <v>10.000000000000044</v>
      </c>
      <c r="K162" s="1" t="e">
        <f>INDEX($P$4:$AM$15,MATCH(MONTH($E162),$O$4:$O$15,0),MATCH(HOUR($F162),$P$3:$AM$3,0))</f>
        <v>#N/A</v>
      </c>
      <c r="L162" t="s">
        <v>302</v>
      </c>
      <c r="M162" s="111"/>
    </row>
    <row r="163" spans="1:13" x14ac:dyDescent="0.25">
      <c r="A163">
        <v>162</v>
      </c>
      <c r="B163" s="112">
        <v>40048634</v>
      </c>
      <c r="C163">
        <v>2</v>
      </c>
      <c r="E163" s="110">
        <v>42777</v>
      </c>
      <c r="F163" s="111" t="s">
        <v>336</v>
      </c>
      <c r="G163">
        <v>3.3140000000000001</v>
      </c>
      <c r="H163">
        <v>24.999999999999993</v>
      </c>
      <c r="I163" s="112">
        <v>3</v>
      </c>
      <c r="J163">
        <v>74.999999999999972</v>
      </c>
      <c r="K163" s="1" t="e">
        <f>INDEX($P$4:$AM$15,MATCH(MONTH($E163),$O$4:$O$15,0),MATCH(HOUR($F163),$P$3:$AM$3,0))</f>
        <v>#N/A</v>
      </c>
      <c r="L163" t="s">
        <v>302</v>
      </c>
      <c r="M163" s="111"/>
    </row>
    <row r="164" spans="1:13" x14ac:dyDescent="0.25">
      <c r="A164">
        <v>163</v>
      </c>
      <c r="B164" s="112">
        <v>40048634</v>
      </c>
      <c r="C164">
        <v>3</v>
      </c>
      <c r="E164" s="110">
        <v>42777</v>
      </c>
      <c r="F164" s="111" t="s">
        <v>217</v>
      </c>
      <c r="G164">
        <v>1.516</v>
      </c>
      <c r="H164">
        <v>5.0000000000000622</v>
      </c>
      <c r="I164" s="112">
        <v>3</v>
      </c>
      <c r="J164">
        <v>24.999999999999911</v>
      </c>
      <c r="K164" s="1" t="e">
        <f>INDEX($P$4:$AM$15,MATCH(MONTH($E164),$O$4:$O$15,0),MATCH(HOUR($F164),$P$3:$AM$3,0))</f>
        <v>#N/A</v>
      </c>
      <c r="L164" t="s">
        <v>302</v>
      </c>
      <c r="M164" s="111"/>
    </row>
    <row r="165" spans="1:13" x14ac:dyDescent="0.25">
      <c r="A165">
        <v>164</v>
      </c>
      <c r="B165" s="112">
        <v>40048634</v>
      </c>
      <c r="C165">
        <v>4</v>
      </c>
      <c r="E165" s="110">
        <v>42777</v>
      </c>
      <c r="F165" s="111" t="s">
        <v>221</v>
      </c>
      <c r="G165">
        <v>1.0329999999999999</v>
      </c>
      <c r="H165">
        <v>5.0000000000000622</v>
      </c>
      <c r="I165" s="112">
        <v>3</v>
      </c>
      <c r="J165">
        <v>4.9999999999999023</v>
      </c>
      <c r="K165" s="1" t="e">
        <f>INDEX($P$4:$AM$15,MATCH(MONTH($E165),$O$4:$O$15,0),MATCH(HOUR($F165),$P$3:$AM$3,0))</f>
        <v>#N/A</v>
      </c>
      <c r="L165" t="s">
        <v>302</v>
      </c>
      <c r="M165" s="111"/>
    </row>
    <row r="166" spans="1:13" x14ac:dyDescent="0.25">
      <c r="A166">
        <v>165</v>
      </c>
      <c r="B166" s="112">
        <v>40048634</v>
      </c>
      <c r="C166">
        <v>5</v>
      </c>
      <c r="E166" s="110">
        <v>42777</v>
      </c>
      <c r="F166" s="111" t="s">
        <v>337</v>
      </c>
      <c r="G166">
        <v>0.629</v>
      </c>
      <c r="H166">
        <v>5.0000000000000622</v>
      </c>
      <c r="I166" s="112">
        <v>3</v>
      </c>
      <c r="J166">
        <v>75.000000000000057</v>
      </c>
      <c r="K166" s="1" t="e">
        <f>INDEX($P$4:$AM$15,MATCH(MONTH($E166),$O$4:$O$15,0),MATCH(HOUR($F166),$P$3:$AM$3,0))</f>
        <v>#N/A</v>
      </c>
      <c r="L166" t="s">
        <v>302</v>
      </c>
      <c r="M166" s="111"/>
    </row>
    <row r="167" spans="1:13" x14ac:dyDescent="0.25">
      <c r="A167">
        <v>166</v>
      </c>
      <c r="B167" s="112">
        <v>40048634</v>
      </c>
      <c r="C167">
        <v>6</v>
      </c>
      <c r="E167" s="110">
        <v>42777</v>
      </c>
      <c r="F167" s="111" t="s">
        <v>314</v>
      </c>
      <c r="G167">
        <v>4.7670000000000003</v>
      </c>
      <c r="H167">
        <v>29.999999999999893</v>
      </c>
      <c r="I167" s="112">
        <v>3</v>
      </c>
      <c r="J167">
        <v>20.000000000000089</v>
      </c>
      <c r="K167" s="1" t="e">
        <f>INDEX($P$4:$AM$15,MATCH(MONTH($E167),$O$4:$O$15,0),MATCH(HOUR($F167),$P$3:$AM$3,0))</f>
        <v>#N/A</v>
      </c>
      <c r="L167" t="s">
        <v>302</v>
      </c>
      <c r="M167" s="111"/>
    </row>
    <row r="168" spans="1:13" x14ac:dyDescent="0.25">
      <c r="A168">
        <v>167</v>
      </c>
      <c r="B168" s="112">
        <v>40048634</v>
      </c>
      <c r="C168">
        <v>7</v>
      </c>
      <c r="E168" s="110">
        <v>42777</v>
      </c>
      <c r="F168" s="111" t="s">
        <v>338</v>
      </c>
      <c r="G168">
        <v>4.2939999999999996</v>
      </c>
      <c r="H168">
        <v>24.999999999999911</v>
      </c>
      <c r="I168" s="112">
        <v>3</v>
      </c>
      <c r="J168">
        <v>165.00000000000006</v>
      </c>
      <c r="K168" s="1" t="e">
        <f>INDEX($P$4:$AM$15,MATCH(MONTH($E168),$O$4:$O$15,0),MATCH(HOUR($F168),$P$3:$AM$3,0))</f>
        <v>#N/A</v>
      </c>
      <c r="L168" t="s">
        <v>302</v>
      </c>
      <c r="M168" s="111"/>
    </row>
    <row r="169" spans="1:13" x14ac:dyDescent="0.25">
      <c r="A169">
        <v>168</v>
      </c>
      <c r="B169" s="112">
        <v>40048634</v>
      </c>
      <c r="C169">
        <v>8</v>
      </c>
      <c r="E169" s="110">
        <v>42777</v>
      </c>
      <c r="F169" s="111" t="s">
        <v>247</v>
      </c>
      <c r="G169">
        <v>1.516</v>
      </c>
      <c r="H169">
        <v>10.000000000000124</v>
      </c>
      <c r="I169" s="112">
        <v>3</v>
      </c>
      <c r="J169">
        <v>19.999999999999929</v>
      </c>
      <c r="K169" s="1" t="e">
        <f>INDEX($P$4:$AM$15,MATCH(MONTH($E169),$O$4:$O$15,0),MATCH(HOUR($F169),$P$3:$AM$3,0))</f>
        <v>#N/A</v>
      </c>
      <c r="L169" t="s">
        <v>302</v>
      </c>
      <c r="M169" s="111"/>
    </row>
    <row r="170" spans="1:13" x14ac:dyDescent="0.25">
      <c r="A170">
        <v>169</v>
      </c>
      <c r="B170" s="112">
        <v>40048634</v>
      </c>
      <c r="C170">
        <v>9</v>
      </c>
      <c r="E170" s="110">
        <v>42777</v>
      </c>
      <c r="F170" s="111" t="s">
        <v>229</v>
      </c>
      <c r="G170">
        <v>3.2719999999999998</v>
      </c>
      <c r="H170">
        <v>14.999999999999947</v>
      </c>
      <c r="I170" s="112">
        <v>3</v>
      </c>
      <c r="J170">
        <v>980</v>
      </c>
      <c r="K170" s="1" t="e">
        <f>INDEX($P$4:$AM$15,MATCH(MONTH($E170),$O$4:$O$15,0),MATCH(HOUR($F170),$P$3:$AM$3,0))</f>
        <v>#N/A</v>
      </c>
      <c r="L170" t="s">
        <v>302</v>
      </c>
      <c r="M170" s="111"/>
    </row>
    <row r="171" spans="1:13" x14ac:dyDescent="0.25">
      <c r="A171">
        <v>170</v>
      </c>
      <c r="B171" s="112">
        <v>40048634</v>
      </c>
      <c r="C171">
        <v>1</v>
      </c>
      <c r="E171" s="110">
        <v>42778</v>
      </c>
      <c r="F171" s="111" t="s">
        <v>339</v>
      </c>
      <c r="G171">
        <v>2.165</v>
      </c>
      <c r="H171">
        <v>4.9999999999999023</v>
      </c>
      <c r="I171" s="112">
        <v>3</v>
      </c>
      <c r="J171">
        <v>50.000000000000064</v>
      </c>
      <c r="K171" s="1" t="e">
        <f>INDEX($P$4:$AM$15,MATCH(MONTH($E171),$O$4:$O$15,0),MATCH(HOUR($F171),$P$3:$AM$3,0))</f>
        <v>#N/A</v>
      </c>
      <c r="L171" t="s">
        <v>302</v>
      </c>
      <c r="M171" s="111"/>
    </row>
    <row r="172" spans="1:13" x14ac:dyDescent="0.25">
      <c r="A172">
        <v>171</v>
      </c>
      <c r="B172" s="112">
        <v>40048634</v>
      </c>
      <c r="C172">
        <v>2</v>
      </c>
      <c r="E172" s="110">
        <v>42778</v>
      </c>
      <c r="F172" s="111" t="s">
        <v>217</v>
      </c>
      <c r="G172">
        <v>2.7829999999999999</v>
      </c>
      <c r="H172">
        <v>9.9999999999999645</v>
      </c>
      <c r="I172" s="112">
        <v>3</v>
      </c>
      <c r="J172">
        <v>20.000000000000007</v>
      </c>
      <c r="K172" s="1" t="e">
        <f>INDEX($P$4:$AM$15,MATCH(MONTH($E172),$O$4:$O$15,0),MATCH(HOUR($F172),$P$3:$AM$3,0))</f>
        <v>#N/A</v>
      </c>
      <c r="L172" t="s">
        <v>302</v>
      </c>
      <c r="M172" s="111"/>
    </row>
    <row r="173" spans="1:13" x14ac:dyDescent="0.25">
      <c r="A173">
        <v>172</v>
      </c>
      <c r="B173" s="112">
        <v>40048634</v>
      </c>
      <c r="C173">
        <v>3</v>
      </c>
      <c r="E173" s="110">
        <v>42778</v>
      </c>
      <c r="F173" s="111" t="s">
        <v>221</v>
      </c>
      <c r="G173">
        <v>0.14699999999999999</v>
      </c>
      <c r="H173">
        <v>5.0000000000000622</v>
      </c>
      <c r="I173" s="112">
        <v>3</v>
      </c>
      <c r="J173">
        <v>54.999999999999964</v>
      </c>
      <c r="K173" s="1" t="e">
        <f>INDEX($P$4:$AM$15,MATCH(MONTH($E173),$O$4:$O$15,0),MATCH(HOUR($F173),$P$3:$AM$3,0))</f>
        <v>#N/A</v>
      </c>
      <c r="L173" t="s">
        <v>302</v>
      </c>
      <c r="M173" s="111"/>
    </row>
    <row r="174" spans="1:13" x14ac:dyDescent="0.25">
      <c r="A174">
        <v>173</v>
      </c>
      <c r="B174" s="112">
        <v>40048634</v>
      </c>
      <c r="C174">
        <v>4</v>
      </c>
      <c r="E174" s="110">
        <v>42778</v>
      </c>
      <c r="F174" s="111" t="s">
        <v>318</v>
      </c>
      <c r="G174">
        <v>3.7050000000000001</v>
      </c>
      <c r="H174">
        <v>30.000000000000053</v>
      </c>
      <c r="I174" s="112">
        <v>3</v>
      </c>
      <c r="J174">
        <v>14.999999999999947</v>
      </c>
      <c r="K174" s="1" t="e">
        <f>INDEX($P$4:$AM$15,MATCH(MONTH($E174),$O$4:$O$15,0),MATCH(HOUR($F174),$P$3:$AM$3,0))</f>
        <v>#N/A</v>
      </c>
      <c r="L174" t="s">
        <v>302</v>
      </c>
      <c r="M174" s="111"/>
    </row>
    <row r="175" spans="1:13" x14ac:dyDescent="0.25">
      <c r="A175">
        <v>174</v>
      </c>
      <c r="B175" s="112">
        <v>40048634</v>
      </c>
      <c r="C175">
        <v>5</v>
      </c>
      <c r="E175" s="110">
        <v>42778</v>
      </c>
      <c r="F175" s="111" t="s">
        <v>225</v>
      </c>
      <c r="G175">
        <v>0.67800000000000005</v>
      </c>
      <c r="H175">
        <v>9.9999999999999645</v>
      </c>
      <c r="I175" s="112">
        <v>3</v>
      </c>
      <c r="J175">
        <v>10.000000000000124</v>
      </c>
      <c r="K175" s="1" t="e">
        <f>INDEX($P$4:$AM$15,MATCH(MONTH($E175),$O$4:$O$15,0),MATCH(HOUR($F175),$P$3:$AM$3,0))</f>
        <v>#N/A</v>
      </c>
      <c r="L175" t="s">
        <v>302</v>
      </c>
      <c r="M175" s="111"/>
    </row>
    <row r="176" spans="1:13" x14ac:dyDescent="0.25">
      <c r="A176">
        <v>175</v>
      </c>
      <c r="B176" s="112">
        <v>40048634</v>
      </c>
      <c r="C176">
        <v>6</v>
      </c>
      <c r="E176" s="110">
        <v>42778</v>
      </c>
      <c r="F176" s="111" t="s">
        <v>340</v>
      </c>
      <c r="G176">
        <v>0.43</v>
      </c>
      <c r="H176">
        <v>9.9999999999999645</v>
      </c>
      <c r="I176" s="112">
        <v>3</v>
      </c>
      <c r="J176">
        <v>24.999999999999911</v>
      </c>
      <c r="K176" s="1" t="e">
        <f>INDEX($P$4:$AM$15,MATCH(MONTH($E176),$O$4:$O$15,0),MATCH(HOUR($F176),$P$3:$AM$3,0))</f>
        <v>#N/A</v>
      </c>
      <c r="L176" t="s">
        <v>302</v>
      </c>
      <c r="M176" s="111"/>
    </row>
    <row r="177" spans="1:13" x14ac:dyDescent="0.25">
      <c r="A177">
        <v>176</v>
      </c>
      <c r="B177" s="112">
        <v>40048634</v>
      </c>
      <c r="C177">
        <v>7</v>
      </c>
      <c r="E177" s="110">
        <v>42778</v>
      </c>
      <c r="F177" s="111" t="s">
        <v>341</v>
      </c>
      <c r="G177">
        <v>0.58299999999999996</v>
      </c>
      <c r="H177">
        <v>4.9999999999999822</v>
      </c>
      <c r="I177" s="112">
        <v>3</v>
      </c>
      <c r="J177">
        <v>15.000000000000107</v>
      </c>
      <c r="K177" s="1" t="e">
        <f>INDEX($P$4:$AM$15,MATCH(MONTH($E177),$O$4:$O$15,0),MATCH(HOUR($F177),$P$3:$AM$3,0))</f>
        <v>#N/A</v>
      </c>
      <c r="L177" t="s">
        <v>302</v>
      </c>
      <c r="M177" s="111"/>
    </row>
    <row r="178" spans="1:13" x14ac:dyDescent="0.25">
      <c r="A178">
        <v>177</v>
      </c>
      <c r="B178" s="112">
        <v>40048634</v>
      </c>
      <c r="C178">
        <v>8</v>
      </c>
      <c r="E178" s="110">
        <v>42778</v>
      </c>
      <c r="F178" s="111" t="s">
        <v>250</v>
      </c>
      <c r="G178">
        <v>1.982</v>
      </c>
      <c r="H178">
        <v>9.9999999999999645</v>
      </c>
      <c r="I178" s="112">
        <v>3</v>
      </c>
      <c r="J178">
        <v>35.000000000000036</v>
      </c>
      <c r="K178" s="1" t="e">
        <f>INDEX($P$4:$AM$15,MATCH(MONTH($E178),$O$4:$O$15,0),MATCH(HOUR($F178),$P$3:$AM$3,0))</f>
        <v>#N/A</v>
      </c>
      <c r="L178" t="s">
        <v>302</v>
      </c>
      <c r="M178" s="111"/>
    </row>
    <row r="179" spans="1:13" x14ac:dyDescent="0.25">
      <c r="A179">
        <v>178</v>
      </c>
      <c r="B179" s="112">
        <v>40048634</v>
      </c>
      <c r="C179">
        <v>9</v>
      </c>
      <c r="E179" s="110">
        <v>42778</v>
      </c>
      <c r="F179" s="111" t="s">
        <v>342</v>
      </c>
      <c r="G179">
        <v>2.798</v>
      </c>
      <c r="H179">
        <v>9.9999999999999645</v>
      </c>
      <c r="I179" s="112">
        <v>3</v>
      </c>
      <c r="J179">
        <v>244.99999999999994</v>
      </c>
      <c r="K179" s="1" t="e">
        <f>INDEX($P$4:$AM$15,MATCH(MONTH($E179),$O$4:$O$15,0),MATCH(HOUR($F179),$P$3:$AM$3,0))</f>
        <v>#N/A</v>
      </c>
      <c r="L179" t="s">
        <v>302</v>
      </c>
      <c r="M179" s="111"/>
    </row>
    <row r="180" spans="1:13" x14ac:dyDescent="0.25">
      <c r="A180">
        <v>179</v>
      </c>
      <c r="B180" s="112">
        <v>40048634</v>
      </c>
      <c r="C180">
        <v>10</v>
      </c>
      <c r="E180" s="110">
        <v>42778</v>
      </c>
      <c r="F180" s="111" t="s">
        <v>245</v>
      </c>
      <c r="G180">
        <v>6.3490000000000002</v>
      </c>
      <c r="H180">
        <v>25.000000000000071</v>
      </c>
      <c r="I180" s="112">
        <v>3</v>
      </c>
      <c r="J180">
        <v>94.999999999999986</v>
      </c>
      <c r="K180" s="1" t="e">
        <f>INDEX($P$4:$AM$15,MATCH(MONTH($E180),$O$4:$O$15,0),MATCH(HOUR($F180),$P$3:$AM$3,0))</f>
        <v>#N/A</v>
      </c>
      <c r="L180" t="s">
        <v>302</v>
      </c>
      <c r="M180" s="111"/>
    </row>
    <row r="181" spans="1:13" x14ac:dyDescent="0.25">
      <c r="A181">
        <v>180</v>
      </c>
      <c r="B181" s="112">
        <v>40048634</v>
      </c>
      <c r="C181">
        <v>11</v>
      </c>
      <c r="E181" s="110">
        <v>42778</v>
      </c>
      <c r="F181" s="111" t="s">
        <v>343</v>
      </c>
      <c r="G181">
        <v>6.6390000000000002</v>
      </c>
      <c r="H181">
        <v>19.999999999999929</v>
      </c>
      <c r="I181" s="112">
        <v>3</v>
      </c>
      <c r="J181">
        <v>625.00000000000023</v>
      </c>
      <c r="K181" s="1" t="e">
        <f>INDEX($P$4:$AM$15,MATCH(MONTH($E181),$O$4:$O$15,0),MATCH(HOUR($F181),$P$3:$AM$3,0))</f>
        <v>#N/A</v>
      </c>
      <c r="L181" t="s">
        <v>302</v>
      </c>
      <c r="M181" s="111"/>
    </row>
    <row r="182" spans="1:13" x14ac:dyDescent="0.25">
      <c r="A182">
        <v>181</v>
      </c>
      <c r="B182" s="112">
        <v>40052721</v>
      </c>
      <c r="C182">
        <v>1</v>
      </c>
      <c r="E182" s="110">
        <v>42779</v>
      </c>
      <c r="F182" s="111" t="s">
        <v>344</v>
      </c>
      <c r="G182">
        <v>8.4039999999999999</v>
      </c>
      <c r="H182">
        <v>29.999999999999972</v>
      </c>
      <c r="I182" s="112">
        <v>4</v>
      </c>
      <c r="J182">
        <v>45</v>
      </c>
      <c r="K182" s="1" t="e">
        <f>INDEX($P$4:$AM$15,MATCH(MONTH($E182),$O$4:$O$15,0),MATCH(HOUR($F182),$P$3:$AM$3,0))</f>
        <v>#N/A</v>
      </c>
      <c r="L182" t="s">
        <v>257</v>
      </c>
      <c r="M182" s="111"/>
    </row>
    <row r="183" spans="1:13" x14ac:dyDescent="0.25">
      <c r="A183">
        <v>182</v>
      </c>
      <c r="B183" s="112">
        <v>40052721</v>
      </c>
      <c r="C183">
        <v>2</v>
      </c>
      <c r="E183" s="110">
        <v>42779</v>
      </c>
      <c r="F183" s="111" t="s">
        <v>295</v>
      </c>
      <c r="G183">
        <v>6.101</v>
      </c>
      <c r="H183">
        <v>20.000000000000007</v>
      </c>
      <c r="I183" s="112">
        <v>4</v>
      </c>
      <c r="J183">
        <v>9.9999999999999645</v>
      </c>
      <c r="K183" s="1" t="e">
        <f>INDEX($P$4:$AM$15,MATCH(MONTH($E183),$O$4:$O$15,0),MATCH(HOUR($F183),$P$3:$AM$3,0))</f>
        <v>#N/A</v>
      </c>
      <c r="L183" t="s">
        <v>257</v>
      </c>
      <c r="M183" s="111"/>
    </row>
    <row r="184" spans="1:13" x14ac:dyDescent="0.25">
      <c r="A184">
        <v>183</v>
      </c>
      <c r="B184" s="112">
        <v>40052721</v>
      </c>
      <c r="C184">
        <v>3</v>
      </c>
      <c r="E184" s="110">
        <v>42779</v>
      </c>
      <c r="F184" s="111" t="s">
        <v>326</v>
      </c>
      <c r="G184">
        <v>2.3719999999999999</v>
      </c>
      <c r="H184">
        <v>15.000000000000027</v>
      </c>
      <c r="I184" s="112">
        <v>4</v>
      </c>
      <c r="J184">
        <v>194.99999999999994</v>
      </c>
      <c r="K184" s="1" t="e">
        <f>INDEX($P$4:$AM$15,MATCH(MONTH($E184),$O$4:$O$15,0),MATCH(HOUR($F184),$P$3:$AM$3,0))</f>
        <v>#N/A</v>
      </c>
      <c r="L184" t="s">
        <v>257</v>
      </c>
      <c r="M184" s="111"/>
    </row>
    <row r="185" spans="1:13" x14ac:dyDescent="0.25">
      <c r="A185">
        <v>184</v>
      </c>
      <c r="B185" s="112">
        <v>40052721</v>
      </c>
      <c r="C185">
        <v>4</v>
      </c>
      <c r="E185" s="110">
        <v>42779</v>
      </c>
      <c r="F185" s="111" t="s">
        <v>219</v>
      </c>
      <c r="G185">
        <v>1.7430000000000001</v>
      </c>
      <c r="H185">
        <v>15.000000000000107</v>
      </c>
      <c r="I185" s="112">
        <v>4</v>
      </c>
      <c r="J185">
        <v>74.999999999999886</v>
      </c>
      <c r="K185" s="1" t="e">
        <f>INDEX($P$4:$AM$15,MATCH(MONTH($E185),$O$4:$O$15,0),MATCH(HOUR($F185),$P$3:$AM$3,0))</f>
        <v>#N/A</v>
      </c>
      <c r="L185" t="s">
        <v>257</v>
      </c>
      <c r="M185" s="111"/>
    </row>
    <row r="186" spans="1:13" x14ac:dyDescent="0.25">
      <c r="A186">
        <v>185</v>
      </c>
      <c r="B186" s="112">
        <v>40052721</v>
      </c>
      <c r="C186">
        <v>5</v>
      </c>
      <c r="E186" s="110">
        <v>42779</v>
      </c>
      <c r="F186" s="111" t="s">
        <v>294</v>
      </c>
      <c r="G186">
        <v>1.7430000000000001</v>
      </c>
      <c r="H186">
        <v>15.000000000000107</v>
      </c>
      <c r="I186" s="112">
        <v>4</v>
      </c>
      <c r="J186">
        <v>1125</v>
      </c>
      <c r="K186" s="1" t="e">
        <f>INDEX($P$4:$AM$15,MATCH(MONTH($E186),$O$4:$O$15,0),MATCH(HOUR($F186),$P$3:$AM$3,0))</f>
        <v>#N/A</v>
      </c>
      <c r="L186" t="s">
        <v>257</v>
      </c>
      <c r="M186" s="111"/>
    </row>
    <row r="187" spans="1:13" x14ac:dyDescent="0.25">
      <c r="A187">
        <v>186</v>
      </c>
      <c r="B187" s="112">
        <v>40052721</v>
      </c>
      <c r="C187">
        <v>1</v>
      </c>
      <c r="E187" s="110">
        <v>42780</v>
      </c>
      <c r="F187" s="111" t="s">
        <v>326</v>
      </c>
      <c r="G187">
        <v>1.603</v>
      </c>
      <c r="H187">
        <v>9.9999999999999645</v>
      </c>
      <c r="I187" s="112">
        <v>4</v>
      </c>
      <c r="J187">
        <v>140.00000000000006</v>
      </c>
      <c r="K187" s="1" t="e">
        <f>INDEX($P$4:$AM$15,MATCH(MONTH($E187),$O$4:$O$15,0),MATCH(HOUR($F187),$P$3:$AM$3,0))</f>
        <v>#N/A</v>
      </c>
      <c r="L187" t="s">
        <v>257</v>
      </c>
      <c r="M187" s="111"/>
    </row>
    <row r="188" spans="1:13" x14ac:dyDescent="0.25">
      <c r="A188">
        <v>187</v>
      </c>
      <c r="B188" s="112">
        <v>40052721</v>
      </c>
      <c r="C188">
        <v>2</v>
      </c>
      <c r="E188" s="110">
        <v>42780</v>
      </c>
      <c r="F188" s="111" t="s">
        <v>318</v>
      </c>
      <c r="G188">
        <v>3.9870000000000001</v>
      </c>
      <c r="H188">
        <v>20.000000000000089</v>
      </c>
      <c r="I188" s="112">
        <v>4</v>
      </c>
      <c r="J188">
        <v>39.999999999999858</v>
      </c>
      <c r="K188" s="1" t="e">
        <f>INDEX($P$4:$AM$15,MATCH(MONTH($E188),$O$4:$O$15,0),MATCH(HOUR($F188),$P$3:$AM$3,0))</f>
        <v>#N/A</v>
      </c>
      <c r="L188" t="s">
        <v>257</v>
      </c>
      <c r="M188" s="111"/>
    </row>
    <row r="189" spans="1:13" x14ac:dyDescent="0.25">
      <c r="A189">
        <v>188</v>
      </c>
      <c r="B189" s="112">
        <v>40052721</v>
      </c>
      <c r="C189">
        <v>3</v>
      </c>
      <c r="E189" s="110">
        <v>42780</v>
      </c>
      <c r="F189" s="111" t="s">
        <v>219</v>
      </c>
      <c r="G189">
        <v>2.556</v>
      </c>
      <c r="H189">
        <v>15.000000000000107</v>
      </c>
      <c r="I189" s="112">
        <v>4</v>
      </c>
      <c r="J189">
        <v>45</v>
      </c>
      <c r="K189" s="1" t="e">
        <f>INDEX($P$4:$AM$15,MATCH(MONTH($E189),$O$4:$O$15,0),MATCH(HOUR($F189),$P$3:$AM$3,0))</f>
        <v>#N/A</v>
      </c>
      <c r="L189" t="s">
        <v>257</v>
      </c>
      <c r="M189" s="111"/>
    </row>
    <row r="190" spans="1:13" x14ac:dyDescent="0.25">
      <c r="A190">
        <v>189</v>
      </c>
      <c r="B190" s="112">
        <v>40052721</v>
      </c>
      <c r="C190">
        <v>4</v>
      </c>
      <c r="E190" s="110">
        <v>42780</v>
      </c>
      <c r="F190" s="111" t="s">
        <v>250</v>
      </c>
      <c r="G190">
        <v>2.09</v>
      </c>
      <c r="H190">
        <v>14.999999999999947</v>
      </c>
      <c r="I190" s="112">
        <v>4</v>
      </c>
      <c r="J190">
        <v>104.99999999999994</v>
      </c>
      <c r="K190" s="1" t="e">
        <f>INDEX($P$4:$AM$15,MATCH(MONTH($E190),$O$4:$O$15,0),MATCH(HOUR($F190),$P$3:$AM$3,0))</f>
        <v>#N/A</v>
      </c>
      <c r="L190" t="s">
        <v>257</v>
      </c>
      <c r="M190" s="111"/>
    </row>
    <row r="191" spans="1:13" x14ac:dyDescent="0.25">
      <c r="A191">
        <v>190</v>
      </c>
      <c r="B191" s="112">
        <v>40052721</v>
      </c>
      <c r="C191">
        <v>5</v>
      </c>
      <c r="E191" s="110">
        <v>42780</v>
      </c>
      <c r="F191" s="111" t="s">
        <v>252</v>
      </c>
      <c r="G191">
        <v>2.1160000000000001</v>
      </c>
      <c r="H191">
        <v>15.000000000000107</v>
      </c>
      <c r="I191" s="112">
        <v>4</v>
      </c>
      <c r="J191">
        <v>899.99999999999989</v>
      </c>
      <c r="K191" s="1" t="e">
        <f>INDEX($P$4:$AM$15,MATCH(MONTH($E191),$O$4:$O$15,0),MATCH(HOUR($F191),$P$3:$AM$3,0))</f>
        <v>#N/A</v>
      </c>
      <c r="L191" t="s">
        <v>257</v>
      </c>
      <c r="M191" s="111"/>
    </row>
    <row r="192" spans="1:13" x14ac:dyDescent="0.25">
      <c r="A192">
        <v>191</v>
      </c>
      <c r="B192" s="112">
        <v>40053424</v>
      </c>
      <c r="C192">
        <v>1</v>
      </c>
      <c r="E192" s="110">
        <v>42781</v>
      </c>
      <c r="F192" s="111" t="s">
        <v>254</v>
      </c>
      <c r="G192">
        <v>17.184000000000001</v>
      </c>
      <c r="H192">
        <v>25.000000000000071</v>
      </c>
      <c r="I192" s="112">
        <v>3</v>
      </c>
      <c r="J192">
        <v>2.9999999999999893</v>
      </c>
      <c r="K192" s="1" t="e">
        <f>INDEX($P$4:$AM$15,MATCH(MONTH($E192),$O$4:$O$15,0),MATCH(HOUR($F192),$P$3:$AM$3,0))</f>
        <v>#N/A</v>
      </c>
      <c r="L192" t="s">
        <v>231</v>
      </c>
      <c r="M192" s="111"/>
    </row>
    <row r="193" spans="1:13" x14ac:dyDescent="0.25">
      <c r="A193">
        <v>192</v>
      </c>
      <c r="B193" s="112">
        <v>40053424</v>
      </c>
      <c r="C193">
        <v>2</v>
      </c>
      <c r="E193" s="110">
        <v>42781</v>
      </c>
      <c r="F193" s="111" t="s">
        <v>345</v>
      </c>
      <c r="G193">
        <v>0.45600000000000002</v>
      </c>
      <c r="H193">
        <v>1.9999999999999929</v>
      </c>
      <c r="I193" s="112">
        <v>3</v>
      </c>
      <c r="J193">
        <v>245.00000000000003</v>
      </c>
      <c r="K193" s="1" t="e">
        <f>INDEX($P$4:$AM$15,MATCH(MONTH($E193),$O$4:$O$15,0),MATCH(HOUR($F193),$P$3:$AM$3,0))</f>
        <v>#N/A</v>
      </c>
      <c r="L193" t="s">
        <v>231</v>
      </c>
      <c r="M193" s="111"/>
    </row>
    <row r="194" spans="1:13" x14ac:dyDescent="0.25">
      <c r="A194">
        <v>193</v>
      </c>
      <c r="B194" s="112">
        <v>40053424</v>
      </c>
      <c r="C194">
        <v>3</v>
      </c>
      <c r="E194" s="110">
        <v>42781</v>
      </c>
      <c r="F194" s="111" t="s">
        <v>298</v>
      </c>
      <c r="G194">
        <v>17.628</v>
      </c>
      <c r="H194">
        <v>24.999999999999911</v>
      </c>
      <c r="I194" s="112">
        <v>3</v>
      </c>
      <c r="J194">
        <v>1133</v>
      </c>
      <c r="K194" s="1" t="e">
        <f>INDEX($P$4:$AM$15,MATCH(MONTH($E194),$O$4:$O$15,0),MATCH(HOUR($F194),$P$3:$AM$3,0))</f>
        <v>#N/A</v>
      </c>
      <c r="L194" t="s">
        <v>231</v>
      </c>
      <c r="M194" s="111"/>
    </row>
    <row r="195" spans="1:13" x14ac:dyDescent="0.25">
      <c r="A195">
        <v>194</v>
      </c>
      <c r="B195" s="112">
        <v>40053424</v>
      </c>
      <c r="C195">
        <v>1</v>
      </c>
      <c r="E195" s="110">
        <v>42782</v>
      </c>
      <c r="F195" s="111" t="s">
        <v>346</v>
      </c>
      <c r="G195">
        <v>2.645</v>
      </c>
      <c r="H195">
        <v>2.9999999999999893</v>
      </c>
      <c r="I195" s="112">
        <v>3</v>
      </c>
      <c r="J195">
        <v>3.9999999999999858</v>
      </c>
      <c r="K195" s="1" t="e">
        <f>INDEX($P$4:$AM$15,MATCH(MONTH($E195),$O$4:$O$15,0),MATCH(HOUR($F195),$P$3:$AM$3,0))</f>
        <v>#N/A</v>
      </c>
      <c r="L195" t="s">
        <v>231</v>
      </c>
      <c r="M195" s="111"/>
    </row>
    <row r="196" spans="1:13" x14ac:dyDescent="0.25">
      <c r="A196">
        <v>195</v>
      </c>
      <c r="B196" s="112">
        <v>40053424</v>
      </c>
      <c r="C196">
        <v>2</v>
      </c>
      <c r="E196" s="110">
        <v>42782</v>
      </c>
      <c r="F196" s="111" t="s">
        <v>254</v>
      </c>
      <c r="G196">
        <v>15.105</v>
      </c>
      <c r="H196">
        <v>25.000000000000071</v>
      </c>
      <c r="I196" s="112">
        <v>3</v>
      </c>
      <c r="J196">
        <v>454.99999999999994</v>
      </c>
      <c r="K196" s="1" t="e">
        <f>INDEX($P$4:$AM$15,MATCH(MONTH($E196),$O$4:$O$15,0),MATCH(HOUR($F196),$P$3:$AM$3,0))</f>
        <v>#N/A</v>
      </c>
      <c r="L196" t="s">
        <v>231</v>
      </c>
      <c r="M196" s="111"/>
    </row>
    <row r="197" spans="1:13" x14ac:dyDescent="0.25">
      <c r="A197">
        <v>196</v>
      </c>
      <c r="B197" s="112">
        <v>40053424</v>
      </c>
      <c r="C197">
        <v>3</v>
      </c>
      <c r="E197" s="110">
        <v>42782</v>
      </c>
      <c r="F197" s="111" t="s">
        <v>268</v>
      </c>
      <c r="G197">
        <v>7.1420000000000003</v>
      </c>
      <c r="H197">
        <v>15.000000000000107</v>
      </c>
      <c r="I197" s="112">
        <v>3</v>
      </c>
      <c r="J197">
        <v>9.9999999999999645</v>
      </c>
      <c r="K197" s="1" t="e">
        <f>INDEX($P$4:$AM$15,MATCH(MONTH($E197),$O$4:$O$15,0),MATCH(HOUR($F197),$P$3:$AM$3,0))</f>
        <v>#N/A</v>
      </c>
      <c r="L197" t="s">
        <v>231</v>
      </c>
      <c r="M197" s="111"/>
    </row>
    <row r="198" spans="1:13" x14ac:dyDescent="0.25">
      <c r="A198">
        <v>197</v>
      </c>
      <c r="B198" s="112">
        <v>40053424</v>
      </c>
      <c r="C198">
        <v>4</v>
      </c>
      <c r="E198" s="110">
        <v>42782</v>
      </c>
      <c r="F198" s="111" t="s">
        <v>276</v>
      </c>
      <c r="G198">
        <v>11.9</v>
      </c>
      <c r="H198">
        <v>19.999999999999929</v>
      </c>
      <c r="I198" s="112">
        <v>3</v>
      </c>
      <c r="J198">
        <v>240.00000000000011</v>
      </c>
      <c r="K198" s="1" t="e">
        <f>INDEX($P$4:$AM$15,MATCH(MONTH($E198),$O$4:$O$15,0),MATCH(HOUR($F198),$P$3:$AM$3,0))</f>
        <v>#N/A</v>
      </c>
      <c r="L198" t="s">
        <v>231</v>
      </c>
      <c r="M198" s="111"/>
    </row>
    <row r="199" spans="1:13" x14ac:dyDescent="0.25">
      <c r="A199">
        <v>198</v>
      </c>
      <c r="B199">
        <v>40053424</v>
      </c>
      <c r="C199">
        <v>5</v>
      </c>
      <c r="E199" s="110">
        <v>42782</v>
      </c>
      <c r="F199" s="111" t="s">
        <v>319</v>
      </c>
      <c r="G199">
        <v>2.645</v>
      </c>
      <c r="H199">
        <v>4.9999999999998224</v>
      </c>
      <c r="I199">
        <v>3</v>
      </c>
      <c r="J199">
        <v>10.000000000000124</v>
      </c>
      <c r="K199" s="1" t="e">
        <f>INDEX($P$4:$AM$15,MATCH(MONTH($E199),$O$4:$O$15,0),MATCH(HOUR($F199),$P$3:$AM$3,0))</f>
        <v>#N/A</v>
      </c>
      <c r="L199" t="s">
        <v>231</v>
      </c>
      <c r="M199" s="111"/>
    </row>
    <row r="200" spans="1:13" x14ac:dyDescent="0.25">
      <c r="A200">
        <v>199</v>
      </c>
      <c r="B200">
        <v>40053424</v>
      </c>
      <c r="C200">
        <v>6</v>
      </c>
      <c r="E200" s="110">
        <v>42782</v>
      </c>
      <c r="F200" s="111" t="s">
        <v>347</v>
      </c>
      <c r="G200">
        <v>2.645</v>
      </c>
      <c r="H200">
        <v>4.9999999999999822</v>
      </c>
      <c r="I200">
        <v>3</v>
      </c>
      <c r="J200">
        <v>670.00000000000011</v>
      </c>
      <c r="K200" s="1" t="e">
        <f>INDEX($P$4:$AM$15,MATCH(MONTH($E200),$O$4:$O$15,0),MATCH(HOUR($F200),$P$3:$AM$3,0))</f>
        <v>#N/A</v>
      </c>
      <c r="L200" t="s">
        <v>231</v>
      </c>
      <c r="M200" s="111"/>
    </row>
    <row r="201" spans="1:13" x14ac:dyDescent="0.25">
      <c r="A201">
        <v>200</v>
      </c>
      <c r="B201">
        <v>40053424</v>
      </c>
      <c r="C201">
        <v>1</v>
      </c>
      <c r="E201" s="110">
        <v>42783</v>
      </c>
      <c r="F201" s="111" t="s">
        <v>251</v>
      </c>
      <c r="G201">
        <v>2.1339999999999999</v>
      </c>
      <c r="H201">
        <v>10.000000000000044</v>
      </c>
      <c r="I201">
        <v>6</v>
      </c>
      <c r="J201">
        <v>439.99999999999994</v>
      </c>
      <c r="K201" s="1" t="e">
        <f>INDEX($P$4:$AM$15,MATCH(MONTH($E201),$O$4:$O$15,0),MATCH(HOUR($F201),$P$3:$AM$3,0))</f>
        <v>#N/A</v>
      </c>
      <c r="L201" t="s">
        <v>231</v>
      </c>
      <c r="M201" s="111"/>
    </row>
    <row r="202" spans="1:13" x14ac:dyDescent="0.25">
      <c r="A202">
        <v>201</v>
      </c>
      <c r="B202">
        <v>40053424</v>
      </c>
      <c r="C202">
        <v>2</v>
      </c>
      <c r="E202" s="110">
        <v>42783</v>
      </c>
      <c r="F202" s="111" t="s">
        <v>227</v>
      </c>
      <c r="G202">
        <v>0.66200000000000003</v>
      </c>
      <c r="H202">
        <v>4.9999999999999822</v>
      </c>
      <c r="I202">
        <v>6</v>
      </c>
      <c r="J202">
        <v>9.9999999999999645</v>
      </c>
      <c r="K202" s="1" t="e">
        <f>INDEX($P$4:$AM$15,MATCH(MONTH($E202),$O$4:$O$15,0),MATCH(HOUR($F202),$P$3:$AM$3,0))</f>
        <v>#N/A</v>
      </c>
      <c r="L202" t="s">
        <v>231</v>
      </c>
      <c r="M202" s="111"/>
    </row>
    <row r="203" spans="1:13" x14ac:dyDescent="0.25">
      <c r="A203">
        <v>202</v>
      </c>
      <c r="B203">
        <v>40053424</v>
      </c>
      <c r="C203">
        <v>3</v>
      </c>
      <c r="E203" s="110">
        <v>42783</v>
      </c>
      <c r="F203" s="111" t="s">
        <v>268</v>
      </c>
      <c r="G203">
        <v>2.645</v>
      </c>
      <c r="H203">
        <v>9.9999999999999645</v>
      </c>
      <c r="I203">
        <v>6</v>
      </c>
      <c r="J203">
        <v>40.000000000000014</v>
      </c>
      <c r="K203" s="1" t="e">
        <f>INDEX($P$4:$AM$15,MATCH(MONTH($E203),$O$4:$O$15,0),MATCH(HOUR($F203),$P$3:$AM$3,0))</f>
        <v>#N/A</v>
      </c>
      <c r="L203" t="s">
        <v>231</v>
      </c>
      <c r="M203" s="111"/>
    </row>
    <row r="204" spans="1:13" x14ac:dyDescent="0.25">
      <c r="A204">
        <v>203</v>
      </c>
      <c r="B204">
        <v>40068811</v>
      </c>
      <c r="C204">
        <v>4</v>
      </c>
      <c r="E204" s="110">
        <v>42783</v>
      </c>
      <c r="F204" s="111" t="s">
        <v>348</v>
      </c>
      <c r="G204">
        <v>1.4</v>
      </c>
      <c r="H204">
        <v>10.000000000000124</v>
      </c>
      <c r="I204">
        <v>4</v>
      </c>
      <c r="J204">
        <v>9.9999999999999645</v>
      </c>
      <c r="K204" s="1" t="e">
        <f>INDEX($P$4:$AM$15,MATCH(MONTH($E204),$O$4:$O$15,0),MATCH(HOUR($F204),$P$3:$AM$3,0))</f>
        <v>#N/A</v>
      </c>
      <c r="L204" t="s">
        <v>302</v>
      </c>
      <c r="M204" s="111"/>
    </row>
    <row r="205" spans="1:13" x14ac:dyDescent="0.25">
      <c r="A205">
        <v>204</v>
      </c>
      <c r="B205">
        <v>40068811</v>
      </c>
      <c r="C205">
        <v>5</v>
      </c>
      <c r="E205" s="110">
        <v>42783</v>
      </c>
      <c r="F205" s="111" t="s">
        <v>349</v>
      </c>
      <c r="G205">
        <v>1.3919999999999999</v>
      </c>
      <c r="H205">
        <v>4.9999999999999822</v>
      </c>
      <c r="I205">
        <v>4</v>
      </c>
      <c r="J205">
        <v>1035</v>
      </c>
      <c r="K205" s="1" t="e">
        <f>INDEX($P$4:$AM$15,MATCH(MONTH($E205),$O$4:$O$15,0),MATCH(HOUR($F205),$P$3:$AM$3,0))</f>
        <v>#N/A</v>
      </c>
      <c r="L205" t="s">
        <v>302</v>
      </c>
      <c r="M205" s="111"/>
    </row>
    <row r="206" spans="1:13" x14ac:dyDescent="0.25">
      <c r="A206">
        <v>205</v>
      </c>
      <c r="B206">
        <v>40068811</v>
      </c>
      <c r="C206">
        <v>1</v>
      </c>
      <c r="E206" s="110">
        <v>42784</v>
      </c>
      <c r="F206" s="111" t="s">
        <v>311</v>
      </c>
      <c r="G206">
        <v>6.1719999999999997</v>
      </c>
      <c r="H206">
        <v>15.000000000000027</v>
      </c>
      <c r="I206">
        <v>4</v>
      </c>
      <c r="J206">
        <v>134.99999999999991</v>
      </c>
      <c r="K206" s="1" t="e">
        <f>INDEX($P$4:$AM$15,MATCH(MONTH($E206),$O$4:$O$15,0),MATCH(HOUR($F206),$P$3:$AM$3,0))</f>
        <v>#N/A</v>
      </c>
      <c r="L206" t="s">
        <v>302</v>
      </c>
      <c r="M206" s="111"/>
    </row>
    <row r="207" spans="1:13" x14ac:dyDescent="0.25">
      <c r="A207">
        <v>206</v>
      </c>
      <c r="B207">
        <v>40068811</v>
      </c>
      <c r="C207">
        <v>2</v>
      </c>
      <c r="E207" s="110">
        <v>42784</v>
      </c>
      <c r="F207" s="111" t="s">
        <v>350</v>
      </c>
      <c r="G207">
        <v>6.1719999999999997</v>
      </c>
      <c r="H207">
        <v>15.000000000000107</v>
      </c>
      <c r="I207">
        <v>4</v>
      </c>
      <c r="J207">
        <v>29.999999999999893</v>
      </c>
      <c r="K207" s="1" t="e">
        <f>INDEX($P$4:$AM$15,MATCH(MONTH($E207),$O$4:$O$15,0),MATCH(HOUR($F207),$P$3:$AM$3,0))</f>
        <v>#N/A</v>
      </c>
      <c r="L207" t="s">
        <v>302</v>
      </c>
      <c r="M207" s="111"/>
    </row>
    <row r="208" spans="1:13" x14ac:dyDescent="0.25">
      <c r="A208">
        <v>207</v>
      </c>
      <c r="B208">
        <v>40070243</v>
      </c>
      <c r="C208">
        <v>3</v>
      </c>
      <c r="E208" s="110">
        <v>42784</v>
      </c>
      <c r="F208" s="111" t="s">
        <v>219</v>
      </c>
      <c r="G208">
        <v>1.7330000000000001</v>
      </c>
      <c r="H208">
        <v>70.000000000000071</v>
      </c>
      <c r="I208">
        <v>6</v>
      </c>
      <c r="J208">
        <v>9.9999999999999645</v>
      </c>
      <c r="K208" s="1" t="e">
        <f>INDEX($P$4:$AM$15,MATCH(MONTH($E208),$O$4:$O$15,0),MATCH(HOUR($F208),$P$3:$AM$3,0))</f>
        <v>#N/A</v>
      </c>
      <c r="L208" t="s">
        <v>231</v>
      </c>
      <c r="M208" s="111"/>
    </row>
    <row r="209" spans="1:13" x14ac:dyDescent="0.25">
      <c r="A209">
        <v>208</v>
      </c>
      <c r="B209">
        <v>40070243</v>
      </c>
      <c r="C209">
        <v>4</v>
      </c>
      <c r="E209" s="110">
        <v>42784</v>
      </c>
      <c r="F209" s="111" t="s">
        <v>351</v>
      </c>
      <c r="G209">
        <v>2.895</v>
      </c>
      <c r="H209">
        <v>4.9999999999999822</v>
      </c>
      <c r="I209">
        <v>6</v>
      </c>
      <c r="J209">
        <v>4.9999999999999822</v>
      </c>
      <c r="K209" s="1" t="e">
        <f>INDEX($P$4:$AM$15,MATCH(MONTH($E209),$O$4:$O$15,0),MATCH(HOUR($F209),$P$3:$AM$3,0))</f>
        <v>#N/A</v>
      </c>
      <c r="L209" t="s">
        <v>231</v>
      </c>
      <c r="M209" s="111"/>
    </row>
    <row r="210" spans="1:13" x14ac:dyDescent="0.25">
      <c r="A210">
        <v>209</v>
      </c>
      <c r="B210">
        <v>40070243</v>
      </c>
      <c r="C210">
        <v>5</v>
      </c>
      <c r="E210" s="110">
        <v>42784</v>
      </c>
      <c r="F210" s="111" t="s">
        <v>294</v>
      </c>
      <c r="G210">
        <v>51.103999999999999</v>
      </c>
      <c r="H210">
        <v>50.000000000000142</v>
      </c>
      <c r="I210">
        <v>6</v>
      </c>
      <c r="J210">
        <v>9.9999999999999645</v>
      </c>
      <c r="K210" s="1" t="e">
        <f>INDEX($P$4:$AM$15,MATCH(MONTH($E210),$O$4:$O$15,0),MATCH(HOUR($F210),$P$3:$AM$3,0))</f>
        <v>#N/A</v>
      </c>
      <c r="L210" t="s">
        <v>231</v>
      </c>
      <c r="M210" s="111"/>
    </row>
    <row r="211" spans="1:13" x14ac:dyDescent="0.25">
      <c r="A211">
        <v>210</v>
      </c>
      <c r="B211">
        <v>40070243</v>
      </c>
      <c r="C211">
        <v>6</v>
      </c>
      <c r="E211" s="110">
        <v>42784</v>
      </c>
      <c r="F211" s="111" t="s">
        <v>235</v>
      </c>
      <c r="G211">
        <v>57.908999999999999</v>
      </c>
      <c r="H211">
        <v>90</v>
      </c>
      <c r="I211">
        <v>6</v>
      </c>
      <c r="J211">
        <v>29.999999999999893</v>
      </c>
      <c r="K211" s="1" t="e">
        <f>INDEX($P$4:$AM$15,MATCH(MONTH($E211),$O$4:$O$15,0),MATCH(HOUR($F211),$P$3:$AM$3,0))</f>
        <v>#N/A</v>
      </c>
      <c r="L211" t="s">
        <v>231</v>
      </c>
      <c r="M211" s="111"/>
    </row>
    <row r="212" spans="1:13" x14ac:dyDescent="0.25">
      <c r="A212">
        <v>211</v>
      </c>
      <c r="B212">
        <v>40070243</v>
      </c>
      <c r="C212">
        <v>7</v>
      </c>
      <c r="E212" s="110">
        <v>42784</v>
      </c>
      <c r="F212" s="111" t="s">
        <v>258</v>
      </c>
      <c r="G212">
        <v>92.477000000000004</v>
      </c>
      <c r="H212">
        <v>105.00000000000011</v>
      </c>
      <c r="I212">
        <v>6</v>
      </c>
      <c r="J212">
        <v>9.9999999999999645</v>
      </c>
      <c r="K212" s="1" t="e">
        <f>INDEX($P$4:$AM$15,MATCH(MONTH($E212),$O$4:$O$15,0),MATCH(HOUR($F212),$P$3:$AM$3,0))</f>
        <v>#N/A</v>
      </c>
      <c r="L212" t="s">
        <v>231</v>
      </c>
      <c r="M212" s="111"/>
    </row>
    <row r="213" spans="1:13" x14ac:dyDescent="0.25">
      <c r="A213">
        <v>212</v>
      </c>
      <c r="B213">
        <v>40070243</v>
      </c>
      <c r="C213">
        <v>8</v>
      </c>
      <c r="E213" s="110">
        <v>42784</v>
      </c>
      <c r="F213" s="111" t="s">
        <v>352</v>
      </c>
      <c r="G213">
        <v>2.2850000000000001</v>
      </c>
      <c r="H213">
        <v>9.9999999999999645</v>
      </c>
      <c r="I213">
        <v>6</v>
      </c>
      <c r="J213">
        <v>655.00000000000011</v>
      </c>
      <c r="K213" s="1" t="e">
        <f>INDEX($P$4:$AM$15,MATCH(MONTH($E213),$O$4:$O$15,0),MATCH(HOUR($F213),$P$3:$AM$3,0))</f>
        <v>#N/A</v>
      </c>
      <c r="L213" t="s">
        <v>231</v>
      </c>
      <c r="M213" s="111"/>
    </row>
    <row r="214" spans="1:13" x14ac:dyDescent="0.25">
      <c r="A214">
        <v>213</v>
      </c>
      <c r="B214">
        <v>40070243</v>
      </c>
      <c r="C214">
        <v>1</v>
      </c>
      <c r="E214" s="110">
        <v>42785</v>
      </c>
      <c r="F214" s="111" t="s">
        <v>256</v>
      </c>
      <c r="G214">
        <v>54.613999999999997</v>
      </c>
      <c r="H214">
        <v>45</v>
      </c>
      <c r="I214">
        <v>4</v>
      </c>
      <c r="J214">
        <v>285</v>
      </c>
      <c r="K214" s="1" t="e">
        <f>INDEX($P$4:$AM$15,MATCH(MONTH($E214),$O$4:$O$15,0),MATCH(HOUR($F214),$P$3:$AM$3,0))</f>
        <v>#N/A</v>
      </c>
      <c r="L214" t="s">
        <v>231</v>
      </c>
      <c r="M214" s="111"/>
    </row>
    <row r="215" spans="1:13" x14ac:dyDescent="0.25">
      <c r="A215">
        <v>214</v>
      </c>
      <c r="B215">
        <v>40070243</v>
      </c>
      <c r="C215">
        <v>2</v>
      </c>
      <c r="E215" s="110">
        <v>42785</v>
      </c>
      <c r="F215" s="111" t="s">
        <v>318</v>
      </c>
      <c r="G215">
        <v>0</v>
      </c>
      <c r="H215">
        <v>0.99999999999999645</v>
      </c>
      <c r="I215">
        <v>4</v>
      </c>
      <c r="J215">
        <v>1247</v>
      </c>
      <c r="K215" s="1" t="e">
        <f>INDEX($P$4:$AM$15,MATCH(MONTH($E215),$O$4:$O$15,0),MATCH(HOUR($F215),$P$3:$AM$3,0))</f>
        <v>#N/A</v>
      </c>
      <c r="L215" t="s">
        <v>231</v>
      </c>
      <c r="M215" s="111"/>
    </row>
    <row r="216" spans="1:13" x14ac:dyDescent="0.25">
      <c r="A216">
        <v>215</v>
      </c>
      <c r="B216">
        <v>40078681</v>
      </c>
      <c r="C216">
        <v>1</v>
      </c>
      <c r="E216" s="110">
        <v>42786</v>
      </c>
      <c r="F216" s="111" t="s">
        <v>353</v>
      </c>
      <c r="G216">
        <v>1.228</v>
      </c>
      <c r="H216">
        <v>11.999999999999957</v>
      </c>
      <c r="I216">
        <v>3</v>
      </c>
      <c r="J216">
        <v>9.9999999999999645</v>
      </c>
      <c r="K216" s="1" t="e">
        <f>INDEX($P$4:$AM$15,MATCH(MONTH($E216),$O$4:$O$15,0),MATCH(HOUR($F216),$P$3:$AM$3,0))</f>
        <v>#N/A</v>
      </c>
      <c r="L216" t="s">
        <v>218</v>
      </c>
      <c r="M216" s="111"/>
    </row>
    <row r="217" spans="1:13" x14ac:dyDescent="0.25">
      <c r="A217">
        <v>216</v>
      </c>
      <c r="B217">
        <v>40078681</v>
      </c>
      <c r="C217">
        <v>2</v>
      </c>
      <c r="E217" s="110">
        <v>42786</v>
      </c>
      <c r="F217" s="111" t="s">
        <v>354</v>
      </c>
      <c r="G217">
        <v>1.68</v>
      </c>
      <c r="H217">
        <v>10.000000000000044</v>
      </c>
      <c r="I217">
        <v>3</v>
      </c>
      <c r="J217">
        <v>160</v>
      </c>
      <c r="K217" s="1" t="e">
        <f>INDEX($P$4:$AM$15,MATCH(MONTH($E217),$O$4:$O$15,0),MATCH(HOUR($F217),$P$3:$AM$3,0))</f>
        <v>#N/A</v>
      </c>
      <c r="L217" t="s">
        <v>218</v>
      </c>
      <c r="M217" s="111"/>
    </row>
    <row r="218" spans="1:13" x14ac:dyDescent="0.25">
      <c r="A218">
        <v>217</v>
      </c>
      <c r="B218">
        <v>40094273</v>
      </c>
      <c r="C218">
        <v>3</v>
      </c>
      <c r="E218" s="110">
        <v>42786</v>
      </c>
      <c r="F218" s="111" t="s">
        <v>318</v>
      </c>
      <c r="G218">
        <v>2.6709999999999998</v>
      </c>
      <c r="H218">
        <v>9.9999999999999645</v>
      </c>
      <c r="I218">
        <v>3</v>
      </c>
      <c r="J218">
        <v>10.000000000000124</v>
      </c>
      <c r="K218" s="1" t="e">
        <f>INDEX($P$4:$AM$15,MATCH(MONTH($E218),$O$4:$O$15,0),MATCH(HOUR($F218),$P$3:$AM$3,0))</f>
        <v>#N/A</v>
      </c>
      <c r="L218" t="s">
        <v>257</v>
      </c>
      <c r="M218" s="111"/>
    </row>
    <row r="219" spans="1:13" x14ac:dyDescent="0.25">
      <c r="A219">
        <v>218</v>
      </c>
      <c r="B219">
        <v>40094273</v>
      </c>
      <c r="C219">
        <v>4</v>
      </c>
      <c r="E219" s="110">
        <v>42786</v>
      </c>
      <c r="F219" s="111" t="s">
        <v>355</v>
      </c>
      <c r="G219">
        <v>2.669</v>
      </c>
      <c r="H219">
        <v>4.9999999999998224</v>
      </c>
      <c r="I219">
        <v>3</v>
      </c>
      <c r="J219">
        <v>195.00000000000011</v>
      </c>
      <c r="K219" s="1" t="e">
        <f>INDEX($P$4:$AM$15,MATCH(MONTH($E219),$O$4:$O$15,0),MATCH(HOUR($F219),$P$3:$AM$3,0))</f>
        <v>#N/A</v>
      </c>
      <c r="L219" t="s">
        <v>257</v>
      </c>
      <c r="M219" s="111"/>
    </row>
    <row r="220" spans="1:13" x14ac:dyDescent="0.25">
      <c r="A220">
        <v>219</v>
      </c>
      <c r="B220">
        <v>40094273</v>
      </c>
      <c r="C220">
        <v>5</v>
      </c>
      <c r="E220" s="110">
        <v>42786</v>
      </c>
      <c r="F220" s="111" t="s">
        <v>276</v>
      </c>
      <c r="G220">
        <v>5.8529999999999998</v>
      </c>
      <c r="H220">
        <v>19.999999999999929</v>
      </c>
      <c r="I220">
        <v>3</v>
      </c>
      <c r="J220">
        <v>315</v>
      </c>
      <c r="K220" s="1" t="e">
        <f>INDEX($P$4:$AM$15,MATCH(MONTH($E220),$O$4:$O$15,0),MATCH(HOUR($F220),$P$3:$AM$3,0))</f>
        <v>#N/A</v>
      </c>
      <c r="L220" t="s">
        <v>257</v>
      </c>
      <c r="M220" s="111"/>
    </row>
    <row r="221" spans="1:13" x14ac:dyDescent="0.25">
      <c r="A221">
        <v>220</v>
      </c>
      <c r="B221">
        <v>40094273</v>
      </c>
      <c r="C221">
        <v>6</v>
      </c>
      <c r="E221" s="110">
        <v>42786</v>
      </c>
      <c r="F221" s="111" t="s">
        <v>356</v>
      </c>
      <c r="G221">
        <v>6.7270000000000003</v>
      </c>
      <c r="H221">
        <v>15.000000000000107</v>
      </c>
      <c r="I221">
        <v>3</v>
      </c>
      <c r="J221">
        <v>764.99999999999989</v>
      </c>
      <c r="K221" s="1" t="e">
        <f>INDEX($P$4:$AM$15,MATCH(MONTH($E221),$O$4:$O$15,0),MATCH(HOUR($F221),$P$3:$AM$3,0))</f>
        <v>#N/A</v>
      </c>
      <c r="L221" t="s">
        <v>257</v>
      </c>
      <c r="M221" s="111"/>
    </row>
    <row r="222" spans="1:13" x14ac:dyDescent="0.25">
      <c r="A222">
        <v>221</v>
      </c>
      <c r="B222">
        <v>40098842</v>
      </c>
      <c r="C222">
        <v>1</v>
      </c>
      <c r="E222" s="110">
        <v>42787</v>
      </c>
      <c r="F222" s="111" t="s">
        <v>357</v>
      </c>
      <c r="G222">
        <v>4.343</v>
      </c>
      <c r="H222">
        <v>15.000000000000027</v>
      </c>
      <c r="I222">
        <v>3</v>
      </c>
      <c r="J222">
        <v>104.99999999999994</v>
      </c>
      <c r="K222" s="1" t="e">
        <f>INDEX($P$4:$AM$15,MATCH(MONTH($E222),$O$4:$O$15,0),MATCH(HOUR($F222),$P$3:$AM$3,0))</f>
        <v>#N/A</v>
      </c>
      <c r="L222" t="s">
        <v>249</v>
      </c>
      <c r="M222" s="111"/>
    </row>
    <row r="223" spans="1:13" x14ac:dyDescent="0.25">
      <c r="A223">
        <v>222</v>
      </c>
      <c r="B223">
        <v>40098842</v>
      </c>
      <c r="C223">
        <v>2</v>
      </c>
      <c r="E223" s="110">
        <v>42787</v>
      </c>
      <c r="F223" s="111" t="s">
        <v>350</v>
      </c>
      <c r="G223">
        <v>4.7439999999999998</v>
      </c>
      <c r="H223">
        <v>15.000000000000107</v>
      </c>
      <c r="I223">
        <v>3</v>
      </c>
      <c r="J223">
        <v>1140</v>
      </c>
      <c r="K223" s="1" t="e">
        <f>INDEX($P$4:$AM$15,MATCH(MONTH($E223),$O$4:$O$15,0),MATCH(HOUR($F223),$P$3:$AM$3,0))</f>
        <v>#N/A</v>
      </c>
      <c r="L223" t="s">
        <v>249</v>
      </c>
      <c r="M223" s="111"/>
    </row>
    <row r="224" spans="1:13" x14ac:dyDescent="0.25">
      <c r="A224">
        <v>223</v>
      </c>
      <c r="B224">
        <v>40100750</v>
      </c>
      <c r="C224">
        <v>1</v>
      </c>
      <c r="E224" s="110">
        <v>42788</v>
      </c>
      <c r="F224" s="111" t="s">
        <v>251</v>
      </c>
      <c r="G224">
        <v>14.214</v>
      </c>
      <c r="H224">
        <v>29.999999999999972</v>
      </c>
      <c r="I224">
        <v>3</v>
      </c>
      <c r="J224">
        <v>615</v>
      </c>
      <c r="K224" s="1" t="e">
        <f>INDEX($P$4:$AM$15,MATCH(MONTH($E224),$O$4:$O$15,0),MATCH(HOUR($F224),$P$3:$AM$3,0))</f>
        <v>#N/A</v>
      </c>
      <c r="L224" t="s">
        <v>257</v>
      </c>
      <c r="M224" s="111"/>
    </row>
    <row r="225" spans="1:13" x14ac:dyDescent="0.25">
      <c r="A225">
        <v>224</v>
      </c>
      <c r="B225">
        <v>40100750</v>
      </c>
      <c r="C225">
        <v>2</v>
      </c>
      <c r="E225" s="110">
        <v>42788</v>
      </c>
      <c r="F225" s="111" t="s">
        <v>358</v>
      </c>
      <c r="G225">
        <v>14.135</v>
      </c>
      <c r="H225">
        <v>45</v>
      </c>
      <c r="I225">
        <v>3</v>
      </c>
      <c r="J225">
        <v>1020</v>
      </c>
      <c r="K225" s="1" t="e">
        <f>INDEX($P$4:$AM$15,MATCH(MONTH($E225),$O$4:$O$15,0),MATCH(HOUR($F225),$P$3:$AM$3,0))</f>
        <v>#N/A</v>
      </c>
      <c r="L225" t="s">
        <v>257</v>
      </c>
      <c r="M225" s="111"/>
    </row>
    <row r="226" spans="1:13" x14ac:dyDescent="0.25">
      <c r="A226">
        <v>225</v>
      </c>
      <c r="B226">
        <v>40104977</v>
      </c>
      <c r="C226">
        <v>1</v>
      </c>
      <c r="E226" s="110">
        <v>42789</v>
      </c>
      <c r="F226" s="111" t="s">
        <v>318</v>
      </c>
      <c r="G226">
        <v>1.841</v>
      </c>
      <c r="H226">
        <v>2.9999999999999893</v>
      </c>
      <c r="I226">
        <v>3</v>
      </c>
      <c r="J226">
        <v>0.99999999999999645</v>
      </c>
      <c r="K226" s="1" t="e">
        <f>INDEX($P$4:$AM$15,MATCH(MONTH($E226),$O$4:$O$15,0),MATCH(HOUR($F226),$P$3:$AM$3,0))</f>
        <v>#N/A</v>
      </c>
      <c r="L226" t="s">
        <v>231</v>
      </c>
      <c r="M226" s="111"/>
    </row>
    <row r="227" spans="1:13" x14ac:dyDescent="0.25">
      <c r="A227">
        <v>226</v>
      </c>
      <c r="B227">
        <v>40104977</v>
      </c>
      <c r="C227">
        <v>2</v>
      </c>
      <c r="E227" s="110">
        <v>42789</v>
      </c>
      <c r="F227" s="111" t="s">
        <v>359</v>
      </c>
      <c r="G227">
        <v>1.4730000000000001</v>
      </c>
      <c r="H227">
        <v>9.9999999999999645</v>
      </c>
      <c r="I227">
        <v>3</v>
      </c>
      <c r="J227">
        <v>10.000000000000124</v>
      </c>
      <c r="K227" s="1" t="e">
        <f>INDEX($P$4:$AM$15,MATCH(MONTH($E227),$O$4:$O$15,0),MATCH(HOUR($F227),$P$3:$AM$3,0))</f>
        <v>#N/A</v>
      </c>
      <c r="L227" t="s">
        <v>231</v>
      </c>
      <c r="M227" s="111"/>
    </row>
    <row r="228" spans="1:13" x14ac:dyDescent="0.25">
      <c r="A228">
        <v>227</v>
      </c>
      <c r="B228">
        <v>40104977</v>
      </c>
      <c r="C228">
        <v>3</v>
      </c>
      <c r="E228" s="110">
        <v>42789</v>
      </c>
      <c r="F228" s="111" t="s">
        <v>360</v>
      </c>
      <c r="G228">
        <v>4.5039999999999996</v>
      </c>
      <c r="H228">
        <v>4.9999999999998224</v>
      </c>
      <c r="I228">
        <v>3</v>
      </c>
      <c r="J228">
        <v>10.000000000000124</v>
      </c>
      <c r="K228" s="1" t="e">
        <f>INDEX($P$4:$AM$15,MATCH(MONTH($E228),$O$4:$O$15,0),MATCH(HOUR($F228),$P$3:$AM$3,0))</f>
        <v>#N/A</v>
      </c>
      <c r="L228" t="s">
        <v>231</v>
      </c>
      <c r="M228" s="111"/>
    </row>
    <row r="229" spans="1:13" x14ac:dyDescent="0.25">
      <c r="A229">
        <v>228</v>
      </c>
      <c r="B229">
        <v>40104977</v>
      </c>
      <c r="C229">
        <v>4</v>
      </c>
      <c r="E229" s="110">
        <v>42789</v>
      </c>
      <c r="F229" s="111" t="s">
        <v>361</v>
      </c>
      <c r="G229">
        <v>4.3090000000000002</v>
      </c>
      <c r="H229">
        <v>9.9999999999999645</v>
      </c>
      <c r="I229">
        <v>3</v>
      </c>
      <c r="J229">
        <v>2.9999999999999893</v>
      </c>
      <c r="K229" s="1" t="e">
        <f>INDEX($P$4:$AM$15,MATCH(MONTH($E229),$O$4:$O$15,0),MATCH(HOUR($F229),$P$3:$AM$3,0))</f>
        <v>#N/A</v>
      </c>
      <c r="L229" t="s">
        <v>231</v>
      </c>
      <c r="M229" s="111"/>
    </row>
    <row r="230" spans="1:13" x14ac:dyDescent="0.25">
      <c r="A230">
        <v>229</v>
      </c>
      <c r="B230">
        <v>40104977</v>
      </c>
      <c r="C230">
        <v>5</v>
      </c>
      <c r="E230" s="110">
        <v>42789</v>
      </c>
      <c r="F230" s="111" t="s">
        <v>362</v>
      </c>
      <c r="G230">
        <v>2.3809999999999998</v>
      </c>
      <c r="H230">
        <v>4.9999999999999822</v>
      </c>
      <c r="I230">
        <v>3</v>
      </c>
      <c r="J230">
        <v>2.9999999999999893</v>
      </c>
      <c r="K230" s="1" t="e">
        <f>INDEX($P$4:$AM$15,MATCH(MONTH($E230),$O$4:$O$15,0),MATCH(HOUR($F230),$P$3:$AM$3,0))</f>
        <v>#N/A</v>
      </c>
      <c r="L230" t="s">
        <v>231</v>
      </c>
      <c r="M230" s="111"/>
    </row>
    <row r="231" spans="1:13" x14ac:dyDescent="0.25">
      <c r="A231">
        <v>230</v>
      </c>
      <c r="B231">
        <v>40115173</v>
      </c>
      <c r="C231">
        <v>6</v>
      </c>
      <c r="E231" s="110">
        <v>42789</v>
      </c>
      <c r="F231" s="111" t="s">
        <v>219</v>
      </c>
      <c r="G231">
        <v>25.727</v>
      </c>
      <c r="H231">
        <v>30.000000000000053</v>
      </c>
      <c r="I231">
        <v>4</v>
      </c>
      <c r="J231">
        <v>14.999999999999947</v>
      </c>
      <c r="K231" s="1" t="e">
        <f>INDEX($P$4:$AM$15,MATCH(MONTH($E231),$O$4:$O$15,0),MATCH(HOUR($F231),$P$3:$AM$3,0))</f>
        <v>#N/A</v>
      </c>
      <c r="L231" t="s">
        <v>222</v>
      </c>
      <c r="M231" s="111"/>
    </row>
    <row r="232" spans="1:13" x14ac:dyDescent="0.25">
      <c r="A232">
        <v>231</v>
      </c>
      <c r="B232">
        <v>40115173</v>
      </c>
      <c r="C232">
        <v>7</v>
      </c>
      <c r="E232" s="110">
        <v>42789</v>
      </c>
      <c r="F232" s="111" t="s">
        <v>315</v>
      </c>
      <c r="G232">
        <v>0.63600000000000001</v>
      </c>
      <c r="H232">
        <v>5.0000000000001421</v>
      </c>
      <c r="I232">
        <v>4</v>
      </c>
      <c r="J232">
        <v>84.999999999999858</v>
      </c>
      <c r="K232" s="1" t="e">
        <f>INDEX($P$4:$AM$15,MATCH(MONTH($E232),$O$4:$O$15,0),MATCH(HOUR($F232),$P$3:$AM$3,0))</f>
        <v>#N/A</v>
      </c>
      <c r="L232" t="s">
        <v>222</v>
      </c>
      <c r="M232" s="111"/>
    </row>
    <row r="233" spans="1:13" x14ac:dyDescent="0.25">
      <c r="A233">
        <v>232</v>
      </c>
      <c r="B233">
        <v>40115173</v>
      </c>
      <c r="C233">
        <v>8</v>
      </c>
      <c r="E233" s="110">
        <v>42789</v>
      </c>
      <c r="F233" s="111" t="s">
        <v>268</v>
      </c>
      <c r="G233">
        <v>12.824999999999999</v>
      </c>
      <c r="H233">
        <v>15.000000000000107</v>
      </c>
      <c r="I233">
        <v>4</v>
      </c>
      <c r="J233">
        <v>14.999999999999947</v>
      </c>
      <c r="K233" s="1" t="e">
        <f>INDEX($P$4:$AM$15,MATCH(MONTH($E233),$O$4:$O$15,0),MATCH(HOUR($F233),$P$3:$AM$3,0))</f>
        <v>#N/A</v>
      </c>
      <c r="L233" t="s">
        <v>222</v>
      </c>
      <c r="M233" s="111"/>
    </row>
    <row r="234" spans="1:13" x14ac:dyDescent="0.25">
      <c r="A234">
        <v>233</v>
      </c>
      <c r="B234">
        <v>40115173</v>
      </c>
      <c r="C234">
        <v>9</v>
      </c>
      <c r="E234" s="110">
        <v>42789</v>
      </c>
      <c r="F234" s="111" t="s">
        <v>228</v>
      </c>
      <c r="G234">
        <v>13.297000000000001</v>
      </c>
      <c r="H234">
        <v>14.999999999999947</v>
      </c>
      <c r="I234">
        <v>4</v>
      </c>
      <c r="J234">
        <v>1010.0000000000001</v>
      </c>
      <c r="K234" s="1" t="e">
        <f>INDEX($P$4:$AM$15,MATCH(MONTH($E234),$O$4:$O$15,0),MATCH(HOUR($F234),$P$3:$AM$3,0))</f>
        <v>#N/A</v>
      </c>
      <c r="L234" t="s">
        <v>222</v>
      </c>
      <c r="M234" s="111"/>
    </row>
    <row r="235" spans="1:13" x14ac:dyDescent="0.25">
      <c r="A235">
        <v>234</v>
      </c>
      <c r="B235">
        <v>40116453</v>
      </c>
      <c r="C235">
        <v>1</v>
      </c>
      <c r="E235" s="110">
        <v>42790</v>
      </c>
      <c r="F235" s="111" t="s">
        <v>336</v>
      </c>
      <c r="G235">
        <v>0.81</v>
      </c>
      <c r="H235">
        <v>9.9999999999999645</v>
      </c>
      <c r="I235">
        <v>3</v>
      </c>
      <c r="J235">
        <v>480</v>
      </c>
      <c r="K235" s="1" t="e">
        <f>INDEX($P$4:$AM$15,MATCH(MONTH($E235),$O$4:$O$15,0),MATCH(HOUR($F235),$P$3:$AM$3,0))</f>
        <v>#N/A</v>
      </c>
      <c r="L235" t="s">
        <v>231</v>
      </c>
      <c r="M235" s="111"/>
    </row>
    <row r="236" spans="1:13" x14ac:dyDescent="0.25">
      <c r="A236">
        <v>235</v>
      </c>
      <c r="B236">
        <v>40116453</v>
      </c>
      <c r="C236">
        <v>2</v>
      </c>
      <c r="E236" s="110">
        <v>42790</v>
      </c>
      <c r="F236" s="111" t="s">
        <v>229</v>
      </c>
      <c r="G236">
        <v>0.81</v>
      </c>
      <c r="H236">
        <v>9.9999999999999645</v>
      </c>
      <c r="I236">
        <v>3</v>
      </c>
      <c r="J236">
        <v>935</v>
      </c>
      <c r="K236" s="1" t="e">
        <f>INDEX($P$4:$AM$15,MATCH(MONTH($E236),$O$4:$O$15,0),MATCH(HOUR($F236),$P$3:$AM$3,0))</f>
        <v>#N/A</v>
      </c>
      <c r="L236" t="s">
        <v>231</v>
      </c>
      <c r="M236" s="111"/>
    </row>
    <row r="237" spans="1:13" x14ac:dyDescent="0.25">
      <c r="A237">
        <v>236</v>
      </c>
      <c r="B237">
        <v>40116453</v>
      </c>
      <c r="C237">
        <v>1</v>
      </c>
      <c r="E237" s="110">
        <v>42791</v>
      </c>
      <c r="F237" s="111" t="s">
        <v>244</v>
      </c>
      <c r="G237">
        <v>4.5250000000000004</v>
      </c>
      <c r="H237">
        <v>15.000000000000027</v>
      </c>
      <c r="I237">
        <v>4</v>
      </c>
      <c r="J237">
        <v>510</v>
      </c>
      <c r="K237" s="1" t="e">
        <f>INDEX($P$4:$AM$15,MATCH(MONTH($E237),$O$4:$O$15,0),MATCH(HOUR($F237),$P$3:$AM$3,0))</f>
        <v>#N/A</v>
      </c>
      <c r="L237" t="s">
        <v>231</v>
      </c>
      <c r="M237" s="111"/>
    </row>
    <row r="238" spans="1:13" x14ac:dyDescent="0.25">
      <c r="A238">
        <v>237</v>
      </c>
      <c r="B238">
        <v>40116453</v>
      </c>
      <c r="C238">
        <v>2</v>
      </c>
      <c r="E238" s="110">
        <v>42791</v>
      </c>
      <c r="F238" s="111" t="s">
        <v>258</v>
      </c>
      <c r="G238">
        <v>3.8929999999999998</v>
      </c>
      <c r="H238">
        <v>15.000000000000107</v>
      </c>
      <c r="I238">
        <v>4</v>
      </c>
      <c r="J238">
        <v>14.999999999999947</v>
      </c>
      <c r="K238" s="1" t="e">
        <f>INDEX($P$4:$AM$15,MATCH(MONTH($E238),$O$4:$O$15,0),MATCH(HOUR($F238),$P$3:$AM$3,0))</f>
        <v>#N/A</v>
      </c>
      <c r="L238" t="s">
        <v>231</v>
      </c>
      <c r="M238" s="111"/>
    </row>
    <row r="239" spans="1:13" x14ac:dyDescent="0.25">
      <c r="A239">
        <v>238</v>
      </c>
      <c r="B239">
        <v>40116453</v>
      </c>
      <c r="C239">
        <v>3</v>
      </c>
      <c r="E239" s="110">
        <v>42791</v>
      </c>
      <c r="F239" s="111" t="s">
        <v>253</v>
      </c>
      <c r="G239">
        <v>0.435</v>
      </c>
      <c r="H239">
        <v>4.9999999999999822</v>
      </c>
      <c r="I239">
        <v>4</v>
      </c>
      <c r="J239">
        <v>820.00000000000011</v>
      </c>
      <c r="K239" s="1" t="e">
        <f>INDEX($P$4:$AM$15,MATCH(MONTH($E239),$O$4:$O$15,0),MATCH(HOUR($F239),$P$3:$AM$3,0))</f>
        <v>#N/A</v>
      </c>
      <c r="L239" t="s">
        <v>231</v>
      </c>
      <c r="M239" s="111"/>
    </row>
    <row r="240" spans="1:13" x14ac:dyDescent="0.25">
      <c r="A240">
        <v>239</v>
      </c>
      <c r="B240">
        <v>40116453</v>
      </c>
      <c r="C240">
        <v>1</v>
      </c>
      <c r="E240" s="110">
        <v>42792</v>
      </c>
      <c r="F240" s="111" t="s">
        <v>344</v>
      </c>
      <c r="G240">
        <v>3.782</v>
      </c>
      <c r="H240">
        <v>14.999999999999947</v>
      </c>
      <c r="I240">
        <v>3</v>
      </c>
      <c r="J240">
        <v>420</v>
      </c>
      <c r="K240" s="1" t="e">
        <f>INDEX($P$4:$AM$15,MATCH(MONTH($E240),$O$4:$O$15,0),MATCH(HOUR($F240),$P$3:$AM$3,0))</f>
        <v>#N/A</v>
      </c>
      <c r="L240" t="s">
        <v>231</v>
      </c>
      <c r="M240" s="111"/>
    </row>
    <row r="241" spans="1:13" x14ac:dyDescent="0.25">
      <c r="A241">
        <v>240</v>
      </c>
      <c r="B241">
        <v>40116453</v>
      </c>
      <c r="C241">
        <v>2</v>
      </c>
      <c r="E241" s="110">
        <v>42792</v>
      </c>
      <c r="F241" s="111" t="s">
        <v>227</v>
      </c>
      <c r="G241">
        <v>3.7719999999999998</v>
      </c>
      <c r="H241">
        <v>14.999999999999947</v>
      </c>
      <c r="I241">
        <v>3</v>
      </c>
      <c r="J241">
        <v>75.000000000000057</v>
      </c>
      <c r="K241" s="1" t="e">
        <f>INDEX($P$4:$AM$15,MATCH(MONTH($E241),$O$4:$O$15,0),MATCH(HOUR($F241),$P$3:$AM$3,0))</f>
        <v>#N/A</v>
      </c>
      <c r="L241" t="s">
        <v>231</v>
      </c>
      <c r="M241" s="111"/>
    </row>
    <row r="242" spans="1:13" x14ac:dyDescent="0.25">
      <c r="A242">
        <v>241</v>
      </c>
      <c r="B242">
        <v>40116453</v>
      </c>
      <c r="C242">
        <v>3</v>
      </c>
      <c r="E242" s="110">
        <v>42792</v>
      </c>
      <c r="F242" s="111" t="s">
        <v>247</v>
      </c>
      <c r="G242">
        <v>2.7730000000000001</v>
      </c>
      <c r="H242">
        <v>14.999999999999947</v>
      </c>
      <c r="I242">
        <v>3</v>
      </c>
      <c r="J242">
        <v>60.000000000000107</v>
      </c>
      <c r="K242" s="1" t="e">
        <f>INDEX($P$4:$AM$15,MATCH(MONTH($E242),$O$4:$O$15,0),MATCH(HOUR($F242),$P$3:$AM$3,0))</f>
        <v>#N/A</v>
      </c>
      <c r="L242" t="s">
        <v>231</v>
      </c>
      <c r="M242" s="111"/>
    </row>
    <row r="243" spans="1:13" x14ac:dyDescent="0.25">
      <c r="A243">
        <v>242</v>
      </c>
      <c r="B243">
        <v>40116453</v>
      </c>
      <c r="C243">
        <v>4</v>
      </c>
      <c r="E243" s="110">
        <v>42792</v>
      </c>
      <c r="F243" s="111" t="s">
        <v>281</v>
      </c>
      <c r="G243">
        <v>2.36</v>
      </c>
      <c r="H243">
        <v>14.999999999999947</v>
      </c>
      <c r="I243">
        <v>3</v>
      </c>
      <c r="J243">
        <v>960</v>
      </c>
      <c r="K243" s="1" t="e">
        <f>INDEX($P$4:$AM$15,MATCH(MONTH($E243),$O$4:$O$15,0),MATCH(HOUR($F243),$P$3:$AM$3,0))</f>
        <v>#N/A</v>
      </c>
      <c r="L243" t="s">
        <v>231</v>
      </c>
      <c r="M243" s="111"/>
    </row>
    <row r="244" spans="1:13" x14ac:dyDescent="0.25">
      <c r="A244">
        <v>243</v>
      </c>
      <c r="B244">
        <v>40118614</v>
      </c>
      <c r="C244">
        <v>1</v>
      </c>
      <c r="E244" s="110">
        <v>42793</v>
      </c>
      <c r="F244" s="111" t="s">
        <v>283</v>
      </c>
      <c r="G244">
        <v>3.4569999999999999</v>
      </c>
      <c r="H244">
        <v>14.999999999999947</v>
      </c>
      <c r="I244">
        <v>3</v>
      </c>
      <c r="J244">
        <v>105.00000000000003</v>
      </c>
      <c r="K244" s="1" t="e">
        <f>INDEX($P$4:$AM$15,MATCH(MONTH($E244),$O$4:$O$15,0),MATCH(HOUR($F244),$P$3:$AM$3,0))</f>
        <v>#N/A</v>
      </c>
      <c r="L244" t="s">
        <v>218</v>
      </c>
      <c r="M244" s="111"/>
    </row>
    <row r="245" spans="1:13" x14ac:dyDescent="0.25">
      <c r="A245">
        <v>244</v>
      </c>
      <c r="B245">
        <v>40118614</v>
      </c>
      <c r="C245">
        <v>2</v>
      </c>
      <c r="E245" s="110">
        <v>42793</v>
      </c>
      <c r="F245" s="111" t="s">
        <v>318</v>
      </c>
      <c r="G245">
        <v>2.3050000000000002</v>
      </c>
      <c r="H245">
        <v>14.999999999999947</v>
      </c>
      <c r="I245">
        <v>3</v>
      </c>
      <c r="J245">
        <v>20.000000000000089</v>
      </c>
      <c r="K245" s="1" t="e">
        <f>INDEX($P$4:$AM$15,MATCH(MONTH($E245),$O$4:$O$15,0),MATCH(HOUR($F245),$P$3:$AM$3,0))</f>
        <v>#N/A</v>
      </c>
      <c r="L245" t="s">
        <v>218</v>
      </c>
      <c r="M245" s="111"/>
    </row>
    <row r="246" spans="1:13" x14ac:dyDescent="0.25">
      <c r="A246">
        <v>245</v>
      </c>
      <c r="B246">
        <v>40118614</v>
      </c>
      <c r="C246">
        <v>3</v>
      </c>
      <c r="E246" s="110">
        <v>42793</v>
      </c>
      <c r="F246" s="111" t="s">
        <v>282</v>
      </c>
      <c r="G246">
        <v>1.889</v>
      </c>
      <c r="H246">
        <v>9.9999999999999645</v>
      </c>
      <c r="I246">
        <v>3</v>
      </c>
      <c r="J246">
        <v>329.99999999999994</v>
      </c>
      <c r="K246" s="1" t="e">
        <f>INDEX($P$4:$AM$15,MATCH(MONTH($E246),$O$4:$O$15,0),MATCH(HOUR($F246),$P$3:$AM$3,0))</f>
        <v>#N/A</v>
      </c>
      <c r="L246" t="s">
        <v>218</v>
      </c>
      <c r="M246" s="111"/>
    </row>
    <row r="247" spans="1:13" x14ac:dyDescent="0.25">
      <c r="A247">
        <v>246</v>
      </c>
      <c r="B247">
        <v>40118614</v>
      </c>
      <c r="C247">
        <v>4</v>
      </c>
      <c r="E247" s="110">
        <v>42793</v>
      </c>
      <c r="F247" s="111" t="s">
        <v>358</v>
      </c>
      <c r="G247">
        <v>7.97</v>
      </c>
      <c r="H247">
        <v>30.000000000000053</v>
      </c>
      <c r="I247">
        <v>4</v>
      </c>
      <c r="J247">
        <v>135</v>
      </c>
      <c r="K247" s="1" t="e">
        <f>INDEX($P$4:$AM$15,MATCH(MONTH($E247),$O$4:$O$15,0),MATCH(HOUR($F247),$P$3:$AM$3,0))</f>
        <v>#N/A</v>
      </c>
      <c r="L247" t="s">
        <v>218</v>
      </c>
      <c r="M247" s="111"/>
    </row>
    <row r="248" spans="1:13" x14ac:dyDescent="0.25">
      <c r="A248">
        <v>247</v>
      </c>
      <c r="B248">
        <v>40118614</v>
      </c>
      <c r="C248">
        <v>5</v>
      </c>
      <c r="E248" s="110">
        <v>42793</v>
      </c>
      <c r="F248" s="111" t="s">
        <v>343</v>
      </c>
      <c r="G248">
        <v>7.6509999999999998</v>
      </c>
      <c r="H248">
        <v>25.000000000000071</v>
      </c>
      <c r="I248">
        <v>4</v>
      </c>
      <c r="J248">
        <v>960</v>
      </c>
      <c r="K248" s="1" t="e">
        <f>INDEX($P$4:$AM$15,MATCH(MONTH($E248),$O$4:$O$15,0),MATCH(HOUR($F248),$P$3:$AM$3,0))</f>
        <v>#N/A</v>
      </c>
      <c r="L248" t="s">
        <v>218</v>
      </c>
      <c r="M248" s="111"/>
    </row>
    <row r="249" spans="1:13" x14ac:dyDescent="0.25">
      <c r="A249">
        <v>248</v>
      </c>
      <c r="B249">
        <v>40127875</v>
      </c>
      <c r="C249">
        <v>1</v>
      </c>
      <c r="E249" s="110">
        <v>42794</v>
      </c>
      <c r="F249" s="111" t="s">
        <v>330</v>
      </c>
      <c r="G249">
        <v>2.1539999999999999</v>
      </c>
      <c r="H249">
        <v>14.999999999999947</v>
      </c>
      <c r="I249">
        <v>3</v>
      </c>
      <c r="J249">
        <v>30.000000000000053</v>
      </c>
      <c r="K249" s="1" t="e">
        <f>INDEX($P$4:$AM$15,MATCH(MONTH($E249),$O$4:$O$15,0),MATCH(HOUR($F249),$P$3:$AM$3,0))</f>
        <v>#N/A</v>
      </c>
      <c r="L249" t="s">
        <v>257</v>
      </c>
      <c r="M249" s="111"/>
    </row>
    <row r="250" spans="1:13" x14ac:dyDescent="0.25">
      <c r="A250">
        <v>249</v>
      </c>
      <c r="B250">
        <v>40127875</v>
      </c>
      <c r="C250">
        <v>2</v>
      </c>
      <c r="E250" s="110">
        <v>42794</v>
      </c>
      <c r="F250" s="111" t="s">
        <v>363</v>
      </c>
      <c r="G250">
        <v>3.1110000000000002</v>
      </c>
      <c r="H250">
        <v>19.999999999999929</v>
      </c>
      <c r="I250">
        <v>3</v>
      </c>
      <c r="J250">
        <v>1.0000000000001563</v>
      </c>
      <c r="K250" s="1" t="e">
        <f>INDEX($P$4:$AM$15,MATCH(MONTH($E250),$O$4:$O$15,0),MATCH(HOUR($F250),$P$3:$AM$3,0))</f>
        <v>#N/A</v>
      </c>
      <c r="L250" t="s">
        <v>257</v>
      </c>
      <c r="M250" s="111"/>
    </row>
    <row r="251" spans="1:13" x14ac:dyDescent="0.25">
      <c r="A251">
        <v>250</v>
      </c>
      <c r="B251">
        <v>40127875</v>
      </c>
      <c r="C251">
        <v>3</v>
      </c>
      <c r="E251" s="110">
        <v>42794</v>
      </c>
      <c r="F251" s="111" t="s">
        <v>364</v>
      </c>
      <c r="G251">
        <v>10.194000000000001</v>
      </c>
      <c r="H251">
        <v>18.999999999999932</v>
      </c>
      <c r="I251">
        <v>3</v>
      </c>
      <c r="J251">
        <v>0.99999999999999645</v>
      </c>
      <c r="K251" s="1" t="e">
        <f>INDEX($P$4:$AM$15,MATCH(MONTH($E251),$O$4:$O$15,0),MATCH(HOUR($F251),$P$3:$AM$3,0))</f>
        <v>#N/A</v>
      </c>
      <c r="L251" t="s">
        <v>257</v>
      </c>
      <c r="M251" s="111"/>
    </row>
    <row r="252" spans="1:13" x14ac:dyDescent="0.25">
      <c r="A252">
        <v>251</v>
      </c>
      <c r="B252">
        <v>40127875</v>
      </c>
      <c r="C252">
        <v>4</v>
      </c>
      <c r="E252" s="110">
        <v>42794</v>
      </c>
      <c r="F252" s="111" t="s">
        <v>365</v>
      </c>
      <c r="G252">
        <v>9.109</v>
      </c>
      <c r="H252">
        <v>13.99999999999995</v>
      </c>
      <c r="I252">
        <v>3</v>
      </c>
      <c r="J252">
        <v>2.9999999999999893</v>
      </c>
      <c r="K252" s="1" t="e">
        <f>INDEX($P$4:$AM$15,MATCH(MONTH($E252),$O$4:$O$15,0),MATCH(HOUR($F252),$P$3:$AM$3,0))</f>
        <v>#N/A</v>
      </c>
      <c r="L252" t="s">
        <v>257</v>
      </c>
      <c r="M252" s="111"/>
    </row>
    <row r="253" spans="1:13" x14ac:dyDescent="0.25">
      <c r="A253">
        <v>252</v>
      </c>
      <c r="B253">
        <v>40127875</v>
      </c>
      <c r="C253">
        <v>5</v>
      </c>
      <c r="E253" s="110">
        <v>42794</v>
      </c>
      <c r="F253" s="111" t="s">
        <v>366</v>
      </c>
      <c r="G253">
        <v>0.85899999999999999</v>
      </c>
      <c r="H253">
        <v>1.9999999999999929</v>
      </c>
      <c r="I253">
        <v>3</v>
      </c>
      <c r="J253">
        <v>965</v>
      </c>
      <c r="K253" s="1" t="e">
        <f>INDEX($P$4:$AM$15,MATCH(MONTH($E253),$O$4:$O$15,0),MATCH(HOUR($F253),$P$3:$AM$3,0))</f>
        <v>#N/A</v>
      </c>
      <c r="L253" t="s">
        <v>257</v>
      </c>
      <c r="M253" s="111"/>
    </row>
    <row r="254" spans="1:13" x14ac:dyDescent="0.25">
      <c r="A254">
        <v>253</v>
      </c>
      <c r="B254">
        <v>40004031</v>
      </c>
      <c r="C254">
        <v>1</v>
      </c>
      <c r="E254" s="110">
        <v>42795</v>
      </c>
      <c r="F254" s="111" t="s">
        <v>318</v>
      </c>
      <c r="G254">
        <v>3.347</v>
      </c>
      <c r="H254">
        <v>9.9999999999999645</v>
      </c>
      <c r="I254">
        <v>3</v>
      </c>
      <c r="J254">
        <v>10.000000000000124</v>
      </c>
      <c r="K254" s="1" t="e">
        <f>INDEX($P$4:$AM$15,MATCH(MONTH($E254),$O$4:$O$15,0),MATCH(HOUR($F254),$P$3:$AM$3,0))</f>
        <v>#N/A</v>
      </c>
      <c r="L254" t="s">
        <v>218</v>
      </c>
      <c r="M254" s="111"/>
    </row>
    <row r="255" spans="1:13" x14ac:dyDescent="0.25">
      <c r="A255">
        <v>254</v>
      </c>
      <c r="B255">
        <v>40004031</v>
      </c>
      <c r="C255">
        <v>2</v>
      </c>
      <c r="E255" s="110">
        <v>42795</v>
      </c>
      <c r="F255" s="111" t="s">
        <v>355</v>
      </c>
      <c r="G255">
        <v>3.2480000000000002</v>
      </c>
      <c r="H255">
        <v>14.999999999999947</v>
      </c>
      <c r="I255">
        <v>3</v>
      </c>
      <c r="J255">
        <v>1225</v>
      </c>
      <c r="K255" s="1" t="e">
        <f>INDEX($P$4:$AM$15,MATCH(MONTH($E255),$O$4:$O$15,0),MATCH(HOUR($F255),$P$3:$AM$3,0))</f>
        <v>#N/A</v>
      </c>
      <c r="L255" t="s">
        <v>218</v>
      </c>
      <c r="M255" s="111"/>
    </row>
    <row r="256" spans="1:13" x14ac:dyDescent="0.25">
      <c r="A256">
        <v>255</v>
      </c>
      <c r="B256">
        <v>40004031</v>
      </c>
      <c r="C256">
        <v>1</v>
      </c>
      <c r="E256" s="110">
        <v>42796</v>
      </c>
      <c r="F256" s="111" t="s">
        <v>295</v>
      </c>
      <c r="G256">
        <v>3.2370000000000001</v>
      </c>
      <c r="H256">
        <v>15.000000000000027</v>
      </c>
      <c r="I256">
        <v>6</v>
      </c>
      <c r="J256">
        <v>14.999999999999947</v>
      </c>
      <c r="K256" s="1" t="e">
        <f>INDEX($P$4:$AM$15,MATCH(MONTH($E256),$O$4:$O$15,0),MATCH(HOUR($F256),$P$3:$AM$3,0))</f>
        <v>#N/A</v>
      </c>
      <c r="L256" t="s">
        <v>218</v>
      </c>
      <c r="M256" s="111"/>
    </row>
    <row r="257" spans="1:13" x14ac:dyDescent="0.25">
      <c r="A257">
        <v>256</v>
      </c>
      <c r="B257">
        <v>40004031</v>
      </c>
      <c r="C257">
        <v>2</v>
      </c>
      <c r="E257" s="110">
        <v>42796</v>
      </c>
      <c r="F257" s="111" t="s">
        <v>326</v>
      </c>
      <c r="G257">
        <v>3.133</v>
      </c>
      <c r="H257">
        <v>15.000000000000027</v>
      </c>
      <c r="I257">
        <v>6</v>
      </c>
      <c r="J257">
        <v>1230</v>
      </c>
      <c r="K257" s="1" t="e">
        <f>INDEX($P$4:$AM$15,MATCH(MONTH($E257),$O$4:$O$15,0),MATCH(HOUR($F257),$P$3:$AM$3,0))</f>
        <v>#N/A</v>
      </c>
      <c r="L257" t="s">
        <v>218</v>
      </c>
      <c r="M257" s="111"/>
    </row>
    <row r="258" spans="1:13" x14ac:dyDescent="0.25">
      <c r="A258">
        <v>257</v>
      </c>
      <c r="B258">
        <v>40004727</v>
      </c>
      <c r="C258">
        <v>1</v>
      </c>
      <c r="E258" s="110">
        <v>42797</v>
      </c>
      <c r="F258" s="111" t="s">
        <v>367</v>
      </c>
      <c r="G258">
        <v>5.5979999999999999</v>
      </c>
      <c r="H258">
        <v>29.999999999999972</v>
      </c>
      <c r="I258">
        <v>3</v>
      </c>
      <c r="J258">
        <v>45</v>
      </c>
      <c r="K258" s="1" t="e">
        <f>INDEX($P$4:$AM$15,MATCH(MONTH($E258),$O$4:$O$15,0),MATCH(HOUR($F258),$P$3:$AM$3,0))</f>
        <v>#N/A</v>
      </c>
      <c r="L258" t="s">
        <v>218</v>
      </c>
      <c r="M258" s="111"/>
    </row>
    <row r="259" spans="1:13" x14ac:dyDescent="0.25">
      <c r="A259">
        <v>258</v>
      </c>
      <c r="B259">
        <v>40004727</v>
      </c>
      <c r="C259">
        <v>2</v>
      </c>
      <c r="E259" s="110">
        <v>42797</v>
      </c>
      <c r="F259" s="111" t="s">
        <v>251</v>
      </c>
      <c r="G259">
        <v>6.3780000000000001</v>
      </c>
      <c r="H259">
        <v>29.999999999999972</v>
      </c>
      <c r="I259">
        <v>3</v>
      </c>
      <c r="J259">
        <v>1270</v>
      </c>
      <c r="K259" s="1" t="e">
        <f>INDEX($P$4:$AM$15,MATCH(MONTH($E259),$O$4:$O$15,0),MATCH(HOUR($F259),$P$3:$AM$3,0))</f>
        <v>#N/A</v>
      </c>
      <c r="L259" t="s">
        <v>218</v>
      </c>
      <c r="M259" s="111"/>
    </row>
    <row r="260" spans="1:13" x14ac:dyDescent="0.25">
      <c r="A260">
        <v>259</v>
      </c>
      <c r="B260">
        <v>40037495</v>
      </c>
      <c r="C260">
        <v>1</v>
      </c>
      <c r="E260" s="110">
        <v>42798</v>
      </c>
      <c r="F260" s="111" t="s">
        <v>301</v>
      </c>
      <c r="G260">
        <v>31.693000000000001</v>
      </c>
      <c r="H260">
        <v>39.999999999999979</v>
      </c>
      <c r="I260">
        <v>6</v>
      </c>
      <c r="J260">
        <v>519.99999999999989</v>
      </c>
      <c r="K260" s="1" t="e">
        <f>INDEX($P$4:$AM$15,MATCH(MONTH($E260),$O$4:$O$15,0),MATCH(HOUR($F260),$P$3:$AM$3,0))</f>
        <v>#N/A</v>
      </c>
      <c r="L260" t="s">
        <v>257</v>
      </c>
      <c r="M260" s="111"/>
    </row>
    <row r="261" spans="1:13" x14ac:dyDescent="0.25">
      <c r="A261">
        <v>260</v>
      </c>
      <c r="B261">
        <v>40037495</v>
      </c>
      <c r="C261">
        <v>2</v>
      </c>
      <c r="E261" s="110">
        <v>42798</v>
      </c>
      <c r="F261" s="111" t="s">
        <v>294</v>
      </c>
      <c r="G261">
        <v>30.454999999999998</v>
      </c>
      <c r="H261">
        <v>45</v>
      </c>
      <c r="I261">
        <v>6</v>
      </c>
      <c r="J261">
        <v>930</v>
      </c>
      <c r="K261" s="1" t="e">
        <f>INDEX($P$4:$AM$15,MATCH(MONTH($E261),$O$4:$O$15,0),MATCH(HOUR($F261),$P$3:$AM$3,0))</f>
        <v>#N/A</v>
      </c>
      <c r="L261" t="s">
        <v>257</v>
      </c>
      <c r="M261" s="111"/>
    </row>
    <row r="262" spans="1:13" x14ac:dyDescent="0.25">
      <c r="A262">
        <v>261</v>
      </c>
      <c r="B262">
        <v>40037495</v>
      </c>
      <c r="C262">
        <v>1</v>
      </c>
      <c r="E262" s="110">
        <v>42799</v>
      </c>
      <c r="F262" s="111" t="s">
        <v>368</v>
      </c>
      <c r="G262">
        <v>1.218</v>
      </c>
      <c r="H262">
        <v>10.000000000000044</v>
      </c>
      <c r="I262">
        <v>4</v>
      </c>
      <c r="J262">
        <v>275</v>
      </c>
      <c r="K262" s="1" t="e">
        <f>INDEX($P$4:$AM$15,MATCH(MONTH($E262),$O$4:$O$15,0),MATCH(HOUR($F262),$P$3:$AM$3,0))</f>
        <v>#N/A</v>
      </c>
      <c r="L262" t="s">
        <v>257</v>
      </c>
      <c r="M262" s="111"/>
    </row>
    <row r="263" spans="1:13" x14ac:dyDescent="0.25">
      <c r="A263">
        <v>262</v>
      </c>
      <c r="B263">
        <v>40037495</v>
      </c>
      <c r="C263">
        <v>2</v>
      </c>
      <c r="E263" s="110">
        <v>42799</v>
      </c>
      <c r="F263" s="111" t="s">
        <v>262</v>
      </c>
      <c r="G263">
        <v>1.218</v>
      </c>
      <c r="H263">
        <v>9.9999999999999645</v>
      </c>
      <c r="I263">
        <v>4</v>
      </c>
      <c r="J263">
        <v>29.999999999999972</v>
      </c>
      <c r="K263" s="1" t="e">
        <f>INDEX($P$4:$AM$15,MATCH(MONTH($E263),$O$4:$O$15,0),MATCH(HOUR($F263),$P$3:$AM$3,0))</f>
        <v>#N/A</v>
      </c>
      <c r="L263" t="s">
        <v>257</v>
      </c>
      <c r="M263" s="111"/>
    </row>
    <row r="264" spans="1:13" x14ac:dyDescent="0.25">
      <c r="A264">
        <v>263</v>
      </c>
      <c r="B264">
        <v>40037495</v>
      </c>
      <c r="C264">
        <v>3</v>
      </c>
      <c r="E264" s="110">
        <v>42799</v>
      </c>
      <c r="F264" s="111" t="s">
        <v>224</v>
      </c>
      <c r="G264">
        <v>1.218</v>
      </c>
      <c r="H264">
        <v>8.0000000000001315</v>
      </c>
      <c r="I264">
        <v>4</v>
      </c>
      <c r="J264">
        <v>131.99999999999986</v>
      </c>
      <c r="K264" s="1" t="e">
        <f>INDEX($P$4:$AM$15,MATCH(MONTH($E264),$O$4:$O$15,0),MATCH(HOUR($F264),$P$3:$AM$3,0))</f>
        <v>#N/A</v>
      </c>
      <c r="L264" t="s">
        <v>257</v>
      </c>
      <c r="M264" s="111"/>
    </row>
    <row r="265" spans="1:13" x14ac:dyDescent="0.25">
      <c r="A265">
        <v>264</v>
      </c>
      <c r="B265">
        <v>40037495</v>
      </c>
      <c r="C265">
        <v>4</v>
      </c>
      <c r="E265" s="110">
        <v>42799</v>
      </c>
      <c r="F265" s="111" t="s">
        <v>294</v>
      </c>
      <c r="G265">
        <v>1.218</v>
      </c>
      <c r="H265">
        <v>7.9999999999999716</v>
      </c>
      <c r="I265">
        <v>4</v>
      </c>
      <c r="J265">
        <v>7.000000000000135</v>
      </c>
      <c r="K265" s="1" t="e">
        <f>INDEX($P$4:$AM$15,MATCH(MONTH($E265),$O$4:$O$15,0),MATCH(HOUR($F265),$P$3:$AM$3,0))</f>
        <v>#N/A</v>
      </c>
      <c r="L265" t="s">
        <v>257</v>
      </c>
      <c r="M265" s="111"/>
    </row>
    <row r="266" spans="1:13" x14ac:dyDescent="0.25">
      <c r="A266">
        <v>265</v>
      </c>
      <c r="B266">
        <v>40037495</v>
      </c>
      <c r="C266">
        <v>5</v>
      </c>
      <c r="E266" s="110">
        <v>42799</v>
      </c>
      <c r="F266" s="111" t="s">
        <v>342</v>
      </c>
      <c r="G266">
        <v>18.006</v>
      </c>
      <c r="H266">
        <v>39.999999999999858</v>
      </c>
      <c r="I266">
        <v>4</v>
      </c>
      <c r="J266">
        <v>20.000000000000089</v>
      </c>
      <c r="K266" s="1" t="e">
        <f>INDEX($P$4:$AM$15,MATCH(MONTH($E266),$O$4:$O$15,0),MATCH(HOUR($F266),$P$3:$AM$3,0))</f>
        <v>#N/A</v>
      </c>
      <c r="L266" t="s">
        <v>257</v>
      </c>
      <c r="M266" s="111"/>
    </row>
    <row r="267" spans="1:13" x14ac:dyDescent="0.25">
      <c r="A267">
        <v>266</v>
      </c>
      <c r="B267">
        <v>40037495</v>
      </c>
      <c r="C267">
        <v>6</v>
      </c>
      <c r="E267" s="110">
        <v>42799</v>
      </c>
      <c r="F267" s="111" t="s">
        <v>228</v>
      </c>
      <c r="G267">
        <v>22.233000000000001</v>
      </c>
      <c r="H267">
        <v>30.000000000000053</v>
      </c>
      <c r="I267">
        <v>4</v>
      </c>
      <c r="J267">
        <v>1260</v>
      </c>
      <c r="K267" s="1" t="e">
        <f>INDEX($P$4:$AM$15,MATCH(MONTH($E267),$O$4:$O$15,0),MATCH(HOUR($F267),$P$3:$AM$3,0))</f>
        <v>#N/A</v>
      </c>
      <c r="L267" t="s">
        <v>257</v>
      </c>
      <c r="M267" s="111"/>
    </row>
    <row r="268" spans="1:13" x14ac:dyDescent="0.25">
      <c r="A268">
        <v>267</v>
      </c>
      <c r="B268">
        <v>40054885</v>
      </c>
      <c r="C268">
        <v>1</v>
      </c>
      <c r="E268" s="110">
        <v>42800</v>
      </c>
      <c r="F268" s="111" t="s">
        <v>369</v>
      </c>
      <c r="G268">
        <v>1.9</v>
      </c>
      <c r="H268">
        <v>9.9999999999999645</v>
      </c>
      <c r="I268">
        <v>3</v>
      </c>
      <c r="J268">
        <v>14.999999999999947</v>
      </c>
      <c r="K268" s="1" t="e">
        <f>INDEX($P$4:$AM$15,MATCH(MONTH($E268),$O$4:$O$15,0),MATCH(HOUR($F268),$P$3:$AM$3,0))</f>
        <v>#N/A</v>
      </c>
      <c r="L268" t="s">
        <v>218</v>
      </c>
      <c r="M268" s="111"/>
    </row>
    <row r="269" spans="1:13" x14ac:dyDescent="0.25">
      <c r="A269">
        <v>268</v>
      </c>
      <c r="B269">
        <v>40054885</v>
      </c>
      <c r="C269">
        <v>2</v>
      </c>
      <c r="E269" s="110">
        <v>42800</v>
      </c>
      <c r="F269" s="111" t="s">
        <v>341</v>
      </c>
      <c r="G269">
        <v>0.39</v>
      </c>
      <c r="H269">
        <v>4.9999999999999822</v>
      </c>
      <c r="I269">
        <v>3</v>
      </c>
      <c r="J269">
        <v>45</v>
      </c>
      <c r="K269" s="1" t="e">
        <f>INDEX($P$4:$AM$15,MATCH(MONTH($E269),$O$4:$O$15,0),MATCH(HOUR($F269),$P$3:$AM$3,0))</f>
        <v>#N/A</v>
      </c>
      <c r="L269" t="s">
        <v>218</v>
      </c>
      <c r="M269" s="111"/>
    </row>
    <row r="270" spans="1:13" x14ac:dyDescent="0.25">
      <c r="A270">
        <v>269</v>
      </c>
      <c r="B270">
        <v>40054885</v>
      </c>
      <c r="C270">
        <v>3</v>
      </c>
      <c r="E270" s="110">
        <v>42800</v>
      </c>
      <c r="F270" s="111" t="s">
        <v>294</v>
      </c>
      <c r="G270">
        <v>2.12</v>
      </c>
      <c r="H270">
        <v>9.9999999999999645</v>
      </c>
      <c r="I270">
        <v>3</v>
      </c>
      <c r="J270">
        <v>1156.0000000000002</v>
      </c>
      <c r="K270" s="1" t="e">
        <f>INDEX($P$4:$AM$15,MATCH(MONTH($E270),$O$4:$O$15,0),MATCH(HOUR($F270),$P$3:$AM$3,0))</f>
        <v>#N/A</v>
      </c>
      <c r="L270" t="s">
        <v>218</v>
      </c>
      <c r="M270" s="111"/>
    </row>
    <row r="271" spans="1:13" x14ac:dyDescent="0.25">
      <c r="A271">
        <v>270</v>
      </c>
      <c r="B271">
        <v>40058055</v>
      </c>
      <c r="C271">
        <v>1</v>
      </c>
      <c r="E271" s="110">
        <v>42801</v>
      </c>
      <c r="F271" s="111" t="s">
        <v>312</v>
      </c>
      <c r="G271">
        <v>4.4859999999999998</v>
      </c>
      <c r="H271">
        <v>13.99999999999995</v>
      </c>
      <c r="I271">
        <v>6</v>
      </c>
      <c r="J271">
        <v>489.99999999999994</v>
      </c>
      <c r="K271" s="1" t="e">
        <f>INDEX($P$4:$AM$15,MATCH(MONTH($E271),$O$4:$O$15,0),MATCH(HOUR($F271),$P$3:$AM$3,0))</f>
        <v>#N/A</v>
      </c>
      <c r="L271" t="s">
        <v>231</v>
      </c>
      <c r="M271" s="111"/>
    </row>
    <row r="272" spans="1:13" x14ac:dyDescent="0.25">
      <c r="A272">
        <v>271</v>
      </c>
      <c r="B272">
        <v>40058055</v>
      </c>
      <c r="C272">
        <v>2</v>
      </c>
      <c r="E272" s="110">
        <v>42801</v>
      </c>
      <c r="F272" s="111" t="s">
        <v>280</v>
      </c>
      <c r="G272">
        <v>7.649</v>
      </c>
      <c r="H272">
        <v>25.000000000000071</v>
      </c>
      <c r="I272">
        <v>6</v>
      </c>
      <c r="J272">
        <v>90</v>
      </c>
      <c r="K272" s="1" t="e">
        <f>INDEX($P$4:$AM$15,MATCH(MONTH($E272),$O$4:$O$15,0),MATCH(HOUR($F272),$P$3:$AM$3,0))</f>
        <v>#N/A</v>
      </c>
      <c r="L272" t="s">
        <v>231</v>
      </c>
      <c r="M272" s="111"/>
    </row>
    <row r="273" spans="1:13" x14ac:dyDescent="0.25">
      <c r="A273">
        <v>272</v>
      </c>
      <c r="B273">
        <v>40058055</v>
      </c>
      <c r="C273">
        <v>3</v>
      </c>
      <c r="E273" s="110">
        <v>42801</v>
      </c>
      <c r="F273" s="111" t="s">
        <v>347</v>
      </c>
      <c r="G273">
        <v>7.649</v>
      </c>
      <c r="H273">
        <v>34.999999999999872</v>
      </c>
      <c r="I273">
        <v>6</v>
      </c>
      <c r="J273">
        <v>93.000000000000142</v>
      </c>
      <c r="K273" s="1" t="e">
        <f>INDEX($P$4:$AM$15,MATCH(MONTH($E273),$O$4:$O$15,0),MATCH(HOUR($F273),$P$3:$AM$3,0))</f>
        <v>#N/A</v>
      </c>
      <c r="L273" t="s">
        <v>231</v>
      </c>
      <c r="M273" s="111"/>
    </row>
    <row r="274" spans="1:13" x14ac:dyDescent="0.25">
      <c r="A274">
        <v>273</v>
      </c>
      <c r="B274">
        <v>40058055</v>
      </c>
      <c r="C274">
        <v>4</v>
      </c>
      <c r="E274" s="110">
        <v>42801</v>
      </c>
      <c r="F274" s="111" t="s">
        <v>370</v>
      </c>
      <c r="G274">
        <v>4.4870000000000001</v>
      </c>
      <c r="H274">
        <v>14.999999999999947</v>
      </c>
      <c r="I274">
        <v>6</v>
      </c>
      <c r="J274">
        <v>512.00000000000011</v>
      </c>
      <c r="K274" s="1" t="e">
        <f>INDEX($P$4:$AM$15,MATCH(MONTH($E274),$O$4:$O$15,0),MATCH(HOUR($F274),$P$3:$AM$3,0))</f>
        <v>#N/A</v>
      </c>
      <c r="L274" t="s">
        <v>231</v>
      </c>
      <c r="M274" s="111"/>
    </row>
    <row r="275" spans="1:13" x14ac:dyDescent="0.25">
      <c r="A275">
        <v>274</v>
      </c>
      <c r="B275">
        <v>40058055</v>
      </c>
      <c r="C275">
        <v>1</v>
      </c>
      <c r="E275" s="110">
        <v>42802</v>
      </c>
      <c r="F275" s="111" t="s">
        <v>234</v>
      </c>
      <c r="G275">
        <v>5.234</v>
      </c>
      <c r="H275">
        <v>15.000000000000027</v>
      </c>
      <c r="I275">
        <v>3</v>
      </c>
      <c r="J275">
        <v>534.99999999999989</v>
      </c>
      <c r="K275" s="1" t="e">
        <f>INDEX($P$4:$AM$15,MATCH(MONTH($E275),$O$4:$O$15,0),MATCH(HOUR($F275),$P$3:$AM$3,0))</f>
        <v>#N/A</v>
      </c>
      <c r="L275" t="s">
        <v>231</v>
      </c>
      <c r="M275" s="111"/>
    </row>
    <row r="276" spans="1:13" x14ac:dyDescent="0.25">
      <c r="A276">
        <v>275</v>
      </c>
      <c r="B276">
        <v>40058055</v>
      </c>
      <c r="C276">
        <v>2</v>
      </c>
      <c r="E276" s="110">
        <v>42802</v>
      </c>
      <c r="F276" s="111" t="s">
        <v>371</v>
      </c>
      <c r="G276">
        <v>8.1000000000000003E-2</v>
      </c>
      <c r="H276">
        <v>10.000000000000124</v>
      </c>
      <c r="I276">
        <v>3</v>
      </c>
      <c r="J276">
        <v>2.0000000000001528</v>
      </c>
      <c r="K276" s="1" t="e">
        <f>INDEX($P$4:$AM$15,MATCH(MONTH($E276),$O$4:$O$15,0),MATCH(HOUR($F276),$P$3:$AM$3,0))</f>
        <v>#N/A</v>
      </c>
      <c r="L276" t="s">
        <v>231</v>
      </c>
      <c r="M276" s="111"/>
    </row>
    <row r="277" spans="1:13" x14ac:dyDescent="0.25">
      <c r="A277">
        <v>276</v>
      </c>
      <c r="B277">
        <v>40058055</v>
      </c>
      <c r="C277">
        <v>3</v>
      </c>
      <c r="E277" s="110">
        <v>42802</v>
      </c>
      <c r="F277" s="111" t="s">
        <v>372</v>
      </c>
      <c r="G277">
        <v>0.496</v>
      </c>
      <c r="H277">
        <v>2.9999999999998295</v>
      </c>
      <c r="I277">
        <v>3</v>
      </c>
      <c r="J277">
        <v>2.9999999999999893</v>
      </c>
      <c r="K277" s="1" t="e">
        <f>INDEX($P$4:$AM$15,MATCH(MONTH($E277),$O$4:$O$15,0),MATCH(HOUR($F277),$P$3:$AM$3,0))</f>
        <v>#N/A</v>
      </c>
      <c r="L277" t="s">
        <v>231</v>
      </c>
      <c r="M277" s="111"/>
    </row>
    <row r="278" spans="1:13" x14ac:dyDescent="0.25">
      <c r="A278">
        <v>277</v>
      </c>
      <c r="B278">
        <v>40058055</v>
      </c>
      <c r="C278">
        <v>4</v>
      </c>
      <c r="E278" s="110">
        <v>42802</v>
      </c>
      <c r="F278" s="111" t="s">
        <v>373</v>
      </c>
      <c r="G278">
        <v>0.55200000000000005</v>
      </c>
      <c r="H278">
        <v>11.999999999999957</v>
      </c>
      <c r="I278">
        <v>3</v>
      </c>
      <c r="J278">
        <v>160.00000000000006</v>
      </c>
      <c r="K278" s="1" t="e">
        <f>INDEX($P$4:$AM$15,MATCH(MONTH($E278),$O$4:$O$15,0),MATCH(HOUR($F278),$P$3:$AM$3,0))</f>
        <v>#N/A</v>
      </c>
      <c r="L278" t="s">
        <v>231</v>
      </c>
      <c r="M278" s="111"/>
    </row>
    <row r="279" spans="1:13" x14ac:dyDescent="0.25">
      <c r="A279">
        <v>278</v>
      </c>
      <c r="B279">
        <v>40058055</v>
      </c>
      <c r="C279">
        <v>5</v>
      </c>
      <c r="E279" s="110">
        <v>42802</v>
      </c>
      <c r="F279" s="111" t="s">
        <v>374</v>
      </c>
      <c r="G279">
        <v>5.226</v>
      </c>
      <c r="H279">
        <v>14.999999999999947</v>
      </c>
      <c r="I279">
        <v>3</v>
      </c>
      <c r="J279">
        <v>701</v>
      </c>
      <c r="K279" s="1" t="e">
        <f>INDEX($P$4:$AM$15,MATCH(MONTH($E279),$O$4:$O$15,0),MATCH(HOUR($F279),$P$3:$AM$3,0))</f>
        <v>#N/A</v>
      </c>
      <c r="L279" t="s">
        <v>231</v>
      </c>
      <c r="M279" s="111"/>
    </row>
    <row r="280" spans="1:13" x14ac:dyDescent="0.25">
      <c r="A280">
        <v>279</v>
      </c>
      <c r="B280">
        <v>40058055</v>
      </c>
      <c r="C280">
        <v>1</v>
      </c>
      <c r="E280" s="110">
        <v>42803</v>
      </c>
      <c r="F280" s="111" t="s">
        <v>375</v>
      </c>
      <c r="G280">
        <v>0.55200000000000005</v>
      </c>
      <c r="H280">
        <v>3.9999999999999858</v>
      </c>
      <c r="I280">
        <v>3</v>
      </c>
      <c r="J280">
        <v>520.00000000000011</v>
      </c>
      <c r="K280" s="1" t="e">
        <f>INDEX($P$4:$AM$15,MATCH(MONTH($E280),$O$4:$O$15,0),MATCH(HOUR($F280),$P$3:$AM$3,0))</f>
        <v>#N/A</v>
      </c>
      <c r="L280" t="s">
        <v>231</v>
      </c>
      <c r="M280" s="111"/>
    </row>
    <row r="281" spans="1:13" x14ac:dyDescent="0.25">
      <c r="A281">
        <v>280</v>
      </c>
      <c r="B281">
        <v>40058055</v>
      </c>
      <c r="C281">
        <v>2</v>
      </c>
      <c r="E281" s="110">
        <v>42803</v>
      </c>
      <c r="F281" s="111" t="s">
        <v>376</v>
      </c>
      <c r="G281">
        <v>0.55200000000000005</v>
      </c>
      <c r="H281">
        <v>9.9999999999998046</v>
      </c>
      <c r="I281">
        <v>3</v>
      </c>
      <c r="J281">
        <v>1030</v>
      </c>
      <c r="K281" s="1" t="e">
        <f>INDEX($P$4:$AM$15,MATCH(MONTH($E281),$O$4:$O$15,0),MATCH(HOUR($F281),$P$3:$AM$3,0))</f>
        <v>#N/A</v>
      </c>
      <c r="L281" t="s">
        <v>231</v>
      </c>
      <c r="M281" s="111"/>
    </row>
    <row r="282" spans="1:13" x14ac:dyDescent="0.25">
      <c r="A282">
        <v>281</v>
      </c>
      <c r="B282">
        <v>40074264</v>
      </c>
      <c r="C282">
        <v>1</v>
      </c>
      <c r="E282" s="110">
        <v>42804</v>
      </c>
      <c r="F282" s="111" t="s">
        <v>326</v>
      </c>
      <c r="G282">
        <v>7.8179999999999996</v>
      </c>
      <c r="H282">
        <v>15.000000000000027</v>
      </c>
      <c r="I282">
        <v>3</v>
      </c>
      <c r="J282">
        <v>180</v>
      </c>
      <c r="K282" s="1" t="e">
        <f>INDEX($P$4:$AM$15,MATCH(MONTH($E282),$O$4:$O$15,0),MATCH(HOUR($F282),$P$3:$AM$3,0))</f>
        <v>#N/A</v>
      </c>
      <c r="L282" t="s">
        <v>222</v>
      </c>
      <c r="M282" s="111"/>
    </row>
    <row r="283" spans="1:13" x14ac:dyDescent="0.25">
      <c r="A283">
        <v>282</v>
      </c>
      <c r="B283">
        <v>40074264</v>
      </c>
      <c r="C283">
        <v>2</v>
      </c>
      <c r="E283" s="110">
        <v>42804</v>
      </c>
      <c r="F283" s="111" t="s">
        <v>225</v>
      </c>
      <c r="G283">
        <v>0.7</v>
      </c>
      <c r="H283">
        <v>1.9999999999999929</v>
      </c>
      <c r="I283">
        <v>3</v>
      </c>
      <c r="J283">
        <v>7.9999999999999716</v>
      </c>
      <c r="K283" s="1" t="e">
        <f>INDEX($P$4:$AM$15,MATCH(MONTH($E283),$O$4:$O$15,0),MATCH(HOUR($F283),$P$3:$AM$3,0))</f>
        <v>#N/A</v>
      </c>
      <c r="L283" t="s">
        <v>222</v>
      </c>
      <c r="M283" s="111"/>
    </row>
    <row r="284" spans="1:13" x14ac:dyDescent="0.25">
      <c r="A284">
        <v>283</v>
      </c>
      <c r="B284">
        <v>40074264</v>
      </c>
      <c r="C284">
        <v>3</v>
      </c>
      <c r="E284" s="110">
        <v>42804</v>
      </c>
      <c r="F284" s="111" t="s">
        <v>377</v>
      </c>
      <c r="G284">
        <v>6.266</v>
      </c>
      <c r="H284">
        <v>20.000000000000089</v>
      </c>
      <c r="I284">
        <v>3</v>
      </c>
      <c r="J284">
        <v>9.9999999999999645</v>
      </c>
      <c r="K284" s="1" t="e">
        <f>INDEX($P$4:$AM$15,MATCH(MONTH($E284),$O$4:$O$15,0),MATCH(HOUR($F284),$P$3:$AM$3,0))</f>
        <v>#N/A</v>
      </c>
      <c r="L284" t="s">
        <v>222</v>
      </c>
      <c r="M284" s="111"/>
    </row>
    <row r="285" spans="1:13" x14ac:dyDescent="0.25">
      <c r="A285">
        <v>284</v>
      </c>
      <c r="B285">
        <v>40074264</v>
      </c>
      <c r="C285">
        <v>4</v>
      </c>
      <c r="E285" s="110">
        <v>42804</v>
      </c>
      <c r="F285" s="111" t="s">
        <v>330</v>
      </c>
      <c r="G285">
        <v>0.98699999999999999</v>
      </c>
      <c r="H285">
        <v>4.9999999999999822</v>
      </c>
      <c r="I285">
        <v>3</v>
      </c>
      <c r="J285">
        <v>1255</v>
      </c>
      <c r="K285" s="1" t="e">
        <f>INDEX($P$4:$AM$15,MATCH(MONTH($E285),$O$4:$O$15,0),MATCH(HOUR($F285),$P$3:$AM$3,0))</f>
        <v>#N/A</v>
      </c>
      <c r="L285" t="s">
        <v>222</v>
      </c>
      <c r="M285" s="111"/>
    </row>
    <row r="286" spans="1:13" x14ac:dyDescent="0.25">
      <c r="A286">
        <v>285</v>
      </c>
      <c r="B286">
        <v>40080400</v>
      </c>
      <c r="C286">
        <v>1</v>
      </c>
      <c r="E286" s="110">
        <v>42805</v>
      </c>
      <c r="F286" s="111" t="s">
        <v>378</v>
      </c>
      <c r="G286">
        <v>1.714</v>
      </c>
      <c r="H286">
        <v>10.000000000000124</v>
      </c>
      <c r="I286">
        <v>4</v>
      </c>
      <c r="J286">
        <v>4.9999999999999023</v>
      </c>
      <c r="K286" s="1" t="e">
        <f>INDEX($P$4:$AM$15,MATCH(MONTH($E286),$O$4:$O$15,0),MATCH(HOUR($F286),$P$3:$AM$3,0))</f>
        <v>#N/A</v>
      </c>
      <c r="L286" t="s">
        <v>249</v>
      </c>
      <c r="M286" s="111"/>
    </row>
    <row r="287" spans="1:13" x14ac:dyDescent="0.25">
      <c r="A287">
        <v>286</v>
      </c>
      <c r="B287">
        <v>40080400</v>
      </c>
      <c r="C287">
        <v>2</v>
      </c>
      <c r="E287" s="110">
        <v>42805</v>
      </c>
      <c r="F287" s="111" t="s">
        <v>379</v>
      </c>
      <c r="G287">
        <v>0.22800000000000001</v>
      </c>
      <c r="H287">
        <v>5.0000000000000622</v>
      </c>
      <c r="I287">
        <v>4</v>
      </c>
      <c r="J287">
        <v>14.999999999999947</v>
      </c>
      <c r="K287" s="1" t="e">
        <f>INDEX($P$4:$AM$15,MATCH(MONTH($E287),$O$4:$O$15,0),MATCH(HOUR($F287),$P$3:$AM$3,0))</f>
        <v>#N/A</v>
      </c>
      <c r="L287" t="s">
        <v>249</v>
      </c>
      <c r="M287" s="111"/>
    </row>
    <row r="288" spans="1:13" x14ac:dyDescent="0.25">
      <c r="A288">
        <v>287</v>
      </c>
      <c r="B288">
        <v>40080400</v>
      </c>
      <c r="C288">
        <v>3</v>
      </c>
      <c r="E288" s="110">
        <v>42805</v>
      </c>
      <c r="F288" s="111" t="s">
        <v>221</v>
      </c>
      <c r="G288">
        <v>0.44700000000000001</v>
      </c>
      <c r="H288">
        <v>3.9999999999999858</v>
      </c>
      <c r="I288">
        <v>4</v>
      </c>
      <c r="J288">
        <v>11.000000000000041</v>
      </c>
      <c r="K288" s="1" t="e">
        <f>INDEX($P$4:$AM$15,MATCH(MONTH($E288),$O$4:$O$15,0),MATCH(HOUR($F288),$P$3:$AM$3,0))</f>
        <v>#N/A</v>
      </c>
      <c r="L288" t="s">
        <v>249</v>
      </c>
      <c r="M288" s="111"/>
    </row>
    <row r="289" spans="1:13" x14ac:dyDescent="0.25">
      <c r="A289">
        <v>288</v>
      </c>
      <c r="B289">
        <v>40080400</v>
      </c>
      <c r="C289">
        <v>4</v>
      </c>
      <c r="E289" s="110">
        <v>42805</v>
      </c>
      <c r="F289" s="111" t="s">
        <v>327</v>
      </c>
      <c r="G289">
        <v>2.0339999999999998</v>
      </c>
      <c r="H289">
        <v>5.0000000000000622</v>
      </c>
      <c r="I289">
        <v>4</v>
      </c>
      <c r="J289">
        <v>1210</v>
      </c>
      <c r="K289" s="1" t="e">
        <f>INDEX($P$4:$AM$15,MATCH(MONTH($E289),$O$4:$O$15,0),MATCH(HOUR($F289),$P$3:$AM$3,0))</f>
        <v>#N/A</v>
      </c>
      <c r="L289" t="s">
        <v>249</v>
      </c>
      <c r="M289" s="111"/>
    </row>
    <row r="290" spans="1:13" x14ac:dyDescent="0.25">
      <c r="A290">
        <v>289</v>
      </c>
      <c r="B290">
        <v>40083839</v>
      </c>
      <c r="C290">
        <v>1</v>
      </c>
      <c r="E290" s="110">
        <v>42806</v>
      </c>
      <c r="F290" s="111" t="s">
        <v>251</v>
      </c>
      <c r="G290">
        <v>20.648</v>
      </c>
      <c r="H290">
        <v>45</v>
      </c>
      <c r="I290">
        <v>3</v>
      </c>
      <c r="J290">
        <v>329.99999999999994</v>
      </c>
      <c r="K290" s="1" t="e">
        <f>INDEX($P$4:$AM$15,MATCH(MONTH($E290),$O$4:$O$15,0),MATCH(HOUR($F290),$P$3:$AM$3,0))</f>
        <v>#N/A</v>
      </c>
      <c r="L290" t="s">
        <v>302</v>
      </c>
      <c r="M290" s="111"/>
    </row>
    <row r="291" spans="1:13" x14ac:dyDescent="0.25">
      <c r="A291">
        <v>290</v>
      </c>
      <c r="B291">
        <v>40083839</v>
      </c>
      <c r="C291">
        <v>2</v>
      </c>
      <c r="E291" s="110">
        <v>42806</v>
      </c>
      <c r="F291" s="111" t="s">
        <v>315</v>
      </c>
      <c r="G291">
        <v>7.46</v>
      </c>
      <c r="H291">
        <v>9.9999999999999645</v>
      </c>
      <c r="I291">
        <v>3</v>
      </c>
      <c r="J291">
        <v>155.00000000000009</v>
      </c>
      <c r="K291" s="1" t="e">
        <f>INDEX($P$4:$AM$15,MATCH(MONTH($E291),$O$4:$O$15,0),MATCH(HOUR($F291),$P$3:$AM$3,0))</f>
        <v>#N/A</v>
      </c>
      <c r="L291" t="s">
        <v>302</v>
      </c>
      <c r="M291" s="111"/>
    </row>
    <row r="292" spans="1:13" x14ac:dyDescent="0.25">
      <c r="A292">
        <v>291</v>
      </c>
      <c r="B292">
        <v>40083839</v>
      </c>
      <c r="C292">
        <v>3</v>
      </c>
      <c r="E292" s="110">
        <v>42806</v>
      </c>
      <c r="F292" s="111" t="s">
        <v>247</v>
      </c>
      <c r="G292">
        <v>3.2970000000000002</v>
      </c>
      <c r="H292">
        <v>10.000000000000124</v>
      </c>
      <c r="I292">
        <v>3</v>
      </c>
      <c r="J292">
        <v>24.999999999999751</v>
      </c>
      <c r="K292" s="1" t="e">
        <f>INDEX($P$4:$AM$15,MATCH(MONTH($E292),$O$4:$O$15,0),MATCH(HOUR($F292),$P$3:$AM$3,0))</f>
        <v>#N/A</v>
      </c>
      <c r="L292" t="s">
        <v>302</v>
      </c>
      <c r="M292" s="111"/>
    </row>
    <row r="293" spans="1:13" x14ac:dyDescent="0.25">
      <c r="A293">
        <v>292</v>
      </c>
      <c r="B293">
        <v>40083839</v>
      </c>
      <c r="C293">
        <v>4</v>
      </c>
      <c r="E293" s="110">
        <v>42806</v>
      </c>
      <c r="F293" s="111" t="s">
        <v>380</v>
      </c>
      <c r="G293">
        <v>3.5489999999999999</v>
      </c>
      <c r="H293">
        <v>10.000000000000124</v>
      </c>
      <c r="I293">
        <v>3</v>
      </c>
      <c r="J293">
        <v>329.99999999999994</v>
      </c>
      <c r="K293" s="1" t="e">
        <f>INDEX($P$4:$AM$15,MATCH(MONTH($E293),$O$4:$O$15,0),MATCH(HOUR($F293),$P$3:$AM$3,0))</f>
        <v>#N/A</v>
      </c>
      <c r="L293" t="s">
        <v>302</v>
      </c>
      <c r="M293" s="111"/>
    </row>
    <row r="294" spans="1:13" x14ac:dyDescent="0.25">
      <c r="A294">
        <v>293</v>
      </c>
      <c r="B294">
        <v>40083839</v>
      </c>
      <c r="C294">
        <v>5</v>
      </c>
      <c r="E294" s="110">
        <v>42806</v>
      </c>
      <c r="F294" s="111" t="s">
        <v>381</v>
      </c>
      <c r="G294">
        <v>25.62</v>
      </c>
      <c r="H294">
        <v>45</v>
      </c>
      <c r="I294">
        <v>3</v>
      </c>
      <c r="J294">
        <v>459.99999999999989</v>
      </c>
      <c r="K294" s="1" t="e">
        <f>INDEX($P$4:$AM$15,MATCH(MONTH($E294),$O$4:$O$15,0),MATCH(HOUR($F294),$P$3:$AM$3,0))</f>
        <v>#N/A</v>
      </c>
      <c r="L294" t="s">
        <v>302</v>
      </c>
      <c r="M294" s="111"/>
    </row>
    <row r="295" spans="1:13" x14ac:dyDescent="0.25">
      <c r="A295">
        <v>294</v>
      </c>
      <c r="B295">
        <v>40085437</v>
      </c>
      <c r="C295">
        <v>1</v>
      </c>
      <c r="E295" s="110">
        <v>42807</v>
      </c>
      <c r="F295" s="111" t="s">
        <v>234</v>
      </c>
      <c r="G295">
        <v>4.4480000000000004</v>
      </c>
      <c r="H295">
        <v>15.000000000000027</v>
      </c>
      <c r="I295">
        <v>3</v>
      </c>
      <c r="J295">
        <v>410</v>
      </c>
      <c r="K295" s="1" t="e">
        <f>INDEX($P$4:$AM$15,MATCH(MONTH($E295),$O$4:$O$15,0),MATCH(HOUR($F295),$P$3:$AM$3,0))</f>
        <v>#N/A</v>
      </c>
      <c r="L295" t="s">
        <v>249</v>
      </c>
      <c r="M295" s="111"/>
    </row>
    <row r="296" spans="1:13" x14ac:dyDescent="0.25">
      <c r="A296">
        <v>295</v>
      </c>
      <c r="B296">
        <v>40085437</v>
      </c>
      <c r="C296">
        <v>2</v>
      </c>
      <c r="E296" s="110">
        <v>42807</v>
      </c>
      <c r="F296" s="111" t="s">
        <v>382</v>
      </c>
      <c r="G296">
        <v>19.582999999999998</v>
      </c>
      <c r="H296">
        <v>35.000000000000036</v>
      </c>
      <c r="I296">
        <v>3</v>
      </c>
      <c r="J296">
        <v>139.99999999999997</v>
      </c>
      <c r="K296" s="1" t="e">
        <f>INDEX($P$4:$AM$15,MATCH(MONTH($E296),$O$4:$O$15,0),MATCH(HOUR($F296),$P$3:$AM$3,0))</f>
        <v>#N/A</v>
      </c>
      <c r="L296" t="s">
        <v>249</v>
      </c>
      <c r="M296" s="111"/>
    </row>
    <row r="297" spans="1:13" x14ac:dyDescent="0.25">
      <c r="A297">
        <v>296</v>
      </c>
      <c r="B297">
        <v>40085437</v>
      </c>
      <c r="C297">
        <v>3</v>
      </c>
      <c r="E297" s="110">
        <v>42807</v>
      </c>
      <c r="F297" s="111" t="s">
        <v>279</v>
      </c>
      <c r="G297">
        <v>12.757999999999999</v>
      </c>
      <c r="H297">
        <v>19.999999999999929</v>
      </c>
      <c r="I297">
        <v>3</v>
      </c>
      <c r="J297">
        <v>870</v>
      </c>
      <c r="K297" s="1" t="e">
        <f>INDEX($P$4:$AM$15,MATCH(MONTH($E297),$O$4:$O$15,0),MATCH(HOUR($F297),$P$3:$AM$3,0))</f>
        <v>#N/A</v>
      </c>
      <c r="L297" t="s">
        <v>249</v>
      </c>
      <c r="M297" s="111"/>
    </row>
    <row r="298" spans="1:13" x14ac:dyDescent="0.25">
      <c r="A298">
        <v>297</v>
      </c>
      <c r="B298">
        <v>40085437</v>
      </c>
      <c r="C298">
        <v>1</v>
      </c>
      <c r="E298" s="110">
        <v>42808</v>
      </c>
      <c r="F298" s="111" t="s">
        <v>273</v>
      </c>
      <c r="G298">
        <v>7.1970000000000001</v>
      </c>
      <c r="H298">
        <v>30.000000000000053</v>
      </c>
      <c r="I298">
        <v>3</v>
      </c>
      <c r="J298">
        <v>480</v>
      </c>
      <c r="K298" s="1" t="e">
        <f>INDEX($P$4:$AM$15,MATCH(MONTH($E298),$O$4:$O$15,0),MATCH(HOUR($F298),$P$3:$AM$3,0))</f>
        <v>#N/A</v>
      </c>
      <c r="L298" t="s">
        <v>249</v>
      </c>
      <c r="M298" s="111"/>
    </row>
    <row r="299" spans="1:13" x14ac:dyDescent="0.25">
      <c r="A299">
        <v>298</v>
      </c>
      <c r="B299">
        <v>40085437</v>
      </c>
      <c r="C299">
        <v>2</v>
      </c>
      <c r="E299" s="110">
        <v>42808</v>
      </c>
      <c r="F299" s="111" t="s">
        <v>247</v>
      </c>
      <c r="G299">
        <v>8.7439999999999998</v>
      </c>
      <c r="H299">
        <v>45</v>
      </c>
      <c r="I299">
        <v>3</v>
      </c>
      <c r="J299">
        <v>10.000000000000124</v>
      </c>
      <c r="K299" s="1" t="e">
        <f>INDEX($P$4:$AM$15,MATCH(MONTH($E299),$O$4:$O$15,0),MATCH(HOUR($F299),$P$3:$AM$3,0))</f>
        <v>#N/A</v>
      </c>
      <c r="L299" t="s">
        <v>249</v>
      </c>
      <c r="M299" s="111"/>
    </row>
    <row r="300" spans="1:13" x14ac:dyDescent="0.25">
      <c r="A300">
        <v>299</v>
      </c>
      <c r="B300">
        <v>40085437</v>
      </c>
      <c r="C300">
        <v>3</v>
      </c>
      <c r="E300" s="110">
        <v>42808</v>
      </c>
      <c r="F300" s="111" t="s">
        <v>383</v>
      </c>
      <c r="G300">
        <v>13.981</v>
      </c>
      <c r="H300">
        <v>34.999999999999872</v>
      </c>
      <c r="I300">
        <v>3</v>
      </c>
      <c r="J300">
        <v>820.00000000000011</v>
      </c>
      <c r="K300" s="1" t="e">
        <f>INDEX($P$4:$AM$15,MATCH(MONTH($E300),$O$4:$O$15,0),MATCH(HOUR($F300),$P$3:$AM$3,0))</f>
        <v>#N/A</v>
      </c>
      <c r="L300" t="s">
        <v>249</v>
      </c>
      <c r="M300" s="111"/>
    </row>
    <row r="301" spans="1:13" x14ac:dyDescent="0.25">
      <c r="A301">
        <v>300</v>
      </c>
      <c r="B301">
        <v>40091835</v>
      </c>
      <c r="C301">
        <v>1</v>
      </c>
      <c r="E301" s="110">
        <v>42809</v>
      </c>
      <c r="F301" s="111" t="s">
        <v>246</v>
      </c>
      <c r="G301">
        <v>1.8420000000000001</v>
      </c>
      <c r="H301">
        <v>9.9999999999999645</v>
      </c>
      <c r="I301">
        <v>4</v>
      </c>
      <c r="J301">
        <v>45</v>
      </c>
      <c r="K301" s="1" t="e">
        <f>INDEX($P$4:$AM$15,MATCH(MONTH($E301),$O$4:$O$15,0),MATCH(HOUR($F301),$P$3:$AM$3,0))</f>
        <v>#N/A</v>
      </c>
      <c r="L301" t="s">
        <v>249</v>
      </c>
      <c r="M301" s="111"/>
    </row>
    <row r="302" spans="1:13" x14ac:dyDescent="0.25">
      <c r="A302">
        <v>301</v>
      </c>
      <c r="B302">
        <v>40091835</v>
      </c>
      <c r="C302">
        <v>2</v>
      </c>
      <c r="E302" s="110">
        <v>42809</v>
      </c>
      <c r="F302" s="111" t="s">
        <v>384</v>
      </c>
      <c r="G302">
        <v>16.408999999999999</v>
      </c>
      <c r="H302">
        <v>40.000000000000014</v>
      </c>
      <c r="I302">
        <v>4</v>
      </c>
      <c r="J302">
        <v>39.999999999999936</v>
      </c>
      <c r="K302" s="1" t="e">
        <f>INDEX($P$4:$AM$15,MATCH(MONTH($E302),$O$4:$O$15,0),MATCH(HOUR($F302),$P$3:$AM$3,0))</f>
        <v>#N/A</v>
      </c>
      <c r="L302" t="s">
        <v>249</v>
      </c>
      <c r="M302" s="111"/>
    </row>
    <row r="303" spans="1:13" x14ac:dyDescent="0.25">
      <c r="A303">
        <v>302</v>
      </c>
      <c r="B303">
        <v>40091835</v>
      </c>
      <c r="C303">
        <v>3</v>
      </c>
      <c r="E303" s="110">
        <v>42809</v>
      </c>
      <c r="F303" s="111" t="s">
        <v>236</v>
      </c>
      <c r="G303">
        <v>6.7320000000000002</v>
      </c>
      <c r="H303">
        <v>15.000000000000027</v>
      </c>
      <c r="I303">
        <v>4</v>
      </c>
      <c r="J303">
        <v>10.000000000000044</v>
      </c>
      <c r="K303" s="1" t="e">
        <f>INDEX($P$4:$AM$15,MATCH(MONTH($E303),$O$4:$O$15,0),MATCH(HOUR($F303),$P$3:$AM$3,0))</f>
        <v>#N/A</v>
      </c>
      <c r="L303" t="s">
        <v>249</v>
      </c>
      <c r="M303" s="111"/>
    </row>
    <row r="304" spans="1:13" x14ac:dyDescent="0.25">
      <c r="A304">
        <v>303</v>
      </c>
      <c r="B304">
        <v>40091835</v>
      </c>
      <c r="C304">
        <v>4</v>
      </c>
      <c r="E304" s="110">
        <v>42809</v>
      </c>
      <c r="F304" s="111" t="s">
        <v>385</v>
      </c>
      <c r="G304">
        <v>1.6759999999999999</v>
      </c>
      <c r="H304">
        <v>4.9999999999999023</v>
      </c>
      <c r="I304">
        <v>4</v>
      </c>
      <c r="J304">
        <v>10.000000000000124</v>
      </c>
      <c r="K304" s="1" t="e">
        <f>INDEX($P$4:$AM$15,MATCH(MONTH($E304),$O$4:$O$15,0),MATCH(HOUR($F304),$P$3:$AM$3,0))</f>
        <v>#N/A</v>
      </c>
      <c r="L304" t="s">
        <v>249</v>
      </c>
      <c r="M304" s="111"/>
    </row>
    <row r="305" spans="1:13" x14ac:dyDescent="0.25">
      <c r="A305">
        <v>304</v>
      </c>
      <c r="B305">
        <v>40091835</v>
      </c>
      <c r="C305">
        <v>5</v>
      </c>
      <c r="E305" s="110">
        <v>42809</v>
      </c>
      <c r="F305" s="111" t="s">
        <v>386</v>
      </c>
      <c r="G305">
        <v>0.153</v>
      </c>
      <c r="H305">
        <v>2.9999999999999094</v>
      </c>
      <c r="I305">
        <v>4</v>
      </c>
      <c r="J305">
        <v>42.000000000000092</v>
      </c>
      <c r="K305" s="1" t="e">
        <f>INDEX($P$4:$AM$15,MATCH(MONTH($E305),$O$4:$O$15,0),MATCH(HOUR($F305),$P$3:$AM$3,0))</f>
        <v>#N/A</v>
      </c>
      <c r="L305" t="s">
        <v>249</v>
      </c>
      <c r="M305" s="111"/>
    </row>
    <row r="306" spans="1:13" x14ac:dyDescent="0.25">
      <c r="A306">
        <v>305</v>
      </c>
      <c r="B306">
        <v>40091835</v>
      </c>
      <c r="C306">
        <v>6</v>
      </c>
      <c r="E306" s="110">
        <v>42809</v>
      </c>
      <c r="F306" s="111" t="s">
        <v>387</v>
      </c>
      <c r="G306">
        <v>0.19900000000000001</v>
      </c>
      <c r="H306">
        <v>9.9999999999999645</v>
      </c>
      <c r="I306">
        <v>4</v>
      </c>
      <c r="J306">
        <v>50.000000000000064</v>
      </c>
      <c r="K306" s="1" t="e">
        <f>INDEX($P$4:$AM$15,MATCH(MONTH($E306),$O$4:$O$15,0),MATCH(HOUR($F306),$P$3:$AM$3,0))</f>
        <v>#N/A</v>
      </c>
      <c r="L306" t="s">
        <v>249</v>
      </c>
      <c r="M306" s="111"/>
    </row>
    <row r="307" spans="1:13" x14ac:dyDescent="0.25">
      <c r="A307">
        <v>306</v>
      </c>
      <c r="B307">
        <v>40091835</v>
      </c>
      <c r="C307">
        <v>7</v>
      </c>
      <c r="E307" s="110">
        <v>42809</v>
      </c>
      <c r="F307" s="111" t="s">
        <v>355</v>
      </c>
      <c r="G307">
        <v>6.8319999999999999</v>
      </c>
      <c r="H307">
        <v>9.9999999999999645</v>
      </c>
      <c r="I307">
        <v>4</v>
      </c>
      <c r="J307">
        <v>35.000000000000036</v>
      </c>
      <c r="K307" s="1" t="e">
        <f>INDEX($P$4:$AM$15,MATCH(MONTH($E307),$O$4:$O$15,0),MATCH(HOUR($F307),$P$3:$AM$3,0))</f>
        <v>#N/A</v>
      </c>
      <c r="L307" t="s">
        <v>249</v>
      </c>
      <c r="M307" s="111"/>
    </row>
    <row r="308" spans="1:13" x14ac:dyDescent="0.25">
      <c r="A308">
        <v>307</v>
      </c>
      <c r="B308">
        <v>40091835</v>
      </c>
      <c r="C308">
        <v>8</v>
      </c>
      <c r="E308" s="110">
        <v>42809</v>
      </c>
      <c r="F308" s="111" t="s">
        <v>340</v>
      </c>
      <c r="G308">
        <v>9.2799999999999994</v>
      </c>
      <c r="H308">
        <v>14.999999999999947</v>
      </c>
      <c r="I308">
        <v>4</v>
      </c>
      <c r="J308">
        <v>1020</v>
      </c>
      <c r="K308" s="1" t="e">
        <f>INDEX($P$4:$AM$15,MATCH(MONTH($E308),$O$4:$O$15,0),MATCH(HOUR($F308),$P$3:$AM$3,0))</f>
        <v>#N/A</v>
      </c>
      <c r="L308" t="s">
        <v>249</v>
      </c>
      <c r="M308" s="111"/>
    </row>
    <row r="309" spans="1:13" x14ac:dyDescent="0.25">
      <c r="A309">
        <v>308</v>
      </c>
      <c r="B309">
        <v>40091835</v>
      </c>
      <c r="C309">
        <v>1</v>
      </c>
      <c r="E309" s="110">
        <v>42810</v>
      </c>
      <c r="F309" s="111" t="s">
        <v>275</v>
      </c>
      <c r="G309">
        <v>19.713999999999999</v>
      </c>
      <c r="H309">
        <v>29.999999999999972</v>
      </c>
      <c r="I309">
        <v>4</v>
      </c>
      <c r="J309">
        <v>555</v>
      </c>
      <c r="K309" s="1" t="e">
        <f>INDEX($P$4:$AM$15,MATCH(MONTH($E309),$O$4:$O$15,0),MATCH(HOUR($F309),$P$3:$AM$3,0))</f>
        <v>#N/A</v>
      </c>
      <c r="L309" t="s">
        <v>249</v>
      </c>
      <c r="M309" s="111"/>
    </row>
    <row r="310" spans="1:13" x14ac:dyDescent="0.25">
      <c r="A310">
        <v>309</v>
      </c>
      <c r="B310">
        <v>40091835</v>
      </c>
      <c r="C310">
        <v>2</v>
      </c>
      <c r="E310" s="110">
        <v>42810</v>
      </c>
      <c r="F310" s="111" t="s">
        <v>348</v>
      </c>
      <c r="G310">
        <v>19.838999999999999</v>
      </c>
      <c r="H310">
        <v>30.000000000000053</v>
      </c>
      <c r="I310">
        <v>4</v>
      </c>
      <c r="J310">
        <v>1025</v>
      </c>
      <c r="K310" s="1" t="e">
        <f>INDEX($P$4:$AM$15,MATCH(MONTH($E310),$O$4:$O$15,0),MATCH(HOUR($F310),$P$3:$AM$3,0))</f>
        <v>#N/A</v>
      </c>
      <c r="L310" t="s">
        <v>249</v>
      </c>
      <c r="M310" s="111"/>
    </row>
    <row r="311" spans="1:13" x14ac:dyDescent="0.25">
      <c r="A311">
        <v>310</v>
      </c>
      <c r="B311">
        <v>40101481</v>
      </c>
      <c r="C311">
        <v>1</v>
      </c>
      <c r="E311" s="110">
        <v>42811</v>
      </c>
      <c r="F311" s="111" t="s">
        <v>266</v>
      </c>
      <c r="G311">
        <v>1.256</v>
      </c>
      <c r="H311">
        <v>10.000000000000124</v>
      </c>
      <c r="I311">
        <v>5</v>
      </c>
      <c r="J311">
        <v>54.999999999999964</v>
      </c>
      <c r="K311" s="1" t="e">
        <f>INDEX($P$4:$AM$15,MATCH(MONTH($E311),$O$4:$O$15,0),MATCH(HOUR($F311),$P$3:$AM$3,0))</f>
        <v>#N/A</v>
      </c>
      <c r="L311" t="s">
        <v>218</v>
      </c>
      <c r="M311" s="111"/>
    </row>
    <row r="312" spans="1:13" x14ac:dyDescent="0.25">
      <c r="A312">
        <v>311</v>
      </c>
      <c r="B312">
        <v>40101481</v>
      </c>
      <c r="C312">
        <v>2</v>
      </c>
      <c r="E312" s="110">
        <v>42811</v>
      </c>
      <c r="F312" s="111" t="s">
        <v>388</v>
      </c>
      <c r="G312">
        <v>0.63700000000000001</v>
      </c>
      <c r="H312">
        <v>9.9999999999999645</v>
      </c>
      <c r="I312">
        <v>5</v>
      </c>
      <c r="J312">
        <v>20.000000000000007</v>
      </c>
      <c r="K312" s="1" t="e">
        <f>INDEX($P$4:$AM$15,MATCH(MONTH($E312),$O$4:$O$15,0),MATCH(HOUR($F312),$P$3:$AM$3,0))</f>
        <v>#N/A</v>
      </c>
      <c r="L312" t="s">
        <v>218</v>
      </c>
      <c r="M312" s="111"/>
    </row>
    <row r="313" spans="1:13" x14ac:dyDescent="0.25">
      <c r="A313">
        <v>312</v>
      </c>
      <c r="B313">
        <v>40101481</v>
      </c>
      <c r="C313">
        <v>3</v>
      </c>
      <c r="E313" s="110">
        <v>42811</v>
      </c>
      <c r="F313" s="111" t="s">
        <v>327</v>
      </c>
      <c r="G313">
        <v>0.92300000000000004</v>
      </c>
      <c r="H313">
        <v>9.9999999999999645</v>
      </c>
      <c r="I313">
        <v>5</v>
      </c>
      <c r="J313">
        <v>1295</v>
      </c>
      <c r="K313" s="1" t="e">
        <f>INDEX($P$4:$AM$15,MATCH(MONTH($E313),$O$4:$O$15,0),MATCH(HOUR($F313),$P$3:$AM$3,0))</f>
        <v>#N/A</v>
      </c>
      <c r="L313" t="s">
        <v>218</v>
      </c>
      <c r="M313" s="111"/>
    </row>
    <row r="314" spans="1:13" x14ac:dyDescent="0.25">
      <c r="A314">
        <v>313</v>
      </c>
      <c r="B314">
        <v>40101481</v>
      </c>
      <c r="C314">
        <v>1</v>
      </c>
      <c r="E314" s="110">
        <v>42812</v>
      </c>
      <c r="F314" s="111" t="s">
        <v>295</v>
      </c>
      <c r="G314">
        <v>2.9180000000000001</v>
      </c>
      <c r="H314">
        <v>9.9999999999999645</v>
      </c>
      <c r="I314">
        <v>5</v>
      </c>
      <c r="J314">
        <v>29.999999999999972</v>
      </c>
      <c r="K314" s="1" t="e">
        <f>INDEX($P$4:$AM$15,MATCH(MONTH($E314),$O$4:$O$15,0),MATCH(HOUR($F314),$P$3:$AM$3,0))</f>
        <v>#N/A</v>
      </c>
      <c r="L314" t="s">
        <v>218</v>
      </c>
      <c r="M314" s="111"/>
    </row>
    <row r="315" spans="1:13" x14ac:dyDescent="0.25">
      <c r="A315">
        <v>314</v>
      </c>
      <c r="B315">
        <v>40101481</v>
      </c>
      <c r="C315">
        <v>2</v>
      </c>
      <c r="E315" s="110">
        <v>42812</v>
      </c>
      <c r="F315" s="111" t="s">
        <v>266</v>
      </c>
      <c r="G315">
        <v>2.92</v>
      </c>
      <c r="H315">
        <v>10.000000000000124</v>
      </c>
      <c r="I315">
        <v>5</v>
      </c>
      <c r="J315">
        <v>1345</v>
      </c>
      <c r="K315" s="1" t="e">
        <f>INDEX($P$4:$AM$15,MATCH(MONTH($E315),$O$4:$O$15,0),MATCH(HOUR($F315),$P$3:$AM$3,0))</f>
        <v>#N/A</v>
      </c>
      <c r="L315" t="s">
        <v>218</v>
      </c>
      <c r="M315" s="111"/>
    </row>
    <row r="316" spans="1:13" x14ac:dyDescent="0.25">
      <c r="A316">
        <v>315</v>
      </c>
      <c r="B316">
        <v>40104131</v>
      </c>
      <c r="C316">
        <v>1</v>
      </c>
      <c r="E316" s="110">
        <v>42813</v>
      </c>
      <c r="F316" s="111" t="s">
        <v>389</v>
      </c>
      <c r="G316">
        <v>1.667</v>
      </c>
      <c r="H316">
        <v>5.0000000000000622</v>
      </c>
      <c r="I316">
        <v>3</v>
      </c>
      <c r="J316">
        <v>4.9999999999999023</v>
      </c>
      <c r="K316" s="1" t="e">
        <f>INDEX($P$4:$AM$15,MATCH(MONTH($E316),$O$4:$O$15,0),MATCH(HOUR($F316),$P$3:$AM$3,0))</f>
        <v>#N/A</v>
      </c>
      <c r="L316" t="s">
        <v>218</v>
      </c>
      <c r="M316" s="111"/>
    </row>
    <row r="317" spans="1:13" x14ac:dyDescent="0.25">
      <c r="A317">
        <v>316</v>
      </c>
      <c r="B317">
        <v>40104131</v>
      </c>
      <c r="C317">
        <v>2</v>
      </c>
      <c r="E317" s="110">
        <v>42813</v>
      </c>
      <c r="F317" s="111" t="s">
        <v>226</v>
      </c>
      <c r="G317">
        <v>2.3879999999999999</v>
      </c>
      <c r="H317">
        <v>5.0000000000000622</v>
      </c>
      <c r="I317">
        <v>3</v>
      </c>
      <c r="J317">
        <v>4.9999999999999822</v>
      </c>
      <c r="K317" s="1" t="e">
        <f>INDEX($P$4:$AM$15,MATCH(MONTH($E317),$O$4:$O$15,0),MATCH(HOUR($F317),$P$3:$AM$3,0))</f>
        <v>#N/A</v>
      </c>
      <c r="L317" t="s">
        <v>218</v>
      </c>
      <c r="M317" s="111"/>
    </row>
    <row r="318" spans="1:13" x14ac:dyDescent="0.25">
      <c r="A318">
        <v>317</v>
      </c>
      <c r="B318">
        <v>40104131</v>
      </c>
      <c r="C318">
        <v>3</v>
      </c>
      <c r="E318" s="110">
        <v>42813</v>
      </c>
      <c r="F318" s="111" t="s">
        <v>384</v>
      </c>
      <c r="G318">
        <v>1.0269999999999999</v>
      </c>
      <c r="H318">
        <v>4.9999999999999822</v>
      </c>
      <c r="I318">
        <v>3</v>
      </c>
      <c r="J318">
        <v>560</v>
      </c>
      <c r="K318" s="1" t="e">
        <f>INDEX($P$4:$AM$15,MATCH(MONTH($E318),$O$4:$O$15,0),MATCH(HOUR($F318),$P$3:$AM$3,0))</f>
        <v>#N/A</v>
      </c>
      <c r="L318" t="s">
        <v>218</v>
      </c>
      <c r="M318" s="111"/>
    </row>
    <row r="319" spans="1:13" x14ac:dyDescent="0.25">
      <c r="A319">
        <v>318</v>
      </c>
      <c r="B319">
        <v>40104131</v>
      </c>
      <c r="C319">
        <v>4</v>
      </c>
      <c r="E319" s="110">
        <v>42813</v>
      </c>
      <c r="F319" s="111" t="s">
        <v>253</v>
      </c>
      <c r="G319">
        <v>0.996</v>
      </c>
      <c r="H319">
        <v>10.000000000000124</v>
      </c>
      <c r="I319">
        <v>3</v>
      </c>
      <c r="J319">
        <v>727.99999999999989</v>
      </c>
      <c r="K319" s="1" t="e">
        <f>INDEX($P$4:$AM$15,MATCH(MONTH($E319),$O$4:$O$15,0),MATCH(HOUR($F319),$P$3:$AM$3,0))</f>
        <v>#N/A</v>
      </c>
      <c r="L319" t="s">
        <v>218</v>
      </c>
      <c r="M319" s="111"/>
    </row>
    <row r="320" spans="1:13" x14ac:dyDescent="0.25">
      <c r="A320">
        <v>319</v>
      </c>
      <c r="B320">
        <v>40105989</v>
      </c>
      <c r="C320">
        <v>1</v>
      </c>
      <c r="E320" s="110">
        <v>42814</v>
      </c>
      <c r="F320" s="111" t="s">
        <v>390</v>
      </c>
      <c r="G320">
        <v>2.3559999999999999</v>
      </c>
      <c r="H320">
        <v>11.999999999999957</v>
      </c>
      <c r="I320">
        <v>8</v>
      </c>
      <c r="J320">
        <v>470.00000000000006</v>
      </c>
      <c r="K320" s="1" t="e">
        <f>INDEX($P$4:$AM$15,MATCH(MONTH($E320),$O$4:$O$15,0),MATCH(HOUR($F320),$P$3:$AM$3,0))</f>
        <v>#N/A</v>
      </c>
      <c r="L320" t="s">
        <v>302</v>
      </c>
      <c r="M320" s="111"/>
    </row>
    <row r="321" spans="1:13" x14ac:dyDescent="0.25">
      <c r="A321">
        <v>320</v>
      </c>
      <c r="B321">
        <v>40105989</v>
      </c>
      <c r="C321">
        <v>2</v>
      </c>
      <c r="E321" s="110">
        <v>42814</v>
      </c>
      <c r="F321" s="111" t="s">
        <v>351</v>
      </c>
      <c r="G321">
        <v>2.347</v>
      </c>
      <c r="H321">
        <v>13.000000000000114</v>
      </c>
      <c r="I321">
        <v>8</v>
      </c>
      <c r="J321">
        <v>231.99999999999997</v>
      </c>
      <c r="K321" s="1" t="e">
        <f>INDEX($P$4:$AM$15,MATCH(MONTH($E321),$O$4:$O$15,0),MATCH(HOUR($F321),$P$3:$AM$3,0))</f>
        <v>#N/A</v>
      </c>
      <c r="L321" t="s">
        <v>302</v>
      </c>
      <c r="M321" s="111"/>
    </row>
    <row r="322" spans="1:13" x14ac:dyDescent="0.25">
      <c r="A322">
        <v>321</v>
      </c>
      <c r="B322">
        <v>40105989</v>
      </c>
      <c r="C322">
        <v>3</v>
      </c>
      <c r="E322" s="110">
        <v>42814</v>
      </c>
      <c r="F322" s="111" t="s">
        <v>391</v>
      </c>
      <c r="G322">
        <v>20.103999999999999</v>
      </c>
      <c r="H322">
        <v>22.000000000000082</v>
      </c>
      <c r="I322">
        <v>3</v>
      </c>
      <c r="J322">
        <v>108.99999999999993</v>
      </c>
      <c r="K322" s="1" t="e">
        <f>INDEX($P$4:$AM$15,MATCH(MONTH($E322),$O$4:$O$15,0),MATCH(HOUR($F322),$P$3:$AM$3,0))</f>
        <v>#N/A</v>
      </c>
      <c r="L322" t="s">
        <v>302</v>
      </c>
      <c r="M322" s="111"/>
    </row>
    <row r="323" spans="1:13" x14ac:dyDescent="0.25">
      <c r="A323">
        <v>322</v>
      </c>
      <c r="B323">
        <v>40105989</v>
      </c>
      <c r="C323">
        <v>4</v>
      </c>
      <c r="E323" s="110">
        <v>42814</v>
      </c>
      <c r="F323" s="111" t="s">
        <v>392</v>
      </c>
      <c r="G323">
        <v>20.158999999999999</v>
      </c>
      <c r="H323">
        <v>26.999999999999904</v>
      </c>
      <c r="I323">
        <v>3</v>
      </c>
      <c r="J323">
        <v>633</v>
      </c>
      <c r="K323" s="1" t="e">
        <f>INDEX($P$4:$AM$15,MATCH(MONTH($E323),$O$4:$O$15,0),MATCH(HOUR($F323),$P$3:$AM$3,0))</f>
        <v>#N/A</v>
      </c>
      <c r="L323" t="s">
        <v>302</v>
      </c>
      <c r="M323" s="111"/>
    </row>
    <row r="324" spans="1:13" x14ac:dyDescent="0.25">
      <c r="A324">
        <v>323</v>
      </c>
      <c r="B324">
        <v>40105989</v>
      </c>
      <c r="C324">
        <v>1</v>
      </c>
      <c r="E324" s="110">
        <v>42815</v>
      </c>
      <c r="F324" s="111" t="s">
        <v>393</v>
      </c>
      <c r="G324">
        <v>1.35</v>
      </c>
      <c r="H324">
        <v>8.0000000000000515</v>
      </c>
      <c r="I324">
        <v>3</v>
      </c>
      <c r="J324">
        <v>495.99999999999994</v>
      </c>
      <c r="K324" s="1" t="e">
        <f>INDEX($P$4:$AM$15,MATCH(MONTH($E324),$O$4:$O$15,0),MATCH(HOUR($F324),$P$3:$AM$3,0))</f>
        <v>#N/A</v>
      </c>
      <c r="L324" t="s">
        <v>302</v>
      </c>
      <c r="M324" s="111"/>
    </row>
    <row r="325" spans="1:13" x14ac:dyDescent="0.25">
      <c r="A325">
        <v>324</v>
      </c>
      <c r="B325">
        <v>40105989</v>
      </c>
      <c r="C325">
        <v>2</v>
      </c>
      <c r="E325" s="110">
        <v>42815</v>
      </c>
      <c r="F325" s="111" t="s">
        <v>252</v>
      </c>
      <c r="G325">
        <v>0.29499999999999998</v>
      </c>
      <c r="H325">
        <v>4.9999999999999822</v>
      </c>
      <c r="I325">
        <v>3</v>
      </c>
      <c r="J325">
        <v>1.0000000000001563</v>
      </c>
      <c r="K325" s="1" t="e">
        <f>INDEX($P$4:$AM$15,MATCH(MONTH($E325),$O$4:$O$15,0),MATCH(HOUR($F325),$P$3:$AM$3,0))</f>
        <v>#N/A</v>
      </c>
      <c r="L325" t="s">
        <v>302</v>
      </c>
      <c r="M325" s="111"/>
    </row>
    <row r="326" spans="1:13" x14ac:dyDescent="0.25">
      <c r="A326">
        <v>325</v>
      </c>
      <c r="B326">
        <v>40105989</v>
      </c>
      <c r="C326">
        <v>3</v>
      </c>
      <c r="E326" s="110">
        <v>42815</v>
      </c>
      <c r="F326" s="111" t="s">
        <v>394</v>
      </c>
      <c r="G326">
        <v>1.1020000000000001</v>
      </c>
      <c r="H326">
        <v>4.9999999999999822</v>
      </c>
      <c r="I326">
        <v>3</v>
      </c>
      <c r="J326">
        <v>818.99999999999989</v>
      </c>
      <c r="K326" s="1" t="e">
        <f>INDEX($P$4:$AM$15,MATCH(MONTH($E326),$O$4:$O$15,0),MATCH(HOUR($F326),$P$3:$AM$3,0))</f>
        <v>#N/A</v>
      </c>
      <c r="L326" t="s">
        <v>302</v>
      </c>
      <c r="M326" s="111"/>
    </row>
    <row r="327" spans="1:13" x14ac:dyDescent="0.25">
      <c r="A327">
        <v>326</v>
      </c>
      <c r="B327">
        <v>40106806</v>
      </c>
      <c r="C327">
        <v>1</v>
      </c>
      <c r="E327" s="110">
        <v>42816</v>
      </c>
      <c r="F327" s="111" t="s">
        <v>303</v>
      </c>
      <c r="G327">
        <v>5.3170000000000002</v>
      </c>
      <c r="H327">
        <v>10.000000000000004</v>
      </c>
      <c r="I327">
        <v>3</v>
      </c>
      <c r="J327">
        <v>45</v>
      </c>
      <c r="K327" s="1" t="e">
        <f>INDEX($P$4:$AM$15,MATCH(MONTH($E327),$O$4:$O$15,0),MATCH(HOUR($F327),$P$3:$AM$3,0))</f>
        <v>#N/A</v>
      </c>
      <c r="L327" t="s">
        <v>218</v>
      </c>
      <c r="M327" s="111"/>
    </row>
    <row r="328" spans="1:13" x14ac:dyDescent="0.25">
      <c r="A328">
        <v>327</v>
      </c>
      <c r="B328">
        <v>40106806</v>
      </c>
      <c r="C328">
        <v>2</v>
      </c>
      <c r="E328" s="110">
        <v>42816</v>
      </c>
      <c r="F328" s="111" t="s">
        <v>368</v>
      </c>
      <c r="G328">
        <v>5.1879999999999997</v>
      </c>
      <c r="H328">
        <v>15.000000000000027</v>
      </c>
      <c r="I328">
        <v>3</v>
      </c>
      <c r="J328">
        <v>90</v>
      </c>
      <c r="K328" s="1" t="e">
        <f>INDEX($P$4:$AM$15,MATCH(MONTH($E328),$O$4:$O$15,0),MATCH(HOUR($F328),$P$3:$AM$3,0))</f>
        <v>#N/A</v>
      </c>
      <c r="L328" t="s">
        <v>218</v>
      </c>
      <c r="M328" s="111"/>
    </row>
    <row r="329" spans="1:13" x14ac:dyDescent="0.25">
      <c r="A329">
        <v>328</v>
      </c>
      <c r="B329">
        <v>40106806</v>
      </c>
      <c r="C329">
        <v>3</v>
      </c>
      <c r="E329" s="110">
        <v>42816</v>
      </c>
      <c r="F329" s="111" t="s">
        <v>286</v>
      </c>
      <c r="G329">
        <v>4.3310000000000004</v>
      </c>
      <c r="H329">
        <v>9.9999999999999645</v>
      </c>
      <c r="I329">
        <v>3</v>
      </c>
      <c r="J329">
        <v>125.00000000000003</v>
      </c>
      <c r="K329" s="1" t="e">
        <f>INDEX($P$4:$AM$15,MATCH(MONTH($E329),$O$4:$O$15,0),MATCH(HOUR($F329),$P$3:$AM$3,0))</f>
        <v>#N/A</v>
      </c>
      <c r="L329" t="s">
        <v>218</v>
      </c>
      <c r="M329" s="111"/>
    </row>
    <row r="330" spans="1:13" x14ac:dyDescent="0.25">
      <c r="A330">
        <v>329</v>
      </c>
      <c r="B330">
        <v>40106806</v>
      </c>
      <c r="C330">
        <v>4</v>
      </c>
      <c r="E330" s="110">
        <v>42816</v>
      </c>
      <c r="F330" s="111" t="s">
        <v>388</v>
      </c>
      <c r="G330">
        <v>5.3129999999999997</v>
      </c>
      <c r="H330">
        <v>14.999999999999947</v>
      </c>
      <c r="I330">
        <v>3</v>
      </c>
      <c r="J330">
        <v>30.000000000000053</v>
      </c>
      <c r="K330" s="1" t="e">
        <f>INDEX($P$4:$AM$15,MATCH(MONTH($E330),$O$4:$O$15,0),MATCH(HOUR($F330),$P$3:$AM$3,0))</f>
        <v>#N/A</v>
      </c>
      <c r="L330" t="s">
        <v>218</v>
      </c>
      <c r="M330" s="111"/>
    </row>
    <row r="331" spans="1:13" x14ac:dyDescent="0.25">
      <c r="A331">
        <v>330</v>
      </c>
      <c r="B331">
        <v>40106806</v>
      </c>
      <c r="C331">
        <v>5</v>
      </c>
      <c r="E331" s="110">
        <v>42816</v>
      </c>
      <c r="F331" s="111" t="s">
        <v>262</v>
      </c>
      <c r="G331">
        <v>10.015000000000001</v>
      </c>
      <c r="H331">
        <v>39.999999999999936</v>
      </c>
      <c r="I331">
        <v>3</v>
      </c>
      <c r="J331">
        <v>80.000000000000028</v>
      </c>
      <c r="K331" s="1" t="e">
        <f>INDEX($P$4:$AM$15,MATCH(MONTH($E331),$O$4:$O$15,0),MATCH(HOUR($F331),$P$3:$AM$3,0))</f>
        <v>#N/A</v>
      </c>
      <c r="L331" t="s">
        <v>218</v>
      </c>
      <c r="M331" s="111"/>
    </row>
    <row r="332" spans="1:13" x14ac:dyDescent="0.25">
      <c r="A332">
        <v>331</v>
      </c>
      <c r="B332">
        <v>40106806</v>
      </c>
      <c r="C332">
        <v>6</v>
      </c>
      <c r="E332" s="110">
        <v>42816</v>
      </c>
      <c r="F332" s="111" t="s">
        <v>240</v>
      </c>
      <c r="G332">
        <v>7.9649999999999999</v>
      </c>
      <c r="H332">
        <v>30.000000000000053</v>
      </c>
      <c r="I332">
        <v>3</v>
      </c>
      <c r="J332">
        <v>29.999999999999893</v>
      </c>
      <c r="K332" s="1" t="e">
        <f>INDEX($P$4:$AM$15,MATCH(MONTH($E332),$O$4:$O$15,0),MATCH(HOUR($F332),$P$3:$AM$3,0))</f>
        <v>#N/A</v>
      </c>
      <c r="L332" t="s">
        <v>218</v>
      </c>
      <c r="M332" s="111"/>
    </row>
    <row r="333" spans="1:13" x14ac:dyDescent="0.25">
      <c r="A333">
        <v>332</v>
      </c>
      <c r="B333">
        <v>40106806</v>
      </c>
      <c r="C333">
        <v>7</v>
      </c>
      <c r="E333" s="110">
        <v>42816</v>
      </c>
      <c r="F333" s="111" t="s">
        <v>294</v>
      </c>
      <c r="G333">
        <v>6.7469999999999999</v>
      </c>
      <c r="H333">
        <v>15.000000000000107</v>
      </c>
      <c r="I333">
        <v>3</v>
      </c>
      <c r="J333">
        <v>85.000000000000014</v>
      </c>
      <c r="K333" s="1" t="e">
        <f>INDEX($P$4:$AM$15,MATCH(MONTH($E333),$O$4:$O$15,0),MATCH(HOUR($F333),$P$3:$AM$3,0))</f>
        <v>#N/A</v>
      </c>
      <c r="L333" t="s">
        <v>218</v>
      </c>
      <c r="M333" s="111"/>
    </row>
    <row r="334" spans="1:13" x14ac:dyDescent="0.25">
      <c r="A334">
        <v>333</v>
      </c>
      <c r="B334">
        <v>40106806</v>
      </c>
      <c r="C334">
        <v>8</v>
      </c>
      <c r="E334" s="110">
        <v>42816</v>
      </c>
      <c r="F334" s="111" t="s">
        <v>376</v>
      </c>
      <c r="G334">
        <v>4.3310000000000004</v>
      </c>
      <c r="H334">
        <v>14.999999999999947</v>
      </c>
      <c r="I334">
        <v>3</v>
      </c>
      <c r="J334">
        <v>109.99999999999993</v>
      </c>
      <c r="K334" s="1" t="e">
        <f>INDEX($P$4:$AM$15,MATCH(MONTH($E334),$O$4:$O$15,0),MATCH(HOUR($F334),$P$3:$AM$3,0))</f>
        <v>#N/A</v>
      </c>
      <c r="L334" t="s">
        <v>218</v>
      </c>
      <c r="M334" s="111"/>
    </row>
    <row r="335" spans="1:13" x14ac:dyDescent="0.25">
      <c r="A335">
        <v>334</v>
      </c>
      <c r="B335">
        <v>40106806</v>
      </c>
      <c r="C335">
        <v>9</v>
      </c>
      <c r="E335" s="110">
        <v>42816</v>
      </c>
      <c r="F335" s="111" t="s">
        <v>358</v>
      </c>
      <c r="G335">
        <v>4.827</v>
      </c>
      <c r="H335">
        <v>15.000000000000107</v>
      </c>
      <c r="I335">
        <v>3</v>
      </c>
      <c r="J335">
        <v>64.999999999999929</v>
      </c>
      <c r="K335" s="1" t="e">
        <f>INDEX($P$4:$AM$15,MATCH(MONTH($E335),$O$4:$O$15,0),MATCH(HOUR($F335),$P$3:$AM$3,0))</f>
        <v>#N/A</v>
      </c>
      <c r="L335" t="s">
        <v>218</v>
      </c>
      <c r="M335" s="111"/>
    </row>
    <row r="336" spans="1:13" x14ac:dyDescent="0.25">
      <c r="A336">
        <v>335</v>
      </c>
      <c r="B336">
        <v>40106806</v>
      </c>
      <c r="C336">
        <v>10</v>
      </c>
      <c r="E336" s="110">
        <v>42816</v>
      </c>
      <c r="F336" s="111" t="s">
        <v>395</v>
      </c>
      <c r="G336">
        <v>2.1120000000000001</v>
      </c>
      <c r="H336">
        <v>5.0000000000001421</v>
      </c>
      <c r="I336">
        <v>3</v>
      </c>
      <c r="J336">
        <v>844.99999999999989</v>
      </c>
      <c r="K336" s="1" t="e">
        <f>INDEX($P$4:$AM$15,MATCH(MONTH($E336),$O$4:$O$15,0),MATCH(HOUR($F336),$P$3:$AM$3,0))</f>
        <v>#N/A</v>
      </c>
      <c r="L336" t="s">
        <v>218</v>
      </c>
      <c r="M336" s="111"/>
    </row>
    <row r="337" spans="1:13" x14ac:dyDescent="0.25">
      <c r="A337">
        <v>336</v>
      </c>
      <c r="B337">
        <v>40106806</v>
      </c>
      <c r="C337">
        <v>1</v>
      </c>
      <c r="E337" s="110">
        <v>42817</v>
      </c>
      <c r="F337" s="111" t="s">
        <v>311</v>
      </c>
      <c r="G337">
        <v>4.431</v>
      </c>
      <c r="H337">
        <v>9.9999999999999645</v>
      </c>
      <c r="I337">
        <v>4</v>
      </c>
      <c r="J337">
        <v>10.000000000000044</v>
      </c>
      <c r="K337" s="1" t="e">
        <f>INDEX($P$4:$AM$15,MATCH(MONTH($E337),$O$4:$O$15,0),MATCH(HOUR($F337),$P$3:$AM$3,0))</f>
        <v>#N/A</v>
      </c>
      <c r="L337" t="s">
        <v>218</v>
      </c>
      <c r="M337" s="111"/>
    </row>
    <row r="338" spans="1:13" x14ac:dyDescent="0.25">
      <c r="A338">
        <v>337</v>
      </c>
      <c r="B338">
        <v>40106806</v>
      </c>
      <c r="C338">
        <v>2</v>
      </c>
      <c r="E338" s="110">
        <v>42817</v>
      </c>
      <c r="F338" s="111" t="s">
        <v>396</v>
      </c>
      <c r="G338">
        <v>1.298</v>
      </c>
      <c r="H338">
        <v>4.9999999999999822</v>
      </c>
      <c r="I338">
        <v>4</v>
      </c>
      <c r="J338">
        <v>160</v>
      </c>
      <c r="K338" s="1" t="e">
        <f>INDEX($P$4:$AM$15,MATCH(MONTH($E338),$O$4:$O$15,0),MATCH(HOUR($F338),$P$3:$AM$3,0))</f>
        <v>#N/A</v>
      </c>
      <c r="L338" t="s">
        <v>218</v>
      </c>
      <c r="M338" s="111"/>
    </row>
    <row r="339" spans="1:13" x14ac:dyDescent="0.25">
      <c r="A339">
        <v>338</v>
      </c>
      <c r="B339">
        <v>40106806</v>
      </c>
      <c r="C339">
        <v>3</v>
      </c>
      <c r="E339" s="110">
        <v>42817</v>
      </c>
      <c r="F339" s="111" t="s">
        <v>397</v>
      </c>
      <c r="G339">
        <v>2.274</v>
      </c>
      <c r="H339">
        <v>9.9999999999999645</v>
      </c>
      <c r="I339">
        <v>4</v>
      </c>
      <c r="J339">
        <v>70.000000000000071</v>
      </c>
      <c r="K339" s="1" t="e">
        <f>INDEX($P$4:$AM$15,MATCH(MONTH($E339),$O$4:$O$15,0),MATCH(HOUR($F339),$P$3:$AM$3,0))</f>
        <v>#N/A</v>
      </c>
      <c r="L339" t="s">
        <v>218</v>
      </c>
      <c r="M339" s="111"/>
    </row>
    <row r="340" spans="1:13" x14ac:dyDescent="0.25">
      <c r="A340">
        <v>339</v>
      </c>
      <c r="B340">
        <v>40106806</v>
      </c>
      <c r="C340">
        <v>4</v>
      </c>
      <c r="E340" s="110">
        <v>42817</v>
      </c>
      <c r="F340" s="111" t="s">
        <v>363</v>
      </c>
      <c r="G340">
        <v>2.2349999999999999</v>
      </c>
      <c r="H340">
        <v>9.9999999999999645</v>
      </c>
      <c r="I340">
        <v>4</v>
      </c>
      <c r="J340">
        <v>54.999999999999964</v>
      </c>
      <c r="K340" s="1" t="e">
        <f>INDEX($P$4:$AM$15,MATCH(MONTH($E340),$O$4:$O$15,0),MATCH(HOUR($F340),$P$3:$AM$3,0))</f>
        <v>#N/A</v>
      </c>
      <c r="L340" t="s">
        <v>218</v>
      </c>
      <c r="M340" s="111"/>
    </row>
    <row r="341" spans="1:13" x14ac:dyDescent="0.25">
      <c r="A341">
        <v>340</v>
      </c>
      <c r="B341">
        <v>40106806</v>
      </c>
      <c r="C341">
        <v>5</v>
      </c>
      <c r="E341" s="110">
        <v>42817</v>
      </c>
      <c r="F341" s="111" t="s">
        <v>268</v>
      </c>
      <c r="G341">
        <v>3.83</v>
      </c>
      <c r="H341">
        <v>9.9999999999999645</v>
      </c>
      <c r="I341">
        <v>4</v>
      </c>
      <c r="J341">
        <v>1064.0000000000002</v>
      </c>
      <c r="K341" s="1" t="e">
        <f>INDEX($P$4:$AM$15,MATCH(MONTH($E341),$O$4:$O$15,0),MATCH(HOUR($F341),$P$3:$AM$3,0))</f>
        <v>#N/A</v>
      </c>
      <c r="L341" t="s">
        <v>218</v>
      </c>
      <c r="M341" s="111"/>
    </row>
    <row r="342" spans="1:13" x14ac:dyDescent="0.25">
      <c r="A342">
        <v>341</v>
      </c>
      <c r="B342">
        <v>40106806</v>
      </c>
      <c r="C342">
        <v>1</v>
      </c>
      <c r="E342" s="110">
        <v>42818</v>
      </c>
      <c r="F342" s="111" t="s">
        <v>398</v>
      </c>
      <c r="G342">
        <v>3.1</v>
      </c>
      <c r="H342">
        <v>8.999999999999968</v>
      </c>
      <c r="I342">
        <v>3</v>
      </c>
      <c r="J342">
        <v>5.9999999999999787</v>
      </c>
      <c r="K342" s="1" t="e">
        <f>INDEX($P$4:$AM$15,MATCH(MONTH($E342),$O$4:$O$15,0),MATCH(HOUR($F342),$P$3:$AM$3,0))</f>
        <v>#N/A</v>
      </c>
      <c r="L342" t="s">
        <v>218</v>
      </c>
      <c r="M342" s="111"/>
    </row>
    <row r="343" spans="1:13" x14ac:dyDescent="0.25">
      <c r="A343">
        <v>342</v>
      </c>
      <c r="B343">
        <v>40106806</v>
      </c>
      <c r="C343">
        <v>2</v>
      </c>
      <c r="E343" s="110">
        <v>42818</v>
      </c>
      <c r="F343" s="111" t="s">
        <v>308</v>
      </c>
      <c r="G343">
        <v>21.100999999999999</v>
      </c>
      <c r="H343">
        <v>24.000000000000075</v>
      </c>
      <c r="I343">
        <v>3</v>
      </c>
      <c r="J343">
        <v>570</v>
      </c>
      <c r="K343" s="1" t="e">
        <f>INDEX($P$4:$AM$15,MATCH(MONTH($E343),$O$4:$O$15,0),MATCH(HOUR($F343),$P$3:$AM$3,0))</f>
        <v>#N/A</v>
      </c>
      <c r="L343" t="s">
        <v>218</v>
      </c>
      <c r="M343" s="111"/>
    </row>
    <row r="344" spans="1:13" x14ac:dyDescent="0.25">
      <c r="A344">
        <v>343</v>
      </c>
      <c r="B344">
        <v>40106806</v>
      </c>
      <c r="C344">
        <v>3</v>
      </c>
      <c r="E344" s="110">
        <v>42818</v>
      </c>
      <c r="F344" s="111" t="s">
        <v>399</v>
      </c>
      <c r="G344">
        <v>21.077000000000002</v>
      </c>
      <c r="H344">
        <v>26.999999999999904</v>
      </c>
      <c r="I344">
        <v>3</v>
      </c>
      <c r="J344">
        <v>800.00000000000011</v>
      </c>
      <c r="K344" s="1" t="e">
        <f>INDEX($P$4:$AM$15,MATCH(MONTH($E344),$O$4:$O$15,0),MATCH(HOUR($F344),$P$3:$AM$3,0))</f>
        <v>#N/A</v>
      </c>
      <c r="L344" t="s">
        <v>218</v>
      </c>
      <c r="M344" s="111"/>
    </row>
    <row r="345" spans="1:13" x14ac:dyDescent="0.25">
      <c r="A345">
        <v>344</v>
      </c>
      <c r="B345">
        <v>40111428</v>
      </c>
      <c r="C345">
        <v>1</v>
      </c>
      <c r="E345" s="110">
        <v>42819</v>
      </c>
      <c r="F345" s="111" t="s">
        <v>400</v>
      </c>
      <c r="G345">
        <v>9.4979999999999993</v>
      </c>
      <c r="H345">
        <v>34.999999999999872</v>
      </c>
      <c r="I345">
        <v>3</v>
      </c>
      <c r="J345">
        <v>155</v>
      </c>
      <c r="K345" s="1" t="e">
        <f>INDEX($P$4:$AM$15,MATCH(MONTH($E345),$O$4:$O$15,0),MATCH(HOUR($F345),$P$3:$AM$3,0))</f>
        <v>#N/A</v>
      </c>
      <c r="L345" t="s">
        <v>302</v>
      </c>
      <c r="M345" s="111"/>
    </row>
    <row r="346" spans="1:13" x14ac:dyDescent="0.25">
      <c r="A346">
        <v>345</v>
      </c>
      <c r="B346">
        <v>40111428</v>
      </c>
      <c r="C346">
        <v>2</v>
      </c>
      <c r="E346" s="110">
        <v>42819</v>
      </c>
      <c r="F346" s="111" t="s">
        <v>350</v>
      </c>
      <c r="G346">
        <v>9.5</v>
      </c>
      <c r="H346">
        <v>30.000000000000053</v>
      </c>
      <c r="I346">
        <v>3</v>
      </c>
      <c r="J346">
        <v>1133</v>
      </c>
      <c r="K346" s="1" t="e">
        <f>INDEX($P$4:$AM$15,MATCH(MONTH($E346),$O$4:$O$15,0),MATCH(HOUR($F346),$P$3:$AM$3,0))</f>
        <v>#N/A</v>
      </c>
      <c r="L346" t="s">
        <v>302</v>
      </c>
      <c r="M346" s="111"/>
    </row>
    <row r="347" spans="1:13" x14ac:dyDescent="0.25">
      <c r="A347">
        <v>346</v>
      </c>
      <c r="B347">
        <v>40117808</v>
      </c>
      <c r="C347">
        <v>1</v>
      </c>
      <c r="E347" s="110">
        <v>42820</v>
      </c>
      <c r="F347" s="111" t="s">
        <v>323</v>
      </c>
      <c r="G347">
        <v>24.302</v>
      </c>
      <c r="H347">
        <v>40.000000000000099</v>
      </c>
      <c r="I347">
        <v>6</v>
      </c>
      <c r="J347">
        <v>574</v>
      </c>
      <c r="K347" s="1" t="e">
        <f>INDEX($P$4:$AM$15,MATCH(MONTH($E347),$O$4:$O$15,0),MATCH(HOUR($F347),$P$3:$AM$3,0))</f>
        <v>#N/A</v>
      </c>
      <c r="L347" t="s">
        <v>249</v>
      </c>
      <c r="M347" s="111"/>
    </row>
    <row r="348" spans="1:13" x14ac:dyDescent="0.25">
      <c r="A348">
        <v>347</v>
      </c>
      <c r="B348">
        <v>40117808</v>
      </c>
      <c r="C348">
        <v>2</v>
      </c>
      <c r="E348" s="110">
        <v>42820</v>
      </c>
      <c r="F348" s="111" t="s">
        <v>401</v>
      </c>
      <c r="G348">
        <v>3.2589999999999999</v>
      </c>
      <c r="H348">
        <v>10.999999999999961</v>
      </c>
      <c r="I348">
        <v>6</v>
      </c>
      <c r="J348">
        <v>11.999999999999957</v>
      </c>
      <c r="K348" s="1" t="e">
        <f>INDEX($P$4:$AM$15,MATCH(MONTH($E348),$O$4:$O$15,0),MATCH(HOUR($F348),$P$3:$AM$3,0))</f>
        <v>#N/A</v>
      </c>
      <c r="L348" t="s">
        <v>249</v>
      </c>
      <c r="M348" s="111"/>
    </row>
    <row r="349" spans="1:13" x14ac:dyDescent="0.25">
      <c r="A349">
        <v>348</v>
      </c>
      <c r="B349">
        <v>40117808</v>
      </c>
      <c r="C349">
        <v>3</v>
      </c>
      <c r="E349" s="110">
        <v>42820</v>
      </c>
      <c r="F349" s="111" t="s">
        <v>358</v>
      </c>
      <c r="G349">
        <v>16.844999999999999</v>
      </c>
      <c r="H349">
        <v>36.000000000000192</v>
      </c>
      <c r="I349">
        <v>6</v>
      </c>
      <c r="J349">
        <v>816.99999999999989</v>
      </c>
      <c r="K349" s="1" t="e">
        <f>INDEX($P$4:$AM$15,MATCH(MONTH($E349),$O$4:$O$15,0),MATCH(HOUR($F349),$P$3:$AM$3,0))</f>
        <v>#N/A</v>
      </c>
      <c r="L349" t="s">
        <v>249</v>
      </c>
      <c r="M349" s="111"/>
    </row>
    <row r="350" spans="1:13" x14ac:dyDescent="0.25">
      <c r="A350">
        <v>349</v>
      </c>
      <c r="B350">
        <v>40117808</v>
      </c>
      <c r="C350">
        <v>1</v>
      </c>
      <c r="E350" s="110">
        <v>42821</v>
      </c>
      <c r="F350" s="111" t="s">
        <v>402</v>
      </c>
      <c r="G350">
        <v>19.312000000000001</v>
      </c>
      <c r="H350">
        <v>30.99999999999989</v>
      </c>
      <c r="I350">
        <v>4</v>
      </c>
      <c r="J350">
        <v>428.00000000000017</v>
      </c>
      <c r="K350" s="1" t="e">
        <f>INDEX($P$4:$AM$15,MATCH(MONTH($E350),$O$4:$O$15,0),MATCH(HOUR($F350),$P$3:$AM$3,0))</f>
        <v>#N/A</v>
      </c>
      <c r="L350" t="s">
        <v>249</v>
      </c>
      <c r="M350" s="111"/>
    </row>
    <row r="351" spans="1:13" x14ac:dyDescent="0.25">
      <c r="A351">
        <v>350</v>
      </c>
      <c r="B351">
        <v>40117808</v>
      </c>
      <c r="C351">
        <v>2</v>
      </c>
      <c r="E351" s="110">
        <v>42821</v>
      </c>
      <c r="F351" s="111" t="s">
        <v>403</v>
      </c>
      <c r="G351">
        <v>18.518000000000001</v>
      </c>
      <c r="H351">
        <v>33.000000000000043</v>
      </c>
      <c r="I351">
        <v>4</v>
      </c>
      <c r="J351">
        <v>1425</v>
      </c>
      <c r="K351" s="1" t="e">
        <f>INDEX($P$4:$AM$15,MATCH(MONTH($E351),$O$4:$O$15,0),MATCH(HOUR($F351),$P$3:$AM$3,0))</f>
        <v>#N/A</v>
      </c>
      <c r="L351" t="s">
        <v>249</v>
      </c>
      <c r="M351" s="111"/>
    </row>
    <row r="352" spans="1:13" x14ac:dyDescent="0.25">
      <c r="A352">
        <v>351</v>
      </c>
      <c r="B352">
        <v>40124035</v>
      </c>
      <c r="C352">
        <v>1</v>
      </c>
      <c r="E352" s="110">
        <v>42822</v>
      </c>
      <c r="F352" s="111" t="s">
        <v>349</v>
      </c>
      <c r="G352">
        <v>39.802999999999997</v>
      </c>
      <c r="H352">
        <v>45</v>
      </c>
      <c r="I352">
        <v>4</v>
      </c>
      <c r="J352">
        <v>139.99999999999997</v>
      </c>
      <c r="K352" s="1" t="e">
        <f>INDEX($P$4:$AM$15,MATCH(MONTH($E352),$O$4:$O$15,0),MATCH(HOUR($F352),$P$3:$AM$3,0))</f>
        <v>#N/A</v>
      </c>
      <c r="L352" t="s">
        <v>231</v>
      </c>
      <c r="M352" s="111"/>
    </row>
    <row r="353" spans="1:13" x14ac:dyDescent="0.25">
      <c r="A353">
        <v>352</v>
      </c>
      <c r="B353">
        <v>40124035</v>
      </c>
      <c r="C353">
        <v>2</v>
      </c>
      <c r="E353" s="110">
        <v>42822</v>
      </c>
      <c r="F353" s="111" t="s">
        <v>374</v>
      </c>
      <c r="G353">
        <v>39.280999999999999</v>
      </c>
      <c r="H353">
        <v>44</v>
      </c>
      <c r="I353">
        <v>4</v>
      </c>
      <c r="J353">
        <v>581</v>
      </c>
      <c r="K353" s="1" t="e">
        <f>INDEX($P$4:$AM$15,MATCH(MONTH($E353),$O$4:$O$15,0),MATCH(HOUR($F353),$P$3:$AM$3,0))</f>
        <v>#N/A</v>
      </c>
      <c r="L353" t="s">
        <v>231</v>
      </c>
      <c r="M353" s="111"/>
    </row>
    <row r="354" spans="1:13" x14ac:dyDescent="0.25">
      <c r="A354">
        <v>353</v>
      </c>
      <c r="B354">
        <v>40124035</v>
      </c>
      <c r="C354">
        <v>1</v>
      </c>
      <c r="E354" s="110">
        <v>42823</v>
      </c>
      <c r="F354" s="111" t="s">
        <v>404</v>
      </c>
      <c r="G354">
        <v>20.286000000000001</v>
      </c>
      <c r="H354">
        <v>23</v>
      </c>
      <c r="I354">
        <v>6</v>
      </c>
      <c r="J354">
        <v>794</v>
      </c>
      <c r="K354" s="1" t="e">
        <f>INDEX($P$4:$AM$15,MATCH(MONTH($E354),$O$4:$O$15,0),MATCH(HOUR($F354),$P$3:$AM$3,0))</f>
        <v>#N/A</v>
      </c>
      <c r="L354" t="s">
        <v>231</v>
      </c>
      <c r="M354" s="111"/>
    </row>
    <row r="355" spans="1:13" x14ac:dyDescent="0.25">
      <c r="A355">
        <v>354</v>
      </c>
      <c r="B355">
        <v>40124035</v>
      </c>
      <c r="C355">
        <v>2</v>
      </c>
      <c r="E355" s="110">
        <v>42823</v>
      </c>
      <c r="F355" s="111" t="s">
        <v>405</v>
      </c>
      <c r="G355">
        <v>15.711</v>
      </c>
      <c r="H355">
        <v>19.999999999999929</v>
      </c>
      <c r="I355">
        <v>6</v>
      </c>
      <c r="J355">
        <v>807.99999999999989</v>
      </c>
      <c r="K355" s="1" t="e">
        <f>INDEX($P$4:$AM$15,MATCH(MONTH($E355),$O$4:$O$15,0),MATCH(HOUR($F355),$P$3:$AM$3,0))</f>
        <v>#N/A</v>
      </c>
      <c r="L355" t="s">
        <v>231</v>
      </c>
      <c r="M355" s="111"/>
    </row>
    <row r="356" spans="1:13" x14ac:dyDescent="0.25">
      <c r="A356">
        <v>355</v>
      </c>
      <c r="B356">
        <v>40127049</v>
      </c>
      <c r="C356">
        <v>1</v>
      </c>
      <c r="E356" s="110">
        <v>42824</v>
      </c>
      <c r="F356" s="111" t="s">
        <v>296</v>
      </c>
      <c r="G356">
        <v>4.2619999999999996</v>
      </c>
      <c r="H356">
        <v>11.999999999999957</v>
      </c>
      <c r="I356">
        <v>3</v>
      </c>
      <c r="J356">
        <v>17.000000000000021</v>
      </c>
      <c r="K356" s="1" t="e">
        <f>INDEX($P$4:$AM$15,MATCH(MONTH($E356),$O$4:$O$15,0),MATCH(HOUR($F356),$P$3:$AM$3,0))</f>
        <v>#N/A</v>
      </c>
      <c r="L356" t="s">
        <v>302</v>
      </c>
      <c r="M356" s="111"/>
    </row>
    <row r="357" spans="1:13" x14ac:dyDescent="0.25">
      <c r="A357">
        <v>356</v>
      </c>
      <c r="B357">
        <v>40127049</v>
      </c>
      <c r="C357">
        <v>2</v>
      </c>
      <c r="E357" s="110">
        <v>42824</v>
      </c>
      <c r="F357" s="111" t="s">
        <v>406</v>
      </c>
      <c r="G357">
        <v>4.1929999999999996</v>
      </c>
      <c r="H357">
        <v>7.9999999999999716</v>
      </c>
      <c r="I357">
        <v>3</v>
      </c>
      <c r="J357">
        <v>25.999999999999986</v>
      </c>
      <c r="K357" s="1" t="e">
        <f>INDEX($P$4:$AM$15,MATCH(MONTH($E357),$O$4:$O$15,0),MATCH(HOUR($F357),$P$3:$AM$3,0))</f>
        <v>#N/A</v>
      </c>
      <c r="L357" t="s">
        <v>302</v>
      </c>
      <c r="M357" s="111"/>
    </row>
    <row r="358" spans="1:13" x14ac:dyDescent="0.25">
      <c r="A358">
        <v>357</v>
      </c>
      <c r="B358">
        <v>40127049</v>
      </c>
      <c r="C358">
        <v>3</v>
      </c>
      <c r="E358" s="110">
        <v>42824</v>
      </c>
      <c r="F358" s="111" t="s">
        <v>407</v>
      </c>
      <c r="G358">
        <v>1.7090000000000001</v>
      </c>
      <c r="H358">
        <v>3.9999999999999858</v>
      </c>
      <c r="I358">
        <v>3</v>
      </c>
      <c r="J358">
        <v>398</v>
      </c>
      <c r="K358" s="1" t="e">
        <f>INDEX($P$4:$AM$15,MATCH(MONTH($E358),$O$4:$O$15,0),MATCH(HOUR($F358),$P$3:$AM$3,0))</f>
        <v>#N/A</v>
      </c>
      <c r="L358" t="s">
        <v>302</v>
      </c>
      <c r="M358" s="111"/>
    </row>
    <row r="359" spans="1:13" x14ac:dyDescent="0.25">
      <c r="A359">
        <v>358</v>
      </c>
      <c r="B359">
        <v>40127049</v>
      </c>
      <c r="C359">
        <v>4</v>
      </c>
      <c r="E359" s="110">
        <v>42824</v>
      </c>
      <c r="F359" s="111" t="s">
        <v>380</v>
      </c>
      <c r="G359">
        <v>4.8639999999999999</v>
      </c>
      <c r="H359">
        <v>9.0000000000001279</v>
      </c>
      <c r="I359">
        <v>3</v>
      </c>
      <c r="J359">
        <v>5.9999999999999787</v>
      </c>
      <c r="K359" s="1" t="e">
        <f>INDEX($P$4:$AM$15,MATCH(MONTH($E359),$O$4:$O$15,0),MATCH(HOUR($F359),$P$3:$AM$3,0))</f>
        <v>#N/A</v>
      </c>
      <c r="L359" t="s">
        <v>302</v>
      </c>
      <c r="M359" s="111"/>
    </row>
    <row r="360" spans="1:13" x14ac:dyDescent="0.25">
      <c r="A360">
        <v>359</v>
      </c>
      <c r="B360">
        <v>40127049</v>
      </c>
      <c r="C360">
        <v>5</v>
      </c>
      <c r="E360" s="110">
        <v>42824</v>
      </c>
      <c r="F360" s="111" t="s">
        <v>408</v>
      </c>
      <c r="G360">
        <v>2.2810000000000001</v>
      </c>
      <c r="H360">
        <v>13.000000000000114</v>
      </c>
      <c r="I360">
        <v>3</v>
      </c>
      <c r="J360">
        <v>66.999999999999915</v>
      </c>
      <c r="K360" s="1" t="e">
        <f>INDEX($P$4:$AM$15,MATCH(MONTH($E360),$O$4:$O$15,0),MATCH(HOUR($F360),$P$3:$AM$3,0))</f>
        <v>#N/A</v>
      </c>
      <c r="L360" t="s">
        <v>302</v>
      </c>
      <c r="M360" s="111"/>
    </row>
    <row r="361" spans="1:13" x14ac:dyDescent="0.25">
      <c r="A361">
        <v>360</v>
      </c>
      <c r="B361">
        <v>40127049</v>
      </c>
      <c r="C361">
        <v>6</v>
      </c>
      <c r="E361" s="110">
        <v>42824</v>
      </c>
      <c r="F361" s="111" t="s">
        <v>409</v>
      </c>
      <c r="G361">
        <v>2.286</v>
      </c>
      <c r="H361">
        <v>15.000000000000107</v>
      </c>
      <c r="I361">
        <v>3</v>
      </c>
      <c r="J361">
        <v>78.999999999999886</v>
      </c>
      <c r="K361" s="1" t="e">
        <f>INDEX($P$4:$AM$15,MATCH(MONTH($E361),$O$4:$O$15,0),MATCH(HOUR($F361),$P$3:$AM$3,0))</f>
        <v>#N/A</v>
      </c>
      <c r="L361" t="s">
        <v>302</v>
      </c>
      <c r="M361" s="111"/>
    </row>
    <row r="362" spans="1:13" x14ac:dyDescent="0.25">
      <c r="A362">
        <v>361</v>
      </c>
      <c r="B362">
        <v>40127049</v>
      </c>
      <c r="C362">
        <v>7</v>
      </c>
      <c r="E362" s="110">
        <v>42824</v>
      </c>
      <c r="F362" s="111" t="s">
        <v>410</v>
      </c>
      <c r="G362">
        <v>2.2559999999999998</v>
      </c>
      <c r="H362">
        <v>7.9999999999999716</v>
      </c>
      <c r="I362">
        <v>3</v>
      </c>
      <c r="J362">
        <v>12.999999999999954</v>
      </c>
      <c r="K362" s="1" t="e">
        <f>INDEX($P$4:$AM$15,MATCH(MONTH($E362),$O$4:$O$15,0),MATCH(HOUR($F362),$P$3:$AM$3,0))</f>
        <v>#N/A</v>
      </c>
      <c r="L362" t="s">
        <v>302</v>
      </c>
      <c r="M362" s="111"/>
    </row>
    <row r="363" spans="1:13" x14ac:dyDescent="0.25">
      <c r="A363">
        <v>362</v>
      </c>
      <c r="B363">
        <v>40127049</v>
      </c>
      <c r="C363">
        <v>8</v>
      </c>
      <c r="E363" s="110">
        <v>42824</v>
      </c>
      <c r="F363" s="111" t="s">
        <v>411</v>
      </c>
      <c r="G363">
        <v>4.2549999999999999</v>
      </c>
      <c r="H363">
        <v>12.000000000000117</v>
      </c>
      <c r="I363">
        <v>3</v>
      </c>
      <c r="J363">
        <v>743</v>
      </c>
      <c r="K363" s="1" t="e">
        <f>INDEX($P$4:$AM$15,MATCH(MONTH($E363),$O$4:$O$15,0),MATCH(HOUR($F363),$P$3:$AM$3,0))</f>
        <v>#N/A</v>
      </c>
      <c r="L363" t="s">
        <v>302</v>
      </c>
      <c r="M363" s="111"/>
    </row>
    <row r="364" spans="1:13" x14ac:dyDescent="0.25">
      <c r="A364">
        <v>363</v>
      </c>
      <c r="B364">
        <v>40127473</v>
      </c>
      <c r="C364">
        <v>1</v>
      </c>
      <c r="E364" s="110">
        <v>42825</v>
      </c>
      <c r="F364" s="111" t="s">
        <v>354</v>
      </c>
      <c r="G364">
        <v>13.702</v>
      </c>
      <c r="H364">
        <v>29.999999999999972</v>
      </c>
      <c r="I364">
        <v>4</v>
      </c>
      <c r="J364">
        <v>40.000000000000099</v>
      </c>
      <c r="K364" s="1" t="e">
        <f>INDEX($P$4:$AM$15,MATCH(MONTH($E364),$O$4:$O$15,0),MATCH(HOUR($F364),$P$3:$AM$3,0))</f>
        <v>#N/A</v>
      </c>
      <c r="L364" t="s">
        <v>222</v>
      </c>
      <c r="M364" s="111"/>
    </row>
    <row r="365" spans="1:13" x14ac:dyDescent="0.25">
      <c r="A365">
        <v>364</v>
      </c>
      <c r="B365">
        <v>40127473</v>
      </c>
      <c r="C365">
        <v>2</v>
      </c>
      <c r="E365" s="110">
        <v>42825</v>
      </c>
      <c r="F365" s="111" t="s">
        <v>385</v>
      </c>
      <c r="G365">
        <v>13.702</v>
      </c>
      <c r="H365">
        <v>29.999999999999972</v>
      </c>
      <c r="I365">
        <v>4</v>
      </c>
      <c r="J365">
        <v>1255</v>
      </c>
      <c r="K365" s="1" t="e">
        <f>INDEX($P$4:$AM$15,MATCH(MONTH($E365),$O$4:$O$15,0),MATCH(HOUR($F365),$P$3:$AM$3,0))</f>
        <v>#N/A</v>
      </c>
      <c r="L365" t="s">
        <v>222</v>
      </c>
      <c r="M365" s="111"/>
    </row>
    <row r="366" spans="1:13" x14ac:dyDescent="0.25">
      <c r="A366">
        <v>365</v>
      </c>
      <c r="B366">
        <v>40006802</v>
      </c>
      <c r="C366">
        <v>1</v>
      </c>
      <c r="E366" s="110">
        <v>42826</v>
      </c>
      <c r="F366" s="111" t="s">
        <v>253</v>
      </c>
      <c r="G366">
        <v>7.35</v>
      </c>
      <c r="H366">
        <v>4.9999999999999822</v>
      </c>
      <c r="I366">
        <v>4</v>
      </c>
      <c r="J366">
        <v>9.9999999999999645</v>
      </c>
      <c r="K366" s="1" t="e">
        <f>INDEX($P$4:$AM$15,MATCH(MONTH($E366),$O$4:$O$15,0),MATCH(HOUR($F366),$P$3:$AM$3,0))</f>
        <v>#N/A</v>
      </c>
      <c r="L366" t="s">
        <v>231</v>
      </c>
      <c r="M366" s="111"/>
    </row>
    <row r="367" spans="1:13" x14ac:dyDescent="0.25">
      <c r="A367">
        <v>366</v>
      </c>
      <c r="B367">
        <v>40006802</v>
      </c>
      <c r="C367">
        <v>2</v>
      </c>
      <c r="E367" s="110">
        <v>42826</v>
      </c>
      <c r="F367" s="111" t="s">
        <v>358</v>
      </c>
      <c r="G367">
        <v>13.191000000000001</v>
      </c>
      <c r="H367">
        <v>15.000000000000107</v>
      </c>
      <c r="I367">
        <v>4</v>
      </c>
      <c r="J367">
        <v>4.9999999999998224</v>
      </c>
      <c r="K367" s="1" t="e">
        <f>INDEX($P$4:$AM$15,MATCH(MONTH($E367),$O$4:$O$15,0),MATCH(HOUR($F367),$P$3:$AM$3,0))</f>
        <v>#N/A</v>
      </c>
      <c r="L367" t="s">
        <v>231</v>
      </c>
      <c r="M367" s="111"/>
    </row>
    <row r="368" spans="1:13" x14ac:dyDescent="0.25">
      <c r="A368">
        <v>367</v>
      </c>
      <c r="B368">
        <v>40006802</v>
      </c>
      <c r="C368">
        <v>3</v>
      </c>
      <c r="E368" s="110">
        <v>42826</v>
      </c>
      <c r="F368" s="111" t="s">
        <v>412</v>
      </c>
      <c r="G368">
        <v>10.305</v>
      </c>
      <c r="H368">
        <v>25.000000000000071</v>
      </c>
      <c r="I368">
        <v>4</v>
      </c>
      <c r="J368">
        <v>720.00000000000011</v>
      </c>
      <c r="K368" s="1" t="e">
        <f>INDEX($P$4:$AM$15,MATCH(MONTH($E368),$O$4:$O$15,0),MATCH(HOUR($F368),$P$3:$AM$3,0))</f>
        <v>#N/A</v>
      </c>
      <c r="L368" t="s">
        <v>231</v>
      </c>
      <c r="M368" s="111"/>
    </row>
    <row r="369" spans="1:13" x14ac:dyDescent="0.25">
      <c r="A369">
        <v>368</v>
      </c>
      <c r="B369">
        <v>40006802</v>
      </c>
      <c r="C369">
        <v>1</v>
      </c>
      <c r="E369" s="110">
        <v>42827</v>
      </c>
      <c r="F369" s="111" t="s">
        <v>305</v>
      </c>
      <c r="G369">
        <v>28.814</v>
      </c>
      <c r="H369">
        <v>45</v>
      </c>
      <c r="I369">
        <v>4</v>
      </c>
      <c r="J369">
        <v>345</v>
      </c>
      <c r="K369" s="1" t="e">
        <f>INDEX($P$4:$AM$15,MATCH(MONTH($E369),$O$4:$O$15,0),MATCH(HOUR($F369),$P$3:$AM$3,0))</f>
        <v>#N/A</v>
      </c>
      <c r="L369" t="s">
        <v>231</v>
      </c>
      <c r="M369" s="111"/>
    </row>
    <row r="370" spans="1:13" x14ac:dyDescent="0.25">
      <c r="A370">
        <v>369</v>
      </c>
      <c r="B370">
        <v>40012911</v>
      </c>
      <c r="C370">
        <v>2</v>
      </c>
      <c r="E370" s="110">
        <v>42827</v>
      </c>
      <c r="F370" s="111" t="s">
        <v>240</v>
      </c>
      <c r="G370">
        <v>0.108</v>
      </c>
      <c r="H370">
        <v>4.9999999999999822</v>
      </c>
      <c r="I370">
        <v>4</v>
      </c>
      <c r="J370">
        <v>25.000000000000071</v>
      </c>
      <c r="K370" s="1" t="e">
        <f>INDEX($P$4:$AM$15,MATCH(MONTH($E370),$O$4:$O$15,0),MATCH(HOUR($F370),$P$3:$AM$3,0))</f>
        <v>#N/A</v>
      </c>
      <c r="L370" t="s">
        <v>249</v>
      </c>
      <c r="M370" s="111"/>
    </row>
    <row r="371" spans="1:13" x14ac:dyDescent="0.25">
      <c r="A371">
        <v>370</v>
      </c>
      <c r="B371">
        <v>40012911</v>
      </c>
      <c r="C371">
        <v>3</v>
      </c>
      <c r="E371" s="110">
        <v>42827</v>
      </c>
      <c r="F371" s="111" t="s">
        <v>250</v>
      </c>
      <c r="G371">
        <v>0.32600000000000001</v>
      </c>
      <c r="H371">
        <v>3.9999999999999858</v>
      </c>
      <c r="I371">
        <v>4</v>
      </c>
      <c r="J371">
        <v>190.99999999999997</v>
      </c>
      <c r="K371" s="1" t="e">
        <f>INDEX($P$4:$AM$15,MATCH(MONTH($E371),$O$4:$O$15,0),MATCH(HOUR($F371),$P$3:$AM$3,0))</f>
        <v>#N/A</v>
      </c>
      <c r="L371" t="s">
        <v>249</v>
      </c>
      <c r="M371" s="111"/>
    </row>
    <row r="372" spans="1:13" x14ac:dyDescent="0.25">
      <c r="A372">
        <v>371</v>
      </c>
      <c r="B372">
        <v>40012911</v>
      </c>
      <c r="C372">
        <v>4</v>
      </c>
      <c r="E372" s="110">
        <v>42827</v>
      </c>
      <c r="F372" s="111" t="s">
        <v>241</v>
      </c>
      <c r="G372">
        <v>0.59299999999999997</v>
      </c>
      <c r="H372">
        <v>4.9999999999999822</v>
      </c>
      <c r="I372">
        <v>4</v>
      </c>
      <c r="J372">
        <v>45</v>
      </c>
      <c r="K372" s="1" t="e">
        <f>INDEX($P$4:$AM$15,MATCH(MONTH($E372),$O$4:$O$15,0),MATCH(HOUR($F372),$P$3:$AM$3,0))</f>
        <v>#N/A</v>
      </c>
      <c r="L372" t="s">
        <v>249</v>
      </c>
      <c r="M372" s="111"/>
    </row>
    <row r="373" spans="1:13" x14ac:dyDescent="0.25">
      <c r="A373">
        <v>372</v>
      </c>
      <c r="B373">
        <v>40012911</v>
      </c>
      <c r="C373">
        <v>5</v>
      </c>
      <c r="E373" s="110">
        <v>42827</v>
      </c>
      <c r="F373" s="111" t="s">
        <v>413</v>
      </c>
      <c r="G373">
        <v>0.31900000000000001</v>
      </c>
      <c r="H373">
        <v>5.0000000000001421</v>
      </c>
      <c r="I373">
        <v>4</v>
      </c>
      <c r="J373">
        <v>4.9999999999998224</v>
      </c>
      <c r="K373" s="1" t="e">
        <f>INDEX($P$4:$AM$15,MATCH(MONTH($E373),$O$4:$O$15,0),MATCH(HOUR($F373),$P$3:$AM$3,0))</f>
        <v>#N/A</v>
      </c>
      <c r="L373" t="s">
        <v>249</v>
      </c>
      <c r="M373" s="111"/>
    </row>
    <row r="374" spans="1:13" x14ac:dyDescent="0.25">
      <c r="A374">
        <v>373</v>
      </c>
      <c r="B374">
        <v>40026860</v>
      </c>
      <c r="C374">
        <v>6</v>
      </c>
      <c r="E374" s="110">
        <v>42827</v>
      </c>
      <c r="F374" s="111" t="s">
        <v>358</v>
      </c>
      <c r="G374">
        <v>5.1529999999999996</v>
      </c>
      <c r="H374">
        <v>10.000000000000124</v>
      </c>
      <c r="I374">
        <v>3</v>
      </c>
      <c r="J374">
        <v>124.99999999999987</v>
      </c>
      <c r="K374" s="1" t="e">
        <f>INDEX($P$4:$AM$15,MATCH(MONTH($E374),$O$4:$O$15,0),MATCH(HOUR($F374),$P$3:$AM$3,0))</f>
        <v>#N/A</v>
      </c>
      <c r="L374" t="s">
        <v>231</v>
      </c>
      <c r="M374" s="111"/>
    </row>
    <row r="375" spans="1:13" x14ac:dyDescent="0.25">
      <c r="A375">
        <v>374</v>
      </c>
      <c r="B375">
        <v>40026860</v>
      </c>
      <c r="C375">
        <v>7</v>
      </c>
      <c r="E375" s="110">
        <v>42827</v>
      </c>
      <c r="F375" s="111" t="s">
        <v>322</v>
      </c>
      <c r="G375">
        <v>5.1529999999999996</v>
      </c>
      <c r="H375">
        <v>10.000000000000124</v>
      </c>
      <c r="I375">
        <v>3</v>
      </c>
      <c r="J375">
        <v>829.99999999999989</v>
      </c>
      <c r="K375" s="1" t="e">
        <f>INDEX($P$4:$AM$15,MATCH(MONTH($E375),$O$4:$O$15,0),MATCH(HOUR($F375),$P$3:$AM$3,0))</f>
        <v>#N/A</v>
      </c>
      <c r="L375" t="s">
        <v>231</v>
      </c>
      <c r="M375" s="111"/>
    </row>
    <row r="376" spans="1:13" x14ac:dyDescent="0.25">
      <c r="A376">
        <v>375</v>
      </c>
      <c r="B376">
        <v>40026860</v>
      </c>
      <c r="C376">
        <v>1</v>
      </c>
      <c r="E376" s="110">
        <v>42828</v>
      </c>
      <c r="F376" s="111" t="s">
        <v>217</v>
      </c>
      <c r="G376">
        <v>7.1740000000000004</v>
      </c>
      <c r="H376">
        <v>15.000000000000027</v>
      </c>
      <c r="I376">
        <v>3</v>
      </c>
      <c r="J376">
        <v>45</v>
      </c>
      <c r="K376" s="1" t="e">
        <f>INDEX($P$4:$AM$15,MATCH(MONTH($E376),$O$4:$O$15,0),MATCH(HOUR($F376),$P$3:$AM$3,0))</f>
        <v>#N/A</v>
      </c>
      <c r="L376" t="s">
        <v>231</v>
      </c>
      <c r="M376" s="111"/>
    </row>
    <row r="377" spans="1:13" x14ac:dyDescent="0.25">
      <c r="A377">
        <v>376</v>
      </c>
      <c r="B377">
        <v>40026860</v>
      </c>
      <c r="C377">
        <v>2</v>
      </c>
      <c r="E377" s="110">
        <v>42828</v>
      </c>
      <c r="F377" s="111" t="s">
        <v>262</v>
      </c>
      <c r="G377">
        <v>5.0469999999999997</v>
      </c>
      <c r="H377">
        <v>14.999999999999947</v>
      </c>
      <c r="I377">
        <v>3</v>
      </c>
      <c r="J377">
        <v>60.000000000000028</v>
      </c>
      <c r="K377" s="1" t="e">
        <f>INDEX($P$4:$AM$15,MATCH(MONTH($E377),$O$4:$O$15,0),MATCH(HOUR($F377),$P$3:$AM$3,0))</f>
        <v>#N/A</v>
      </c>
      <c r="L377" t="s">
        <v>231</v>
      </c>
      <c r="M377" s="111"/>
    </row>
    <row r="378" spans="1:13" x14ac:dyDescent="0.25">
      <c r="A378">
        <v>377</v>
      </c>
      <c r="B378">
        <v>40026860</v>
      </c>
      <c r="C378">
        <v>3</v>
      </c>
      <c r="E378" s="110">
        <v>42828</v>
      </c>
      <c r="F378" s="111" t="s">
        <v>225</v>
      </c>
      <c r="G378">
        <v>8.1110000000000007</v>
      </c>
      <c r="H378">
        <v>14.999999999999947</v>
      </c>
      <c r="I378">
        <v>3</v>
      </c>
      <c r="J378">
        <v>1260</v>
      </c>
      <c r="K378" s="1" t="e">
        <f>INDEX($P$4:$AM$15,MATCH(MONTH($E378),$O$4:$O$15,0),MATCH(HOUR($F378),$P$3:$AM$3,0))</f>
        <v>#N/A</v>
      </c>
      <c r="L378" t="s">
        <v>231</v>
      </c>
      <c r="M378" s="111"/>
    </row>
    <row r="379" spans="1:13" x14ac:dyDescent="0.25">
      <c r="A379">
        <v>378</v>
      </c>
      <c r="B379">
        <v>40032099</v>
      </c>
      <c r="C379">
        <v>1</v>
      </c>
      <c r="E379" s="110">
        <v>42829</v>
      </c>
      <c r="F379" s="111" t="s">
        <v>283</v>
      </c>
      <c r="G379">
        <v>3.351</v>
      </c>
      <c r="H379">
        <v>14.999999999999947</v>
      </c>
      <c r="I379">
        <v>3</v>
      </c>
      <c r="J379">
        <v>15.000000000000027</v>
      </c>
      <c r="K379" s="1" t="e">
        <f>INDEX($P$4:$AM$15,MATCH(MONTH($E379),$O$4:$O$15,0),MATCH(HOUR($F379),$P$3:$AM$3,0))</f>
        <v>#N/A</v>
      </c>
      <c r="L379" t="s">
        <v>218</v>
      </c>
      <c r="M379" s="111"/>
    </row>
    <row r="380" spans="1:13" x14ac:dyDescent="0.25">
      <c r="A380">
        <v>379</v>
      </c>
      <c r="B380">
        <v>40032099</v>
      </c>
      <c r="C380">
        <v>2</v>
      </c>
      <c r="E380" s="110">
        <v>42829</v>
      </c>
      <c r="F380" s="111" t="s">
        <v>217</v>
      </c>
      <c r="G380">
        <v>3.7389999999999999</v>
      </c>
      <c r="H380">
        <v>9.9999999999999645</v>
      </c>
      <c r="I380">
        <v>3</v>
      </c>
      <c r="J380">
        <v>1295</v>
      </c>
      <c r="K380" s="1" t="e">
        <f>INDEX($P$4:$AM$15,MATCH(MONTH($E380),$O$4:$O$15,0),MATCH(HOUR($F380),$P$3:$AM$3,0))</f>
        <v>#N/A</v>
      </c>
      <c r="L380" t="s">
        <v>218</v>
      </c>
      <c r="M380" s="111"/>
    </row>
    <row r="381" spans="1:13" x14ac:dyDescent="0.25">
      <c r="A381">
        <v>380</v>
      </c>
      <c r="B381">
        <v>40032099</v>
      </c>
      <c r="C381">
        <v>1</v>
      </c>
      <c r="E381" s="110">
        <v>42830</v>
      </c>
      <c r="F381" s="111" t="s">
        <v>389</v>
      </c>
      <c r="G381">
        <v>2.0579999999999998</v>
      </c>
      <c r="H381">
        <v>9.9999999999999645</v>
      </c>
      <c r="I381">
        <v>3</v>
      </c>
      <c r="J381">
        <v>474.99999999999989</v>
      </c>
      <c r="K381" s="1" t="e">
        <f>INDEX($P$4:$AM$15,MATCH(MONTH($E381),$O$4:$O$15,0),MATCH(HOUR($F381),$P$3:$AM$3,0))</f>
        <v>#N/A</v>
      </c>
      <c r="L381" t="s">
        <v>218</v>
      </c>
      <c r="M381" s="111"/>
    </row>
    <row r="382" spans="1:13" x14ac:dyDescent="0.25">
      <c r="A382">
        <v>381</v>
      </c>
      <c r="B382">
        <v>40032099</v>
      </c>
      <c r="C382">
        <v>2</v>
      </c>
      <c r="E382" s="110">
        <v>42830</v>
      </c>
      <c r="F382" s="111" t="s">
        <v>371</v>
      </c>
      <c r="G382">
        <v>2.069</v>
      </c>
      <c r="H382">
        <v>10.000000000000124</v>
      </c>
      <c r="I382">
        <v>3</v>
      </c>
      <c r="J382">
        <v>750</v>
      </c>
      <c r="K382" s="1" t="e">
        <f>INDEX($P$4:$AM$15,MATCH(MONTH($E382),$O$4:$O$15,0),MATCH(HOUR($F382),$P$3:$AM$3,0))</f>
        <v>#N/A</v>
      </c>
      <c r="L382" t="s">
        <v>218</v>
      </c>
      <c r="M382" s="111"/>
    </row>
    <row r="383" spans="1:13" x14ac:dyDescent="0.25">
      <c r="A383">
        <v>382</v>
      </c>
      <c r="B383">
        <v>40039843</v>
      </c>
      <c r="C383">
        <v>1</v>
      </c>
      <c r="E383" s="110">
        <v>42831</v>
      </c>
      <c r="F383" s="111" t="s">
        <v>414</v>
      </c>
      <c r="G383">
        <v>53.127000000000002</v>
      </c>
      <c r="H383">
        <v>59.999999999999986</v>
      </c>
      <c r="I383">
        <v>3</v>
      </c>
      <c r="J383">
        <v>600</v>
      </c>
      <c r="K383" s="1" t="e">
        <f>INDEX($P$4:$AM$15,MATCH(MONTH($E383),$O$4:$O$15,0),MATCH(HOUR($F383),$P$3:$AM$3,0))</f>
        <v>#N/A</v>
      </c>
      <c r="L383" t="s">
        <v>222</v>
      </c>
      <c r="M383" s="111"/>
    </row>
    <row r="384" spans="1:13" x14ac:dyDescent="0.25">
      <c r="A384">
        <v>383</v>
      </c>
      <c r="B384">
        <v>40039843</v>
      </c>
      <c r="C384">
        <v>2</v>
      </c>
      <c r="E384" s="110">
        <v>42831</v>
      </c>
      <c r="F384" s="111" t="s">
        <v>252</v>
      </c>
      <c r="G384">
        <v>52.414000000000001</v>
      </c>
      <c r="H384">
        <v>60.000000000000107</v>
      </c>
      <c r="I384">
        <v>3</v>
      </c>
      <c r="J384">
        <v>1200</v>
      </c>
      <c r="K384" s="1" t="e">
        <f>INDEX($P$4:$AM$15,MATCH(MONTH($E384),$O$4:$O$15,0),MATCH(HOUR($F384),$P$3:$AM$3,0))</f>
        <v>#N/A</v>
      </c>
      <c r="L384" t="s">
        <v>222</v>
      </c>
      <c r="M384" s="111"/>
    </row>
    <row r="385" spans="1:13" x14ac:dyDescent="0.25">
      <c r="A385">
        <v>384</v>
      </c>
      <c r="B385">
        <v>40039843</v>
      </c>
      <c r="C385">
        <v>1</v>
      </c>
      <c r="E385" s="110">
        <v>42832</v>
      </c>
      <c r="F385" s="111" t="s">
        <v>219</v>
      </c>
      <c r="G385">
        <v>6.4880000000000004</v>
      </c>
      <c r="H385">
        <v>20.000000000000089</v>
      </c>
      <c r="I385">
        <v>3</v>
      </c>
      <c r="J385">
        <v>1210</v>
      </c>
      <c r="K385" s="1" t="e">
        <f>INDEX($P$4:$AM$15,MATCH(MONTH($E385),$O$4:$O$15,0),MATCH(HOUR($F385),$P$3:$AM$3,0))</f>
        <v>#N/A</v>
      </c>
      <c r="L385" t="s">
        <v>222</v>
      </c>
      <c r="M385" s="111"/>
    </row>
    <row r="386" spans="1:13" x14ac:dyDescent="0.25">
      <c r="A386">
        <v>385</v>
      </c>
      <c r="B386">
        <v>40040258</v>
      </c>
      <c r="C386">
        <v>1</v>
      </c>
      <c r="E386" s="110">
        <v>42833</v>
      </c>
      <c r="F386" s="111" t="s">
        <v>326</v>
      </c>
      <c r="G386">
        <v>7.5709999999999997</v>
      </c>
      <c r="H386">
        <v>20.000000000000089</v>
      </c>
      <c r="I386">
        <v>3</v>
      </c>
      <c r="J386">
        <v>129.99999999999994</v>
      </c>
      <c r="K386" s="1" t="e">
        <f>INDEX($P$4:$AM$15,MATCH(MONTH($E386),$O$4:$O$15,0),MATCH(HOUR($F386),$P$3:$AM$3,0))</f>
        <v>#N/A</v>
      </c>
      <c r="L386" t="s">
        <v>302</v>
      </c>
      <c r="M386" s="111"/>
    </row>
    <row r="387" spans="1:13" x14ac:dyDescent="0.25">
      <c r="A387">
        <v>386</v>
      </c>
      <c r="B387">
        <v>40040258</v>
      </c>
      <c r="C387">
        <v>2</v>
      </c>
      <c r="E387" s="110">
        <v>42833</v>
      </c>
      <c r="F387" s="111" t="s">
        <v>318</v>
      </c>
      <c r="G387">
        <v>14.85</v>
      </c>
      <c r="H387">
        <v>24.999999999999911</v>
      </c>
      <c r="I387">
        <v>3</v>
      </c>
      <c r="J387">
        <v>35.000000000000036</v>
      </c>
      <c r="K387" s="1" t="e">
        <f>INDEX($P$4:$AM$15,MATCH(MONTH($E387),$O$4:$O$15,0),MATCH(HOUR($F387),$P$3:$AM$3,0))</f>
        <v>#N/A</v>
      </c>
      <c r="L387" t="s">
        <v>302</v>
      </c>
      <c r="M387" s="111"/>
    </row>
    <row r="388" spans="1:13" x14ac:dyDescent="0.25">
      <c r="A388">
        <v>387</v>
      </c>
      <c r="B388">
        <v>40040258</v>
      </c>
      <c r="C388">
        <v>3</v>
      </c>
      <c r="E388" s="110">
        <v>42833</v>
      </c>
      <c r="F388" s="111" t="s">
        <v>219</v>
      </c>
      <c r="G388">
        <v>20.087</v>
      </c>
      <c r="H388">
        <v>45</v>
      </c>
      <c r="I388">
        <v>3</v>
      </c>
      <c r="J388">
        <v>25.000000000000071</v>
      </c>
      <c r="K388" s="1" t="e">
        <f>INDEX($P$4:$AM$15,MATCH(MONTH($E388),$O$4:$O$15,0),MATCH(HOUR($F388),$P$3:$AM$3,0))</f>
        <v>#N/A</v>
      </c>
      <c r="L388" t="s">
        <v>302</v>
      </c>
      <c r="M388" s="111"/>
    </row>
    <row r="389" spans="1:13" x14ac:dyDescent="0.25">
      <c r="A389">
        <v>388</v>
      </c>
      <c r="B389">
        <v>40040258</v>
      </c>
      <c r="C389">
        <v>4</v>
      </c>
      <c r="E389" s="110">
        <v>42833</v>
      </c>
      <c r="F389" s="111" t="s">
        <v>363</v>
      </c>
      <c r="G389">
        <v>15.512</v>
      </c>
      <c r="H389">
        <v>35.000000000000036</v>
      </c>
      <c r="I389">
        <v>3</v>
      </c>
      <c r="J389">
        <v>1215</v>
      </c>
      <c r="K389" s="1" t="e">
        <f>INDEX($P$4:$AM$15,MATCH(MONTH($E389),$O$4:$O$15,0),MATCH(HOUR($F389),$P$3:$AM$3,0))</f>
        <v>#N/A</v>
      </c>
      <c r="L389" t="s">
        <v>302</v>
      </c>
      <c r="M389" s="111"/>
    </row>
    <row r="390" spans="1:13" x14ac:dyDescent="0.25">
      <c r="A390">
        <v>389</v>
      </c>
      <c r="B390">
        <v>40040258</v>
      </c>
      <c r="C390">
        <v>1</v>
      </c>
      <c r="E390" s="110">
        <v>42834</v>
      </c>
      <c r="F390" s="111" t="s">
        <v>221</v>
      </c>
      <c r="G390">
        <v>7.5709999999999997</v>
      </c>
      <c r="H390">
        <v>20.000000000000089</v>
      </c>
      <c r="I390">
        <v>4</v>
      </c>
      <c r="J390">
        <v>69.999999999999986</v>
      </c>
      <c r="K390" s="1" t="e">
        <f>INDEX($P$4:$AM$15,MATCH(MONTH($E390),$O$4:$O$15,0),MATCH(HOUR($F390),$P$3:$AM$3,0))</f>
        <v>#N/A</v>
      </c>
      <c r="L390" t="s">
        <v>302</v>
      </c>
      <c r="M390" s="111"/>
    </row>
    <row r="391" spans="1:13" x14ac:dyDescent="0.25">
      <c r="A391">
        <v>390</v>
      </c>
      <c r="B391">
        <v>40040258</v>
      </c>
      <c r="C391">
        <v>2</v>
      </c>
      <c r="E391" s="110">
        <v>42834</v>
      </c>
      <c r="F391" s="111" t="s">
        <v>314</v>
      </c>
      <c r="G391">
        <v>14.85</v>
      </c>
      <c r="H391">
        <v>39.999999999999858</v>
      </c>
      <c r="I391">
        <v>4</v>
      </c>
      <c r="J391">
        <v>60.000000000000107</v>
      </c>
      <c r="K391" s="1" t="e">
        <f>INDEX($P$4:$AM$15,MATCH(MONTH($E391),$O$4:$O$15,0),MATCH(HOUR($F391),$P$3:$AM$3,0))</f>
        <v>#N/A</v>
      </c>
      <c r="L391" t="s">
        <v>302</v>
      </c>
      <c r="M391" s="111"/>
    </row>
    <row r="392" spans="1:13" x14ac:dyDescent="0.25">
      <c r="A392">
        <v>391</v>
      </c>
      <c r="B392">
        <v>40040258</v>
      </c>
      <c r="C392">
        <v>3</v>
      </c>
      <c r="E392" s="110">
        <v>42834</v>
      </c>
      <c r="F392" s="111" t="s">
        <v>363</v>
      </c>
      <c r="G392">
        <v>22.484000000000002</v>
      </c>
      <c r="H392">
        <v>40.000000000000014</v>
      </c>
      <c r="I392">
        <v>4</v>
      </c>
      <c r="J392">
        <v>1000</v>
      </c>
      <c r="K392" s="1" t="e">
        <f>INDEX($P$4:$AM$15,MATCH(MONTH($E392),$O$4:$O$15,0),MATCH(HOUR($F392),$P$3:$AM$3,0))</f>
        <v>#N/A</v>
      </c>
      <c r="L392" t="s">
        <v>302</v>
      </c>
      <c r="M392" s="111"/>
    </row>
    <row r="393" spans="1:13" x14ac:dyDescent="0.25">
      <c r="A393">
        <v>392</v>
      </c>
      <c r="B393">
        <v>40052508</v>
      </c>
      <c r="C393">
        <v>1</v>
      </c>
      <c r="E393" s="110">
        <v>42835</v>
      </c>
      <c r="F393" s="111" t="s">
        <v>251</v>
      </c>
      <c r="G393">
        <v>36.844999999999999</v>
      </c>
      <c r="H393">
        <v>45</v>
      </c>
      <c r="I393">
        <v>3</v>
      </c>
      <c r="J393">
        <v>555</v>
      </c>
      <c r="K393" s="1" t="e">
        <f>INDEX($P$4:$AM$15,MATCH(MONTH($E393),$O$4:$O$15,0),MATCH(HOUR($F393),$P$3:$AM$3,0))</f>
        <v>#N/A</v>
      </c>
      <c r="L393" t="s">
        <v>218</v>
      </c>
      <c r="M393" s="111"/>
    </row>
    <row r="394" spans="1:13" x14ac:dyDescent="0.25">
      <c r="A394">
        <v>393</v>
      </c>
      <c r="B394">
        <v>40052508</v>
      </c>
      <c r="C394">
        <v>2</v>
      </c>
      <c r="E394" s="110">
        <v>42835</v>
      </c>
      <c r="F394" s="111" t="s">
        <v>258</v>
      </c>
      <c r="G394">
        <v>36.771999999999998</v>
      </c>
      <c r="H394">
        <v>46</v>
      </c>
      <c r="I394">
        <v>3</v>
      </c>
      <c r="J394">
        <v>59.000000000000114</v>
      </c>
      <c r="K394" s="1" t="e">
        <f>INDEX($P$4:$AM$15,MATCH(MONTH($E394),$O$4:$O$15,0),MATCH(HOUR($F394),$P$3:$AM$3,0))</f>
        <v>#N/A</v>
      </c>
      <c r="L394" t="s">
        <v>218</v>
      </c>
      <c r="M394" s="111"/>
    </row>
    <row r="395" spans="1:13" x14ac:dyDescent="0.25">
      <c r="A395">
        <v>394</v>
      </c>
      <c r="B395">
        <v>40052508</v>
      </c>
      <c r="C395">
        <v>3</v>
      </c>
      <c r="E395" s="110">
        <v>42835</v>
      </c>
      <c r="F395" s="111" t="s">
        <v>415</v>
      </c>
      <c r="G395">
        <v>4.625</v>
      </c>
      <c r="H395">
        <v>9.9999999999999645</v>
      </c>
      <c r="I395">
        <v>3</v>
      </c>
      <c r="J395">
        <v>80.000000000000028</v>
      </c>
      <c r="K395" s="1" t="e">
        <f>INDEX($P$4:$AM$15,MATCH(MONTH($E395),$O$4:$O$15,0),MATCH(HOUR($F395),$P$3:$AM$3,0))</f>
        <v>#N/A</v>
      </c>
      <c r="L395" t="s">
        <v>218</v>
      </c>
      <c r="M395" s="111"/>
    </row>
    <row r="396" spans="1:13" x14ac:dyDescent="0.25">
      <c r="A396">
        <v>395</v>
      </c>
      <c r="B396">
        <v>40052508</v>
      </c>
      <c r="C396">
        <v>4</v>
      </c>
      <c r="E396" s="110">
        <v>42835</v>
      </c>
      <c r="F396" s="111" t="s">
        <v>416</v>
      </c>
      <c r="G396">
        <v>4.3789999999999996</v>
      </c>
      <c r="H396">
        <v>14.999999999999947</v>
      </c>
      <c r="I396">
        <v>3</v>
      </c>
      <c r="J396">
        <v>765</v>
      </c>
      <c r="K396" s="1" t="e">
        <f>INDEX($P$4:$AM$15,MATCH(MONTH($E396),$O$4:$O$15,0),MATCH(HOUR($F396),$P$3:$AM$3,0))</f>
        <v>#N/A</v>
      </c>
      <c r="L396" t="s">
        <v>218</v>
      </c>
      <c r="M396" s="111"/>
    </row>
    <row r="397" spans="1:13" x14ac:dyDescent="0.25">
      <c r="A397">
        <v>396</v>
      </c>
      <c r="B397">
        <v>40052508</v>
      </c>
      <c r="C397">
        <v>1</v>
      </c>
      <c r="E397" s="110">
        <v>42836</v>
      </c>
      <c r="F397" s="111" t="s">
        <v>311</v>
      </c>
      <c r="G397">
        <v>5.6429999999999998</v>
      </c>
      <c r="H397">
        <v>15.000000000000027</v>
      </c>
      <c r="I397">
        <v>5</v>
      </c>
      <c r="J397">
        <v>510</v>
      </c>
      <c r="K397" s="1" t="e">
        <f>INDEX($P$4:$AM$15,MATCH(MONTH($E397),$O$4:$O$15,0),MATCH(HOUR($F397),$P$3:$AM$3,0))</f>
        <v>#N/A</v>
      </c>
      <c r="L397" t="s">
        <v>218</v>
      </c>
      <c r="M397" s="111"/>
    </row>
    <row r="398" spans="1:13" x14ac:dyDescent="0.25">
      <c r="A398">
        <v>397</v>
      </c>
      <c r="B398">
        <v>40052508</v>
      </c>
      <c r="C398">
        <v>2</v>
      </c>
      <c r="E398" s="110">
        <v>42836</v>
      </c>
      <c r="F398" s="111" t="s">
        <v>300</v>
      </c>
      <c r="G398">
        <v>5.492</v>
      </c>
      <c r="H398">
        <v>14.999999999999947</v>
      </c>
      <c r="I398">
        <v>5</v>
      </c>
      <c r="J398">
        <v>735</v>
      </c>
      <c r="K398" s="1" t="e">
        <f>INDEX($P$4:$AM$15,MATCH(MONTH($E398),$O$4:$O$15,0),MATCH(HOUR($F398),$P$3:$AM$3,0))</f>
        <v>#N/A</v>
      </c>
      <c r="L398" t="s">
        <v>218</v>
      </c>
      <c r="M398" s="111"/>
    </row>
    <row r="399" spans="1:13" x14ac:dyDescent="0.25">
      <c r="A399">
        <v>398</v>
      </c>
      <c r="B399">
        <v>40072044</v>
      </c>
      <c r="C399">
        <v>1</v>
      </c>
      <c r="E399" s="110">
        <v>42837</v>
      </c>
      <c r="F399" s="111" t="s">
        <v>305</v>
      </c>
      <c r="G399">
        <v>24.395</v>
      </c>
      <c r="H399">
        <v>59.999999999999943</v>
      </c>
      <c r="I399">
        <v>3</v>
      </c>
      <c r="J399">
        <v>240</v>
      </c>
      <c r="K399" s="1" t="e">
        <f>INDEX($P$4:$AM$15,MATCH(MONTH($E399),$O$4:$O$15,0),MATCH(HOUR($F399),$P$3:$AM$3,0))</f>
        <v>#N/A</v>
      </c>
      <c r="L399" t="s">
        <v>257</v>
      </c>
      <c r="M399" s="111"/>
    </row>
    <row r="400" spans="1:13" x14ac:dyDescent="0.25">
      <c r="A400">
        <v>399</v>
      </c>
      <c r="B400">
        <v>40072044</v>
      </c>
      <c r="C400">
        <v>2</v>
      </c>
      <c r="E400" s="110">
        <v>42837</v>
      </c>
      <c r="F400" s="111" t="s">
        <v>318</v>
      </c>
      <c r="G400">
        <v>4.51</v>
      </c>
      <c r="H400">
        <v>30.000000000000053</v>
      </c>
      <c r="I400">
        <v>3</v>
      </c>
      <c r="J400">
        <v>59.999999999999943</v>
      </c>
      <c r="K400" s="1" t="e">
        <f>INDEX($P$4:$AM$15,MATCH(MONTH($E400),$O$4:$O$15,0),MATCH(HOUR($F400),$P$3:$AM$3,0))</f>
        <v>#N/A</v>
      </c>
      <c r="L400" t="s">
        <v>257</v>
      </c>
      <c r="M400" s="111"/>
    </row>
    <row r="401" spans="1:13" x14ac:dyDescent="0.25">
      <c r="A401">
        <v>400</v>
      </c>
      <c r="B401">
        <v>40072044</v>
      </c>
      <c r="C401">
        <v>3</v>
      </c>
      <c r="E401" s="110">
        <v>42837</v>
      </c>
      <c r="F401" s="111" t="s">
        <v>240</v>
      </c>
      <c r="G401">
        <v>22.407</v>
      </c>
      <c r="H401">
        <v>59.999999999999943</v>
      </c>
      <c r="I401">
        <v>3</v>
      </c>
      <c r="J401">
        <v>1200</v>
      </c>
      <c r="K401" s="1" t="e">
        <f>INDEX($P$4:$AM$15,MATCH(MONTH($E401),$O$4:$O$15,0),MATCH(HOUR($F401),$P$3:$AM$3,0))</f>
        <v>#N/A</v>
      </c>
      <c r="L401" t="s">
        <v>257</v>
      </c>
      <c r="M401" s="111"/>
    </row>
    <row r="402" spans="1:13" x14ac:dyDescent="0.25">
      <c r="A402">
        <v>401</v>
      </c>
      <c r="B402">
        <v>40087162</v>
      </c>
      <c r="C402">
        <v>1</v>
      </c>
      <c r="E402" s="110">
        <v>42838</v>
      </c>
      <c r="F402" s="111" t="s">
        <v>217</v>
      </c>
      <c r="G402">
        <v>2.8519999999999999</v>
      </c>
      <c r="H402">
        <v>5.0000000000000622</v>
      </c>
      <c r="I402">
        <v>3</v>
      </c>
      <c r="J402">
        <v>14.999999999999947</v>
      </c>
      <c r="K402" s="1" t="e">
        <f>INDEX($P$4:$AM$15,MATCH(MONTH($E402),$O$4:$O$15,0),MATCH(HOUR($F402),$P$3:$AM$3,0))</f>
        <v>#N/A</v>
      </c>
      <c r="L402" t="s">
        <v>231</v>
      </c>
      <c r="M402" s="111"/>
    </row>
    <row r="403" spans="1:13" x14ac:dyDescent="0.25">
      <c r="A403">
        <v>402</v>
      </c>
      <c r="B403">
        <v>40087162</v>
      </c>
      <c r="C403">
        <v>2</v>
      </c>
      <c r="E403" s="110">
        <v>42838</v>
      </c>
      <c r="F403" s="111" t="s">
        <v>417</v>
      </c>
      <c r="G403">
        <v>2.8679999999999999</v>
      </c>
      <c r="H403">
        <v>4.9999999999999822</v>
      </c>
      <c r="I403">
        <v>3</v>
      </c>
      <c r="J403">
        <v>2.9999999999999893</v>
      </c>
      <c r="K403" s="1" t="e">
        <f>INDEX($P$4:$AM$15,MATCH(MONTH($E403),$O$4:$O$15,0),MATCH(HOUR($F403),$P$3:$AM$3,0))</f>
        <v>#N/A</v>
      </c>
      <c r="L403" t="s">
        <v>231</v>
      </c>
      <c r="M403" s="111"/>
    </row>
    <row r="404" spans="1:13" x14ac:dyDescent="0.25">
      <c r="A404">
        <v>403</v>
      </c>
      <c r="B404">
        <v>40087162</v>
      </c>
      <c r="C404">
        <v>3</v>
      </c>
      <c r="E404" s="110">
        <v>42838</v>
      </c>
      <c r="F404" s="111" t="s">
        <v>418</v>
      </c>
      <c r="G404">
        <v>0.79600000000000004</v>
      </c>
      <c r="H404">
        <v>1.9999999999999929</v>
      </c>
      <c r="I404">
        <v>3</v>
      </c>
      <c r="J404">
        <v>9.000000000000048</v>
      </c>
      <c r="K404" s="1" t="e">
        <f>INDEX($P$4:$AM$15,MATCH(MONTH($E404),$O$4:$O$15,0),MATCH(HOUR($F404),$P$3:$AM$3,0))</f>
        <v>#N/A</v>
      </c>
      <c r="L404" t="s">
        <v>231</v>
      </c>
      <c r="M404" s="111"/>
    </row>
    <row r="405" spans="1:13" x14ac:dyDescent="0.25">
      <c r="A405">
        <v>404</v>
      </c>
      <c r="B405">
        <v>40087162</v>
      </c>
      <c r="C405">
        <v>4</v>
      </c>
      <c r="E405" s="110">
        <v>42838</v>
      </c>
      <c r="F405" s="111" t="s">
        <v>419</v>
      </c>
      <c r="G405">
        <v>0.27400000000000002</v>
      </c>
      <c r="H405">
        <v>5.9999999999999787</v>
      </c>
      <c r="I405">
        <v>3</v>
      </c>
      <c r="J405">
        <v>300.00000000000006</v>
      </c>
      <c r="K405" s="1" t="e">
        <f>INDEX($P$4:$AM$15,MATCH(MONTH($E405),$O$4:$O$15,0),MATCH(HOUR($F405),$P$3:$AM$3,0))</f>
        <v>#N/A</v>
      </c>
      <c r="L405" t="s">
        <v>231</v>
      </c>
      <c r="M405" s="111"/>
    </row>
    <row r="406" spans="1:13" x14ac:dyDescent="0.25">
      <c r="A406">
        <v>405</v>
      </c>
      <c r="B406">
        <v>40087162</v>
      </c>
      <c r="C406">
        <v>5</v>
      </c>
      <c r="E406" s="110">
        <v>42838</v>
      </c>
      <c r="F406" s="111" t="s">
        <v>274</v>
      </c>
      <c r="G406">
        <v>0.83</v>
      </c>
      <c r="H406">
        <v>7.9999999999999716</v>
      </c>
      <c r="I406">
        <v>3</v>
      </c>
      <c r="J406">
        <v>0.99999999999983658</v>
      </c>
      <c r="K406" s="1" t="e">
        <f>INDEX($P$4:$AM$15,MATCH(MONTH($E406),$O$4:$O$15,0),MATCH(HOUR($F406),$P$3:$AM$3,0))</f>
        <v>#N/A</v>
      </c>
      <c r="L406" t="s">
        <v>231</v>
      </c>
      <c r="M406" s="111"/>
    </row>
    <row r="407" spans="1:13" x14ac:dyDescent="0.25">
      <c r="A407">
        <v>406</v>
      </c>
      <c r="B407">
        <v>40087162</v>
      </c>
      <c r="C407">
        <v>6</v>
      </c>
      <c r="E407" s="110">
        <v>42838</v>
      </c>
      <c r="F407" s="111" t="s">
        <v>420</v>
      </c>
      <c r="G407">
        <v>2.2749999999999999</v>
      </c>
      <c r="H407">
        <v>7.000000000000135</v>
      </c>
      <c r="I407">
        <v>3</v>
      </c>
      <c r="J407">
        <v>25.000000000000071</v>
      </c>
      <c r="K407" s="1" t="e">
        <f>INDEX($P$4:$AM$15,MATCH(MONTH($E407),$O$4:$O$15,0),MATCH(HOUR($F407),$P$3:$AM$3,0))</f>
        <v>#N/A</v>
      </c>
      <c r="L407" t="s">
        <v>231</v>
      </c>
      <c r="M407" s="111"/>
    </row>
    <row r="408" spans="1:13" x14ac:dyDescent="0.25">
      <c r="A408">
        <v>407</v>
      </c>
      <c r="B408">
        <v>40087162</v>
      </c>
      <c r="C408">
        <v>7</v>
      </c>
      <c r="E408" s="110">
        <v>42838</v>
      </c>
      <c r="F408" s="111" t="s">
        <v>421</v>
      </c>
      <c r="G408">
        <v>0.16500000000000001</v>
      </c>
      <c r="H408">
        <v>1.999999999999833</v>
      </c>
      <c r="I408">
        <v>3</v>
      </c>
      <c r="J408">
        <v>6.9999999999999751</v>
      </c>
      <c r="K408" s="1" t="e">
        <f>INDEX($P$4:$AM$15,MATCH(MONTH($E408),$O$4:$O$15,0),MATCH(HOUR($F408),$P$3:$AM$3,0))</f>
        <v>#N/A</v>
      </c>
      <c r="L408" t="s">
        <v>231</v>
      </c>
      <c r="M408" s="111"/>
    </row>
    <row r="409" spans="1:13" x14ac:dyDescent="0.25">
      <c r="A409">
        <v>408</v>
      </c>
      <c r="B409">
        <v>40087162</v>
      </c>
      <c r="C409">
        <v>8</v>
      </c>
      <c r="E409" s="110">
        <v>42838</v>
      </c>
      <c r="F409" s="111" t="s">
        <v>380</v>
      </c>
      <c r="G409">
        <v>2.194</v>
      </c>
      <c r="H409">
        <v>7.9999999999999716</v>
      </c>
      <c r="I409">
        <v>3</v>
      </c>
      <c r="J409">
        <v>947.00000000000011</v>
      </c>
      <c r="K409" s="1" t="e">
        <f>INDEX($P$4:$AM$15,MATCH(MONTH($E409),$O$4:$O$15,0),MATCH(HOUR($F409),$P$3:$AM$3,0))</f>
        <v>#N/A</v>
      </c>
      <c r="L409" t="s">
        <v>231</v>
      </c>
      <c r="M409" s="111"/>
    </row>
    <row r="410" spans="1:13" x14ac:dyDescent="0.25">
      <c r="A410">
        <v>409</v>
      </c>
      <c r="B410">
        <v>40093216</v>
      </c>
      <c r="C410">
        <v>1</v>
      </c>
      <c r="E410" s="110">
        <v>42839</v>
      </c>
      <c r="F410" s="111" t="s">
        <v>295</v>
      </c>
      <c r="G410">
        <v>17.013999999999999</v>
      </c>
      <c r="H410">
        <v>20.000000000000007</v>
      </c>
      <c r="I410">
        <v>4</v>
      </c>
      <c r="J410">
        <v>130.00000000000003</v>
      </c>
      <c r="K410" s="1" t="e">
        <f>INDEX($P$4:$AM$15,MATCH(MONTH($E410),$O$4:$O$15,0),MATCH(HOUR($F410),$P$3:$AM$3,0))</f>
        <v>#N/A</v>
      </c>
      <c r="L410" t="s">
        <v>302</v>
      </c>
      <c r="M410" s="111"/>
    </row>
    <row r="411" spans="1:13" x14ac:dyDescent="0.25">
      <c r="A411">
        <v>410</v>
      </c>
      <c r="B411">
        <v>40093216</v>
      </c>
      <c r="C411">
        <v>2</v>
      </c>
      <c r="E411" s="110">
        <v>42839</v>
      </c>
      <c r="F411" s="111" t="s">
        <v>262</v>
      </c>
      <c r="G411">
        <v>15.51</v>
      </c>
      <c r="H411">
        <v>14.999999999999947</v>
      </c>
      <c r="I411">
        <v>4</v>
      </c>
      <c r="J411">
        <v>164.99999999999997</v>
      </c>
      <c r="K411" s="1" t="e">
        <f>INDEX($P$4:$AM$15,MATCH(MONTH($E411),$O$4:$O$15,0),MATCH(HOUR($F411),$P$3:$AM$3,0))</f>
        <v>#N/A</v>
      </c>
      <c r="L411" t="s">
        <v>302</v>
      </c>
      <c r="M411" s="111"/>
    </row>
    <row r="412" spans="1:13" x14ac:dyDescent="0.25">
      <c r="A412">
        <v>411</v>
      </c>
      <c r="B412">
        <v>40093216</v>
      </c>
      <c r="C412">
        <v>3</v>
      </c>
      <c r="E412" s="110">
        <v>42839</v>
      </c>
      <c r="F412" s="111" t="s">
        <v>294</v>
      </c>
      <c r="G412">
        <v>15.378</v>
      </c>
      <c r="H412">
        <v>30.000000000000053</v>
      </c>
      <c r="I412">
        <v>4</v>
      </c>
      <c r="J412">
        <v>990</v>
      </c>
      <c r="K412" s="1" t="e">
        <f>INDEX($P$4:$AM$15,MATCH(MONTH($E412),$O$4:$O$15,0),MATCH(HOUR($F412),$P$3:$AM$3,0))</f>
        <v>#N/A</v>
      </c>
      <c r="L412" t="s">
        <v>302</v>
      </c>
      <c r="M412" s="111"/>
    </row>
    <row r="413" spans="1:13" x14ac:dyDescent="0.25">
      <c r="A413">
        <v>412</v>
      </c>
      <c r="B413">
        <v>40093216</v>
      </c>
      <c r="C413">
        <v>1</v>
      </c>
      <c r="E413" s="110">
        <v>42840</v>
      </c>
      <c r="F413" s="111" t="s">
        <v>251</v>
      </c>
      <c r="G413">
        <v>12.119</v>
      </c>
      <c r="H413">
        <v>29.999999999999972</v>
      </c>
      <c r="I413">
        <v>3</v>
      </c>
      <c r="J413">
        <v>225</v>
      </c>
      <c r="K413" s="1" t="e">
        <f>INDEX($P$4:$AM$15,MATCH(MONTH($E413),$O$4:$O$15,0),MATCH(HOUR($F413),$P$3:$AM$3,0))</f>
        <v>#N/A</v>
      </c>
      <c r="L413" t="s">
        <v>302</v>
      </c>
      <c r="M413" s="111"/>
    </row>
    <row r="414" spans="1:13" x14ac:dyDescent="0.25">
      <c r="A414">
        <v>413</v>
      </c>
      <c r="B414">
        <v>40093216</v>
      </c>
      <c r="C414">
        <v>2</v>
      </c>
      <c r="E414" s="110">
        <v>42840</v>
      </c>
      <c r="F414" s="111" t="s">
        <v>223</v>
      </c>
      <c r="G414">
        <v>23.919</v>
      </c>
      <c r="H414">
        <v>29.999999999999972</v>
      </c>
      <c r="I414">
        <v>3</v>
      </c>
      <c r="J414">
        <v>135</v>
      </c>
      <c r="K414" s="1" t="e">
        <f>INDEX($P$4:$AM$15,MATCH(MONTH($E414),$O$4:$O$15,0),MATCH(HOUR($F414),$P$3:$AM$3,0))</f>
        <v>#N/A</v>
      </c>
      <c r="L414" t="s">
        <v>302</v>
      </c>
      <c r="M414" s="111"/>
    </row>
    <row r="415" spans="1:13" x14ac:dyDescent="0.25">
      <c r="A415">
        <v>414</v>
      </c>
      <c r="B415">
        <v>40093216</v>
      </c>
      <c r="C415">
        <v>3</v>
      </c>
      <c r="E415" s="110">
        <v>42840</v>
      </c>
      <c r="F415" s="111" t="s">
        <v>294</v>
      </c>
      <c r="G415">
        <v>15.378</v>
      </c>
      <c r="H415">
        <v>30.000000000000053</v>
      </c>
      <c r="I415">
        <v>3</v>
      </c>
      <c r="J415">
        <v>1275</v>
      </c>
      <c r="K415" s="1" t="e">
        <f>INDEX($P$4:$AM$15,MATCH(MONTH($E415),$O$4:$O$15,0),MATCH(HOUR($F415),$P$3:$AM$3,0))</f>
        <v>#N/A</v>
      </c>
      <c r="L415" t="s">
        <v>302</v>
      </c>
      <c r="M415" s="111"/>
    </row>
    <row r="416" spans="1:13" x14ac:dyDescent="0.25">
      <c r="A416">
        <v>415</v>
      </c>
      <c r="B416">
        <v>40094715</v>
      </c>
      <c r="C416">
        <v>1</v>
      </c>
      <c r="E416" s="110">
        <v>42841</v>
      </c>
      <c r="F416" s="111" t="s">
        <v>350</v>
      </c>
      <c r="G416">
        <v>4.38</v>
      </c>
      <c r="H416">
        <v>9.0000000000001279</v>
      </c>
      <c r="I416">
        <v>3</v>
      </c>
      <c r="J416">
        <v>45</v>
      </c>
      <c r="K416" s="1" t="e">
        <f>INDEX($P$4:$AM$15,MATCH(MONTH($E416),$O$4:$O$15,0),MATCH(HOUR($F416),$P$3:$AM$3,0))</f>
        <v>#N/A</v>
      </c>
      <c r="L416" t="s">
        <v>249</v>
      </c>
      <c r="M416" s="111"/>
    </row>
    <row r="417" spans="1:13" x14ac:dyDescent="0.25">
      <c r="A417">
        <v>416</v>
      </c>
      <c r="B417">
        <v>40094715</v>
      </c>
      <c r="C417">
        <v>2</v>
      </c>
      <c r="E417" s="110">
        <v>42841</v>
      </c>
      <c r="F417" s="111" t="s">
        <v>422</v>
      </c>
      <c r="G417">
        <v>4.3810000000000002</v>
      </c>
      <c r="H417">
        <v>10.999999999999961</v>
      </c>
      <c r="I417">
        <v>3</v>
      </c>
      <c r="J417">
        <v>1415</v>
      </c>
      <c r="K417" s="1" t="e">
        <f>INDEX($P$4:$AM$15,MATCH(MONTH($E417),$O$4:$O$15,0),MATCH(HOUR($F417),$P$3:$AM$3,0))</f>
        <v>#N/A</v>
      </c>
      <c r="L417" t="s">
        <v>249</v>
      </c>
      <c r="M417" s="111"/>
    </row>
    <row r="418" spans="1:13" x14ac:dyDescent="0.25">
      <c r="A418">
        <v>417</v>
      </c>
      <c r="B418">
        <v>40118930</v>
      </c>
      <c r="C418">
        <v>1</v>
      </c>
      <c r="E418" s="110">
        <v>42842</v>
      </c>
      <c r="F418" s="111" t="s">
        <v>377</v>
      </c>
      <c r="G418">
        <v>7.3970000000000002</v>
      </c>
      <c r="H418">
        <v>20.000000000000089</v>
      </c>
      <c r="I418">
        <v>3</v>
      </c>
      <c r="J418">
        <v>39.999999999999858</v>
      </c>
      <c r="K418" s="1" t="e">
        <f>INDEX($P$4:$AM$15,MATCH(MONTH($E418),$O$4:$O$15,0),MATCH(HOUR($F418),$P$3:$AM$3,0))</f>
        <v>#N/A</v>
      </c>
      <c r="L418" t="s">
        <v>231</v>
      </c>
      <c r="M418" s="111"/>
    </row>
    <row r="419" spans="1:13" x14ac:dyDescent="0.25">
      <c r="A419">
        <v>418</v>
      </c>
      <c r="B419">
        <v>40118930</v>
      </c>
      <c r="C419">
        <v>2</v>
      </c>
      <c r="E419" s="110">
        <v>42842</v>
      </c>
      <c r="F419" s="111" t="s">
        <v>423</v>
      </c>
      <c r="G419">
        <v>5.3860000000000001</v>
      </c>
      <c r="H419">
        <v>10.000000000000124</v>
      </c>
      <c r="I419">
        <v>3</v>
      </c>
      <c r="J419">
        <v>51.999999999999972</v>
      </c>
      <c r="K419" s="1" t="e">
        <f>INDEX($P$4:$AM$15,MATCH(MONTH($E419),$O$4:$O$15,0),MATCH(HOUR($F419),$P$3:$AM$3,0))</f>
        <v>#N/A</v>
      </c>
      <c r="L419" t="s">
        <v>231</v>
      </c>
      <c r="M419" s="111"/>
    </row>
    <row r="420" spans="1:13" x14ac:dyDescent="0.25">
      <c r="A420">
        <v>419</v>
      </c>
      <c r="B420">
        <v>40118930</v>
      </c>
      <c r="C420">
        <v>3</v>
      </c>
      <c r="E420" s="110">
        <v>42842</v>
      </c>
      <c r="F420" s="111" t="s">
        <v>424</v>
      </c>
      <c r="G420">
        <v>2.2519999999999998</v>
      </c>
      <c r="H420">
        <v>7.9999999999999716</v>
      </c>
      <c r="I420">
        <v>3</v>
      </c>
      <c r="J420">
        <v>935</v>
      </c>
      <c r="K420" s="1" t="e">
        <f>INDEX($P$4:$AM$15,MATCH(MONTH($E420),$O$4:$O$15,0),MATCH(HOUR($F420),$P$3:$AM$3,0))</f>
        <v>#N/A</v>
      </c>
      <c r="L420" t="s">
        <v>231</v>
      </c>
      <c r="M420" s="111"/>
    </row>
    <row r="421" spans="1:13" x14ac:dyDescent="0.25">
      <c r="A421">
        <v>420</v>
      </c>
      <c r="B421">
        <v>40118930</v>
      </c>
      <c r="C421">
        <v>1</v>
      </c>
      <c r="E421" s="110">
        <v>42843</v>
      </c>
      <c r="F421" s="111" t="s">
        <v>425</v>
      </c>
      <c r="G421">
        <v>7.5119999999999996</v>
      </c>
      <c r="H421">
        <v>20.000000000000007</v>
      </c>
      <c r="I421">
        <v>4</v>
      </c>
      <c r="J421">
        <v>484.99999999999994</v>
      </c>
      <c r="K421" s="1" t="e">
        <f>INDEX($P$4:$AM$15,MATCH(MONTH($E421),$O$4:$O$15,0),MATCH(HOUR($F421),$P$3:$AM$3,0))</f>
        <v>#N/A</v>
      </c>
      <c r="L421" t="s">
        <v>231</v>
      </c>
      <c r="M421" s="111"/>
    </row>
    <row r="422" spans="1:13" x14ac:dyDescent="0.25">
      <c r="A422">
        <v>421</v>
      </c>
      <c r="B422">
        <v>40118930</v>
      </c>
      <c r="C422">
        <v>2</v>
      </c>
      <c r="E422" s="110">
        <v>42843</v>
      </c>
      <c r="F422" s="111" t="s">
        <v>426</v>
      </c>
      <c r="G422">
        <v>7.7409999999999997</v>
      </c>
      <c r="H422">
        <v>19.999999999999929</v>
      </c>
      <c r="I422">
        <v>4</v>
      </c>
      <c r="J422">
        <v>845</v>
      </c>
      <c r="K422" s="1" t="e">
        <f>INDEX($P$4:$AM$15,MATCH(MONTH($E422),$O$4:$O$15,0),MATCH(HOUR($F422),$P$3:$AM$3,0))</f>
        <v>#N/A</v>
      </c>
      <c r="L422" t="s">
        <v>231</v>
      </c>
      <c r="M422" s="111"/>
    </row>
    <row r="423" spans="1:13" x14ac:dyDescent="0.25">
      <c r="A423">
        <v>422</v>
      </c>
      <c r="B423">
        <v>40118930</v>
      </c>
      <c r="C423">
        <v>1</v>
      </c>
      <c r="E423" s="110">
        <v>42844</v>
      </c>
      <c r="F423" s="111" t="s">
        <v>293</v>
      </c>
      <c r="G423">
        <v>15.657</v>
      </c>
      <c r="H423">
        <v>25.000000000000032</v>
      </c>
      <c r="I423">
        <v>4</v>
      </c>
      <c r="J423">
        <v>395.00000000000006</v>
      </c>
      <c r="K423" s="1" t="e">
        <f>INDEX($P$4:$AM$15,MATCH(MONTH($E423),$O$4:$O$15,0),MATCH(HOUR($F423),$P$3:$AM$3,0))</f>
        <v>#N/A</v>
      </c>
      <c r="L423" t="s">
        <v>231</v>
      </c>
      <c r="M423" s="111"/>
    </row>
    <row r="424" spans="1:13" x14ac:dyDescent="0.25">
      <c r="A424">
        <v>423</v>
      </c>
      <c r="B424">
        <v>40118930</v>
      </c>
      <c r="C424">
        <v>2</v>
      </c>
      <c r="E424" s="110">
        <v>42844</v>
      </c>
      <c r="F424" s="111" t="s">
        <v>314</v>
      </c>
      <c r="G424">
        <v>7.7990000000000004</v>
      </c>
      <c r="H424">
        <v>20.999999999999925</v>
      </c>
      <c r="I424">
        <v>4</v>
      </c>
      <c r="J424">
        <v>14.00000000000011</v>
      </c>
      <c r="K424" s="1" t="e">
        <f>INDEX($P$4:$AM$15,MATCH(MONTH($E424),$O$4:$O$15,0),MATCH(HOUR($F424),$P$3:$AM$3,0))</f>
        <v>#N/A</v>
      </c>
      <c r="L424" t="s">
        <v>231</v>
      </c>
      <c r="M424" s="111"/>
    </row>
    <row r="425" spans="1:13" x14ac:dyDescent="0.25">
      <c r="A425">
        <v>424</v>
      </c>
      <c r="B425">
        <v>40118930</v>
      </c>
      <c r="C425">
        <v>3</v>
      </c>
      <c r="E425" s="110">
        <v>42844</v>
      </c>
      <c r="F425" s="111" t="s">
        <v>340</v>
      </c>
      <c r="G425">
        <v>7.8470000000000004</v>
      </c>
      <c r="H425">
        <v>24.999999999999911</v>
      </c>
      <c r="I425">
        <v>4</v>
      </c>
      <c r="J425">
        <v>90</v>
      </c>
      <c r="K425" s="1" t="e">
        <f>INDEX($P$4:$AM$15,MATCH(MONTH($E425),$O$4:$O$15,0),MATCH(HOUR($F425),$P$3:$AM$3,0))</f>
        <v>#N/A</v>
      </c>
      <c r="L425" t="s">
        <v>231</v>
      </c>
      <c r="M425" s="111"/>
    </row>
    <row r="426" spans="1:13" x14ac:dyDescent="0.25">
      <c r="A426">
        <v>425</v>
      </c>
      <c r="B426">
        <v>40118930</v>
      </c>
      <c r="C426">
        <v>4</v>
      </c>
      <c r="E426" s="110">
        <v>42844</v>
      </c>
      <c r="F426" s="111" t="s">
        <v>227</v>
      </c>
      <c r="G426">
        <v>15.067</v>
      </c>
      <c r="H426">
        <v>26.000000000000068</v>
      </c>
      <c r="I426">
        <v>4</v>
      </c>
      <c r="J426">
        <v>1264</v>
      </c>
      <c r="K426" s="1" t="e">
        <f>INDEX($P$4:$AM$15,MATCH(MONTH($E426),$O$4:$O$15,0),MATCH(HOUR($F426),$P$3:$AM$3,0))</f>
        <v>#N/A</v>
      </c>
      <c r="L426" t="s">
        <v>231</v>
      </c>
      <c r="M426" s="111"/>
    </row>
    <row r="427" spans="1:13" x14ac:dyDescent="0.25">
      <c r="A427">
        <v>426</v>
      </c>
      <c r="B427">
        <v>40124901</v>
      </c>
      <c r="C427">
        <v>1</v>
      </c>
      <c r="E427" s="110">
        <v>42845</v>
      </c>
      <c r="F427" s="111" t="s">
        <v>314</v>
      </c>
      <c r="G427">
        <v>4.04</v>
      </c>
      <c r="H427">
        <v>11.999999999999957</v>
      </c>
      <c r="I427">
        <v>3</v>
      </c>
      <c r="J427">
        <v>5.9999999999999787</v>
      </c>
      <c r="K427" s="1" t="e">
        <f>INDEX($P$4:$AM$15,MATCH(MONTH($E427),$O$4:$O$15,0),MATCH(HOUR($F427),$P$3:$AM$3,0))</f>
        <v>#N/A</v>
      </c>
      <c r="L427" t="s">
        <v>222</v>
      </c>
      <c r="M427" s="111"/>
    </row>
    <row r="428" spans="1:13" x14ac:dyDescent="0.25">
      <c r="A428">
        <v>427</v>
      </c>
      <c r="B428">
        <v>40124901</v>
      </c>
      <c r="C428">
        <v>2</v>
      </c>
      <c r="E428" s="110">
        <v>42845</v>
      </c>
      <c r="F428" s="111" t="s">
        <v>427</v>
      </c>
      <c r="G428">
        <v>0.94</v>
      </c>
      <c r="H428">
        <v>2.9999999999999893</v>
      </c>
      <c r="I428">
        <v>3</v>
      </c>
      <c r="J428">
        <v>2.9999999999999893</v>
      </c>
      <c r="K428" s="1" t="e">
        <f>INDEX($P$4:$AM$15,MATCH(MONTH($E428),$O$4:$O$15,0),MATCH(HOUR($F428),$P$3:$AM$3,0))</f>
        <v>#N/A</v>
      </c>
      <c r="L428" t="s">
        <v>222</v>
      </c>
      <c r="M428" s="111"/>
    </row>
    <row r="429" spans="1:13" x14ac:dyDescent="0.25">
      <c r="A429">
        <v>428</v>
      </c>
      <c r="B429">
        <v>40124901</v>
      </c>
      <c r="C429">
        <v>3</v>
      </c>
      <c r="E429" s="110">
        <v>42845</v>
      </c>
      <c r="F429" s="111" t="s">
        <v>428</v>
      </c>
      <c r="G429">
        <v>3.2650000000000001</v>
      </c>
      <c r="H429">
        <v>9.9999999999999645</v>
      </c>
      <c r="I429">
        <v>3</v>
      </c>
      <c r="J429">
        <v>181</v>
      </c>
      <c r="K429" s="1" t="e">
        <f>INDEX($P$4:$AM$15,MATCH(MONTH($E429),$O$4:$O$15,0),MATCH(HOUR($F429),$P$3:$AM$3,0))</f>
        <v>#N/A</v>
      </c>
      <c r="L429" t="s">
        <v>222</v>
      </c>
      <c r="M429" s="111"/>
    </row>
    <row r="430" spans="1:13" x14ac:dyDescent="0.25">
      <c r="A430">
        <v>429</v>
      </c>
      <c r="B430">
        <v>40124901</v>
      </c>
      <c r="C430">
        <v>4</v>
      </c>
      <c r="E430" s="110">
        <v>42845</v>
      </c>
      <c r="F430" s="111" t="s">
        <v>348</v>
      </c>
      <c r="G430">
        <v>7.5720000000000001</v>
      </c>
      <c r="H430">
        <v>13.000000000000114</v>
      </c>
      <c r="I430">
        <v>3</v>
      </c>
      <c r="J430">
        <v>22.000000000000082</v>
      </c>
      <c r="K430" s="1" t="e">
        <f>INDEX($P$4:$AM$15,MATCH(MONTH($E430),$O$4:$O$15,0),MATCH(HOUR($F430),$P$3:$AM$3,0))</f>
        <v>#N/A</v>
      </c>
      <c r="L430" t="s">
        <v>222</v>
      </c>
      <c r="M430" s="111"/>
    </row>
    <row r="431" spans="1:13" x14ac:dyDescent="0.25">
      <c r="A431">
        <v>430</v>
      </c>
      <c r="B431">
        <v>40124901</v>
      </c>
      <c r="C431">
        <v>5</v>
      </c>
      <c r="E431" s="110">
        <v>42845</v>
      </c>
      <c r="F431" s="111" t="s">
        <v>270</v>
      </c>
      <c r="G431">
        <v>7.5720000000000001</v>
      </c>
      <c r="H431">
        <v>16.99999999999978</v>
      </c>
      <c r="I431">
        <v>3</v>
      </c>
      <c r="J431">
        <v>873</v>
      </c>
      <c r="K431" s="1" t="e">
        <f>INDEX($P$4:$AM$15,MATCH(MONTH($E431),$O$4:$O$15,0),MATCH(HOUR($F431),$P$3:$AM$3,0))</f>
        <v>#N/A</v>
      </c>
      <c r="L431" t="s">
        <v>222</v>
      </c>
      <c r="M431" s="111"/>
    </row>
    <row r="432" spans="1:13" x14ac:dyDescent="0.25">
      <c r="A432">
        <v>431</v>
      </c>
      <c r="B432">
        <v>40140250</v>
      </c>
      <c r="C432">
        <v>1</v>
      </c>
      <c r="E432" s="110">
        <v>42846</v>
      </c>
      <c r="F432" s="111" t="s">
        <v>251</v>
      </c>
      <c r="G432">
        <v>31.053999999999998</v>
      </c>
      <c r="H432">
        <v>60.000000000000028</v>
      </c>
      <c r="I432">
        <v>3</v>
      </c>
      <c r="J432">
        <v>425.00000000000006</v>
      </c>
      <c r="K432" s="1" t="e">
        <f>INDEX($P$4:$AM$15,MATCH(MONTH($E432),$O$4:$O$15,0),MATCH(HOUR($F432),$P$3:$AM$3,0))</f>
        <v>#N/A</v>
      </c>
      <c r="L432" t="s">
        <v>257</v>
      </c>
      <c r="M432" s="111"/>
    </row>
    <row r="433" spans="1:13" x14ac:dyDescent="0.25">
      <c r="A433">
        <v>432</v>
      </c>
      <c r="B433">
        <v>40140250</v>
      </c>
      <c r="C433">
        <v>2</v>
      </c>
      <c r="E433" s="110">
        <v>42846</v>
      </c>
      <c r="F433" s="111" t="s">
        <v>429</v>
      </c>
      <c r="G433">
        <v>31.192</v>
      </c>
      <c r="H433">
        <v>44.999999999999844</v>
      </c>
      <c r="I433">
        <v>3</v>
      </c>
      <c r="J433">
        <v>930.00000000000011</v>
      </c>
      <c r="K433" s="1" t="e">
        <f>INDEX($P$4:$AM$15,MATCH(MONTH($E433),$O$4:$O$15,0),MATCH(HOUR($F433),$P$3:$AM$3,0))</f>
        <v>#N/A</v>
      </c>
      <c r="L433" t="s">
        <v>257</v>
      </c>
      <c r="M433" s="111"/>
    </row>
    <row r="434" spans="1:13" x14ac:dyDescent="0.25">
      <c r="A434">
        <v>433</v>
      </c>
      <c r="B434">
        <v>40140250</v>
      </c>
      <c r="C434">
        <v>1</v>
      </c>
      <c r="E434" s="110">
        <v>42847</v>
      </c>
      <c r="F434" s="111" t="s">
        <v>320</v>
      </c>
      <c r="G434">
        <v>5.25</v>
      </c>
      <c r="H434">
        <v>13.000000000000034</v>
      </c>
      <c r="I434">
        <v>6</v>
      </c>
      <c r="J434">
        <v>540</v>
      </c>
      <c r="K434" s="1" t="e">
        <f>INDEX($P$4:$AM$15,MATCH(MONTH($E434),$O$4:$O$15,0),MATCH(HOUR($F434),$P$3:$AM$3,0))</f>
        <v>#N/A</v>
      </c>
      <c r="L434" t="s">
        <v>257</v>
      </c>
      <c r="M434" s="111"/>
    </row>
    <row r="435" spans="1:13" x14ac:dyDescent="0.25">
      <c r="A435">
        <v>434</v>
      </c>
      <c r="B435">
        <v>40140250</v>
      </c>
      <c r="C435">
        <v>2</v>
      </c>
      <c r="E435" s="110">
        <v>42847</v>
      </c>
      <c r="F435" s="111" t="s">
        <v>430</v>
      </c>
      <c r="G435">
        <v>5.2590000000000003</v>
      </c>
      <c r="H435">
        <v>14.999999999999947</v>
      </c>
      <c r="I435">
        <v>6</v>
      </c>
      <c r="J435">
        <v>46</v>
      </c>
      <c r="K435" s="1" t="e">
        <f>INDEX($P$4:$AM$15,MATCH(MONTH($E435),$O$4:$O$15,0),MATCH(HOUR($F435),$P$3:$AM$3,0))</f>
        <v>#N/A</v>
      </c>
      <c r="L435" t="s">
        <v>257</v>
      </c>
      <c r="M435" s="111"/>
    </row>
    <row r="436" spans="1:13" x14ac:dyDescent="0.25">
      <c r="A436">
        <v>435</v>
      </c>
      <c r="B436">
        <v>40140250</v>
      </c>
      <c r="C436">
        <v>3</v>
      </c>
      <c r="E436" s="110">
        <v>42847</v>
      </c>
      <c r="F436" s="111" t="s">
        <v>431</v>
      </c>
      <c r="G436">
        <v>1.446</v>
      </c>
      <c r="H436">
        <v>3.9999999999999858</v>
      </c>
      <c r="I436">
        <v>6</v>
      </c>
      <c r="J436">
        <v>97.999999999999972</v>
      </c>
      <c r="K436" s="1" t="e">
        <f>INDEX($P$4:$AM$15,MATCH(MONTH($E436),$O$4:$O$15,0),MATCH(HOUR($F436),$P$3:$AM$3,0))</f>
        <v>#N/A</v>
      </c>
      <c r="L436" t="s">
        <v>257</v>
      </c>
      <c r="M436" s="111"/>
    </row>
    <row r="437" spans="1:13" x14ac:dyDescent="0.25">
      <c r="A437">
        <v>436</v>
      </c>
      <c r="B437">
        <v>40140250</v>
      </c>
      <c r="C437">
        <v>4</v>
      </c>
      <c r="E437" s="110">
        <v>42847</v>
      </c>
      <c r="F437" s="111" t="s">
        <v>432</v>
      </c>
      <c r="G437">
        <v>0.63900000000000001</v>
      </c>
      <c r="H437">
        <v>1.0000000000001563</v>
      </c>
      <c r="I437">
        <v>6</v>
      </c>
      <c r="J437">
        <v>1.999999999999833</v>
      </c>
      <c r="K437" s="1" t="e">
        <f>INDEX($P$4:$AM$15,MATCH(MONTH($E437),$O$4:$O$15,0),MATCH(HOUR($F437),$P$3:$AM$3,0))</f>
        <v>#N/A</v>
      </c>
      <c r="L437" t="s">
        <v>257</v>
      </c>
      <c r="M437" s="111"/>
    </row>
    <row r="438" spans="1:13" x14ac:dyDescent="0.25">
      <c r="A438">
        <v>437</v>
      </c>
      <c r="B438">
        <v>40140250</v>
      </c>
      <c r="C438">
        <v>5</v>
      </c>
      <c r="E438" s="110">
        <v>42847</v>
      </c>
      <c r="F438" s="111" t="s">
        <v>433</v>
      </c>
      <c r="G438">
        <v>1.5609999999999999</v>
      </c>
      <c r="H438">
        <v>0.99999999999999645</v>
      </c>
      <c r="I438">
        <v>6</v>
      </c>
      <c r="J438">
        <v>10.000000000000124</v>
      </c>
      <c r="K438" s="1" t="e">
        <f>INDEX($P$4:$AM$15,MATCH(MONTH($E438),$O$4:$O$15,0),MATCH(HOUR($F438),$P$3:$AM$3,0))</f>
        <v>#N/A</v>
      </c>
      <c r="L438" t="s">
        <v>257</v>
      </c>
      <c r="M438" s="111"/>
    </row>
    <row r="439" spans="1:13" x14ac:dyDescent="0.25">
      <c r="A439">
        <v>438</v>
      </c>
      <c r="B439">
        <v>40140250</v>
      </c>
      <c r="C439">
        <v>6</v>
      </c>
      <c r="E439" s="110">
        <v>42847</v>
      </c>
      <c r="F439" s="111" t="s">
        <v>319</v>
      </c>
      <c r="G439">
        <v>1.2430000000000001</v>
      </c>
      <c r="H439">
        <v>2.9999999999999893</v>
      </c>
      <c r="I439">
        <v>6</v>
      </c>
      <c r="J439">
        <v>1047</v>
      </c>
      <c r="K439" s="1" t="e">
        <f>INDEX($P$4:$AM$15,MATCH(MONTH($E439),$O$4:$O$15,0),MATCH(HOUR($F439),$P$3:$AM$3,0))</f>
        <v>#N/A</v>
      </c>
      <c r="L439" t="s">
        <v>257</v>
      </c>
      <c r="M439" s="111"/>
    </row>
    <row r="440" spans="1:13" x14ac:dyDescent="0.25">
      <c r="A440">
        <v>439</v>
      </c>
      <c r="B440">
        <v>40149783</v>
      </c>
      <c r="C440">
        <v>1</v>
      </c>
      <c r="E440" s="110">
        <v>42848</v>
      </c>
      <c r="F440" s="111" t="s">
        <v>240</v>
      </c>
      <c r="G440">
        <v>14.71</v>
      </c>
      <c r="H440">
        <v>20.000000000000089</v>
      </c>
      <c r="I440">
        <v>3</v>
      </c>
      <c r="J440">
        <v>124.99999999999987</v>
      </c>
      <c r="K440" s="1" t="e">
        <f>INDEX($P$4:$AM$15,MATCH(MONTH($E440),$O$4:$O$15,0),MATCH(HOUR($F440),$P$3:$AM$3,0))</f>
        <v>#N/A</v>
      </c>
      <c r="L440" t="s">
        <v>302</v>
      </c>
      <c r="M440" s="111"/>
    </row>
    <row r="441" spans="1:13" x14ac:dyDescent="0.25">
      <c r="A441">
        <v>440</v>
      </c>
      <c r="B441">
        <v>40149783</v>
      </c>
      <c r="C441">
        <v>2</v>
      </c>
      <c r="E441" s="110">
        <v>42848</v>
      </c>
      <c r="F441" s="111" t="s">
        <v>434</v>
      </c>
      <c r="G441">
        <v>15.121</v>
      </c>
      <c r="H441">
        <v>15.000000000000107</v>
      </c>
      <c r="I441">
        <v>3</v>
      </c>
      <c r="J441">
        <v>1429.9999999999998</v>
      </c>
      <c r="K441" s="1" t="e">
        <f>INDEX($P$4:$AM$15,MATCH(MONTH($E441),$O$4:$O$15,0),MATCH(HOUR($F441),$P$3:$AM$3,0))</f>
        <v>#N/A</v>
      </c>
      <c r="L441" t="s">
        <v>302</v>
      </c>
      <c r="M441" s="111"/>
    </row>
    <row r="442" spans="1:13" x14ac:dyDescent="0.25">
      <c r="A442">
        <v>441</v>
      </c>
      <c r="B442">
        <v>40150394</v>
      </c>
      <c r="C442">
        <v>1</v>
      </c>
      <c r="E442" s="110">
        <v>42849</v>
      </c>
      <c r="F442" s="111" t="s">
        <v>252</v>
      </c>
      <c r="G442">
        <v>5.7039999999999997</v>
      </c>
      <c r="H442">
        <v>15.000000000000107</v>
      </c>
      <c r="I442">
        <v>5</v>
      </c>
      <c r="J442">
        <v>14.999999999999947</v>
      </c>
      <c r="K442" s="1" t="e">
        <f>INDEX($P$4:$AM$15,MATCH(MONTH($E442),$O$4:$O$15,0),MATCH(HOUR($F442),$P$3:$AM$3,0))</f>
        <v>#N/A</v>
      </c>
      <c r="L442" t="s">
        <v>222</v>
      </c>
      <c r="M442" s="111"/>
    </row>
    <row r="443" spans="1:13" x14ac:dyDescent="0.25">
      <c r="A443">
        <v>442</v>
      </c>
      <c r="B443">
        <v>40150394</v>
      </c>
      <c r="C443">
        <v>2</v>
      </c>
      <c r="E443" s="110">
        <v>42849</v>
      </c>
      <c r="F443" s="111" t="s">
        <v>247</v>
      </c>
      <c r="G443">
        <v>0.77400000000000002</v>
      </c>
      <c r="H443">
        <v>4.9999999999999822</v>
      </c>
      <c r="I443">
        <v>5</v>
      </c>
      <c r="J443">
        <v>5.0000000000001421</v>
      </c>
      <c r="K443" s="1" t="e">
        <f>INDEX($P$4:$AM$15,MATCH(MONTH($E443),$O$4:$O$15,0),MATCH(HOUR($F443),$P$3:$AM$3,0))</f>
        <v>#N/A</v>
      </c>
      <c r="L443" t="s">
        <v>222</v>
      </c>
      <c r="M443" s="111"/>
    </row>
    <row r="444" spans="1:13" x14ac:dyDescent="0.25">
      <c r="A444">
        <v>443</v>
      </c>
      <c r="B444">
        <v>40150394</v>
      </c>
      <c r="C444">
        <v>3</v>
      </c>
      <c r="E444" s="110">
        <v>42849</v>
      </c>
      <c r="F444" s="111" t="s">
        <v>270</v>
      </c>
      <c r="G444">
        <v>2.7040000000000002</v>
      </c>
      <c r="H444">
        <v>4.9999999999998224</v>
      </c>
      <c r="I444">
        <v>5</v>
      </c>
      <c r="J444">
        <v>10.000000000000124</v>
      </c>
      <c r="K444" s="1" t="e">
        <f>INDEX($P$4:$AM$15,MATCH(MONTH($E444),$O$4:$O$15,0),MATCH(HOUR($F444),$P$3:$AM$3,0))</f>
        <v>#N/A</v>
      </c>
      <c r="L444" t="s">
        <v>222</v>
      </c>
      <c r="M444" s="111"/>
    </row>
    <row r="445" spans="1:13" x14ac:dyDescent="0.25">
      <c r="A445">
        <v>444</v>
      </c>
      <c r="B445">
        <v>40150394</v>
      </c>
      <c r="C445">
        <v>4</v>
      </c>
      <c r="E445" s="110">
        <v>42849</v>
      </c>
      <c r="F445" s="111" t="s">
        <v>271</v>
      </c>
      <c r="G445">
        <v>7.5030000000000001</v>
      </c>
      <c r="H445">
        <v>14.999999999999947</v>
      </c>
      <c r="I445">
        <v>5</v>
      </c>
      <c r="J445">
        <v>45</v>
      </c>
      <c r="K445" s="1" t="e">
        <f>INDEX($P$4:$AM$15,MATCH(MONTH($E445),$O$4:$O$15,0),MATCH(HOUR($F445),$P$3:$AM$3,0))</f>
        <v>#N/A</v>
      </c>
      <c r="L445" t="s">
        <v>222</v>
      </c>
      <c r="M445" s="111"/>
    </row>
    <row r="446" spans="1:13" x14ac:dyDescent="0.25">
      <c r="A446">
        <v>445</v>
      </c>
      <c r="B446">
        <v>40150394</v>
      </c>
      <c r="C446">
        <v>5</v>
      </c>
      <c r="E446" s="110">
        <v>42849</v>
      </c>
      <c r="F446" s="111" t="s">
        <v>264</v>
      </c>
      <c r="G446">
        <v>6.3209999999999997</v>
      </c>
      <c r="H446">
        <v>19.999999999999929</v>
      </c>
      <c r="I446">
        <v>5</v>
      </c>
      <c r="J446">
        <v>195.00000000000011</v>
      </c>
      <c r="K446" s="1" t="e">
        <f>INDEX($P$4:$AM$15,MATCH(MONTH($E446),$O$4:$O$15,0),MATCH(HOUR($F446),$P$3:$AM$3,0))</f>
        <v>#N/A</v>
      </c>
      <c r="L446" t="s">
        <v>222</v>
      </c>
      <c r="M446" s="111"/>
    </row>
    <row r="447" spans="1:13" x14ac:dyDescent="0.25">
      <c r="A447">
        <v>446</v>
      </c>
      <c r="B447">
        <v>40150394</v>
      </c>
      <c r="C447">
        <v>6</v>
      </c>
      <c r="E447" s="110">
        <v>42849</v>
      </c>
      <c r="F447" s="111" t="s">
        <v>435</v>
      </c>
      <c r="G447">
        <v>4.9450000000000003</v>
      </c>
      <c r="H447">
        <v>9.9999999999999645</v>
      </c>
      <c r="I447">
        <v>5</v>
      </c>
      <c r="J447">
        <v>4.9999999999999822</v>
      </c>
      <c r="K447" s="1" t="e">
        <f>INDEX($P$4:$AM$15,MATCH(MONTH($E447),$O$4:$O$15,0),MATCH(HOUR($F447),$P$3:$AM$3,0))</f>
        <v>#N/A</v>
      </c>
      <c r="L447" t="s">
        <v>222</v>
      </c>
      <c r="M447" s="111"/>
    </row>
    <row r="448" spans="1:13" x14ac:dyDescent="0.25">
      <c r="A448">
        <v>447</v>
      </c>
      <c r="B448">
        <v>40150394</v>
      </c>
      <c r="C448">
        <v>7</v>
      </c>
      <c r="E448" s="110">
        <v>42849</v>
      </c>
      <c r="F448" s="111" t="s">
        <v>436</v>
      </c>
      <c r="G448">
        <v>7.64</v>
      </c>
      <c r="H448">
        <v>14.999999999999947</v>
      </c>
      <c r="I448">
        <v>5</v>
      </c>
      <c r="J448">
        <v>750</v>
      </c>
      <c r="K448" s="1" t="e">
        <f>INDEX($P$4:$AM$15,MATCH(MONTH($E448),$O$4:$O$15,0),MATCH(HOUR($F448),$P$3:$AM$3,0))</f>
        <v>#N/A</v>
      </c>
      <c r="L448" t="s">
        <v>222</v>
      </c>
      <c r="M448" s="111"/>
    </row>
    <row r="449" spans="1:13" x14ac:dyDescent="0.25">
      <c r="A449">
        <v>448</v>
      </c>
      <c r="B449">
        <v>40166319</v>
      </c>
      <c r="C449">
        <v>1</v>
      </c>
      <c r="E449" s="110">
        <v>42850</v>
      </c>
      <c r="F449" s="111" t="s">
        <v>217</v>
      </c>
      <c r="G449">
        <v>23.805</v>
      </c>
      <c r="H449">
        <v>45</v>
      </c>
      <c r="I449">
        <v>3</v>
      </c>
      <c r="J449">
        <v>59.999999999999943</v>
      </c>
      <c r="K449" s="1" t="e">
        <f>INDEX($P$4:$AM$15,MATCH(MONTH($E449),$O$4:$O$15,0),MATCH(HOUR($F449),$P$3:$AM$3,0))</f>
        <v>#N/A</v>
      </c>
      <c r="L449" t="s">
        <v>231</v>
      </c>
      <c r="M449" s="111"/>
    </row>
    <row r="450" spans="1:13" x14ac:dyDescent="0.25">
      <c r="A450">
        <v>449</v>
      </c>
      <c r="B450">
        <v>40166319</v>
      </c>
      <c r="C450">
        <v>2</v>
      </c>
      <c r="E450" s="110">
        <v>42850</v>
      </c>
      <c r="F450" s="111" t="s">
        <v>350</v>
      </c>
      <c r="G450">
        <v>0.61899999999999999</v>
      </c>
      <c r="H450">
        <v>5.0000000000001421</v>
      </c>
      <c r="I450">
        <v>3</v>
      </c>
      <c r="J450">
        <v>14.999999999999947</v>
      </c>
      <c r="K450" s="1" t="e">
        <f>INDEX($P$4:$AM$15,MATCH(MONTH($E450),$O$4:$O$15,0),MATCH(HOUR($F450),$P$3:$AM$3,0))</f>
        <v>#N/A</v>
      </c>
      <c r="L450" t="s">
        <v>231</v>
      </c>
      <c r="M450" s="111"/>
    </row>
    <row r="451" spans="1:13" x14ac:dyDescent="0.25">
      <c r="A451">
        <v>450</v>
      </c>
      <c r="B451">
        <v>40166319</v>
      </c>
      <c r="C451">
        <v>3</v>
      </c>
      <c r="E451" s="110">
        <v>42850</v>
      </c>
      <c r="F451" s="111" t="s">
        <v>282</v>
      </c>
      <c r="G451">
        <v>23.41</v>
      </c>
      <c r="H451">
        <v>54.999999999999964</v>
      </c>
      <c r="I451">
        <v>3</v>
      </c>
      <c r="J451">
        <v>1205</v>
      </c>
      <c r="K451" s="1" t="e">
        <f>INDEX($P$4:$AM$15,MATCH(MONTH($E451),$O$4:$O$15,0),MATCH(HOUR($F451),$P$3:$AM$3,0))</f>
        <v>#N/A</v>
      </c>
      <c r="L451" t="s">
        <v>231</v>
      </c>
      <c r="M451" s="111"/>
    </row>
    <row r="452" spans="1:13" x14ac:dyDescent="0.25">
      <c r="A452">
        <v>451</v>
      </c>
      <c r="B452">
        <v>40168426</v>
      </c>
      <c r="C452">
        <v>1</v>
      </c>
      <c r="E452" s="110">
        <v>42851</v>
      </c>
      <c r="F452" s="111" t="s">
        <v>339</v>
      </c>
      <c r="G452">
        <v>9.4890000000000008</v>
      </c>
      <c r="H452">
        <v>15.000000000000027</v>
      </c>
      <c r="I452">
        <v>3</v>
      </c>
      <c r="J452">
        <v>84.999999999999943</v>
      </c>
      <c r="K452" s="1" t="e">
        <f>INDEX($P$4:$AM$15,MATCH(MONTH($E452),$O$4:$O$15,0),MATCH(HOUR($F452),$P$3:$AM$3,0))</f>
        <v>#N/A</v>
      </c>
      <c r="L452" t="s">
        <v>302</v>
      </c>
      <c r="M452" s="111"/>
    </row>
    <row r="453" spans="1:13" x14ac:dyDescent="0.25">
      <c r="A453">
        <v>452</v>
      </c>
      <c r="B453">
        <v>40168426</v>
      </c>
      <c r="C453">
        <v>2</v>
      </c>
      <c r="E453" s="110">
        <v>42851</v>
      </c>
      <c r="F453" s="111" t="s">
        <v>327</v>
      </c>
      <c r="G453">
        <v>9.4890000000000008</v>
      </c>
      <c r="H453">
        <v>29.999999999999972</v>
      </c>
      <c r="I453">
        <v>3</v>
      </c>
      <c r="J453">
        <v>45.000000000000078</v>
      </c>
      <c r="K453" s="1" t="e">
        <f>INDEX($P$4:$AM$15,MATCH(MONTH($E453),$O$4:$O$15,0),MATCH(HOUR($F453),$P$3:$AM$3,0))</f>
        <v>#N/A</v>
      </c>
      <c r="L453" t="s">
        <v>302</v>
      </c>
      <c r="M453" s="111"/>
    </row>
    <row r="454" spans="1:13" x14ac:dyDescent="0.25">
      <c r="A454">
        <v>453</v>
      </c>
      <c r="B454">
        <v>40168426</v>
      </c>
      <c r="C454">
        <v>3</v>
      </c>
      <c r="E454" s="110">
        <v>42851</v>
      </c>
      <c r="F454" s="111" t="s">
        <v>314</v>
      </c>
      <c r="G454">
        <v>1.7050000000000001</v>
      </c>
      <c r="H454">
        <v>9.9999999999999645</v>
      </c>
      <c r="I454">
        <v>3</v>
      </c>
      <c r="J454">
        <v>29.999999999999893</v>
      </c>
      <c r="K454" s="1" t="e">
        <f>INDEX($P$4:$AM$15,MATCH(MONTH($E454),$O$4:$O$15,0),MATCH(HOUR($F454),$P$3:$AM$3,0))</f>
        <v>#N/A</v>
      </c>
      <c r="L454" t="s">
        <v>302</v>
      </c>
      <c r="M454" s="111"/>
    </row>
    <row r="455" spans="1:13" x14ac:dyDescent="0.25">
      <c r="A455">
        <v>454</v>
      </c>
      <c r="B455">
        <v>40168426</v>
      </c>
      <c r="C455">
        <v>4</v>
      </c>
      <c r="E455" s="110">
        <v>42851</v>
      </c>
      <c r="F455" s="111" t="s">
        <v>299</v>
      </c>
      <c r="G455">
        <v>1.7050000000000001</v>
      </c>
      <c r="H455">
        <v>5.0000000000001421</v>
      </c>
      <c r="I455">
        <v>3</v>
      </c>
      <c r="J455">
        <v>1105</v>
      </c>
      <c r="K455" s="1" t="e">
        <f>INDEX($P$4:$AM$15,MATCH(MONTH($E455),$O$4:$O$15,0),MATCH(HOUR($F455),$P$3:$AM$3,0))</f>
        <v>#N/A</v>
      </c>
      <c r="L455" t="s">
        <v>302</v>
      </c>
      <c r="M455" s="111"/>
    </row>
    <row r="456" spans="1:13" x14ac:dyDescent="0.25">
      <c r="A456">
        <v>455</v>
      </c>
      <c r="B456">
        <v>40202381</v>
      </c>
      <c r="C456">
        <v>1</v>
      </c>
      <c r="E456" s="110">
        <v>42852</v>
      </c>
      <c r="F456" s="111" t="s">
        <v>246</v>
      </c>
      <c r="G456">
        <v>6.3079999999999998</v>
      </c>
      <c r="H456">
        <v>19.999999999999929</v>
      </c>
      <c r="I456">
        <v>3</v>
      </c>
      <c r="J456">
        <v>71.000000000000071</v>
      </c>
      <c r="K456" s="1" t="e">
        <f>INDEX($P$4:$AM$15,MATCH(MONTH($E456),$O$4:$O$15,0),MATCH(HOUR($F456),$P$3:$AM$3,0))</f>
        <v>#N/A</v>
      </c>
      <c r="L456" t="s">
        <v>257</v>
      </c>
      <c r="M456" s="111"/>
    </row>
    <row r="457" spans="1:13" x14ac:dyDescent="0.25">
      <c r="A457">
        <v>456</v>
      </c>
      <c r="B457">
        <v>40202381</v>
      </c>
      <c r="C457">
        <v>2</v>
      </c>
      <c r="E457" s="110">
        <v>42852</v>
      </c>
      <c r="F457" s="111" t="s">
        <v>437</v>
      </c>
      <c r="G457">
        <v>5.766</v>
      </c>
      <c r="H457">
        <v>30.99999999999989</v>
      </c>
      <c r="I457">
        <v>3</v>
      </c>
      <c r="J457">
        <v>48.000000000000071</v>
      </c>
      <c r="K457" s="1" t="e">
        <f>INDEX($P$4:$AM$15,MATCH(MONTH($E457),$O$4:$O$15,0),MATCH(HOUR($F457),$P$3:$AM$3,0))</f>
        <v>#N/A</v>
      </c>
      <c r="L457" t="s">
        <v>257</v>
      </c>
      <c r="M457" s="111"/>
    </row>
    <row r="458" spans="1:13" x14ac:dyDescent="0.25">
      <c r="A458">
        <v>457</v>
      </c>
      <c r="B458">
        <v>40207922</v>
      </c>
      <c r="C458">
        <v>3</v>
      </c>
      <c r="E458" s="110">
        <v>42852</v>
      </c>
      <c r="F458" s="111" t="s">
        <v>217</v>
      </c>
      <c r="G458">
        <v>8.15</v>
      </c>
      <c r="H458">
        <v>23</v>
      </c>
      <c r="I458">
        <v>3</v>
      </c>
      <c r="J458">
        <v>116.99999999999999</v>
      </c>
      <c r="K458" s="1" t="e">
        <f>INDEX($P$4:$AM$15,MATCH(MONTH($E458),$O$4:$O$15,0),MATCH(HOUR($F458),$P$3:$AM$3,0))</f>
        <v>#N/A</v>
      </c>
      <c r="L458" t="s">
        <v>231</v>
      </c>
      <c r="M458" s="111"/>
    </row>
    <row r="459" spans="1:13" x14ac:dyDescent="0.25">
      <c r="A459">
        <v>458</v>
      </c>
      <c r="B459">
        <v>40207922</v>
      </c>
      <c r="C459">
        <v>4</v>
      </c>
      <c r="E459" s="110">
        <v>42852</v>
      </c>
      <c r="F459" s="111" t="s">
        <v>397</v>
      </c>
      <c r="G459">
        <v>7.6040000000000001</v>
      </c>
      <c r="H459">
        <v>17.000000000000099</v>
      </c>
      <c r="I459">
        <v>3</v>
      </c>
      <c r="J459">
        <v>37.999999999999865</v>
      </c>
      <c r="K459" s="1" t="e">
        <f>INDEX($P$4:$AM$15,MATCH(MONTH($E459),$O$4:$O$15,0),MATCH(HOUR($F459),$P$3:$AM$3,0))</f>
        <v>#N/A</v>
      </c>
      <c r="L459" t="s">
        <v>231</v>
      </c>
      <c r="M459" s="111"/>
    </row>
    <row r="460" spans="1:13" x14ac:dyDescent="0.25">
      <c r="A460">
        <v>459</v>
      </c>
      <c r="B460">
        <v>40207922</v>
      </c>
      <c r="C460">
        <v>5</v>
      </c>
      <c r="E460" s="110">
        <v>42852</v>
      </c>
      <c r="F460" s="111" t="s">
        <v>315</v>
      </c>
      <c r="G460">
        <v>1.204</v>
      </c>
      <c r="H460">
        <v>5.0000000000001421</v>
      </c>
      <c r="I460">
        <v>3</v>
      </c>
      <c r="J460">
        <v>69.999999999999915</v>
      </c>
      <c r="K460" s="1" t="e">
        <f>INDEX($P$4:$AM$15,MATCH(MONTH($E460),$O$4:$O$15,0),MATCH(HOUR($F460),$P$3:$AM$3,0))</f>
        <v>#N/A</v>
      </c>
      <c r="L460" t="s">
        <v>231</v>
      </c>
      <c r="M460" s="111"/>
    </row>
    <row r="461" spans="1:13" x14ac:dyDescent="0.25">
      <c r="A461">
        <v>460</v>
      </c>
      <c r="B461">
        <v>40207922</v>
      </c>
      <c r="C461">
        <v>6</v>
      </c>
      <c r="E461" s="110">
        <v>42852</v>
      </c>
      <c r="F461" s="111" t="s">
        <v>227</v>
      </c>
      <c r="G461">
        <v>1.8759999999999999</v>
      </c>
      <c r="H461">
        <v>11.999999999999957</v>
      </c>
      <c r="I461">
        <v>3</v>
      </c>
      <c r="J461">
        <v>1428</v>
      </c>
      <c r="K461" s="1" t="e">
        <f>INDEX($P$4:$AM$15,MATCH(MONTH($E461),$O$4:$O$15,0),MATCH(HOUR($F461),$P$3:$AM$3,0))</f>
        <v>#N/A</v>
      </c>
      <c r="L461" t="s">
        <v>231</v>
      </c>
      <c r="M461" s="111"/>
    </row>
    <row r="462" spans="1:13" x14ac:dyDescent="0.25">
      <c r="A462">
        <v>461</v>
      </c>
      <c r="B462">
        <v>40207922</v>
      </c>
      <c r="C462">
        <v>1</v>
      </c>
      <c r="E462" s="110">
        <v>42853</v>
      </c>
      <c r="F462" s="111" t="s">
        <v>227</v>
      </c>
      <c r="G462">
        <v>7.03</v>
      </c>
      <c r="H462">
        <v>24.999999999999911</v>
      </c>
      <c r="I462">
        <v>6</v>
      </c>
      <c r="J462">
        <v>170.00000000000003</v>
      </c>
      <c r="K462" s="1" t="e">
        <f>INDEX($P$4:$AM$15,MATCH(MONTH($E462),$O$4:$O$15,0),MATCH(HOUR($F462),$P$3:$AM$3,0))</f>
        <v>#N/A</v>
      </c>
      <c r="L462" t="s">
        <v>231</v>
      </c>
      <c r="M462" s="111"/>
    </row>
    <row r="463" spans="1:13" x14ac:dyDescent="0.25">
      <c r="A463">
        <v>462</v>
      </c>
      <c r="B463">
        <v>40207922</v>
      </c>
      <c r="C463">
        <v>2</v>
      </c>
      <c r="E463" s="110">
        <v>42853</v>
      </c>
      <c r="F463" s="111" t="s">
        <v>358</v>
      </c>
      <c r="G463">
        <v>7.0110000000000001</v>
      </c>
      <c r="H463">
        <v>35.000000000000036</v>
      </c>
      <c r="I463">
        <v>6</v>
      </c>
      <c r="J463">
        <v>865.00000000000011</v>
      </c>
      <c r="K463" s="1" t="e">
        <f>INDEX($P$4:$AM$15,MATCH(MONTH($E463),$O$4:$O$15,0),MATCH(HOUR($F463),$P$3:$AM$3,0))</f>
        <v>#N/A</v>
      </c>
      <c r="L463" t="s">
        <v>231</v>
      </c>
      <c r="M463" s="111"/>
    </row>
    <row r="464" spans="1:13" x14ac:dyDescent="0.25">
      <c r="A464">
        <v>463</v>
      </c>
      <c r="B464">
        <v>40209862</v>
      </c>
      <c r="C464">
        <v>1</v>
      </c>
      <c r="E464" s="110">
        <v>42854</v>
      </c>
      <c r="F464" s="111" t="s">
        <v>287</v>
      </c>
      <c r="G464">
        <v>15.772</v>
      </c>
      <c r="H464">
        <v>49.999999999999986</v>
      </c>
      <c r="I464">
        <v>3</v>
      </c>
      <c r="J464">
        <v>489.99999999999994</v>
      </c>
      <c r="K464" s="1" t="e">
        <f>INDEX($P$4:$AM$15,MATCH(MONTH($E464),$O$4:$O$15,0),MATCH(HOUR($F464),$P$3:$AM$3,0))</f>
        <v>#N/A</v>
      </c>
      <c r="L464" t="s">
        <v>218</v>
      </c>
      <c r="M464" s="111"/>
    </row>
    <row r="465" spans="1:13" x14ac:dyDescent="0.25">
      <c r="A465">
        <v>464</v>
      </c>
      <c r="B465">
        <v>40209862</v>
      </c>
      <c r="C465">
        <v>2</v>
      </c>
      <c r="E465" s="110">
        <v>42854</v>
      </c>
      <c r="F465" s="111" t="s">
        <v>358</v>
      </c>
      <c r="G465">
        <v>14.943</v>
      </c>
      <c r="H465">
        <v>45</v>
      </c>
      <c r="I465">
        <v>3</v>
      </c>
      <c r="J465">
        <v>1140</v>
      </c>
      <c r="K465" s="1" t="e">
        <f>INDEX($P$4:$AM$15,MATCH(MONTH($E465),$O$4:$O$15,0),MATCH(HOUR($F465),$P$3:$AM$3,0))</f>
        <v>#N/A</v>
      </c>
      <c r="L465" t="s">
        <v>218</v>
      </c>
      <c r="M465" s="111"/>
    </row>
    <row r="466" spans="1:13" x14ac:dyDescent="0.25">
      <c r="A466">
        <v>465</v>
      </c>
      <c r="B466">
        <v>40209862</v>
      </c>
      <c r="C466">
        <v>1</v>
      </c>
      <c r="E466" s="110">
        <v>42855</v>
      </c>
      <c r="F466" s="111" t="s">
        <v>250</v>
      </c>
      <c r="G466">
        <v>2.85</v>
      </c>
      <c r="H466">
        <v>9.9999999999999645</v>
      </c>
      <c r="I466">
        <v>3</v>
      </c>
      <c r="J466">
        <v>14.999999999999947</v>
      </c>
      <c r="K466" s="1" t="e">
        <f>INDEX($P$4:$AM$15,MATCH(MONTH($E466),$O$4:$O$15,0),MATCH(HOUR($F466),$P$3:$AM$3,0))</f>
        <v>#N/A</v>
      </c>
      <c r="L466" t="s">
        <v>218</v>
      </c>
      <c r="M466" s="111"/>
    </row>
    <row r="467" spans="1:13" x14ac:dyDescent="0.25">
      <c r="A467">
        <v>466</v>
      </c>
      <c r="B467">
        <v>40209862</v>
      </c>
      <c r="C467">
        <v>2</v>
      </c>
      <c r="E467" s="110">
        <v>42855</v>
      </c>
      <c r="F467" s="111" t="s">
        <v>438</v>
      </c>
      <c r="G467">
        <v>2.8490000000000002</v>
      </c>
      <c r="H467">
        <v>14.999999999999947</v>
      </c>
      <c r="I467">
        <v>3</v>
      </c>
      <c r="J467">
        <v>1250</v>
      </c>
      <c r="K467" s="1" t="e">
        <f>INDEX($P$4:$AM$15,MATCH(MONTH($E467),$O$4:$O$15,0),MATCH(HOUR($F467),$P$3:$AM$3,0))</f>
        <v>#N/A</v>
      </c>
      <c r="L467" t="s">
        <v>218</v>
      </c>
      <c r="M467" s="111"/>
    </row>
    <row r="468" spans="1:13" x14ac:dyDescent="0.25">
      <c r="A468">
        <v>467</v>
      </c>
      <c r="B468">
        <v>30008308</v>
      </c>
      <c r="C468">
        <v>1</v>
      </c>
      <c r="E468" s="110">
        <v>42491</v>
      </c>
      <c r="F468" s="111" t="s">
        <v>287</v>
      </c>
      <c r="G468">
        <v>0.47699999999999998</v>
      </c>
      <c r="H468">
        <v>4.9999999999999822</v>
      </c>
      <c r="I468">
        <v>3</v>
      </c>
      <c r="J468">
        <v>69.999999999999986</v>
      </c>
      <c r="K468" s="1" t="e">
        <f>INDEX($P$4:$AM$15,MATCH(MONTH($E468),$O$4:$O$15,0),MATCH(HOUR($F468),$P$3:$AM$3,0))</f>
        <v>#N/A</v>
      </c>
      <c r="L468" t="s">
        <v>257</v>
      </c>
      <c r="M468" s="111"/>
    </row>
    <row r="469" spans="1:13" x14ac:dyDescent="0.25">
      <c r="A469">
        <v>468</v>
      </c>
      <c r="B469">
        <v>30008308</v>
      </c>
      <c r="C469">
        <v>2</v>
      </c>
      <c r="E469" s="110">
        <v>42491</v>
      </c>
      <c r="F469" s="111" t="s">
        <v>217</v>
      </c>
      <c r="G469">
        <v>4.5339999999999998</v>
      </c>
      <c r="H469">
        <v>9.9999999999999645</v>
      </c>
      <c r="I469">
        <v>3</v>
      </c>
      <c r="J469">
        <v>70.000000000000071</v>
      </c>
      <c r="K469" s="1" t="e">
        <f>INDEX($P$4:$AM$15,MATCH(MONTH($E469),$O$4:$O$15,0),MATCH(HOUR($F469),$P$3:$AM$3,0))</f>
        <v>#N/A</v>
      </c>
      <c r="L469" t="s">
        <v>257</v>
      </c>
      <c r="M469" s="111"/>
    </row>
    <row r="470" spans="1:13" x14ac:dyDescent="0.25">
      <c r="A470">
        <v>469</v>
      </c>
      <c r="B470">
        <v>30008308</v>
      </c>
      <c r="C470">
        <v>3</v>
      </c>
      <c r="E470" s="110">
        <v>42491</v>
      </c>
      <c r="F470" s="111" t="s">
        <v>298</v>
      </c>
      <c r="G470">
        <v>3.69</v>
      </c>
      <c r="H470">
        <v>9.9999999999999645</v>
      </c>
      <c r="I470">
        <v>3</v>
      </c>
      <c r="J470">
        <v>120.00000000000006</v>
      </c>
      <c r="K470" s="1" t="e">
        <f>INDEX($P$4:$AM$15,MATCH(MONTH($E470),$O$4:$O$15,0),MATCH(HOUR($F470),$P$3:$AM$3,0))</f>
        <v>#N/A</v>
      </c>
      <c r="L470" t="s">
        <v>257</v>
      </c>
      <c r="M470" s="111"/>
    </row>
    <row r="471" spans="1:13" x14ac:dyDescent="0.25">
      <c r="A471">
        <v>470</v>
      </c>
      <c r="B471">
        <v>30008308</v>
      </c>
      <c r="C471">
        <v>4</v>
      </c>
      <c r="E471" s="110">
        <v>42491</v>
      </c>
      <c r="F471" s="111" t="s">
        <v>250</v>
      </c>
      <c r="G471">
        <v>123.73399999999999</v>
      </c>
      <c r="H471">
        <v>149.99999999999994</v>
      </c>
      <c r="I471">
        <v>3</v>
      </c>
      <c r="J471">
        <v>915</v>
      </c>
      <c r="K471" s="1" t="e">
        <f>INDEX($P$4:$AM$15,MATCH(MONTH($E471),$O$4:$O$15,0),MATCH(HOUR($F471),$P$3:$AM$3,0))</f>
        <v>#N/A</v>
      </c>
      <c r="L471" t="s">
        <v>257</v>
      </c>
      <c r="M471" s="111"/>
    </row>
    <row r="472" spans="1:13" x14ac:dyDescent="0.25">
      <c r="A472">
        <v>471</v>
      </c>
      <c r="B472">
        <v>30010135</v>
      </c>
      <c r="C472">
        <v>1</v>
      </c>
      <c r="E472" s="110">
        <v>42492</v>
      </c>
      <c r="F472" s="111" t="s">
        <v>344</v>
      </c>
      <c r="G472">
        <v>15.537000000000001</v>
      </c>
      <c r="H472">
        <v>24.999999999999911</v>
      </c>
      <c r="I472">
        <v>3</v>
      </c>
      <c r="J472">
        <v>516</v>
      </c>
      <c r="K472" s="1" t="e">
        <f>INDEX($P$4:$AM$15,MATCH(MONTH($E472),$O$4:$O$15,0),MATCH(HOUR($F472),$P$3:$AM$3,0))</f>
        <v>#N/A</v>
      </c>
      <c r="L472" t="s">
        <v>218</v>
      </c>
      <c r="M472" s="111"/>
    </row>
    <row r="473" spans="1:13" x14ac:dyDescent="0.25">
      <c r="A473">
        <v>472</v>
      </c>
      <c r="B473">
        <v>30010135</v>
      </c>
      <c r="C473">
        <v>2</v>
      </c>
      <c r="E473" s="110">
        <v>42492</v>
      </c>
      <c r="F473" s="111" t="s">
        <v>439</v>
      </c>
      <c r="G473">
        <v>15.49</v>
      </c>
      <c r="H473">
        <v>29.000000000000057</v>
      </c>
      <c r="I473">
        <v>3</v>
      </c>
      <c r="J473">
        <v>104.99999999999994</v>
      </c>
      <c r="K473" s="1" t="e">
        <f>INDEX($P$4:$AM$15,MATCH(MONTH($E473),$O$4:$O$15,0),MATCH(HOUR($F473),$P$3:$AM$3,0))</f>
        <v>#N/A</v>
      </c>
      <c r="L473" t="s">
        <v>218</v>
      </c>
      <c r="M473" s="111"/>
    </row>
    <row r="474" spans="1:13" x14ac:dyDescent="0.25">
      <c r="A474">
        <v>473</v>
      </c>
      <c r="B474">
        <v>30010135</v>
      </c>
      <c r="C474">
        <v>3</v>
      </c>
      <c r="E474" s="110">
        <v>42492</v>
      </c>
      <c r="F474" s="111" t="s">
        <v>245</v>
      </c>
      <c r="G474">
        <v>2.1720000000000002</v>
      </c>
      <c r="H474">
        <v>15.000000000000107</v>
      </c>
      <c r="I474">
        <v>3</v>
      </c>
      <c r="J474">
        <v>194.99999999999994</v>
      </c>
      <c r="K474" s="1" t="e">
        <f>INDEX($P$4:$AM$15,MATCH(MONTH($E474),$O$4:$O$15,0),MATCH(HOUR($F474),$P$3:$AM$3,0))</f>
        <v>#N/A</v>
      </c>
      <c r="L474" t="s">
        <v>218</v>
      </c>
      <c r="M474" s="111"/>
    </row>
    <row r="475" spans="1:13" x14ac:dyDescent="0.25">
      <c r="A475">
        <v>474</v>
      </c>
      <c r="B475">
        <v>30010135</v>
      </c>
      <c r="C475">
        <v>4</v>
      </c>
      <c r="E475" s="110">
        <v>42492</v>
      </c>
      <c r="F475" s="111" t="s">
        <v>440</v>
      </c>
      <c r="G475">
        <v>2.1440000000000001</v>
      </c>
      <c r="H475">
        <v>10.000000000000124</v>
      </c>
      <c r="I475">
        <v>3</v>
      </c>
      <c r="J475">
        <v>579.99999999999989</v>
      </c>
      <c r="K475" s="1" t="e">
        <f>INDEX($P$4:$AM$15,MATCH(MONTH($E475),$O$4:$O$15,0),MATCH(HOUR($F475),$P$3:$AM$3,0))</f>
        <v>#N/A</v>
      </c>
      <c r="L475" t="s">
        <v>218</v>
      </c>
      <c r="M475" s="111"/>
    </row>
    <row r="476" spans="1:13" x14ac:dyDescent="0.25">
      <c r="A476">
        <v>475</v>
      </c>
      <c r="B476">
        <v>30010135</v>
      </c>
      <c r="C476">
        <v>1</v>
      </c>
      <c r="E476" s="110">
        <v>42493</v>
      </c>
      <c r="F476" s="111" t="s">
        <v>441</v>
      </c>
      <c r="G476">
        <v>19.088000000000001</v>
      </c>
      <c r="H476">
        <v>36.999999999999872</v>
      </c>
      <c r="I476">
        <v>3</v>
      </c>
      <c r="J476">
        <v>278.00000000000006</v>
      </c>
      <c r="K476" s="1" t="e">
        <f>INDEX($P$4:$AM$15,MATCH(MONTH($E476),$O$4:$O$15,0),MATCH(HOUR($F476),$P$3:$AM$3,0))</f>
        <v>#N/A</v>
      </c>
      <c r="L476" t="s">
        <v>218</v>
      </c>
      <c r="M476" s="111"/>
    </row>
    <row r="477" spans="1:13" x14ac:dyDescent="0.25">
      <c r="A477">
        <v>476</v>
      </c>
      <c r="B477">
        <v>30010135</v>
      </c>
      <c r="C477">
        <v>2</v>
      </c>
      <c r="E477" s="110">
        <v>42493</v>
      </c>
      <c r="F477" s="111" t="s">
        <v>442</v>
      </c>
      <c r="G477">
        <v>2.9359999999999999</v>
      </c>
      <c r="H477">
        <v>4.9999999999999822</v>
      </c>
      <c r="I477">
        <v>3</v>
      </c>
      <c r="J477">
        <v>30.000000000000053</v>
      </c>
      <c r="K477" s="1" t="e">
        <f>INDEX($P$4:$AM$15,MATCH(MONTH($E477),$O$4:$O$15,0),MATCH(HOUR($F477),$P$3:$AM$3,0))</f>
        <v>#N/A</v>
      </c>
      <c r="L477" t="s">
        <v>218</v>
      </c>
      <c r="M477" s="111"/>
    </row>
    <row r="478" spans="1:13" x14ac:dyDescent="0.25">
      <c r="A478">
        <v>477</v>
      </c>
      <c r="B478">
        <v>30010135</v>
      </c>
      <c r="C478">
        <v>3</v>
      </c>
      <c r="E478" s="110">
        <v>42493</v>
      </c>
      <c r="F478" s="111" t="s">
        <v>363</v>
      </c>
      <c r="G478">
        <v>2.9420000000000002</v>
      </c>
      <c r="H478">
        <v>6.9999999999999751</v>
      </c>
      <c r="I478">
        <v>3</v>
      </c>
      <c r="J478">
        <v>163.00000000000006</v>
      </c>
      <c r="K478" s="1" t="e">
        <f>INDEX($P$4:$AM$15,MATCH(MONTH($E478),$O$4:$O$15,0),MATCH(HOUR($F478),$P$3:$AM$3,0))</f>
        <v>#N/A</v>
      </c>
      <c r="L478" t="s">
        <v>218</v>
      </c>
      <c r="M478" s="111"/>
    </row>
    <row r="479" spans="1:13" x14ac:dyDescent="0.25">
      <c r="A479">
        <v>478</v>
      </c>
      <c r="B479">
        <v>30010135</v>
      </c>
      <c r="C479">
        <v>4</v>
      </c>
      <c r="E479" s="110">
        <v>42493</v>
      </c>
      <c r="F479" s="111" t="s">
        <v>229</v>
      </c>
      <c r="G479">
        <v>19.001000000000001</v>
      </c>
      <c r="H479">
        <v>36.000000000000028</v>
      </c>
      <c r="I479">
        <v>3</v>
      </c>
      <c r="J479">
        <v>773.99999999999989</v>
      </c>
      <c r="K479" s="1" t="e">
        <f>INDEX($P$4:$AM$15,MATCH(MONTH($E479),$O$4:$O$15,0),MATCH(HOUR($F479),$P$3:$AM$3,0))</f>
        <v>#N/A</v>
      </c>
      <c r="L479" t="s">
        <v>218</v>
      </c>
      <c r="M479" s="111"/>
    </row>
    <row r="480" spans="1:13" x14ac:dyDescent="0.25">
      <c r="A480">
        <v>479</v>
      </c>
      <c r="B480">
        <v>30012199</v>
      </c>
      <c r="C480">
        <v>1</v>
      </c>
      <c r="E480" s="110">
        <v>42494</v>
      </c>
      <c r="F480" s="111" t="s">
        <v>256</v>
      </c>
      <c r="G480">
        <v>6.8010000000000002</v>
      </c>
      <c r="H480">
        <v>15.000000000000027</v>
      </c>
      <c r="I480">
        <v>3</v>
      </c>
      <c r="J480">
        <v>495</v>
      </c>
      <c r="K480" s="1" t="e">
        <f>INDEX($P$4:$AM$15,MATCH(MONTH($E480),$O$4:$O$15,0),MATCH(HOUR($F480),$P$3:$AM$3,0))</f>
        <v>#N/A</v>
      </c>
      <c r="L480" t="s">
        <v>249</v>
      </c>
      <c r="M480" s="111"/>
    </row>
    <row r="481" spans="1:13" x14ac:dyDescent="0.25">
      <c r="A481">
        <v>480</v>
      </c>
      <c r="B481">
        <v>30012199</v>
      </c>
      <c r="C481">
        <v>2</v>
      </c>
      <c r="E481" s="110">
        <v>42494</v>
      </c>
      <c r="F481" s="111" t="s">
        <v>227</v>
      </c>
      <c r="G481">
        <v>6.8630000000000004</v>
      </c>
      <c r="H481">
        <v>59.999999999999943</v>
      </c>
      <c r="I481">
        <v>3</v>
      </c>
      <c r="J481">
        <v>721</v>
      </c>
      <c r="K481" s="1" t="e">
        <f>INDEX($P$4:$AM$15,MATCH(MONTH($E481),$O$4:$O$15,0),MATCH(HOUR($F481),$P$3:$AM$3,0))</f>
        <v>#N/A</v>
      </c>
      <c r="L481" t="s">
        <v>249</v>
      </c>
      <c r="M481" s="111"/>
    </row>
    <row r="482" spans="1:13" x14ac:dyDescent="0.25">
      <c r="A482">
        <v>481</v>
      </c>
      <c r="B482">
        <v>30012199</v>
      </c>
      <c r="C482">
        <v>1</v>
      </c>
      <c r="E482" s="110">
        <v>42495</v>
      </c>
      <c r="F482" s="111" t="s">
        <v>443</v>
      </c>
      <c r="G482">
        <v>103.958</v>
      </c>
      <c r="H482">
        <v>119.00000000000001</v>
      </c>
      <c r="I482">
        <v>4</v>
      </c>
      <c r="J482">
        <v>60.000000000000028</v>
      </c>
      <c r="K482" s="1" t="e">
        <f>INDEX($P$4:$AM$15,MATCH(MONTH($E482),$O$4:$O$15,0),MATCH(HOUR($F482),$P$3:$AM$3,0))</f>
        <v>#N/A</v>
      </c>
      <c r="L482" t="s">
        <v>249</v>
      </c>
      <c r="M482" s="111"/>
    </row>
    <row r="483" spans="1:13" x14ac:dyDescent="0.25">
      <c r="A483">
        <v>482</v>
      </c>
      <c r="B483">
        <v>30012199</v>
      </c>
      <c r="C483">
        <v>2</v>
      </c>
      <c r="E483" s="110">
        <v>42495</v>
      </c>
      <c r="F483" s="111" t="s">
        <v>305</v>
      </c>
      <c r="G483">
        <v>103.908</v>
      </c>
      <c r="H483">
        <v>180</v>
      </c>
      <c r="I483">
        <v>4</v>
      </c>
      <c r="J483">
        <v>345</v>
      </c>
      <c r="K483" s="1" t="e">
        <f>INDEX($P$4:$AM$15,MATCH(MONTH($E483),$O$4:$O$15,0),MATCH(HOUR($F483),$P$3:$AM$3,0))</f>
        <v>#N/A</v>
      </c>
      <c r="L483" t="s">
        <v>249</v>
      </c>
      <c r="M483" s="111"/>
    </row>
    <row r="484" spans="1:13" x14ac:dyDescent="0.25">
      <c r="A484">
        <v>483</v>
      </c>
      <c r="B484">
        <v>30012199</v>
      </c>
      <c r="C484">
        <v>3</v>
      </c>
      <c r="E484" s="110">
        <v>42495</v>
      </c>
      <c r="F484" s="111" t="s">
        <v>228</v>
      </c>
      <c r="G484">
        <v>6.2220000000000004</v>
      </c>
      <c r="H484">
        <v>14.999999999999947</v>
      </c>
      <c r="I484">
        <v>4</v>
      </c>
      <c r="J484">
        <v>135</v>
      </c>
      <c r="K484" s="1" t="e">
        <f>INDEX($P$4:$AM$15,MATCH(MONTH($E484),$O$4:$O$15,0),MATCH(HOUR($F484),$P$3:$AM$3,0))</f>
        <v>#N/A</v>
      </c>
      <c r="L484" t="s">
        <v>249</v>
      </c>
      <c r="M484" s="111"/>
    </row>
    <row r="485" spans="1:13" x14ac:dyDescent="0.25">
      <c r="A485">
        <v>484</v>
      </c>
      <c r="B485">
        <v>30012199</v>
      </c>
      <c r="C485">
        <v>4</v>
      </c>
      <c r="E485" s="110">
        <v>42495</v>
      </c>
      <c r="F485" s="111" t="s">
        <v>358</v>
      </c>
      <c r="G485">
        <v>5.7030000000000003</v>
      </c>
      <c r="H485">
        <v>15.000000000000107</v>
      </c>
      <c r="I485">
        <v>4</v>
      </c>
      <c r="J485">
        <v>899.99999999999989</v>
      </c>
      <c r="K485" s="1" t="e">
        <f>INDEX($P$4:$AM$15,MATCH(MONTH($E485),$O$4:$O$15,0),MATCH(HOUR($F485),$P$3:$AM$3,0))</f>
        <v>#N/A</v>
      </c>
      <c r="L485" t="s">
        <v>249</v>
      </c>
      <c r="M485" s="111"/>
    </row>
    <row r="486" spans="1:13" x14ac:dyDescent="0.25">
      <c r="A486">
        <v>485</v>
      </c>
      <c r="B486">
        <v>30012694</v>
      </c>
      <c r="C486">
        <v>1</v>
      </c>
      <c r="E486" s="110">
        <v>42496</v>
      </c>
      <c r="F486" s="111" t="s">
        <v>326</v>
      </c>
      <c r="G486">
        <v>9.0280000000000005</v>
      </c>
      <c r="H486">
        <v>9.9999999999999645</v>
      </c>
      <c r="I486">
        <v>3</v>
      </c>
      <c r="J486">
        <v>20.000000000000089</v>
      </c>
      <c r="K486" s="1" t="e">
        <f>INDEX($P$4:$AM$15,MATCH(MONTH($E486),$O$4:$O$15,0),MATCH(HOUR($F486),$P$3:$AM$3,0))</f>
        <v>#N/A</v>
      </c>
      <c r="L486" t="s">
        <v>231</v>
      </c>
      <c r="M486" s="111"/>
    </row>
    <row r="487" spans="1:13" x14ac:dyDescent="0.25">
      <c r="A487">
        <v>486</v>
      </c>
      <c r="B487">
        <v>30012694</v>
      </c>
      <c r="C487">
        <v>2</v>
      </c>
      <c r="E487" s="110">
        <v>42496</v>
      </c>
      <c r="F487" s="111" t="s">
        <v>283</v>
      </c>
      <c r="G487">
        <v>0.35</v>
      </c>
      <c r="H487">
        <v>9.9999999999999645</v>
      </c>
      <c r="I487">
        <v>3</v>
      </c>
      <c r="J487">
        <v>40.000000000000014</v>
      </c>
      <c r="K487" s="1" t="e">
        <f>INDEX($P$4:$AM$15,MATCH(MONTH($E487),$O$4:$O$15,0),MATCH(HOUR($F487),$P$3:$AM$3,0))</f>
        <v>#N/A</v>
      </c>
      <c r="L487" t="s">
        <v>231</v>
      </c>
      <c r="M487" s="111"/>
    </row>
    <row r="488" spans="1:13" x14ac:dyDescent="0.25">
      <c r="A488">
        <v>487</v>
      </c>
      <c r="B488">
        <v>30012694</v>
      </c>
      <c r="C488">
        <v>3</v>
      </c>
      <c r="E488" s="110">
        <v>42496</v>
      </c>
      <c r="F488" s="111" t="s">
        <v>417</v>
      </c>
      <c r="G488">
        <v>1.611</v>
      </c>
      <c r="H488">
        <v>9.9999999999999645</v>
      </c>
      <c r="I488">
        <v>3</v>
      </c>
      <c r="J488">
        <v>60.000000000000028</v>
      </c>
      <c r="K488" s="1" t="e">
        <f>INDEX($P$4:$AM$15,MATCH(MONTH($E488),$O$4:$O$15,0),MATCH(HOUR($F488),$P$3:$AM$3,0))</f>
        <v>#N/A</v>
      </c>
      <c r="L488" t="s">
        <v>231</v>
      </c>
      <c r="M488" s="111"/>
    </row>
    <row r="489" spans="1:13" x14ac:dyDescent="0.25">
      <c r="A489">
        <v>488</v>
      </c>
      <c r="B489">
        <v>30012694</v>
      </c>
      <c r="C489">
        <v>4</v>
      </c>
      <c r="E489" s="110">
        <v>42496</v>
      </c>
      <c r="F489" s="111" t="s">
        <v>318</v>
      </c>
      <c r="G489">
        <v>7.827</v>
      </c>
      <c r="H489">
        <v>30.000000000000053</v>
      </c>
      <c r="I489">
        <v>3</v>
      </c>
      <c r="J489">
        <v>265</v>
      </c>
      <c r="K489" s="1" t="e">
        <f>INDEX($P$4:$AM$15,MATCH(MONTH($E489),$O$4:$O$15,0),MATCH(HOUR($F489),$P$3:$AM$3,0))</f>
        <v>#N/A</v>
      </c>
      <c r="L489" t="s">
        <v>231</v>
      </c>
      <c r="M489" s="111"/>
    </row>
    <row r="490" spans="1:13" x14ac:dyDescent="0.25">
      <c r="A490">
        <v>489</v>
      </c>
      <c r="B490">
        <v>30015190</v>
      </c>
      <c r="C490">
        <v>5</v>
      </c>
      <c r="E490" s="110">
        <v>42496</v>
      </c>
      <c r="F490" s="111" t="s">
        <v>271</v>
      </c>
      <c r="G490">
        <v>1.4450000000000001</v>
      </c>
      <c r="H490">
        <v>9.9999999999998046</v>
      </c>
      <c r="I490">
        <v>3</v>
      </c>
      <c r="J490">
        <v>15.000000000000107</v>
      </c>
      <c r="K490" s="1" t="e">
        <f>INDEX($P$4:$AM$15,MATCH(MONTH($E490),$O$4:$O$15,0),MATCH(HOUR($F490),$P$3:$AM$3,0))</f>
        <v>#N/A</v>
      </c>
      <c r="L490" t="s">
        <v>231</v>
      </c>
      <c r="M490" s="111"/>
    </row>
    <row r="491" spans="1:13" x14ac:dyDescent="0.25">
      <c r="A491">
        <v>490</v>
      </c>
      <c r="B491">
        <v>30015190</v>
      </c>
      <c r="C491">
        <v>6</v>
      </c>
      <c r="E491" s="110">
        <v>42496</v>
      </c>
      <c r="F491" s="111" t="s">
        <v>408</v>
      </c>
      <c r="G491">
        <v>1.4950000000000001</v>
      </c>
      <c r="H491">
        <v>9.9999999999999645</v>
      </c>
      <c r="I491">
        <v>3</v>
      </c>
      <c r="J491">
        <v>900.00000000000011</v>
      </c>
      <c r="K491" s="1" t="e">
        <f>INDEX($P$4:$AM$15,MATCH(MONTH($E491),$O$4:$O$15,0),MATCH(HOUR($F491),$P$3:$AM$3,0))</f>
        <v>#N/A</v>
      </c>
      <c r="L491" t="s">
        <v>231</v>
      </c>
      <c r="M491" s="111"/>
    </row>
    <row r="492" spans="1:13" x14ac:dyDescent="0.25">
      <c r="A492">
        <v>491</v>
      </c>
      <c r="B492">
        <v>30037617</v>
      </c>
      <c r="C492">
        <v>1</v>
      </c>
      <c r="E492" s="110">
        <v>42497</v>
      </c>
      <c r="F492" s="111" t="s">
        <v>286</v>
      </c>
      <c r="G492">
        <v>7.1840000000000002</v>
      </c>
      <c r="H492">
        <v>14.999999999999947</v>
      </c>
      <c r="I492">
        <v>6</v>
      </c>
      <c r="J492">
        <v>195.00000000000003</v>
      </c>
      <c r="K492" s="1" t="e">
        <f>INDEX($P$4:$AM$15,MATCH(MONTH($E492),$O$4:$O$15,0),MATCH(HOUR($F492),$P$3:$AM$3,0))</f>
        <v>#N/A</v>
      </c>
      <c r="L492" t="s">
        <v>218</v>
      </c>
      <c r="M492" s="111"/>
    </row>
    <row r="493" spans="1:13" x14ac:dyDescent="0.25">
      <c r="A493">
        <v>492</v>
      </c>
      <c r="B493">
        <v>30037617</v>
      </c>
      <c r="C493">
        <v>2</v>
      </c>
      <c r="E493" s="110">
        <v>42497</v>
      </c>
      <c r="F493" s="111" t="s">
        <v>318</v>
      </c>
      <c r="G493">
        <v>2.4689999999999999</v>
      </c>
      <c r="H493">
        <v>9.9999999999999645</v>
      </c>
      <c r="I493">
        <v>6</v>
      </c>
      <c r="J493">
        <v>30.000000000000053</v>
      </c>
      <c r="K493" s="1" t="e">
        <f>INDEX($P$4:$AM$15,MATCH(MONTH($E493),$O$4:$O$15,0),MATCH(HOUR($F493),$P$3:$AM$3,0))</f>
        <v>#N/A</v>
      </c>
      <c r="L493" t="s">
        <v>218</v>
      </c>
      <c r="M493" s="111"/>
    </row>
    <row r="494" spans="1:13" x14ac:dyDescent="0.25">
      <c r="A494">
        <v>493</v>
      </c>
      <c r="B494">
        <v>30037617</v>
      </c>
      <c r="C494">
        <v>3</v>
      </c>
      <c r="E494" s="110">
        <v>42497</v>
      </c>
      <c r="F494" s="111" t="s">
        <v>238</v>
      </c>
      <c r="G494">
        <v>0.755</v>
      </c>
      <c r="H494">
        <v>9.9999999999999645</v>
      </c>
      <c r="I494">
        <v>6</v>
      </c>
      <c r="J494">
        <v>40.000000000000014</v>
      </c>
      <c r="K494" s="1" t="e">
        <f>INDEX($P$4:$AM$15,MATCH(MONTH($E494),$O$4:$O$15,0),MATCH(HOUR($F494),$P$3:$AM$3,0))</f>
        <v>#N/A</v>
      </c>
      <c r="L494" t="s">
        <v>218</v>
      </c>
      <c r="M494" s="111"/>
    </row>
    <row r="495" spans="1:13" x14ac:dyDescent="0.25">
      <c r="A495">
        <v>494</v>
      </c>
      <c r="B495">
        <v>30037617</v>
      </c>
      <c r="C495">
        <v>4</v>
      </c>
      <c r="E495" s="110">
        <v>42497</v>
      </c>
      <c r="F495" s="111" t="s">
        <v>240</v>
      </c>
      <c r="G495">
        <v>0.373</v>
      </c>
      <c r="H495">
        <v>4.9999999999999822</v>
      </c>
      <c r="I495">
        <v>6</v>
      </c>
      <c r="J495">
        <v>60.000000000000107</v>
      </c>
      <c r="K495" s="1" t="e">
        <f>INDEX($P$4:$AM$15,MATCH(MONTH($E495),$O$4:$O$15,0),MATCH(HOUR($F495),$P$3:$AM$3,0))</f>
        <v>#N/A</v>
      </c>
      <c r="L495" t="s">
        <v>218</v>
      </c>
      <c r="M495" s="111"/>
    </row>
    <row r="496" spans="1:13" x14ac:dyDescent="0.25">
      <c r="A496">
        <v>495</v>
      </c>
      <c r="B496">
        <v>30037617</v>
      </c>
      <c r="C496">
        <v>5</v>
      </c>
      <c r="E496" s="110">
        <v>42497</v>
      </c>
      <c r="F496" s="111" t="s">
        <v>220</v>
      </c>
      <c r="G496">
        <v>0.628</v>
      </c>
      <c r="H496">
        <v>2.9999999999998295</v>
      </c>
      <c r="I496">
        <v>3</v>
      </c>
      <c r="J496">
        <v>22.000000000000082</v>
      </c>
      <c r="K496" s="1" t="e">
        <f>INDEX($P$4:$AM$15,MATCH(MONTH($E496),$O$4:$O$15,0),MATCH(HOUR($F496),$P$3:$AM$3,0))</f>
        <v>#N/A</v>
      </c>
      <c r="L496" t="s">
        <v>218</v>
      </c>
      <c r="M496" s="111"/>
    </row>
    <row r="497" spans="1:13" x14ac:dyDescent="0.25">
      <c r="A497">
        <v>496</v>
      </c>
      <c r="B497">
        <v>30037617</v>
      </c>
      <c r="C497">
        <v>6</v>
      </c>
      <c r="E497" s="110">
        <v>42497</v>
      </c>
      <c r="F497" s="111" t="s">
        <v>227</v>
      </c>
      <c r="G497">
        <v>7.4349999999999996</v>
      </c>
      <c r="H497">
        <v>9.9999999999999645</v>
      </c>
      <c r="I497">
        <v>6</v>
      </c>
      <c r="J497">
        <v>120.00000000000006</v>
      </c>
      <c r="K497" s="1" t="e">
        <f>INDEX($P$4:$AM$15,MATCH(MONTH($E497),$O$4:$O$15,0),MATCH(HOUR($F497),$P$3:$AM$3,0))</f>
        <v>#N/A</v>
      </c>
      <c r="L497" t="s">
        <v>218</v>
      </c>
      <c r="M497" s="111"/>
    </row>
    <row r="498" spans="1:13" x14ac:dyDescent="0.25">
      <c r="A498">
        <v>497</v>
      </c>
      <c r="B498">
        <v>30037617</v>
      </c>
      <c r="C498">
        <v>7</v>
      </c>
      <c r="E498" s="110">
        <v>42497</v>
      </c>
      <c r="F498" s="111" t="s">
        <v>279</v>
      </c>
      <c r="G498">
        <v>3.4769999999999999</v>
      </c>
      <c r="H498">
        <v>4.9999999999999822</v>
      </c>
      <c r="I498">
        <v>6</v>
      </c>
      <c r="J498">
        <v>120.00000000000006</v>
      </c>
      <c r="K498" s="1" t="e">
        <f>INDEX($P$4:$AM$15,MATCH(MONTH($E498),$O$4:$O$15,0),MATCH(HOUR($F498),$P$3:$AM$3,0))</f>
        <v>#N/A</v>
      </c>
      <c r="L498" t="s">
        <v>218</v>
      </c>
      <c r="M498" s="111"/>
    </row>
    <row r="499" spans="1:13" x14ac:dyDescent="0.25">
      <c r="A499">
        <v>498</v>
      </c>
      <c r="B499">
        <v>30037617</v>
      </c>
      <c r="C499">
        <v>8</v>
      </c>
      <c r="E499" s="110">
        <v>42497</v>
      </c>
      <c r="F499" s="111" t="s">
        <v>415</v>
      </c>
      <c r="G499">
        <v>3.4329999999999998</v>
      </c>
      <c r="H499">
        <v>4.9999999999998224</v>
      </c>
      <c r="I499">
        <v>6</v>
      </c>
      <c r="J499">
        <v>786.00000000000023</v>
      </c>
      <c r="K499" s="1" t="e">
        <f>INDEX($P$4:$AM$15,MATCH(MONTH($E499),$O$4:$O$15,0),MATCH(HOUR($F499),$P$3:$AM$3,0))</f>
        <v>#N/A</v>
      </c>
      <c r="L499" t="s">
        <v>218</v>
      </c>
      <c r="M499" s="111"/>
    </row>
    <row r="500" spans="1:13" x14ac:dyDescent="0.25">
      <c r="A500">
        <v>499</v>
      </c>
      <c r="B500">
        <v>30062952</v>
      </c>
      <c r="C500">
        <v>1</v>
      </c>
      <c r="E500" s="110">
        <v>42498</v>
      </c>
      <c r="F500" s="111" t="s">
        <v>444</v>
      </c>
      <c r="G500">
        <v>1.8680000000000001</v>
      </c>
      <c r="H500">
        <v>5.9999999999999787</v>
      </c>
      <c r="I500">
        <v>6</v>
      </c>
      <c r="J500">
        <v>1.9999999999999929</v>
      </c>
      <c r="K500" s="1" t="e">
        <f>INDEX($P$4:$AM$15,MATCH(MONTH($E500),$O$4:$O$15,0),MATCH(HOUR($F500),$P$3:$AM$3,0))</f>
        <v>#N/A</v>
      </c>
      <c r="L500" t="s">
        <v>222</v>
      </c>
      <c r="M500" s="111"/>
    </row>
    <row r="501" spans="1:13" x14ac:dyDescent="0.25">
      <c r="A501">
        <v>500</v>
      </c>
      <c r="B501">
        <v>30062952</v>
      </c>
      <c r="C501">
        <v>2</v>
      </c>
      <c r="E501" s="110">
        <v>42498</v>
      </c>
      <c r="F501" s="111" t="s">
        <v>445</v>
      </c>
      <c r="G501">
        <v>2.9</v>
      </c>
      <c r="H501">
        <v>5.9999999999999787</v>
      </c>
      <c r="I501">
        <v>6</v>
      </c>
      <c r="J501">
        <v>16.99999999999994</v>
      </c>
      <c r="K501" s="1" t="e">
        <f>INDEX($P$4:$AM$15,MATCH(MONTH($E501),$O$4:$O$15,0),MATCH(HOUR($F501),$P$3:$AM$3,0))</f>
        <v>#N/A</v>
      </c>
      <c r="L501" t="s">
        <v>222</v>
      </c>
      <c r="M501" s="111"/>
    </row>
    <row r="502" spans="1:13" x14ac:dyDescent="0.25">
      <c r="A502">
        <v>501</v>
      </c>
      <c r="B502">
        <v>30062952</v>
      </c>
      <c r="C502">
        <v>3</v>
      </c>
      <c r="E502" s="110">
        <v>42498</v>
      </c>
      <c r="F502" s="111" t="s">
        <v>446</v>
      </c>
      <c r="G502">
        <v>5.1130000000000004</v>
      </c>
      <c r="H502">
        <v>14.00000000000011</v>
      </c>
      <c r="I502">
        <v>6</v>
      </c>
      <c r="J502">
        <v>253.99999999999994</v>
      </c>
      <c r="K502" s="1" t="e">
        <f>INDEX($P$4:$AM$15,MATCH(MONTH($E502),$O$4:$O$15,0),MATCH(HOUR($F502),$P$3:$AM$3,0))</f>
        <v>#N/A</v>
      </c>
      <c r="L502" t="s">
        <v>222</v>
      </c>
      <c r="M502" s="111"/>
    </row>
    <row r="503" spans="1:13" x14ac:dyDescent="0.25">
      <c r="A503">
        <v>502</v>
      </c>
      <c r="B503">
        <v>30062952</v>
      </c>
      <c r="C503">
        <v>4</v>
      </c>
      <c r="E503" s="110">
        <v>42498</v>
      </c>
      <c r="F503" s="111" t="s">
        <v>330</v>
      </c>
      <c r="G503">
        <v>0.997</v>
      </c>
      <c r="H503">
        <v>2.9999999999999893</v>
      </c>
      <c r="I503">
        <v>6</v>
      </c>
      <c r="J503">
        <v>8.999999999999968</v>
      </c>
      <c r="K503" s="1" t="e">
        <f>INDEX($P$4:$AM$15,MATCH(MONTH($E503),$O$4:$O$15,0),MATCH(HOUR($F503),$P$3:$AM$3,0))</f>
        <v>#N/A</v>
      </c>
      <c r="L503" t="s">
        <v>222</v>
      </c>
      <c r="M503" s="111"/>
    </row>
    <row r="504" spans="1:13" x14ac:dyDescent="0.25">
      <c r="A504">
        <v>503</v>
      </c>
      <c r="B504">
        <v>30062952</v>
      </c>
      <c r="C504">
        <v>5</v>
      </c>
      <c r="E504" s="110">
        <v>42498</v>
      </c>
      <c r="F504" s="111" t="s">
        <v>447</v>
      </c>
      <c r="G504">
        <v>1.0569999999999999</v>
      </c>
      <c r="H504">
        <v>2.9999999999999893</v>
      </c>
      <c r="I504">
        <v>6</v>
      </c>
      <c r="J504">
        <v>1340</v>
      </c>
      <c r="K504" s="1" t="e">
        <f>INDEX($P$4:$AM$15,MATCH(MONTH($E504),$O$4:$O$15,0),MATCH(HOUR($F504),$P$3:$AM$3,0))</f>
        <v>#N/A</v>
      </c>
      <c r="L504" t="s">
        <v>222</v>
      </c>
      <c r="M504" s="111"/>
    </row>
    <row r="505" spans="1:13" x14ac:dyDescent="0.25">
      <c r="A505">
        <v>504</v>
      </c>
      <c r="B505">
        <v>30062952</v>
      </c>
      <c r="C505">
        <v>1</v>
      </c>
      <c r="E505" s="110">
        <v>42499</v>
      </c>
      <c r="F505" s="111" t="s">
        <v>318</v>
      </c>
      <c r="G505">
        <v>0.52500000000000002</v>
      </c>
      <c r="H505">
        <v>9.9999999999999645</v>
      </c>
      <c r="I505">
        <v>3</v>
      </c>
      <c r="J505">
        <v>94.999999999999986</v>
      </c>
      <c r="K505" s="1" t="e">
        <f>INDEX($P$4:$AM$15,MATCH(MONTH($E505),$O$4:$O$15,0),MATCH(HOUR($F505),$P$3:$AM$3,0))</f>
        <v>#N/A</v>
      </c>
      <c r="L505" t="s">
        <v>222</v>
      </c>
      <c r="M505" s="111"/>
    </row>
    <row r="506" spans="1:13" x14ac:dyDescent="0.25">
      <c r="A506">
        <v>505</v>
      </c>
      <c r="B506">
        <v>30062952</v>
      </c>
      <c r="C506">
        <v>2</v>
      </c>
      <c r="E506" s="110">
        <v>42499</v>
      </c>
      <c r="F506" s="111" t="s">
        <v>315</v>
      </c>
      <c r="G506">
        <v>16.324000000000002</v>
      </c>
      <c r="H506">
        <v>45</v>
      </c>
      <c r="I506">
        <v>3</v>
      </c>
      <c r="J506">
        <v>480</v>
      </c>
      <c r="K506" s="1" t="e">
        <f>INDEX($P$4:$AM$15,MATCH(MONTH($E506),$O$4:$O$15,0),MATCH(HOUR($F506),$P$3:$AM$3,0))</f>
        <v>#N/A</v>
      </c>
      <c r="L506" t="s">
        <v>222</v>
      </c>
      <c r="M506" s="111"/>
    </row>
    <row r="507" spans="1:13" x14ac:dyDescent="0.25">
      <c r="A507">
        <v>506</v>
      </c>
      <c r="B507">
        <v>30062952</v>
      </c>
      <c r="C507">
        <v>3</v>
      </c>
      <c r="E507" s="110">
        <v>42499</v>
      </c>
      <c r="F507" s="111" t="s">
        <v>440</v>
      </c>
      <c r="G507">
        <v>22.565999999999999</v>
      </c>
      <c r="H507">
        <v>30.000000000000053</v>
      </c>
      <c r="I507">
        <v>3</v>
      </c>
      <c r="J507">
        <v>933.99999999999989</v>
      </c>
      <c r="K507" s="1" t="e">
        <f>INDEX($P$4:$AM$15,MATCH(MONTH($E507),$O$4:$O$15,0),MATCH(HOUR($F507),$P$3:$AM$3,0))</f>
        <v>#N/A</v>
      </c>
      <c r="L507" t="s">
        <v>222</v>
      </c>
      <c r="M507" s="111"/>
    </row>
    <row r="508" spans="1:13" x14ac:dyDescent="0.25">
      <c r="A508">
        <v>507</v>
      </c>
      <c r="B508">
        <v>30080442</v>
      </c>
      <c r="C508">
        <v>1</v>
      </c>
      <c r="E508" s="110">
        <v>42500</v>
      </c>
      <c r="F508" s="111" t="s">
        <v>448</v>
      </c>
      <c r="G508">
        <v>8.1389999999999993</v>
      </c>
      <c r="H508">
        <v>17.000000000000099</v>
      </c>
      <c r="I508">
        <v>3</v>
      </c>
      <c r="J508">
        <v>101.99999999999996</v>
      </c>
      <c r="K508" s="1" t="e">
        <f>INDEX($P$4:$AM$15,MATCH(MONTH($E508),$O$4:$O$15,0),MATCH(HOUR($F508),$P$3:$AM$3,0))</f>
        <v>#N/A</v>
      </c>
      <c r="L508" t="s">
        <v>218</v>
      </c>
      <c r="M508" s="111"/>
    </row>
    <row r="509" spans="1:13" x14ac:dyDescent="0.25">
      <c r="A509">
        <v>508</v>
      </c>
      <c r="B509">
        <v>30080442</v>
      </c>
      <c r="C509">
        <v>2</v>
      </c>
      <c r="E509" s="110">
        <v>42500</v>
      </c>
      <c r="F509" s="111" t="s">
        <v>449</v>
      </c>
      <c r="G509">
        <v>6.9980000000000002</v>
      </c>
      <c r="H509">
        <v>19.999999999999929</v>
      </c>
      <c r="I509">
        <v>3</v>
      </c>
      <c r="J509">
        <v>997</v>
      </c>
      <c r="K509" s="1" t="e">
        <f>INDEX($P$4:$AM$15,MATCH(MONTH($E509),$O$4:$O$15,0),MATCH(HOUR($F509),$P$3:$AM$3,0))</f>
        <v>#N/A</v>
      </c>
      <c r="L509" t="s">
        <v>218</v>
      </c>
      <c r="M509" s="111"/>
    </row>
    <row r="510" spans="1:13" x14ac:dyDescent="0.25">
      <c r="A510">
        <v>509</v>
      </c>
      <c r="B510">
        <v>30083175</v>
      </c>
      <c r="C510">
        <v>1</v>
      </c>
      <c r="E510" s="110">
        <v>42501</v>
      </c>
      <c r="F510" s="111" t="s">
        <v>326</v>
      </c>
      <c r="G510">
        <v>3.645</v>
      </c>
      <c r="H510">
        <v>9.9999999999999645</v>
      </c>
      <c r="I510">
        <v>3</v>
      </c>
      <c r="J510">
        <v>65.000000000000085</v>
      </c>
      <c r="K510" s="1" t="e">
        <f>INDEX($P$4:$AM$15,MATCH(MONTH($E510),$O$4:$O$15,0),MATCH(HOUR($F510),$P$3:$AM$3,0))</f>
        <v>#N/A</v>
      </c>
      <c r="L510" t="s">
        <v>218</v>
      </c>
      <c r="M510" s="111"/>
    </row>
    <row r="511" spans="1:13" x14ac:dyDescent="0.25">
      <c r="A511">
        <v>510</v>
      </c>
      <c r="B511">
        <v>30083175</v>
      </c>
      <c r="C511">
        <v>2</v>
      </c>
      <c r="E511" s="110">
        <v>42501</v>
      </c>
      <c r="F511" s="111" t="s">
        <v>388</v>
      </c>
      <c r="G511">
        <v>3.645</v>
      </c>
      <c r="H511">
        <v>9.9999999999999645</v>
      </c>
      <c r="I511">
        <v>3</v>
      </c>
      <c r="J511">
        <v>4.9999999999999822</v>
      </c>
      <c r="K511" s="1" t="e">
        <f>INDEX($P$4:$AM$15,MATCH(MONTH($E511),$O$4:$O$15,0),MATCH(HOUR($F511),$P$3:$AM$3,0))</f>
        <v>#N/A</v>
      </c>
      <c r="L511" t="s">
        <v>218</v>
      </c>
      <c r="M511" s="111"/>
    </row>
    <row r="512" spans="1:13" x14ac:dyDescent="0.25">
      <c r="A512">
        <v>511</v>
      </c>
      <c r="B512">
        <v>30083175</v>
      </c>
      <c r="C512">
        <v>3</v>
      </c>
      <c r="E512" s="110">
        <v>42501</v>
      </c>
      <c r="F512" s="111" t="s">
        <v>221</v>
      </c>
      <c r="G512">
        <v>3.12</v>
      </c>
      <c r="H512">
        <v>9.9999999999999645</v>
      </c>
      <c r="I512">
        <v>3</v>
      </c>
      <c r="J512">
        <v>80.000000000000114</v>
      </c>
      <c r="K512" s="1" t="e">
        <f>INDEX($P$4:$AM$15,MATCH(MONTH($E512),$O$4:$O$15,0),MATCH(HOUR($F512),$P$3:$AM$3,0))</f>
        <v>#N/A</v>
      </c>
      <c r="L512" t="s">
        <v>218</v>
      </c>
      <c r="M512" s="111"/>
    </row>
    <row r="513" spans="1:13" x14ac:dyDescent="0.25">
      <c r="A513">
        <v>512</v>
      </c>
      <c r="B513">
        <v>30083175</v>
      </c>
      <c r="C513">
        <v>4</v>
      </c>
      <c r="E513" s="110">
        <v>42501</v>
      </c>
      <c r="F513" s="111" t="s">
        <v>314</v>
      </c>
      <c r="G513">
        <v>3.1469999999999998</v>
      </c>
      <c r="H513">
        <v>9.9999999999999645</v>
      </c>
      <c r="I513">
        <v>3</v>
      </c>
      <c r="J513">
        <v>1325</v>
      </c>
      <c r="K513" s="1" t="e">
        <f>INDEX($P$4:$AM$15,MATCH(MONTH($E513),$O$4:$O$15,0),MATCH(HOUR($F513),$P$3:$AM$3,0))</f>
        <v>#N/A</v>
      </c>
      <c r="L513" t="s">
        <v>218</v>
      </c>
      <c r="M513" s="111"/>
    </row>
    <row r="514" spans="1:13" x14ac:dyDescent="0.25">
      <c r="A514">
        <v>513</v>
      </c>
      <c r="B514">
        <v>30083175</v>
      </c>
      <c r="C514">
        <v>1</v>
      </c>
      <c r="E514" s="110">
        <v>42502</v>
      </c>
      <c r="F514" s="111" t="s">
        <v>388</v>
      </c>
      <c r="G514">
        <v>3.12</v>
      </c>
      <c r="H514">
        <v>9.9999999999999645</v>
      </c>
      <c r="I514">
        <v>6</v>
      </c>
      <c r="J514">
        <v>65.000000000000014</v>
      </c>
      <c r="K514" s="1" t="e">
        <f>INDEX($P$4:$AM$15,MATCH(MONTH($E514),$O$4:$O$15,0),MATCH(HOUR($F514),$P$3:$AM$3,0))</f>
        <v>#N/A</v>
      </c>
      <c r="L514" t="s">
        <v>218</v>
      </c>
      <c r="M514" s="111"/>
    </row>
    <row r="515" spans="1:13" x14ac:dyDescent="0.25">
      <c r="A515">
        <v>514</v>
      </c>
      <c r="B515">
        <v>30083175</v>
      </c>
      <c r="C515">
        <v>2</v>
      </c>
      <c r="E515" s="110">
        <v>42502</v>
      </c>
      <c r="F515" s="111" t="s">
        <v>318</v>
      </c>
      <c r="G515">
        <v>3.1469999999999998</v>
      </c>
      <c r="H515">
        <v>9.9999999999999645</v>
      </c>
      <c r="I515">
        <v>6</v>
      </c>
      <c r="J515">
        <v>1310</v>
      </c>
      <c r="K515" s="1" t="e">
        <f>INDEX($P$4:$AM$15,MATCH(MONTH($E515),$O$4:$O$15,0),MATCH(HOUR($F515),$P$3:$AM$3,0))</f>
        <v>#N/A</v>
      </c>
      <c r="L515" t="s">
        <v>218</v>
      </c>
      <c r="M515" s="111"/>
    </row>
    <row r="516" spans="1:13" x14ac:dyDescent="0.25">
      <c r="A516">
        <v>515</v>
      </c>
      <c r="B516">
        <v>30100971</v>
      </c>
      <c r="C516">
        <v>1</v>
      </c>
      <c r="E516" s="110">
        <v>42503</v>
      </c>
      <c r="F516" s="111" t="s">
        <v>283</v>
      </c>
      <c r="G516">
        <v>1.7</v>
      </c>
      <c r="H516">
        <v>9.9999999999999645</v>
      </c>
      <c r="I516">
        <v>3</v>
      </c>
      <c r="J516">
        <v>10.000000000000044</v>
      </c>
      <c r="K516" s="1" t="e">
        <f>INDEX($P$4:$AM$15,MATCH(MONTH($E516),$O$4:$O$15,0),MATCH(HOUR($F516),$P$3:$AM$3,0))</f>
        <v>#N/A</v>
      </c>
      <c r="L516" t="s">
        <v>218</v>
      </c>
      <c r="M516" s="111"/>
    </row>
    <row r="517" spans="1:13" x14ac:dyDescent="0.25">
      <c r="A517">
        <v>516</v>
      </c>
      <c r="B517">
        <v>30100971</v>
      </c>
      <c r="C517">
        <v>2</v>
      </c>
      <c r="E517" s="110">
        <v>42503</v>
      </c>
      <c r="F517" s="111" t="s">
        <v>385</v>
      </c>
      <c r="G517">
        <v>1.7</v>
      </c>
      <c r="H517">
        <v>9.9999999999999645</v>
      </c>
      <c r="I517">
        <v>3</v>
      </c>
      <c r="J517">
        <v>249.99999999999991</v>
      </c>
      <c r="K517" s="1" t="e">
        <f>INDEX($P$4:$AM$15,MATCH(MONTH($E517),$O$4:$O$15,0),MATCH(HOUR($F517),$P$3:$AM$3,0))</f>
        <v>#N/A</v>
      </c>
      <c r="L517" t="s">
        <v>218</v>
      </c>
      <c r="M517" s="111"/>
    </row>
    <row r="518" spans="1:13" x14ac:dyDescent="0.25">
      <c r="A518">
        <v>517</v>
      </c>
      <c r="B518">
        <v>30105266</v>
      </c>
      <c r="C518">
        <v>3</v>
      </c>
      <c r="E518" s="110">
        <v>42503</v>
      </c>
      <c r="F518" s="111" t="s">
        <v>450</v>
      </c>
      <c r="G518">
        <v>1.3</v>
      </c>
      <c r="H518">
        <v>10.000000000000124</v>
      </c>
      <c r="I518">
        <v>4</v>
      </c>
      <c r="J518">
        <v>4.9999999999999822</v>
      </c>
      <c r="K518" s="1" t="e">
        <f>INDEX($P$4:$AM$15,MATCH(MONTH($E518),$O$4:$O$15,0),MATCH(HOUR($F518),$P$3:$AM$3,0))</f>
        <v>#N/A</v>
      </c>
      <c r="L518" t="s">
        <v>249</v>
      </c>
      <c r="M518" s="111"/>
    </row>
    <row r="519" spans="1:13" x14ac:dyDescent="0.25">
      <c r="A519">
        <v>518</v>
      </c>
      <c r="B519">
        <v>30105266</v>
      </c>
      <c r="C519">
        <v>4</v>
      </c>
      <c r="E519" s="110">
        <v>42503</v>
      </c>
      <c r="F519" s="111" t="s">
        <v>451</v>
      </c>
      <c r="G519">
        <v>1.2889999999999999</v>
      </c>
      <c r="H519">
        <v>9.9999999999999645</v>
      </c>
      <c r="I519">
        <v>4</v>
      </c>
      <c r="J519">
        <v>1020</v>
      </c>
      <c r="K519" s="1" t="e">
        <f>INDEX($P$4:$AM$15,MATCH(MONTH($E519),$O$4:$O$15,0),MATCH(HOUR($F519),$P$3:$AM$3,0))</f>
        <v>#N/A</v>
      </c>
      <c r="L519" t="s">
        <v>249</v>
      </c>
      <c r="M519" s="111"/>
    </row>
    <row r="520" spans="1:13" x14ac:dyDescent="0.25">
      <c r="A520">
        <v>519</v>
      </c>
      <c r="B520">
        <v>30137234</v>
      </c>
      <c r="C520">
        <v>1</v>
      </c>
      <c r="E520" s="110">
        <v>42504</v>
      </c>
      <c r="F520" s="111" t="s">
        <v>452</v>
      </c>
      <c r="G520">
        <v>23.113</v>
      </c>
      <c r="H520">
        <v>41.999999999999929</v>
      </c>
      <c r="I520">
        <v>4</v>
      </c>
      <c r="J520">
        <v>165.00000000000006</v>
      </c>
      <c r="K520" s="1" t="e">
        <f>INDEX($P$4:$AM$15,MATCH(MONTH($E520),$O$4:$O$15,0),MATCH(HOUR($F520),$P$3:$AM$3,0))</f>
        <v>#N/A</v>
      </c>
      <c r="L520" t="s">
        <v>231</v>
      </c>
      <c r="M520" s="111"/>
    </row>
    <row r="521" spans="1:13" x14ac:dyDescent="0.25">
      <c r="A521">
        <v>520</v>
      </c>
      <c r="B521">
        <v>30137234</v>
      </c>
      <c r="C521">
        <v>2</v>
      </c>
      <c r="E521" s="110">
        <v>42504</v>
      </c>
      <c r="F521" s="111" t="s">
        <v>453</v>
      </c>
      <c r="G521">
        <v>1.544</v>
      </c>
      <c r="H521">
        <v>18.999999999999932</v>
      </c>
      <c r="I521">
        <v>4</v>
      </c>
      <c r="J521">
        <v>12.000000000000037</v>
      </c>
      <c r="K521" s="1" t="e">
        <f>INDEX($P$4:$AM$15,MATCH(MONTH($E521),$O$4:$O$15,0),MATCH(HOUR($F521),$P$3:$AM$3,0))</f>
        <v>#N/A</v>
      </c>
      <c r="L521" t="s">
        <v>231</v>
      </c>
      <c r="M521" s="111"/>
    </row>
    <row r="522" spans="1:13" x14ac:dyDescent="0.25">
      <c r="A522">
        <v>521</v>
      </c>
      <c r="B522">
        <v>30137234</v>
      </c>
      <c r="C522">
        <v>3</v>
      </c>
      <c r="E522" s="110">
        <v>42504</v>
      </c>
      <c r="F522" s="111" t="s">
        <v>454</v>
      </c>
      <c r="G522">
        <v>2</v>
      </c>
      <c r="H522">
        <v>17.000000000000099</v>
      </c>
      <c r="I522">
        <v>4</v>
      </c>
      <c r="J522">
        <v>314.99999999999983</v>
      </c>
      <c r="K522" s="1" t="e">
        <f>INDEX($P$4:$AM$15,MATCH(MONTH($E522),$O$4:$O$15,0),MATCH(HOUR($F522),$P$3:$AM$3,0))</f>
        <v>#N/A</v>
      </c>
      <c r="L522" t="s">
        <v>231</v>
      </c>
      <c r="M522" s="111"/>
    </row>
    <row r="523" spans="1:13" x14ac:dyDescent="0.25">
      <c r="A523">
        <v>522</v>
      </c>
      <c r="B523">
        <v>30137234</v>
      </c>
      <c r="C523">
        <v>4</v>
      </c>
      <c r="E523" s="110">
        <v>42504</v>
      </c>
      <c r="F523" s="111" t="s">
        <v>455</v>
      </c>
      <c r="G523">
        <v>22.283000000000001</v>
      </c>
      <c r="H523">
        <v>42.000000000000171</v>
      </c>
      <c r="I523">
        <v>4</v>
      </c>
      <c r="J523">
        <v>2.9999999999998295</v>
      </c>
      <c r="K523" s="1" t="e">
        <f>INDEX($P$4:$AM$15,MATCH(MONTH($E523),$O$4:$O$15,0),MATCH(HOUR($F523),$P$3:$AM$3,0))</f>
        <v>#N/A</v>
      </c>
      <c r="L523" t="s">
        <v>231</v>
      </c>
      <c r="M523" s="111"/>
    </row>
    <row r="524" spans="1:13" x14ac:dyDescent="0.25">
      <c r="A524">
        <v>523</v>
      </c>
      <c r="B524">
        <v>30137234</v>
      </c>
      <c r="C524">
        <v>5</v>
      </c>
      <c r="E524" s="110">
        <v>42504</v>
      </c>
      <c r="F524" s="111" t="s">
        <v>280</v>
      </c>
      <c r="G524">
        <v>1.9850000000000001</v>
      </c>
      <c r="H524">
        <v>6.0000000000001386</v>
      </c>
      <c r="I524">
        <v>4</v>
      </c>
      <c r="J524">
        <v>18.999999999999932</v>
      </c>
      <c r="K524" s="1" t="e">
        <f>INDEX($P$4:$AM$15,MATCH(MONTH($E524),$O$4:$O$15,0),MATCH(HOUR($F524),$P$3:$AM$3,0))</f>
        <v>#N/A</v>
      </c>
      <c r="L524" t="s">
        <v>231</v>
      </c>
      <c r="M524" s="111"/>
    </row>
    <row r="525" spans="1:13" x14ac:dyDescent="0.25">
      <c r="A525">
        <v>524</v>
      </c>
      <c r="B525">
        <v>30137234</v>
      </c>
      <c r="C525">
        <v>6</v>
      </c>
      <c r="E525" s="110">
        <v>42504</v>
      </c>
      <c r="F525" s="111" t="s">
        <v>259</v>
      </c>
      <c r="G525">
        <v>1.9850000000000001</v>
      </c>
      <c r="H525">
        <v>6.9999999999999751</v>
      </c>
      <c r="I525">
        <v>4</v>
      </c>
      <c r="J525">
        <v>788</v>
      </c>
      <c r="K525" s="1" t="e">
        <f>INDEX($P$4:$AM$15,MATCH(MONTH($E525),$O$4:$O$15,0),MATCH(HOUR($F525),$P$3:$AM$3,0))</f>
        <v>#N/A</v>
      </c>
      <c r="L525" t="s">
        <v>231</v>
      </c>
      <c r="M525" s="111"/>
    </row>
    <row r="526" spans="1:13" x14ac:dyDescent="0.25">
      <c r="A526">
        <v>525</v>
      </c>
      <c r="B526">
        <v>30137234</v>
      </c>
      <c r="C526">
        <v>1</v>
      </c>
      <c r="E526" s="110">
        <v>42505</v>
      </c>
      <c r="F526" s="111" t="s">
        <v>273</v>
      </c>
      <c r="G526">
        <v>1.9850000000000001</v>
      </c>
      <c r="H526">
        <v>5.0000000000000622</v>
      </c>
      <c r="I526">
        <v>3</v>
      </c>
      <c r="J526">
        <v>0.99999999999991651</v>
      </c>
      <c r="K526" s="1" t="e">
        <f>INDEX($P$4:$AM$15,MATCH(MONTH($E526),$O$4:$O$15,0),MATCH(HOUR($F526),$P$3:$AM$3,0))</f>
        <v>#N/A</v>
      </c>
      <c r="L526" t="s">
        <v>231</v>
      </c>
      <c r="M526" s="111"/>
    </row>
    <row r="527" spans="1:13" x14ac:dyDescent="0.25">
      <c r="A527">
        <v>526</v>
      </c>
      <c r="B527">
        <v>30137234</v>
      </c>
      <c r="C527">
        <v>2</v>
      </c>
      <c r="E527" s="110">
        <v>42505</v>
      </c>
      <c r="F527" s="111" t="s">
        <v>456</v>
      </c>
      <c r="G527">
        <v>1.9850000000000001</v>
      </c>
      <c r="H527">
        <v>3.9999999999999858</v>
      </c>
      <c r="I527">
        <v>3</v>
      </c>
      <c r="J527">
        <v>140.00000000000006</v>
      </c>
      <c r="K527" s="1" t="e">
        <f>INDEX($P$4:$AM$15,MATCH(MONTH($E527),$O$4:$O$15,0),MATCH(HOUR($F527),$P$3:$AM$3,0))</f>
        <v>#N/A</v>
      </c>
      <c r="L527" t="s">
        <v>231</v>
      </c>
      <c r="M527" s="111"/>
    </row>
    <row r="528" spans="1:13" x14ac:dyDescent="0.25">
      <c r="A528">
        <v>527</v>
      </c>
      <c r="B528">
        <v>30137234</v>
      </c>
      <c r="C528">
        <v>3</v>
      </c>
      <c r="E528" s="110">
        <v>42505</v>
      </c>
      <c r="F528" s="111" t="s">
        <v>217</v>
      </c>
      <c r="G528">
        <v>35.865000000000002</v>
      </c>
      <c r="H528">
        <v>50.000000000000064</v>
      </c>
      <c r="I528">
        <v>3</v>
      </c>
      <c r="J528">
        <v>205</v>
      </c>
      <c r="K528" s="1" t="e">
        <f>INDEX($P$4:$AM$15,MATCH(MONTH($E528),$O$4:$O$15,0),MATCH(HOUR($F528),$P$3:$AM$3,0))</f>
        <v>#N/A</v>
      </c>
      <c r="L528" t="s">
        <v>231</v>
      </c>
      <c r="M528" s="111"/>
    </row>
    <row r="529" spans="1:13" x14ac:dyDescent="0.25">
      <c r="A529">
        <v>528</v>
      </c>
      <c r="B529">
        <v>30137234</v>
      </c>
      <c r="C529">
        <v>4</v>
      </c>
      <c r="E529" s="110">
        <v>42505</v>
      </c>
      <c r="F529" s="111" t="s">
        <v>342</v>
      </c>
      <c r="G529">
        <v>35.601999999999997</v>
      </c>
      <c r="H529">
        <v>35.000000000000036</v>
      </c>
      <c r="I529">
        <v>3</v>
      </c>
      <c r="J529">
        <v>4.9999999999998224</v>
      </c>
      <c r="K529" s="1" t="e">
        <f>INDEX($P$4:$AM$15,MATCH(MONTH($E529),$O$4:$O$15,0),MATCH(HOUR($F529),$P$3:$AM$3,0))</f>
        <v>#N/A</v>
      </c>
      <c r="L529" t="s">
        <v>231</v>
      </c>
      <c r="M529" s="111"/>
    </row>
    <row r="530" spans="1:13" x14ac:dyDescent="0.25">
      <c r="A530">
        <v>529</v>
      </c>
      <c r="B530">
        <v>30137234</v>
      </c>
      <c r="C530">
        <v>5</v>
      </c>
      <c r="E530" s="110">
        <v>42505</v>
      </c>
      <c r="F530" s="111" t="s">
        <v>457</v>
      </c>
      <c r="G530">
        <v>1.24</v>
      </c>
      <c r="H530">
        <v>1.9999999999999929</v>
      </c>
      <c r="I530">
        <v>3</v>
      </c>
      <c r="J530">
        <v>48.000000000000149</v>
      </c>
      <c r="K530" s="1" t="e">
        <f>INDEX($P$4:$AM$15,MATCH(MONTH($E530),$O$4:$O$15,0),MATCH(HOUR($F530),$P$3:$AM$3,0))</f>
        <v>#N/A</v>
      </c>
      <c r="L530" t="s">
        <v>231</v>
      </c>
      <c r="M530" s="111"/>
    </row>
    <row r="531" spans="1:13" x14ac:dyDescent="0.25">
      <c r="A531">
        <v>530</v>
      </c>
      <c r="B531">
        <v>30137234</v>
      </c>
      <c r="C531">
        <v>6</v>
      </c>
      <c r="E531" s="110">
        <v>42505</v>
      </c>
      <c r="F531" s="111" t="s">
        <v>274</v>
      </c>
      <c r="G531">
        <v>4.335</v>
      </c>
      <c r="H531">
        <v>9.9999999999999645</v>
      </c>
      <c r="I531">
        <v>3</v>
      </c>
      <c r="J531">
        <v>4.9999999999999822</v>
      </c>
      <c r="K531" s="1" t="e">
        <f>INDEX($P$4:$AM$15,MATCH(MONTH($E531),$O$4:$O$15,0),MATCH(HOUR($F531),$P$3:$AM$3,0))</f>
        <v>#N/A</v>
      </c>
      <c r="L531" t="s">
        <v>231</v>
      </c>
      <c r="M531" s="111"/>
    </row>
    <row r="532" spans="1:13" x14ac:dyDescent="0.25">
      <c r="A532">
        <v>531</v>
      </c>
      <c r="B532">
        <v>30137234</v>
      </c>
      <c r="C532">
        <v>7</v>
      </c>
      <c r="E532" s="110">
        <v>42505</v>
      </c>
      <c r="F532" s="111" t="s">
        <v>247</v>
      </c>
      <c r="G532">
        <v>4.3360000000000003</v>
      </c>
      <c r="H532">
        <v>10.000000000000124</v>
      </c>
      <c r="I532">
        <v>3</v>
      </c>
      <c r="J532">
        <v>749.99999999999989</v>
      </c>
      <c r="K532" s="1" t="e">
        <f>INDEX($P$4:$AM$15,MATCH(MONTH($E532),$O$4:$O$15,0),MATCH(HOUR($F532),$P$3:$AM$3,0))</f>
        <v>#N/A</v>
      </c>
      <c r="L532" t="s">
        <v>231</v>
      </c>
      <c r="M532" s="111"/>
    </row>
    <row r="533" spans="1:13" x14ac:dyDescent="0.25">
      <c r="A533">
        <v>532</v>
      </c>
      <c r="B533">
        <v>30148330</v>
      </c>
      <c r="C533">
        <v>1</v>
      </c>
      <c r="E533" s="110">
        <v>42506</v>
      </c>
      <c r="F533" s="111" t="s">
        <v>301</v>
      </c>
      <c r="G533">
        <v>2.956</v>
      </c>
      <c r="H533">
        <v>3.9999999999999858</v>
      </c>
      <c r="I533">
        <v>6</v>
      </c>
      <c r="J533">
        <v>2.9999999999999893</v>
      </c>
      <c r="K533" s="1" t="e">
        <f>INDEX($P$4:$AM$15,MATCH(MONTH($E533),$O$4:$O$15,0),MATCH(HOUR($F533),$P$3:$AM$3,0))</f>
        <v>#N/A</v>
      </c>
      <c r="L533" t="s">
        <v>218</v>
      </c>
      <c r="M533" s="111"/>
    </row>
    <row r="534" spans="1:13" x14ac:dyDescent="0.25">
      <c r="A534">
        <v>533</v>
      </c>
      <c r="B534">
        <v>30148330</v>
      </c>
      <c r="C534">
        <v>2</v>
      </c>
      <c r="E534" s="110">
        <v>42506</v>
      </c>
      <c r="F534" s="111" t="s">
        <v>458</v>
      </c>
      <c r="G534">
        <v>1.994</v>
      </c>
      <c r="H534">
        <v>6.0000000000000187</v>
      </c>
      <c r="I534">
        <v>6</v>
      </c>
      <c r="J534">
        <v>1.9999999999999929</v>
      </c>
      <c r="K534" s="1" t="e">
        <f>INDEX($P$4:$AM$15,MATCH(MONTH($E534),$O$4:$O$15,0),MATCH(HOUR($F534),$P$3:$AM$3,0))</f>
        <v>#N/A</v>
      </c>
      <c r="L534" t="s">
        <v>218</v>
      </c>
      <c r="M534" s="111"/>
    </row>
    <row r="535" spans="1:13" x14ac:dyDescent="0.25">
      <c r="A535">
        <v>534</v>
      </c>
      <c r="B535">
        <v>30148330</v>
      </c>
      <c r="C535">
        <v>3</v>
      </c>
      <c r="E535" s="110">
        <v>42506</v>
      </c>
      <c r="F535" s="111" t="s">
        <v>459</v>
      </c>
      <c r="G535">
        <v>5.1820000000000004</v>
      </c>
      <c r="H535">
        <v>12.999999999999954</v>
      </c>
      <c r="I535">
        <v>6</v>
      </c>
      <c r="J535">
        <v>232.00000000000003</v>
      </c>
      <c r="K535" s="1" t="e">
        <f>INDEX($P$4:$AM$15,MATCH(MONTH($E535),$O$4:$O$15,0),MATCH(HOUR($F535),$P$3:$AM$3,0))</f>
        <v>#N/A</v>
      </c>
      <c r="L535" t="s">
        <v>218</v>
      </c>
      <c r="M535" s="111"/>
    </row>
    <row r="536" spans="1:13" x14ac:dyDescent="0.25">
      <c r="A536">
        <v>535</v>
      </c>
      <c r="B536">
        <v>30148330</v>
      </c>
      <c r="C536">
        <v>4</v>
      </c>
      <c r="E536" s="110">
        <v>42506</v>
      </c>
      <c r="F536" s="111" t="s">
        <v>326</v>
      </c>
      <c r="G536">
        <v>4.9290000000000003</v>
      </c>
      <c r="H536">
        <v>13.99999999999995</v>
      </c>
      <c r="I536">
        <v>6</v>
      </c>
      <c r="J536">
        <v>31.00000000000005</v>
      </c>
      <c r="K536" s="1" t="e">
        <f>INDEX($P$4:$AM$15,MATCH(MONTH($E536),$O$4:$O$15,0),MATCH(HOUR($F536),$P$3:$AM$3,0))</f>
        <v>#N/A</v>
      </c>
      <c r="L536" t="s">
        <v>218</v>
      </c>
      <c r="M536" s="111"/>
    </row>
    <row r="537" spans="1:13" x14ac:dyDescent="0.25">
      <c r="A537">
        <v>536</v>
      </c>
      <c r="B537">
        <v>30148330</v>
      </c>
      <c r="C537">
        <v>5</v>
      </c>
      <c r="E537" s="110">
        <v>42506</v>
      </c>
      <c r="F537" s="111" t="s">
        <v>357</v>
      </c>
      <c r="G537">
        <v>5.2539999999999996</v>
      </c>
      <c r="H537">
        <v>20.000000000000089</v>
      </c>
      <c r="I537">
        <v>6</v>
      </c>
      <c r="J537">
        <v>264.99999999999994</v>
      </c>
      <c r="K537" s="1" t="e">
        <f>INDEX($P$4:$AM$15,MATCH(MONTH($E537),$O$4:$O$15,0),MATCH(HOUR($F537),$P$3:$AM$3,0))</f>
        <v>#N/A</v>
      </c>
      <c r="L537" t="s">
        <v>218</v>
      </c>
      <c r="M537" s="111"/>
    </row>
    <row r="538" spans="1:13" x14ac:dyDescent="0.25">
      <c r="A538">
        <v>537</v>
      </c>
      <c r="B538">
        <v>30148330</v>
      </c>
      <c r="C538">
        <v>6</v>
      </c>
      <c r="E538" s="110">
        <v>42506</v>
      </c>
      <c r="F538" s="111" t="s">
        <v>227</v>
      </c>
      <c r="G538">
        <v>4.9290000000000003</v>
      </c>
      <c r="H538">
        <v>18.000000000000096</v>
      </c>
      <c r="I538">
        <v>6</v>
      </c>
      <c r="J538">
        <v>1091.9999999999998</v>
      </c>
      <c r="K538" s="1" t="e">
        <f>INDEX($P$4:$AM$15,MATCH(MONTH($E538),$O$4:$O$15,0),MATCH(HOUR($F538),$P$3:$AM$3,0))</f>
        <v>#N/A</v>
      </c>
      <c r="L538" t="s">
        <v>218</v>
      </c>
      <c r="M538" s="111"/>
    </row>
    <row r="539" spans="1:13" x14ac:dyDescent="0.25">
      <c r="A539">
        <v>538</v>
      </c>
      <c r="B539">
        <v>30152786</v>
      </c>
      <c r="C539">
        <v>1</v>
      </c>
      <c r="E539" s="110">
        <v>42507</v>
      </c>
      <c r="F539" s="111" t="s">
        <v>326</v>
      </c>
      <c r="G539">
        <v>1.1319999999999999</v>
      </c>
      <c r="H539">
        <v>9.9999999999999645</v>
      </c>
      <c r="I539">
        <v>3</v>
      </c>
      <c r="J539">
        <v>10.000000000000124</v>
      </c>
      <c r="K539" s="1" t="e">
        <f>INDEX($P$4:$AM$15,MATCH(MONTH($E539),$O$4:$O$15,0),MATCH(HOUR($F539),$P$3:$AM$3,0))</f>
        <v>#N/A</v>
      </c>
      <c r="L539" t="s">
        <v>222</v>
      </c>
      <c r="M539" s="111"/>
    </row>
    <row r="540" spans="1:13" x14ac:dyDescent="0.25">
      <c r="A540">
        <v>539</v>
      </c>
      <c r="B540">
        <v>30152786</v>
      </c>
      <c r="C540">
        <v>2</v>
      </c>
      <c r="E540" s="110">
        <v>42507</v>
      </c>
      <c r="F540" s="111" t="s">
        <v>267</v>
      </c>
      <c r="G540">
        <v>0.379</v>
      </c>
      <c r="H540">
        <v>2.9999999999999094</v>
      </c>
      <c r="I540">
        <v>3</v>
      </c>
      <c r="J540">
        <v>27.000000000000064</v>
      </c>
      <c r="K540" s="1" t="e">
        <f>INDEX($P$4:$AM$15,MATCH(MONTH($E540),$O$4:$O$15,0),MATCH(HOUR($F540),$P$3:$AM$3,0))</f>
        <v>#N/A</v>
      </c>
      <c r="L540" t="s">
        <v>222</v>
      </c>
      <c r="M540" s="111"/>
    </row>
    <row r="541" spans="1:13" x14ac:dyDescent="0.25">
      <c r="A541">
        <v>540</v>
      </c>
      <c r="B541">
        <v>30152786</v>
      </c>
      <c r="C541">
        <v>3</v>
      </c>
      <c r="E541" s="110">
        <v>42507</v>
      </c>
      <c r="F541" s="111" t="s">
        <v>385</v>
      </c>
      <c r="G541">
        <v>0.93500000000000005</v>
      </c>
      <c r="H541">
        <v>9.9999999999999645</v>
      </c>
      <c r="I541">
        <v>3</v>
      </c>
      <c r="J541">
        <v>239.99999999999994</v>
      </c>
      <c r="K541" s="1" t="e">
        <f>INDEX($P$4:$AM$15,MATCH(MONTH($E541),$O$4:$O$15,0),MATCH(HOUR($F541),$P$3:$AM$3,0))</f>
        <v>#N/A</v>
      </c>
      <c r="L541" t="s">
        <v>222</v>
      </c>
      <c r="M541" s="111"/>
    </row>
    <row r="542" spans="1:13" x14ac:dyDescent="0.25">
      <c r="A542">
        <v>541</v>
      </c>
      <c r="B542">
        <v>30152786</v>
      </c>
      <c r="C542">
        <v>4</v>
      </c>
      <c r="E542" s="110">
        <v>42507</v>
      </c>
      <c r="F542" s="111" t="s">
        <v>294</v>
      </c>
      <c r="G542">
        <v>1.04</v>
      </c>
      <c r="H542">
        <v>5.0000000000001421</v>
      </c>
      <c r="I542">
        <v>3</v>
      </c>
      <c r="J542">
        <v>4.9999999999998224</v>
      </c>
      <c r="K542" s="1" t="e">
        <f>INDEX($P$4:$AM$15,MATCH(MONTH($E542),$O$4:$O$15,0),MATCH(HOUR($F542),$P$3:$AM$3,0))</f>
        <v>#N/A</v>
      </c>
      <c r="L542" t="s">
        <v>222</v>
      </c>
      <c r="M542" s="111"/>
    </row>
    <row r="543" spans="1:13" x14ac:dyDescent="0.25">
      <c r="A543">
        <v>542</v>
      </c>
      <c r="B543">
        <v>30152786</v>
      </c>
      <c r="C543">
        <v>5</v>
      </c>
      <c r="E543" s="110">
        <v>42507</v>
      </c>
      <c r="F543" s="111" t="s">
        <v>450</v>
      </c>
      <c r="G543">
        <v>0.30299999999999999</v>
      </c>
      <c r="H543">
        <v>1.9999999999999929</v>
      </c>
      <c r="I543">
        <v>3</v>
      </c>
      <c r="J543">
        <v>28.00000000000006</v>
      </c>
      <c r="K543" s="1" t="e">
        <f>INDEX($P$4:$AM$15,MATCH(MONTH($E543),$O$4:$O$15,0),MATCH(HOUR($F543),$P$3:$AM$3,0))</f>
        <v>#N/A</v>
      </c>
      <c r="L543" t="s">
        <v>222</v>
      </c>
      <c r="M543" s="111"/>
    </row>
    <row r="544" spans="1:13" x14ac:dyDescent="0.25">
      <c r="A544">
        <v>543</v>
      </c>
      <c r="B544">
        <v>30152786</v>
      </c>
      <c r="C544">
        <v>6</v>
      </c>
      <c r="E544" s="110">
        <v>42507</v>
      </c>
      <c r="F544" s="111" t="s">
        <v>460</v>
      </c>
      <c r="G544">
        <v>0.69199999999999995</v>
      </c>
      <c r="H544">
        <v>4.9999999999999822</v>
      </c>
      <c r="I544">
        <v>3</v>
      </c>
      <c r="J544">
        <v>15.000000000000107</v>
      </c>
      <c r="K544" s="1" t="e">
        <f>INDEX($P$4:$AM$15,MATCH(MONTH($E544),$O$4:$O$15,0),MATCH(HOUR($F544),$P$3:$AM$3,0))</f>
        <v>#N/A</v>
      </c>
      <c r="L544" t="s">
        <v>222</v>
      </c>
      <c r="M544" s="111"/>
    </row>
    <row r="545" spans="1:13" x14ac:dyDescent="0.25">
      <c r="A545">
        <v>544</v>
      </c>
      <c r="B545">
        <v>30152786</v>
      </c>
      <c r="C545">
        <v>7</v>
      </c>
      <c r="E545" s="110">
        <v>42507</v>
      </c>
      <c r="F545" s="111" t="s">
        <v>235</v>
      </c>
      <c r="G545">
        <v>0.72799999999999998</v>
      </c>
      <c r="H545">
        <v>9.9999999999999645</v>
      </c>
      <c r="I545">
        <v>3</v>
      </c>
      <c r="J545">
        <v>995</v>
      </c>
      <c r="K545" s="1" t="e">
        <f>INDEX($P$4:$AM$15,MATCH(MONTH($E545),$O$4:$O$15,0),MATCH(HOUR($F545),$P$3:$AM$3,0))</f>
        <v>#N/A</v>
      </c>
      <c r="L545" t="s">
        <v>222</v>
      </c>
      <c r="M545" s="111"/>
    </row>
    <row r="546" spans="1:13" x14ac:dyDescent="0.25">
      <c r="A546">
        <v>545</v>
      </c>
      <c r="B546">
        <v>30170340</v>
      </c>
      <c r="C546">
        <v>1</v>
      </c>
      <c r="E546" s="110">
        <v>42508</v>
      </c>
      <c r="F546" s="111" t="s">
        <v>389</v>
      </c>
      <c r="G546">
        <v>2.5619999999999998</v>
      </c>
      <c r="H546">
        <v>15.000000000000027</v>
      </c>
      <c r="I546">
        <v>3</v>
      </c>
      <c r="J546">
        <v>59.999999999999943</v>
      </c>
      <c r="K546" s="1" t="e">
        <f>INDEX($P$4:$AM$15,MATCH(MONTH($E546),$O$4:$O$15,0),MATCH(HOUR($F546),$P$3:$AM$3,0))</f>
        <v>#N/A</v>
      </c>
      <c r="L546" t="s">
        <v>222</v>
      </c>
      <c r="M546" s="111"/>
    </row>
    <row r="547" spans="1:13" x14ac:dyDescent="0.25">
      <c r="A547">
        <v>546</v>
      </c>
      <c r="B547">
        <v>30170340</v>
      </c>
      <c r="C547">
        <v>2</v>
      </c>
      <c r="E547" s="110">
        <v>42508</v>
      </c>
      <c r="F547" s="111" t="s">
        <v>326</v>
      </c>
      <c r="G547">
        <v>2.0230000000000001</v>
      </c>
      <c r="H547">
        <v>9.9999999999999645</v>
      </c>
      <c r="I547">
        <v>3</v>
      </c>
      <c r="J547">
        <v>20.000000000000089</v>
      </c>
      <c r="K547" s="1" t="e">
        <f>INDEX($P$4:$AM$15,MATCH(MONTH($E547),$O$4:$O$15,0),MATCH(HOUR($F547),$P$3:$AM$3,0))</f>
        <v>#N/A</v>
      </c>
      <c r="L547" t="s">
        <v>222</v>
      </c>
      <c r="M547" s="111"/>
    </row>
    <row r="548" spans="1:13" x14ac:dyDescent="0.25">
      <c r="A548">
        <v>547</v>
      </c>
      <c r="B548">
        <v>30170340</v>
      </c>
      <c r="C548">
        <v>3</v>
      </c>
      <c r="E548" s="110">
        <v>42508</v>
      </c>
      <c r="F548" s="111" t="s">
        <v>283</v>
      </c>
      <c r="G548">
        <v>0.76400000000000001</v>
      </c>
      <c r="H548">
        <v>4.9999999999999822</v>
      </c>
      <c r="I548">
        <v>3</v>
      </c>
      <c r="J548">
        <v>1090</v>
      </c>
      <c r="K548" s="1" t="e">
        <f>INDEX($P$4:$AM$15,MATCH(MONTH($E548),$O$4:$O$15,0),MATCH(HOUR($F548),$P$3:$AM$3,0))</f>
        <v>#N/A</v>
      </c>
      <c r="L548" t="s">
        <v>222</v>
      </c>
      <c r="M548" s="111"/>
    </row>
    <row r="549" spans="1:13" x14ac:dyDescent="0.25">
      <c r="A549">
        <v>548</v>
      </c>
      <c r="B549">
        <v>30175035</v>
      </c>
      <c r="C549">
        <v>1</v>
      </c>
      <c r="E549" s="110">
        <v>42509</v>
      </c>
      <c r="F549" s="111" t="s">
        <v>461</v>
      </c>
      <c r="G549">
        <v>29.541</v>
      </c>
      <c r="H549">
        <v>45</v>
      </c>
      <c r="I549">
        <v>3</v>
      </c>
      <c r="J549">
        <v>600</v>
      </c>
      <c r="K549" s="1" t="e">
        <f>INDEX($P$4:$AM$15,MATCH(MONTH($E549),$O$4:$O$15,0),MATCH(HOUR($F549),$P$3:$AM$3,0))</f>
        <v>#N/A</v>
      </c>
      <c r="L549" t="s">
        <v>302</v>
      </c>
      <c r="M549" s="111"/>
    </row>
    <row r="550" spans="1:13" x14ac:dyDescent="0.25">
      <c r="A550">
        <v>549</v>
      </c>
      <c r="B550">
        <v>30175035</v>
      </c>
      <c r="C550">
        <v>2</v>
      </c>
      <c r="E550" s="110">
        <v>42509</v>
      </c>
      <c r="F550" s="111" t="s">
        <v>227</v>
      </c>
      <c r="G550">
        <v>13.170999999999999</v>
      </c>
      <c r="H550">
        <v>30.000000000000053</v>
      </c>
      <c r="I550">
        <v>3</v>
      </c>
      <c r="J550">
        <v>4.9999999999999822</v>
      </c>
      <c r="K550" s="1" t="e">
        <f>INDEX($P$4:$AM$15,MATCH(MONTH($E550),$O$4:$O$15,0),MATCH(HOUR($F550),$P$3:$AM$3,0))</f>
        <v>#N/A</v>
      </c>
      <c r="L550" t="s">
        <v>302</v>
      </c>
      <c r="M550" s="111"/>
    </row>
    <row r="551" spans="1:13" x14ac:dyDescent="0.25">
      <c r="A551">
        <v>550</v>
      </c>
      <c r="B551">
        <v>30175035</v>
      </c>
      <c r="C551">
        <v>3</v>
      </c>
      <c r="E551" s="110">
        <v>42509</v>
      </c>
      <c r="F551" s="111" t="s">
        <v>429</v>
      </c>
      <c r="G551">
        <v>29.172999999999998</v>
      </c>
      <c r="H551">
        <v>40.000000000000014</v>
      </c>
      <c r="I551">
        <v>3</v>
      </c>
      <c r="J551">
        <v>1155</v>
      </c>
      <c r="K551" s="1" t="e">
        <f>INDEX($P$4:$AM$15,MATCH(MONTH($E551),$O$4:$O$15,0),MATCH(HOUR($F551),$P$3:$AM$3,0))</f>
        <v>#N/A</v>
      </c>
      <c r="L551" t="s">
        <v>302</v>
      </c>
      <c r="M551" s="111"/>
    </row>
    <row r="552" spans="1:13" x14ac:dyDescent="0.25">
      <c r="A552">
        <v>551</v>
      </c>
      <c r="B552">
        <v>30178557</v>
      </c>
      <c r="C552">
        <v>1</v>
      </c>
      <c r="E552" s="110">
        <v>42510</v>
      </c>
      <c r="F552" s="111" t="s">
        <v>262</v>
      </c>
      <c r="G552">
        <v>6.3970000000000002</v>
      </c>
      <c r="H552">
        <v>4.9999999999999822</v>
      </c>
      <c r="I552">
        <v>3</v>
      </c>
      <c r="J552">
        <v>24.999999999999993</v>
      </c>
      <c r="K552" s="1" t="e">
        <f>INDEX($P$4:$AM$15,MATCH(MONTH($E552),$O$4:$O$15,0),MATCH(HOUR($F552),$P$3:$AM$3,0))</f>
        <v>#N/A</v>
      </c>
      <c r="L552" t="s">
        <v>218</v>
      </c>
      <c r="M552" s="111"/>
    </row>
    <row r="553" spans="1:13" x14ac:dyDescent="0.25">
      <c r="A553">
        <v>552</v>
      </c>
      <c r="B553">
        <v>30178557</v>
      </c>
      <c r="C553">
        <v>2</v>
      </c>
      <c r="E553" s="110">
        <v>42510</v>
      </c>
      <c r="F553" s="111" t="s">
        <v>318</v>
      </c>
      <c r="G553">
        <v>3.5609999999999999</v>
      </c>
      <c r="H553">
        <v>5.9999999999999787</v>
      </c>
      <c r="I553">
        <v>3</v>
      </c>
      <c r="J553">
        <v>18.999999999999932</v>
      </c>
      <c r="K553" s="1" t="e">
        <f>INDEX($P$4:$AM$15,MATCH(MONTH($E553),$O$4:$O$15,0),MATCH(HOUR($F553),$P$3:$AM$3,0))</f>
        <v>#N/A</v>
      </c>
      <c r="L553" t="s">
        <v>218</v>
      </c>
      <c r="M553" s="111"/>
    </row>
    <row r="554" spans="1:13" x14ac:dyDescent="0.25">
      <c r="A554">
        <v>553</v>
      </c>
      <c r="B554">
        <v>30178557</v>
      </c>
      <c r="C554">
        <v>3</v>
      </c>
      <c r="E554" s="110">
        <v>42510</v>
      </c>
      <c r="F554" s="111" t="s">
        <v>462</v>
      </c>
      <c r="G554">
        <v>2.8839999999999999</v>
      </c>
      <c r="H554">
        <v>10.000000000000124</v>
      </c>
      <c r="I554">
        <v>3</v>
      </c>
      <c r="J554">
        <v>59.999999999999943</v>
      </c>
      <c r="K554" s="1" t="e">
        <f>INDEX($P$4:$AM$15,MATCH(MONTH($E554),$O$4:$O$15,0),MATCH(HOUR($F554),$P$3:$AM$3,0))</f>
        <v>#N/A</v>
      </c>
      <c r="L554" t="s">
        <v>218</v>
      </c>
      <c r="M554" s="111"/>
    </row>
    <row r="555" spans="1:13" x14ac:dyDescent="0.25">
      <c r="A555">
        <v>554</v>
      </c>
      <c r="B555">
        <v>30178557</v>
      </c>
      <c r="C555">
        <v>4</v>
      </c>
      <c r="E555" s="110">
        <v>42510</v>
      </c>
      <c r="F555" s="111" t="s">
        <v>442</v>
      </c>
      <c r="G555">
        <v>2.4460000000000002</v>
      </c>
      <c r="H555">
        <v>4.9999999999999822</v>
      </c>
      <c r="I555">
        <v>3</v>
      </c>
      <c r="J555">
        <v>1.9999999999999929</v>
      </c>
      <c r="K555" s="1" t="e">
        <f>INDEX($P$4:$AM$15,MATCH(MONTH($E555),$O$4:$O$15,0),MATCH(HOUR($F555),$P$3:$AM$3,0))</f>
        <v>#N/A</v>
      </c>
      <c r="L555" t="s">
        <v>218</v>
      </c>
      <c r="M555" s="111"/>
    </row>
    <row r="556" spans="1:13" x14ac:dyDescent="0.25">
      <c r="A556">
        <v>555</v>
      </c>
      <c r="B556">
        <v>30178557</v>
      </c>
      <c r="C556">
        <v>5</v>
      </c>
      <c r="E556" s="110">
        <v>42510</v>
      </c>
      <c r="F556" s="111" t="s">
        <v>463</v>
      </c>
      <c r="G556">
        <v>2.8580000000000001</v>
      </c>
      <c r="H556">
        <v>8.0000000000001315</v>
      </c>
      <c r="I556">
        <v>3</v>
      </c>
      <c r="J556">
        <v>129.99999999999986</v>
      </c>
      <c r="K556" s="1" t="e">
        <f>INDEX($P$4:$AM$15,MATCH(MONTH($E556),$O$4:$O$15,0),MATCH(HOUR($F556),$P$3:$AM$3,0))</f>
        <v>#N/A</v>
      </c>
      <c r="L556" t="s">
        <v>218</v>
      </c>
      <c r="M556" s="111"/>
    </row>
    <row r="557" spans="1:13" x14ac:dyDescent="0.25">
      <c r="A557">
        <v>556</v>
      </c>
      <c r="B557">
        <v>30178557</v>
      </c>
      <c r="C557">
        <v>6</v>
      </c>
      <c r="E557" s="110">
        <v>42510</v>
      </c>
      <c r="F557" s="111" t="s">
        <v>252</v>
      </c>
      <c r="G557">
        <v>12.211</v>
      </c>
      <c r="H557">
        <v>30.000000000000053</v>
      </c>
      <c r="I557">
        <v>3</v>
      </c>
      <c r="J557">
        <v>149.99999999999994</v>
      </c>
      <c r="K557" s="1" t="e">
        <f>INDEX($P$4:$AM$15,MATCH(MONTH($E557),$O$4:$O$15,0),MATCH(HOUR($F557),$P$3:$AM$3,0))</f>
        <v>#N/A</v>
      </c>
      <c r="L557" t="s">
        <v>218</v>
      </c>
      <c r="M557" s="111"/>
    </row>
    <row r="558" spans="1:13" x14ac:dyDescent="0.25">
      <c r="A558">
        <v>557</v>
      </c>
      <c r="B558">
        <v>30178557</v>
      </c>
      <c r="C558">
        <v>7</v>
      </c>
      <c r="E558" s="110">
        <v>42510</v>
      </c>
      <c r="F558" s="111" t="s">
        <v>245</v>
      </c>
      <c r="G558">
        <v>11.986000000000001</v>
      </c>
      <c r="H558">
        <v>25.000000000000071</v>
      </c>
      <c r="I558">
        <v>3</v>
      </c>
      <c r="J558">
        <v>685</v>
      </c>
      <c r="K558" s="1" t="e">
        <f>INDEX($P$4:$AM$15,MATCH(MONTH($E558),$O$4:$O$15,0),MATCH(HOUR($F558),$P$3:$AM$3,0))</f>
        <v>#N/A</v>
      </c>
      <c r="L558" t="s">
        <v>218</v>
      </c>
      <c r="M558" s="111"/>
    </row>
    <row r="559" spans="1:13" x14ac:dyDescent="0.25">
      <c r="A559">
        <v>558</v>
      </c>
      <c r="B559">
        <v>30193593</v>
      </c>
      <c r="C559">
        <v>1</v>
      </c>
      <c r="E559" s="110">
        <v>42511</v>
      </c>
      <c r="F559" s="111" t="s">
        <v>464</v>
      </c>
      <c r="G559">
        <v>4.5960000000000001</v>
      </c>
      <c r="H559">
        <v>20.000000000000007</v>
      </c>
      <c r="I559">
        <v>3</v>
      </c>
      <c r="J559">
        <v>49.999999999999986</v>
      </c>
      <c r="K559" s="1" t="e">
        <f>INDEX($P$4:$AM$15,MATCH(MONTH($E559),$O$4:$O$15,0),MATCH(HOUR($F559),$P$3:$AM$3,0))</f>
        <v>#N/A</v>
      </c>
      <c r="L559" t="s">
        <v>231</v>
      </c>
      <c r="M559" s="111"/>
    </row>
    <row r="560" spans="1:13" x14ac:dyDescent="0.25">
      <c r="A560">
        <v>559</v>
      </c>
      <c r="B560">
        <v>30193593</v>
      </c>
      <c r="C560">
        <v>2</v>
      </c>
      <c r="E560" s="110">
        <v>42511</v>
      </c>
      <c r="F560" s="111" t="s">
        <v>273</v>
      </c>
      <c r="G560">
        <v>4.68</v>
      </c>
      <c r="H560">
        <v>20.000000000000089</v>
      </c>
      <c r="I560">
        <v>3</v>
      </c>
      <c r="J560">
        <v>149.99999999999994</v>
      </c>
      <c r="K560" s="1" t="e">
        <f>INDEX($P$4:$AM$15,MATCH(MONTH($E560),$O$4:$O$15,0),MATCH(HOUR($F560),$P$3:$AM$3,0))</f>
        <v>#N/A</v>
      </c>
      <c r="L560" t="s">
        <v>231</v>
      </c>
      <c r="M560" s="111"/>
    </row>
    <row r="561" spans="1:13" x14ac:dyDescent="0.25">
      <c r="A561">
        <v>560</v>
      </c>
      <c r="B561">
        <v>30228356</v>
      </c>
      <c r="C561">
        <v>3</v>
      </c>
      <c r="E561" s="110">
        <v>42511</v>
      </c>
      <c r="F561" s="111" t="s">
        <v>417</v>
      </c>
      <c r="G561">
        <v>2.6150000000000002</v>
      </c>
      <c r="H561">
        <v>15.000000000000027</v>
      </c>
      <c r="I561">
        <v>3</v>
      </c>
      <c r="J561">
        <v>0.99999999999991651</v>
      </c>
      <c r="K561" s="1" t="e">
        <f>INDEX($P$4:$AM$15,MATCH(MONTH($E561),$O$4:$O$15,0),MATCH(HOUR($F561),$P$3:$AM$3,0))</f>
        <v>#N/A</v>
      </c>
      <c r="L561" t="s">
        <v>222</v>
      </c>
      <c r="M561" s="111"/>
    </row>
    <row r="562" spans="1:13" x14ac:dyDescent="0.25">
      <c r="A562">
        <v>561</v>
      </c>
      <c r="B562">
        <v>30228356</v>
      </c>
      <c r="C562">
        <v>4</v>
      </c>
      <c r="E562" s="110">
        <v>42511</v>
      </c>
      <c r="F562" s="111" t="s">
        <v>465</v>
      </c>
      <c r="G562">
        <v>0.66400000000000003</v>
      </c>
      <c r="H562">
        <v>1.0000000000000764</v>
      </c>
      <c r="I562">
        <v>3</v>
      </c>
      <c r="J562">
        <v>1.9999999999999929</v>
      </c>
      <c r="K562" s="1" t="e">
        <f>INDEX($P$4:$AM$15,MATCH(MONTH($E562),$O$4:$O$15,0),MATCH(HOUR($F562),$P$3:$AM$3,0))</f>
        <v>#N/A</v>
      </c>
      <c r="L562" t="s">
        <v>222</v>
      </c>
      <c r="M562" s="111"/>
    </row>
    <row r="563" spans="1:13" x14ac:dyDescent="0.25">
      <c r="A563">
        <v>562</v>
      </c>
      <c r="B563">
        <v>30228356</v>
      </c>
      <c r="C563">
        <v>5</v>
      </c>
      <c r="E563" s="110">
        <v>42511</v>
      </c>
      <c r="F563" s="111" t="s">
        <v>419</v>
      </c>
      <c r="G563">
        <v>0.42699999999999999</v>
      </c>
      <c r="H563">
        <v>1.9999999999999929</v>
      </c>
      <c r="I563">
        <v>3</v>
      </c>
      <c r="J563">
        <v>2.9999999999999094</v>
      </c>
      <c r="K563" s="1" t="e">
        <f>INDEX($P$4:$AM$15,MATCH(MONTH($E563),$O$4:$O$15,0),MATCH(HOUR($F563),$P$3:$AM$3,0))</f>
        <v>#N/A</v>
      </c>
      <c r="L563" t="s">
        <v>222</v>
      </c>
      <c r="M563" s="111"/>
    </row>
    <row r="564" spans="1:13" x14ac:dyDescent="0.25">
      <c r="A564">
        <v>563</v>
      </c>
      <c r="B564">
        <v>30228356</v>
      </c>
      <c r="C564">
        <v>6</v>
      </c>
      <c r="E564" s="110">
        <v>42511</v>
      </c>
      <c r="F564" s="111" t="s">
        <v>466</v>
      </c>
      <c r="G564">
        <v>2.7730000000000001</v>
      </c>
      <c r="H564">
        <v>9.000000000000048</v>
      </c>
      <c r="I564">
        <v>3</v>
      </c>
      <c r="J564">
        <v>1322</v>
      </c>
      <c r="K564" s="1" t="e">
        <f>INDEX($P$4:$AM$15,MATCH(MONTH($E564),$O$4:$O$15,0),MATCH(HOUR($F564),$P$3:$AM$3,0))</f>
        <v>#N/A</v>
      </c>
      <c r="L564" t="s">
        <v>222</v>
      </c>
      <c r="M564" s="111"/>
    </row>
    <row r="565" spans="1:13" x14ac:dyDescent="0.25">
      <c r="A565">
        <v>564</v>
      </c>
      <c r="B565">
        <v>30229638</v>
      </c>
      <c r="C565">
        <v>1</v>
      </c>
      <c r="E565" s="110">
        <v>42512</v>
      </c>
      <c r="F565" s="111" t="s">
        <v>467</v>
      </c>
      <c r="G565">
        <v>3.0990000000000002</v>
      </c>
      <c r="H565">
        <v>6.9999999999999751</v>
      </c>
      <c r="I565">
        <v>4</v>
      </c>
      <c r="J565">
        <v>76.000000000000057</v>
      </c>
      <c r="K565" s="1" t="e">
        <f>INDEX($P$4:$AM$15,MATCH(MONTH($E565),$O$4:$O$15,0),MATCH(HOUR($F565),$P$3:$AM$3,0))</f>
        <v>#N/A</v>
      </c>
      <c r="L565" t="s">
        <v>222</v>
      </c>
      <c r="M565" s="111"/>
    </row>
    <row r="566" spans="1:13" x14ac:dyDescent="0.25">
      <c r="A566">
        <v>565</v>
      </c>
      <c r="B566">
        <v>30229638</v>
      </c>
      <c r="C566">
        <v>2</v>
      </c>
      <c r="E566" s="110">
        <v>42512</v>
      </c>
      <c r="F566" s="111" t="s">
        <v>468</v>
      </c>
      <c r="G566">
        <v>0.81299999999999994</v>
      </c>
      <c r="H566">
        <v>2.9999999999999893</v>
      </c>
      <c r="I566">
        <v>4</v>
      </c>
      <c r="J566">
        <v>18.999999999999932</v>
      </c>
      <c r="K566" s="1" t="e">
        <f>INDEX($P$4:$AM$15,MATCH(MONTH($E566),$O$4:$O$15,0),MATCH(HOUR($F566),$P$3:$AM$3,0))</f>
        <v>#N/A</v>
      </c>
      <c r="L566" t="s">
        <v>222</v>
      </c>
      <c r="M566" s="111"/>
    </row>
    <row r="567" spans="1:13" x14ac:dyDescent="0.25">
      <c r="A567">
        <v>566</v>
      </c>
      <c r="B567">
        <v>30229638</v>
      </c>
      <c r="C567">
        <v>3</v>
      </c>
      <c r="E567" s="110">
        <v>42512</v>
      </c>
      <c r="F567" s="111" t="s">
        <v>337</v>
      </c>
      <c r="G567">
        <v>0.85399999999999998</v>
      </c>
      <c r="H567">
        <v>5.0000000000000622</v>
      </c>
      <c r="I567">
        <v>4</v>
      </c>
      <c r="J567">
        <v>45</v>
      </c>
      <c r="K567" s="1" t="e">
        <f>INDEX($P$4:$AM$15,MATCH(MONTH($E567),$O$4:$O$15,0),MATCH(HOUR($F567),$P$3:$AM$3,0))</f>
        <v>#N/A</v>
      </c>
      <c r="L567" t="s">
        <v>222</v>
      </c>
      <c r="M567" s="111"/>
    </row>
    <row r="568" spans="1:13" x14ac:dyDescent="0.25">
      <c r="A568">
        <v>567</v>
      </c>
      <c r="B568">
        <v>30229638</v>
      </c>
      <c r="C568">
        <v>4</v>
      </c>
      <c r="E568" s="110">
        <v>42512</v>
      </c>
      <c r="F568" s="111" t="s">
        <v>318</v>
      </c>
      <c r="G568">
        <v>3.0990000000000002</v>
      </c>
      <c r="H568">
        <v>9.9999999999999645</v>
      </c>
      <c r="I568">
        <v>4</v>
      </c>
      <c r="J568">
        <v>10.000000000000124</v>
      </c>
      <c r="K568" s="1" t="e">
        <f>INDEX($P$4:$AM$15,MATCH(MONTH($E568),$O$4:$O$15,0),MATCH(HOUR($F568),$P$3:$AM$3,0))</f>
        <v>#N/A</v>
      </c>
      <c r="L568" t="s">
        <v>222</v>
      </c>
      <c r="M568" s="111"/>
    </row>
    <row r="569" spans="1:13" x14ac:dyDescent="0.25">
      <c r="A569">
        <v>568</v>
      </c>
      <c r="B569">
        <v>30229638</v>
      </c>
      <c r="C569">
        <v>5</v>
      </c>
      <c r="E569" s="110">
        <v>42512</v>
      </c>
      <c r="F569" s="111" t="s">
        <v>355</v>
      </c>
      <c r="G569">
        <v>4.0830000000000002</v>
      </c>
      <c r="H569">
        <v>9.9999999999999645</v>
      </c>
      <c r="I569">
        <v>6</v>
      </c>
      <c r="J569">
        <v>0.99999999999999645</v>
      </c>
      <c r="K569" s="1" t="e">
        <f>INDEX($P$4:$AM$15,MATCH(MONTH($E569),$O$4:$O$15,0),MATCH(HOUR($F569),$P$3:$AM$3,0))</f>
        <v>#N/A</v>
      </c>
      <c r="L569" t="s">
        <v>222</v>
      </c>
      <c r="M569" s="111"/>
    </row>
    <row r="570" spans="1:13" x14ac:dyDescent="0.25">
      <c r="A570">
        <v>569</v>
      </c>
      <c r="B570">
        <v>30229638</v>
      </c>
      <c r="C570">
        <v>6</v>
      </c>
      <c r="E570" s="110">
        <v>42512</v>
      </c>
      <c r="F570" s="111" t="s">
        <v>469</v>
      </c>
      <c r="G570">
        <v>4.0830000000000002</v>
      </c>
      <c r="H570">
        <v>11.999999999999957</v>
      </c>
      <c r="I570">
        <v>6</v>
      </c>
      <c r="J570">
        <v>227</v>
      </c>
      <c r="K570" s="1" t="e">
        <f>INDEX($P$4:$AM$15,MATCH(MONTH($E570),$O$4:$O$15,0),MATCH(HOUR($F570),$P$3:$AM$3,0))</f>
        <v>#N/A</v>
      </c>
      <c r="L570" t="s">
        <v>222</v>
      </c>
      <c r="M570" s="111"/>
    </row>
    <row r="571" spans="1:13" x14ac:dyDescent="0.25">
      <c r="A571">
        <v>570</v>
      </c>
      <c r="B571">
        <v>30229638</v>
      </c>
      <c r="C571">
        <v>7</v>
      </c>
      <c r="E571" s="110">
        <v>42512</v>
      </c>
      <c r="F571" s="111" t="s">
        <v>247</v>
      </c>
      <c r="G571">
        <v>4.0830000000000002</v>
      </c>
      <c r="H571">
        <v>14.999999999999947</v>
      </c>
      <c r="I571">
        <v>4</v>
      </c>
      <c r="J571">
        <v>405</v>
      </c>
      <c r="K571" s="1" t="e">
        <f>INDEX($P$4:$AM$15,MATCH(MONTH($E571),$O$4:$O$15,0),MATCH(HOUR($F571),$P$3:$AM$3,0))</f>
        <v>#N/A</v>
      </c>
      <c r="L571" t="s">
        <v>222</v>
      </c>
      <c r="M571" s="111"/>
    </row>
    <row r="572" spans="1:13" x14ac:dyDescent="0.25">
      <c r="A572">
        <v>571</v>
      </c>
      <c r="B572">
        <v>30229638</v>
      </c>
      <c r="C572">
        <v>8</v>
      </c>
      <c r="E572" s="110">
        <v>42512</v>
      </c>
      <c r="F572" s="111" t="s">
        <v>470</v>
      </c>
      <c r="G572">
        <v>3.1070000000000002</v>
      </c>
      <c r="H572">
        <v>10.000000000000124</v>
      </c>
      <c r="I572">
        <v>4</v>
      </c>
      <c r="J572">
        <v>0.99999999999999645</v>
      </c>
      <c r="K572" s="1" t="e">
        <f>INDEX($P$4:$AM$15,MATCH(MONTH($E572),$O$4:$O$15,0),MATCH(HOUR($F572),$P$3:$AM$3,0))</f>
        <v>#N/A</v>
      </c>
      <c r="L572" t="s">
        <v>222</v>
      </c>
      <c r="M572" s="111"/>
    </row>
    <row r="573" spans="1:13" x14ac:dyDescent="0.25">
      <c r="A573">
        <v>572</v>
      </c>
      <c r="B573">
        <v>30229638</v>
      </c>
      <c r="C573">
        <v>9</v>
      </c>
      <c r="E573" s="110">
        <v>42512</v>
      </c>
      <c r="F573" s="111" t="s">
        <v>471</v>
      </c>
      <c r="G573">
        <v>3.1070000000000002</v>
      </c>
      <c r="H573">
        <v>8.9999999999998082</v>
      </c>
      <c r="I573">
        <v>4</v>
      </c>
      <c r="J573">
        <v>820.00000000000011</v>
      </c>
      <c r="K573" s="1" t="e">
        <f>INDEX($P$4:$AM$15,MATCH(MONTH($E573),$O$4:$O$15,0),MATCH(HOUR($F573),$P$3:$AM$3,0))</f>
        <v>#N/A</v>
      </c>
      <c r="L573" t="s">
        <v>222</v>
      </c>
      <c r="M573" s="111"/>
    </row>
    <row r="574" spans="1:13" x14ac:dyDescent="0.25">
      <c r="A574">
        <v>573</v>
      </c>
      <c r="B574">
        <v>30229638</v>
      </c>
      <c r="C574">
        <v>1</v>
      </c>
      <c r="E574" s="110">
        <v>42513</v>
      </c>
      <c r="F574" s="111" t="s">
        <v>240</v>
      </c>
      <c r="G574">
        <v>4.4850000000000003</v>
      </c>
      <c r="H574">
        <v>12.999999999999954</v>
      </c>
      <c r="I574">
        <v>4</v>
      </c>
      <c r="J574">
        <v>37.000000000000028</v>
      </c>
      <c r="K574" s="1" t="e">
        <f>INDEX($P$4:$AM$15,MATCH(MONTH($E574),$O$4:$O$15,0),MATCH(HOUR($F574),$P$3:$AM$3,0))</f>
        <v>#N/A</v>
      </c>
      <c r="L574" t="s">
        <v>222</v>
      </c>
      <c r="M574" s="111"/>
    </row>
    <row r="575" spans="1:13" x14ac:dyDescent="0.25">
      <c r="A575">
        <v>574</v>
      </c>
      <c r="B575">
        <v>30229638</v>
      </c>
      <c r="C575">
        <v>2</v>
      </c>
      <c r="E575" s="110">
        <v>42513</v>
      </c>
      <c r="F575" s="111" t="s">
        <v>351</v>
      </c>
      <c r="G575">
        <v>4.4850000000000003</v>
      </c>
      <c r="H575">
        <v>15.000000000000107</v>
      </c>
      <c r="I575">
        <v>4</v>
      </c>
      <c r="J575">
        <v>144.99999999999997</v>
      </c>
      <c r="K575" s="1" t="e">
        <f>INDEX($P$4:$AM$15,MATCH(MONTH($E575),$O$4:$O$15,0),MATCH(HOUR($F575),$P$3:$AM$3,0))</f>
        <v>#N/A</v>
      </c>
      <c r="L575" t="s">
        <v>222</v>
      </c>
      <c r="M575" s="111"/>
    </row>
    <row r="576" spans="1:13" x14ac:dyDescent="0.25">
      <c r="A576">
        <v>575</v>
      </c>
      <c r="B576">
        <v>30229638</v>
      </c>
      <c r="C576">
        <v>3</v>
      </c>
      <c r="E576" s="110">
        <v>42513</v>
      </c>
      <c r="F576" s="111" t="s">
        <v>229</v>
      </c>
      <c r="G576">
        <v>10.693</v>
      </c>
      <c r="H576">
        <v>29.999999999999893</v>
      </c>
      <c r="I576">
        <v>4</v>
      </c>
      <c r="J576">
        <v>150.00000000000011</v>
      </c>
      <c r="K576" s="1" t="e">
        <f>INDEX($P$4:$AM$15,MATCH(MONTH($E576),$O$4:$O$15,0),MATCH(HOUR($F576),$P$3:$AM$3,0))</f>
        <v>#N/A</v>
      </c>
      <c r="L576" t="s">
        <v>222</v>
      </c>
      <c r="M576" s="111"/>
    </row>
    <row r="577" spans="1:13" x14ac:dyDescent="0.25">
      <c r="A577">
        <v>576</v>
      </c>
      <c r="B577">
        <v>30229638</v>
      </c>
      <c r="C577">
        <v>4</v>
      </c>
      <c r="E577" s="110">
        <v>42513</v>
      </c>
      <c r="F577" s="111" t="s">
        <v>319</v>
      </c>
      <c r="G577">
        <v>12.753</v>
      </c>
      <c r="H577">
        <v>25.000000000000071</v>
      </c>
      <c r="I577">
        <v>4</v>
      </c>
      <c r="J577">
        <v>574.99999999999989</v>
      </c>
      <c r="K577" s="1" t="e">
        <f>INDEX($P$4:$AM$15,MATCH(MONTH($E577),$O$4:$O$15,0),MATCH(HOUR($F577),$P$3:$AM$3,0))</f>
        <v>#N/A</v>
      </c>
      <c r="L577" t="s">
        <v>222</v>
      </c>
      <c r="M577" s="111"/>
    </row>
    <row r="578" spans="1:13" x14ac:dyDescent="0.25">
      <c r="A578">
        <v>577</v>
      </c>
      <c r="B578">
        <v>30238404</v>
      </c>
      <c r="C578">
        <v>1</v>
      </c>
      <c r="E578" s="110">
        <v>42514</v>
      </c>
      <c r="F578" s="111" t="s">
        <v>248</v>
      </c>
      <c r="G578">
        <v>6.3360000000000003</v>
      </c>
      <c r="H578">
        <v>20.000000000000007</v>
      </c>
      <c r="I578">
        <v>4</v>
      </c>
      <c r="J578">
        <v>489.99999999999994</v>
      </c>
      <c r="K578" s="1" t="e">
        <f>INDEX($P$4:$AM$15,MATCH(MONTH($E578),$O$4:$O$15,0),MATCH(HOUR($F578),$P$3:$AM$3,0))</f>
        <v>#N/A</v>
      </c>
      <c r="L578" t="s">
        <v>302</v>
      </c>
      <c r="M578" s="111"/>
    </row>
    <row r="579" spans="1:13" x14ac:dyDescent="0.25">
      <c r="A579">
        <v>578</v>
      </c>
      <c r="B579">
        <v>30238404</v>
      </c>
      <c r="C579">
        <v>2</v>
      </c>
      <c r="E579" s="110">
        <v>42514</v>
      </c>
      <c r="F579" s="111" t="s">
        <v>294</v>
      </c>
      <c r="G579">
        <v>6.048</v>
      </c>
      <c r="H579">
        <v>20.000000000000089</v>
      </c>
      <c r="I579">
        <v>4</v>
      </c>
      <c r="J579">
        <v>30.000000000000053</v>
      </c>
      <c r="K579" s="1" t="e">
        <f>INDEX($P$4:$AM$15,MATCH(MONTH($E579),$O$4:$O$15,0),MATCH(HOUR($F579),$P$3:$AM$3,0))</f>
        <v>#N/A</v>
      </c>
      <c r="L579" t="s">
        <v>302</v>
      </c>
      <c r="M579" s="111"/>
    </row>
    <row r="580" spans="1:13" x14ac:dyDescent="0.25">
      <c r="A580">
        <v>579</v>
      </c>
      <c r="B580">
        <v>30238404</v>
      </c>
      <c r="C580">
        <v>3</v>
      </c>
      <c r="E580" s="110">
        <v>42514</v>
      </c>
      <c r="F580" s="111" t="s">
        <v>472</v>
      </c>
      <c r="G580">
        <v>9.9930000000000003</v>
      </c>
      <c r="H580">
        <v>39.999999999999858</v>
      </c>
      <c r="I580">
        <v>4</v>
      </c>
      <c r="J580">
        <v>1069</v>
      </c>
      <c r="K580" s="1" t="e">
        <f>INDEX($P$4:$AM$15,MATCH(MONTH($E580),$O$4:$O$15,0),MATCH(HOUR($F580),$P$3:$AM$3,0))</f>
        <v>#N/A</v>
      </c>
      <c r="L580" t="s">
        <v>302</v>
      </c>
      <c r="M580" s="111"/>
    </row>
    <row r="581" spans="1:13" x14ac:dyDescent="0.25">
      <c r="A581">
        <v>580</v>
      </c>
      <c r="B581">
        <v>30243402</v>
      </c>
      <c r="C581">
        <v>1</v>
      </c>
      <c r="E581" s="110">
        <v>42515</v>
      </c>
      <c r="F581" s="111" t="s">
        <v>406</v>
      </c>
      <c r="G581">
        <v>23.303000000000001</v>
      </c>
      <c r="H581">
        <v>35.99999999999995</v>
      </c>
      <c r="I581">
        <v>5</v>
      </c>
      <c r="J581">
        <v>90</v>
      </c>
      <c r="K581" s="1" t="e">
        <f>INDEX($P$4:$AM$15,MATCH(MONTH($E581),$O$4:$O$15,0),MATCH(HOUR($F581),$P$3:$AM$3,0))</f>
        <v>#N/A</v>
      </c>
      <c r="L581" t="s">
        <v>257</v>
      </c>
      <c r="M581" s="111"/>
    </row>
    <row r="582" spans="1:13" x14ac:dyDescent="0.25">
      <c r="A582">
        <v>581</v>
      </c>
      <c r="B582">
        <v>30243402</v>
      </c>
      <c r="C582">
        <v>2</v>
      </c>
      <c r="E582" s="110">
        <v>42515</v>
      </c>
      <c r="F582" s="111" t="s">
        <v>263</v>
      </c>
      <c r="G582">
        <v>1.82</v>
      </c>
      <c r="H582">
        <v>3.0000000000000693</v>
      </c>
      <c r="I582">
        <v>5</v>
      </c>
      <c r="J582">
        <v>67.999999999999915</v>
      </c>
      <c r="K582" s="1" t="e">
        <f>INDEX($P$4:$AM$15,MATCH(MONTH($E582),$O$4:$O$15,0),MATCH(HOUR($F582),$P$3:$AM$3,0))</f>
        <v>#N/A</v>
      </c>
      <c r="L582" t="s">
        <v>257</v>
      </c>
      <c r="M582" s="111"/>
    </row>
    <row r="583" spans="1:13" x14ac:dyDescent="0.25">
      <c r="A583">
        <v>582</v>
      </c>
      <c r="B583">
        <v>30243402</v>
      </c>
      <c r="C583">
        <v>3</v>
      </c>
      <c r="E583" s="110">
        <v>42515</v>
      </c>
      <c r="F583" s="111" t="s">
        <v>473</v>
      </c>
      <c r="G583">
        <v>3.92</v>
      </c>
      <c r="H583">
        <v>22.000000000000082</v>
      </c>
      <c r="I583">
        <v>5</v>
      </c>
      <c r="J583">
        <v>108.0000000000001</v>
      </c>
      <c r="K583" s="1" t="e">
        <f>INDEX($P$4:$AM$15,MATCH(MONTH($E583),$O$4:$O$15,0),MATCH(HOUR($F583),$P$3:$AM$3,0))</f>
        <v>#N/A</v>
      </c>
      <c r="L583" t="s">
        <v>257</v>
      </c>
      <c r="M583" s="111"/>
    </row>
    <row r="584" spans="1:13" x14ac:dyDescent="0.25">
      <c r="A584">
        <v>583</v>
      </c>
      <c r="B584">
        <v>30243402</v>
      </c>
      <c r="C584">
        <v>4</v>
      </c>
      <c r="E584" s="110">
        <v>42515</v>
      </c>
      <c r="F584" s="111" t="s">
        <v>474</v>
      </c>
      <c r="G584">
        <v>20.309000000000001</v>
      </c>
      <c r="H584">
        <v>58.99999999999995</v>
      </c>
      <c r="I584">
        <v>5</v>
      </c>
      <c r="J584">
        <v>135</v>
      </c>
      <c r="K584" s="1" t="e">
        <f>INDEX($P$4:$AM$15,MATCH(MONTH($E584),$O$4:$O$15,0),MATCH(HOUR($F584),$P$3:$AM$3,0))</f>
        <v>#N/A</v>
      </c>
      <c r="L584" t="s">
        <v>257</v>
      </c>
      <c r="M584" s="111"/>
    </row>
    <row r="585" spans="1:13" x14ac:dyDescent="0.25">
      <c r="A585">
        <v>584</v>
      </c>
      <c r="B585">
        <v>30243402</v>
      </c>
      <c r="C585">
        <v>5</v>
      </c>
      <c r="E585" s="110">
        <v>42515</v>
      </c>
      <c r="F585" s="111" t="s">
        <v>300</v>
      </c>
      <c r="G585">
        <v>9.6229999999999993</v>
      </c>
      <c r="H585">
        <v>29.999999999999893</v>
      </c>
      <c r="I585">
        <v>5</v>
      </c>
      <c r="J585">
        <v>57.999999999999957</v>
      </c>
      <c r="K585" s="1" t="e">
        <f>INDEX($P$4:$AM$15,MATCH(MONTH($E585),$O$4:$O$15,0),MATCH(HOUR($F585),$P$3:$AM$3,0))</f>
        <v>#N/A</v>
      </c>
      <c r="L585" t="s">
        <v>257</v>
      </c>
      <c r="M585" s="111"/>
    </row>
    <row r="586" spans="1:13" x14ac:dyDescent="0.25">
      <c r="A586">
        <v>585</v>
      </c>
      <c r="B586">
        <v>30243402</v>
      </c>
      <c r="C586">
        <v>6</v>
      </c>
      <c r="E586" s="110">
        <v>42515</v>
      </c>
      <c r="F586" s="111" t="s">
        <v>475</v>
      </c>
      <c r="G586">
        <v>5.0259999999999998</v>
      </c>
      <c r="H586">
        <v>13.000000000000114</v>
      </c>
      <c r="I586">
        <v>5</v>
      </c>
      <c r="J586">
        <v>2.9999999999999893</v>
      </c>
      <c r="K586" s="1" t="e">
        <f>INDEX($P$4:$AM$15,MATCH(MONTH($E586),$O$4:$O$15,0),MATCH(HOUR($F586),$P$3:$AM$3,0))</f>
        <v>#N/A</v>
      </c>
      <c r="L586" t="s">
        <v>257</v>
      </c>
      <c r="M586" s="111"/>
    </row>
    <row r="587" spans="1:13" x14ac:dyDescent="0.25">
      <c r="A587">
        <v>586</v>
      </c>
      <c r="B587">
        <v>30243402</v>
      </c>
      <c r="C587">
        <v>7</v>
      </c>
      <c r="E587" s="110">
        <v>42515</v>
      </c>
      <c r="F587" s="111" t="s">
        <v>410</v>
      </c>
      <c r="G587">
        <v>0.16200000000000001</v>
      </c>
      <c r="H587">
        <v>1.9999999999999929</v>
      </c>
      <c r="I587">
        <v>5</v>
      </c>
      <c r="J587">
        <v>24.000000000000075</v>
      </c>
      <c r="K587" s="1" t="e">
        <f>INDEX($P$4:$AM$15,MATCH(MONTH($E587),$O$4:$O$15,0),MATCH(HOUR($F587),$P$3:$AM$3,0))</f>
        <v>#N/A</v>
      </c>
      <c r="L587" t="s">
        <v>257</v>
      </c>
      <c r="M587" s="111"/>
    </row>
    <row r="588" spans="1:13" x14ac:dyDescent="0.25">
      <c r="A588">
        <v>587</v>
      </c>
      <c r="B588">
        <v>30243402</v>
      </c>
      <c r="C588">
        <v>8</v>
      </c>
      <c r="E588" s="110">
        <v>42515</v>
      </c>
      <c r="F588" s="111" t="s">
        <v>265</v>
      </c>
      <c r="G588">
        <v>0.503</v>
      </c>
      <c r="H588">
        <v>2.9999999999998295</v>
      </c>
      <c r="I588">
        <v>5</v>
      </c>
      <c r="J588">
        <v>14.00000000000011</v>
      </c>
      <c r="K588" s="1" t="e">
        <f>INDEX($P$4:$AM$15,MATCH(MONTH($E588),$O$4:$O$15,0),MATCH(HOUR($F588),$P$3:$AM$3,0))</f>
        <v>#N/A</v>
      </c>
      <c r="L588" t="s">
        <v>257</v>
      </c>
      <c r="M588" s="111"/>
    </row>
    <row r="589" spans="1:13" x14ac:dyDescent="0.25">
      <c r="A589">
        <v>588</v>
      </c>
      <c r="B589">
        <v>30243402</v>
      </c>
      <c r="C589">
        <v>9</v>
      </c>
      <c r="E589" s="110">
        <v>42515</v>
      </c>
      <c r="F589" s="111" t="s">
        <v>476</v>
      </c>
      <c r="G589">
        <v>10.071999999999999</v>
      </c>
      <c r="H589">
        <v>17.999999999999936</v>
      </c>
      <c r="I589">
        <v>5</v>
      </c>
      <c r="J589">
        <v>633.00000000000011</v>
      </c>
      <c r="K589" s="1" t="e">
        <f>INDEX($P$4:$AM$15,MATCH(MONTH($E589),$O$4:$O$15,0),MATCH(HOUR($F589),$P$3:$AM$3,0))</f>
        <v>#N/A</v>
      </c>
      <c r="L589" t="s">
        <v>257</v>
      </c>
      <c r="M589" s="111"/>
    </row>
    <row r="590" spans="1:13" x14ac:dyDescent="0.25">
      <c r="A590">
        <v>589</v>
      </c>
      <c r="B590">
        <v>30243506</v>
      </c>
      <c r="C590">
        <v>1</v>
      </c>
      <c r="E590" s="110">
        <v>42516</v>
      </c>
      <c r="F590" s="111" t="s">
        <v>477</v>
      </c>
      <c r="G590">
        <v>26</v>
      </c>
      <c r="H590">
        <v>19.999999999999929</v>
      </c>
      <c r="I590">
        <v>3</v>
      </c>
      <c r="J590">
        <v>1.9999999999999929</v>
      </c>
      <c r="K590" s="1" t="e">
        <f>INDEX($P$4:$AM$15,MATCH(MONTH($E590),$O$4:$O$15,0),MATCH(HOUR($F590),$P$3:$AM$3,0))</f>
        <v>#N/A</v>
      </c>
      <c r="L590" t="s">
        <v>222</v>
      </c>
      <c r="M590" s="111"/>
    </row>
    <row r="591" spans="1:13" x14ac:dyDescent="0.25">
      <c r="A591">
        <v>590</v>
      </c>
      <c r="B591">
        <v>30243506</v>
      </c>
      <c r="C591">
        <v>2</v>
      </c>
      <c r="E591" s="110">
        <v>42516</v>
      </c>
      <c r="F591" s="111" t="s">
        <v>321</v>
      </c>
      <c r="G591">
        <v>10.457000000000001</v>
      </c>
      <c r="H591">
        <v>20.000000000000089</v>
      </c>
      <c r="I591">
        <v>3</v>
      </c>
      <c r="J591">
        <v>444.99999999999994</v>
      </c>
      <c r="K591" s="1" t="e">
        <f>INDEX($P$4:$AM$15,MATCH(MONTH($E591),$O$4:$O$15,0),MATCH(HOUR($F591),$P$3:$AM$3,0))</f>
        <v>#N/A</v>
      </c>
      <c r="L591" t="s">
        <v>222</v>
      </c>
      <c r="M591" s="111"/>
    </row>
    <row r="592" spans="1:13" x14ac:dyDescent="0.25">
      <c r="A592">
        <v>591</v>
      </c>
      <c r="B592">
        <v>30243506</v>
      </c>
      <c r="C592">
        <v>3</v>
      </c>
      <c r="E592" s="110">
        <v>42516</v>
      </c>
      <c r="F592" s="111" t="s">
        <v>434</v>
      </c>
      <c r="G592">
        <v>1.407</v>
      </c>
      <c r="H592">
        <v>8.0000000000001315</v>
      </c>
      <c r="I592">
        <v>3</v>
      </c>
      <c r="J592">
        <v>21.999999999999922</v>
      </c>
      <c r="K592" s="1" t="e">
        <f>INDEX($P$4:$AM$15,MATCH(MONTH($E592),$O$4:$O$15,0),MATCH(HOUR($F592),$P$3:$AM$3,0))</f>
        <v>#N/A</v>
      </c>
      <c r="L592" t="s">
        <v>222</v>
      </c>
      <c r="M592" s="111"/>
    </row>
    <row r="593" spans="1:13" x14ac:dyDescent="0.25">
      <c r="A593">
        <v>592</v>
      </c>
      <c r="B593">
        <v>30243506</v>
      </c>
      <c r="C593">
        <v>4</v>
      </c>
      <c r="E593" s="110">
        <v>42516</v>
      </c>
      <c r="F593" s="111" t="s">
        <v>349</v>
      </c>
      <c r="G593">
        <v>4.7949999999999999</v>
      </c>
      <c r="H593">
        <v>9.9999999999999645</v>
      </c>
      <c r="I593">
        <v>3</v>
      </c>
      <c r="J593">
        <v>234.99999999999997</v>
      </c>
      <c r="K593" s="1" t="e">
        <f>INDEX($P$4:$AM$15,MATCH(MONTH($E593),$O$4:$O$15,0),MATCH(HOUR($F593),$P$3:$AM$3,0))</f>
        <v>#N/A</v>
      </c>
      <c r="L593" t="s">
        <v>222</v>
      </c>
      <c r="M593" s="111"/>
    </row>
    <row r="594" spans="1:13" x14ac:dyDescent="0.25">
      <c r="A594">
        <v>593</v>
      </c>
      <c r="B594">
        <v>30243506</v>
      </c>
      <c r="C594">
        <v>5</v>
      </c>
      <c r="E594" s="110">
        <v>42516</v>
      </c>
      <c r="F594" s="111" t="s">
        <v>322</v>
      </c>
      <c r="G594">
        <v>11.217000000000001</v>
      </c>
      <c r="H594">
        <v>30.000000000000053</v>
      </c>
      <c r="I594">
        <v>3</v>
      </c>
      <c r="J594">
        <v>720</v>
      </c>
      <c r="K594" s="1" t="e">
        <f>INDEX($P$4:$AM$15,MATCH(MONTH($E594),$O$4:$O$15,0),MATCH(HOUR($F594),$P$3:$AM$3,0))</f>
        <v>#N/A</v>
      </c>
      <c r="L594" t="s">
        <v>222</v>
      </c>
      <c r="M594" s="111"/>
    </row>
    <row r="595" spans="1:13" x14ac:dyDescent="0.25">
      <c r="A595">
        <v>594</v>
      </c>
      <c r="B595">
        <v>30250459</v>
      </c>
      <c r="C595">
        <v>1</v>
      </c>
      <c r="E595" s="110">
        <v>42517</v>
      </c>
      <c r="F595" s="111" t="s">
        <v>295</v>
      </c>
      <c r="G595">
        <v>4.6180000000000003</v>
      </c>
      <c r="H595">
        <v>15.000000000000027</v>
      </c>
      <c r="I595">
        <v>3</v>
      </c>
      <c r="J595">
        <v>74.999999999999972</v>
      </c>
      <c r="K595" s="1" t="e">
        <f>INDEX($P$4:$AM$15,MATCH(MONTH($E595),$O$4:$O$15,0),MATCH(HOUR($F595),$P$3:$AM$3,0))</f>
        <v>#N/A</v>
      </c>
      <c r="L595" t="s">
        <v>257</v>
      </c>
      <c r="M595" s="111"/>
    </row>
    <row r="596" spans="1:13" x14ac:dyDescent="0.25">
      <c r="A596">
        <v>595</v>
      </c>
      <c r="B596">
        <v>30250459</v>
      </c>
      <c r="C596">
        <v>2</v>
      </c>
      <c r="E596" s="110">
        <v>42517</v>
      </c>
      <c r="F596" s="111" t="s">
        <v>217</v>
      </c>
      <c r="G596">
        <v>0.97899999999999998</v>
      </c>
      <c r="H596">
        <v>9.9999999999999645</v>
      </c>
      <c r="I596">
        <v>3</v>
      </c>
      <c r="J596">
        <v>0</v>
      </c>
      <c r="K596" s="1" t="e">
        <f>INDEX($P$4:$AM$15,MATCH(MONTH($E596),$O$4:$O$15,0),MATCH(HOUR($F596),$P$3:$AM$3,0))</f>
        <v>#N/A</v>
      </c>
      <c r="L596" t="s">
        <v>257</v>
      </c>
      <c r="M596" s="111"/>
    </row>
    <row r="597" spans="1:13" x14ac:dyDescent="0.25">
      <c r="A597">
        <v>596</v>
      </c>
      <c r="B597">
        <v>30250459</v>
      </c>
      <c r="C597">
        <v>3</v>
      </c>
      <c r="E597" s="110">
        <v>42517</v>
      </c>
      <c r="F597" s="111" t="s">
        <v>379</v>
      </c>
      <c r="G597">
        <v>2.3660000000000001</v>
      </c>
      <c r="H597">
        <v>5.0000000000000622</v>
      </c>
      <c r="I597">
        <v>3</v>
      </c>
      <c r="J597">
        <v>29.999999999999972</v>
      </c>
      <c r="K597" s="1" t="e">
        <f>INDEX($P$4:$AM$15,MATCH(MONTH($E597),$O$4:$O$15,0),MATCH(HOUR($F597),$P$3:$AM$3,0))</f>
        <v>#N/A</v>
      </c>
      <c r="L597" t="s">
        <v>257</v>
      </c>
      <c r="M597" s="111"/>
    </row>
    <row r="598" spans="1:13" x14ac:dyDescent="0.25">
      <c r="A598">
        <v>597</v>
      </c>
      <c r="B598">
        <v>30250459</v>
      </c>
      <c r="C598">
        <v>4</v>
      </c>
      <c r="E598" s="110">
        <v>42517</v>
      </c>
      <c r="F598" s="111" t="s">
        <v>327</v>
      </c>
      <c r="G598">
        <v>3.0609999999999999</v>
      </c>
      <c r="H598">
        <v>9.9999999999999645</v>
      </c>
      <c r="I598">
        <v>3</v>
      </c>
      <c r="J598">
        <v>10.000000000000044</v>
      </c>
      <c r="K598" s="1" t="e">
        <f>INDEX($P$4:$AM$15,MATCH(MONTH($E598),$O$4:$O$15,0),MATCH(HOUR($F598),$P$3:$AM$3,0))</f>
        <v>#N/A</v>
      </c>
      <c r="L598" t="s">
        <v>257</v>
      </c>
      <c r="M598" s="111"/>
    </row>
    <row r="599" spans="1:13" x14ac:dyDescent="0.25">
      <c r="A599">
        <v>598</v>
      </c>
      <c r="B599">
        <v>30250459</v>
      </c>
      <c r="C599">
        <v>5</v>
      </c>
      <c r="E599" s="110">
        <v>42517</v>
      </c>
      <c r="F599" s="111" t="s">
        <v>478</v>
      </c>
      <c r="G599">
        <v>1.4079999999999999</v>
      </c>
      <c r="H599">
        <v>15.000000000000027</v>
      </c>
      <c r="I599">
        <v>3</v>
      </c>
      <c r="J599">
        <v>109.99999999999993</v>
      </c>
      <c r="K599" s="1" t="e">
        <f>INDEX($P$4:$AM$15,MATCH(MONTH($E599),$O$4:$O$15,0),MATCH(HOUR($F599),$P$3:$AM$3,0))</f>
        <v>#N/A</v>
      </c>
      <c r="L599" t="s">
        <v>257</v>
      </c>
      <c r="M599" s="111"/>
    </row>
    <row r="600" spans="1:13" x14ac:dyDescent="0.25">
      <c r="A600">
        <v>599</v>
      </c>
      <c r="B600">
        <v>30250459</v>
      </c>
      <c r="C600">
        <v>6</v>
      </c>
      <c r="E600" s="110">
        <v>42517</v>
      </c>
      <c r="F600" s="111" t="s">
        <v>341</v>
      </c>
      <c r="G600">
        <v>1.4450000000000001</v>
      </c>
      <c r="H600">
        <v>10.000000000000124</v>
      </c>
      <c r="I600">
        <v>3</v>
      </c>
      <c r="J600">
        <v>4.9999999999998224</v>
      </c>
      <c r="K600" s="1" t="e">
        <f>INDEX($P$4:$AM$15,MATCH(MONTH($E600),$O$4:$O$15,0),MATCH(HOUR($F600),$P$3:$AM$3,0))</f>
        <v>#N/A</v>
      </c>
      <c r="L600" t="s">
        <v>257</v>
      </c>
      <c r="M600" s="111"/>
    </row>
    <row r="601" spans="1:13" x14ac:dyDescent="0.25">
      <c r="A601">
        <v>600</v>
      </c>
      <c r="B601">
        <v>30250459</v>
      </c>
      <c r="C601">
        <v>7</v>
      </c>
      <c r="E601" s="110">
        <v>42517</v>
      </c>
      <c r="F601" s="111" t="s">
        <v>423</v>
      </c>
      <c r="G601">
        <v>2.0299999999999998</v>
      </c>
      <c r="H601">
        <v>10.000000000000124</v>
      </c>
      <c r="I601">
        <v>3</v>
      </c>
      <c r="J601">
        <v>6.9999999999999751</v>
      </c>
      <c r="K601" s="1" t="e">
        <f>INDEX($P$4:$AM$15,MATCH(MONTH($E601),$O$4:$O$15,0),MATCH(HOUR($F601),$P$3:$AM$3,0))</f>
        <v>#N/A</v>
      </c>
      <c r="L601" t="s">
        <v>257</v>
      </c>
      <c r="M601" s="111"/>
    </row>
    <row r="602" spans="1:13" x14ac:dyDescent="0.25">
      <c r="A602">
        <v>601</v>
      </c>
      <c r="B602">
        <v>30250459</v>
      </c>
      <c r="C602">
        <v>8</v>
      </c>
      <c r="E602" s="110">
        <v>42517</v>
      </c>
      <c r="F602" s="111" t="s">
        <v>479</v>
      </c>
      <c r="G602">
        <v>0.28399999999999997</v>
      </c>
      <c r="H602">
        <v>1.9999999999999929</v>
      </c>
      <c r="I602">
        <v>3</v>
      </c>
      <c r="J602">
        <v>1.9999999999999929</v>
      </c>
      <c r="K602" s="1" t="e">
        <f>INDEX($P$4:$AM$15,MATCH(MONTH($E602),$O$4:$O$15,0),MATCH(HOUR($F602),$P$3:$AM$3,0))</f>
        <v>#N/A</v>
      </c>
      <c r="L602" t="s">
        <v>257</v>
      </c>
      <c r="M602" s="111"/>
    </row>
    <row r="603" spans="1:13" x14ac:dyDescent="0.25">
      <c r="A603">
        <v>602</v>
      </c>
      <c r="B603">
        <v>30250459</v>
      </c>
      <c r="C603">
        <v>9</v>
      </c>
      <c r="E603" s="110">
        <v>42517</v>
      </c>
      <c r="F603" s="111" t="s">
        <v>480</v>
      </c>
      <c r="G603">
        <v>0.93300000000000005</v>
      </c>
      <c r="H603">
        <v>8.999999999999968</v>
      </c>
      <c r="I603">
        <v>3</v>
      </c>
      <c r="J603">
        <v>995</v>
      </c>
      <c r="K603" s="1" t="e">
        <f>INDEX($P$4:$AM$15,MATCH(MONTH($E603),$O$4:$O$15,0),MATCH(HOUR($F603),$P$3:$AM$3,0))</f>
        <v>#N/A</v>
      </c>
      <c r="L603" t="s">
        <v>257</v>
      </c>
      <c r="M603" s="111"/>
    </row>
    <row r="604" spans="1:13" x14ac:dyDescent="0.25">
      <c r="A604">
        <v>603</v>
      </c>
      <c r="B604">
        <v>30257686</v>
      </c>
      <c r="C604">
        <v>1</v>
      </c>
      <c r="E604" s="110">
        <v>42518</v>
      </c>
      <c r="F604" s="111" t="s">
        <v>305</v>
      </c>
      <c r="G604">
        <v>6.1509999999999998</v>
      </c>
      <c r="H604">
        <v>9.9999999999999645</v>
      </c>
      <c r="I604">
        <v>4</v>
      </c>
      <c r="J604">
        <v>0.99999999999999645</v>
      </c>
      <c r="K604" s="1" t="e">
        <f>INDEX($P$4:$AM$15,MATCH(MONTH($E604),$O$4:$O$15,0),MATCH(HOUR($F604),$P$3:$AM$3,0))</f>
        <v>#N/A</v>
      </c>
      <c r="L604" t="s">
        <v>218</v>
      </c>
      <c r="M604" s="111"/>
    </row>
    <row r="605" spans="1:13" x14ac:dyDescent="0.25">
      <c r="A605">
        <v>604</v>
      </c>
      <c r="B605">
        <v>30257686</v>
      </c>
      <c r="C605">
        <v>2</v>
      </c>
      <c r="E605" s="110">
        <v>42518</v>
      </c>
      <c r="F605" s="111" t="s">
        <v>481</v>
      </c>
      <c r="G605">
        <v>6.8070000000000004</v>
      </c>
      <c r="H605">
        <v>8.999999999999968</v>
      </c>
      <c r="I605">
        <v>4</v>
      </c>
      <c r="J605">
        <v>415.00000000000006</v>
      </c>
      <c r="K605" s="1" t="e">
        <f>INDEX($P$4:$AM$15,MATCH(MONTH($E605),$O$4:$O$15,0),MATCH(HOUR($F605),$P$3:$AM$3,0))</f>
        <v>#N/A</v>
      </c>
      <c r="L605" t="s">
        <v>218</v>
      </c>
      <c r="M605" s="111"/>
    </row>
    <row r="606" spans="1:13" x14ac:dyDescent="0.25">
      <c r="A606">
        <v>605</v>
      </c>
      <c r="B606">
        <v>30257686</v>
      </c>
      <c r="C606">
        <v>3</v>
      </c>
      <c r="E606" s="110">
        <v>42518</v>
      </c>
      <c r="F606" s="111" t="s">
        <v>382</v>
      </c>
      <c r="G606">
        <v>3.02</v>
      </c>
      <c r="H606">
        <v>4.9999999999999822</v>
      </c>
      <c r="I606">
        <v>4</v>
      </c>
      <c r="J606">
        <v>4.9999999999999822</v>
      </c>
      <c r="K606" s="1" t="e">
        <f>INDEX($P$4:$AM$15,MATCH(MONTH($E606),$O$4:$O$15,0),MATCH(HOUR($F606),$P$3:$AM$3,0))</f>
        <v>#N/A</v>
      </c>
      <c r="L606" t="s">
        <v>218</v>
      </c>
      <c r="M606" s="111"/>
    </row>
    <row r="607" spans="1:13" x14ac:dyDescent="0.25">
      <c r="A607">
        <v>606</v>
      </c>
      <c r="B607">
        <v>30257686</v>
      </c>
      <c r="C607">
        <v>4</v>
      </c>
      <c r="E607" s="110">
        <v>42518</v>
      </c>
      <c r="F607" s="111" t="s">
        <v>438</v>
      </c>
      <c r="G607">
        <v>2.8980000000000001</v>
      </c>
      <c r="H607">
        <v>4.9999999999999822</v>
      </c>
      <c r="I607">
        <v>4</v>
      </c>
      <c r="J607">
        <v>15.000000000000107</v>
      </c>
      <c r="K607" s="1" t="e">
        <f>INDEX($P$4:$AM$15,MATCH(MONTH($E607),$O$4:$O$15,0),MATCH(HOUR($F607),$P$3:$AM$3,0))</f>
        <v>#N/A</v>
      </c>
      <c r="L607" t="s">
        <v>218</v>
      </c>
      <c r="M607" s="111"/>
    </row>
    <row r="608" spans="1:13" x14ac:dyDescent="0.25">
      <c r="A608">
        <v>607</v>
      </c>
      <c r="B608">
        <v>30257686</v>
      </c>
      <c r="C608">
        <v>5</v>
      </c>
      <c r="E608" s="110">
        <v>42518</v>
      </c>
      <c r="F608" s="111" t="s">
        <v>342</v>
      </c>
      <c r="G608">
        <v>3.02</v>
      </c>
      <c r="H608">
        <v>4.9999999999999822</v>
      </c>
      <c r="I608">
        <v>4</v>
      </c>
      <c r="J608">
        <v>4.9999999999999822</v>
      </c>
      <c r="K608" s="1" t="e">
        <f>INDEX($P$4:$AM$15,MATCH(MONTH($E608),$O$4:$O$15,0),MATCH(HOUR($F608),$P$3:$AM$3,0))</f>
        <v>#N/A</v>
      </c>
      <c r="L608" t="s">
        <v>218</v>
      </c>
      <c r="M608" s="111"/>
    </row>
    <row r="609" spans="1:13" x14ac:dyDescent="0.25">
      <c r="A609">
        <v>608</v>
      </c>
      <c r="B609">
        <v>30257686</v>
      </c>
      <c r="C609">
        <v>6</v>
      </c>
      <c r="E609" s="110">
        <v>42518</v>
      </c>
      <c r="F609" s="111" t="s">
        <v>451</v>
      </c>
      <c r="G609">
        <v>2.8980000000000001</v>
      </c>
      <c r="H609">
        <v>4.9999999999999822</v>
      </c>
      <c r="I609">
        <v>4</v>
      </c>
      <c r="J609">
        <v>59.999999999999943</v>
      </c>
      <c r="K609" s="1" t="e">
        <f>INDEX($P$4:$AM$15,MATCH(MONTH($E609),$O$4:$O$15,0),MATCH(HOUR($F609),$P$3:$AM$3,0))</f>
        <v>#N/A</v>
      </c>
      <c r="L609" t="s">
        <v>218</v>
      </c>
      <c r="M609" s="111"/>
    </row>
    <row r="610" spans="1:13" x14ac:dyDescent="0.25">
      <c r="A610">
        <v>609</v>
      </c>
      <c r="B610">
        <v>30257686</v>
      </c>
      <c r="C610">
        <v>7</v>
      </c>
      <c r="E610" s="110">
        <v>42518</v>
      </c>
      <c r="F610" s="111" t="s">
        <v>252</v>
      </c>
      <c r="G610">
        <v>2.4239999999999999</v>
      </c>
      <c r="H610">
        <v>4.9999999999999822</v>
      </c>
      <c r="I610">
        <v>4</v>
      </c>
      <c r="J610">
        <v>50.000000000000142</v>
      </c>
      <c r="K610" s="1" t="e">
        <f>INDEX($P$4:$AM$15,MATCH(MONTH($E610),$O$4:$O$15,0),MATCH(HOUR($F610),$P$3:$AM$3,0))</f>
        <v>#N/A</v>
      </c>
      <c r="L610" t="s">
        <v>218</v>
      </c>
      <c r="M610" s="111"/>
    </row>
    <row r="611" spans="1:13" x14ac:dyDescent="0.25">
      <c r="A611">
        <v>610</v>
      </c>
      <c r="B611">
        <v>30257686</v>
      </c>
      <c r="C611">
        <v>8</v>
      </c>
      <c r="E611" s="110">
        <v>42518</v>
      </c>
      <c r="F611" s="111" t="s">
        <v>271</v>
      </c>
      <c r="G611">
        <v>2.4239999999999999</v>
      </c>
      <c r="H611">
        <v>4.9999999999999822</v>
      </c>
      <c r="I611">
        <v>4</v>
      </c>
      <c r="J611">
        <v>319.99999999999983</v>
      </c>
      <c r="K611" s="1" t="e">
        <f>INDEX($P$4:$AM$15,MATCH(MONTH($E611),$O$4:$O$15,0),MATCH(HOUR($F611),$P$3:$AM$3,0))</f>
        <v>#N/A</v>
      </c>
      <c r="L611" t="s">
        <v>218</v>
      </c>
      <c r="M611" s="111"/>
    </row>
    <row r="612" spans="1:13" x14ac:dyDescent="0.25">
      <c r="A612">
        <v>611</v>
      </c>
      <c r="B612">
        <v>30257686</v>
      </c>
      <c r="C612">
        <v>9</v>
      </c>
      <c r="E612" s="110">
        <v>42518</v>
      </c>
      <c r="F612" s="111" t="s">
        <v>482</v>
      </c>
      <c r="G612">
        <v>6.1509999999999998</v>
      </c>
      <c r="H612">
        <v>10.000000000000124</v>
      </c>
      <c r="I612">
        <v>4</v>
      </c>
      <c r="J612">
        <v>495</v>
      </c>
      <c r="K612" s="1" t="e">
        <f>INDEX($P$4:$AM$15,MATCH(MONTH($E612),$O$4:$O$15,0),MATCH(HOUR($F612),$P$3:$AM$3,0))</f>
        <v>#N/A</v>
      </c>
      <c r="L612" t="s">
        <v>218</v>
      </c>
      <c r="M612" s="111"/>
    </row>
    <row r="613" spans="1:13" x14ac:dyDescent="0.25">
      <c r="A613">
        <v>612</v>
      </c>
      <c r="B613">
        <v>30276148</v>
      </c>
      <c r="C613">
        <v>1</v>
      </c>
      <c r="E613" s="110">
        <v>42519</v>
      </c>
      <c r="F613" s="111" t="s">
        <v>368</v>
      </c>
      <c r="G613">
        <v>9.0389999999999997</v>
      </c>
      <c r="H613">
        <v>20.000000000000007</v>
      </c>
      <c r="I613">
        <v>3</v>
      </c>
      <c r="J613">
        <v>325.00000000000006</v>
      </c>
      <c r="K613" s="1" t="e">
        <f>INDEX($P$4:$AM$15,MATCH(MONTH($E613),$O$4:$O$15,0),MATCH(HOUR($F613),$P$3:$AM$3,0))</f>
        <v>#N/A</v>
      </c>
      <c r="L613" t="s">
        <v>231</v>
      </c>
      <c r="M613" s="111"/>
    </row>
    <row r="614" spans="1:13" x14ac:dyDescent="0.25">
      <c r="A614">
        <v>613</v>
      </c>
      <c r="B614">
        <v>30276148</v>
      </c>
      <c r="C614">
        <v>2</v>
      </c>
      <c r="E614" s="110">
        <v>42519</v>
      </c>
      <c r="F614" s="111" t="s">
        <v>314</v>
      </c>
      <c r="G614">
        <v>0.62</v>
      </c>
      <c r="H614">
        <v>2.9999999999999893</v>
      </c>
      <c r="I614">
        <v>3</v>
      </c>
      <c r="J614">
        <v>4.9999999999999822</v>
      </c>
      <c r="K614" s="1" t="e">
        <f>INDEX($P$4:$AM$15,MATCH(MONTH($E614),$O$4:$O$15,0),MATCH(HOUR($F614),$P$3:$AM$3,0))</f>
        <v>#N/A</v>
      </c>
      <c r="L614" t="s">
        <v>231</v>
      </c>
      <c r="M614" s="111"/>
    </row>
    <row r="615" spans="1:13" x14ac:dyDescent="0.25">
      <c r="A615">
        <v>614</v>
      </c>
      <c r="B615">
        <v>30276148</v>
      </c>
      <c r="C615">
        <v>3</v>
      </c>
      <c r="E615" s="110">
        <v>42519</v>
      </c>
      <c r="F615" s="111" t="s">
        <v>483</v>
      </c>
      <c r="G615">
        <v>51.311</v>
      </c>
      <c r="H615">
        <v>46.999999999999993</v>
      </c>
      <c r="I615">
        <v>3</v>
      </c>
      <c r="J615">
        <v>35.000000000000036</v>
      </c>
      <c r="K615" s="1" t="e">
        <f>INDEX($P$4:$AM$15,MATCH(MONTH($E615),$O$4:$O$15,0),MATCH(HOUR($F615),$P$3:$AM$3,0))</f>
        <v>#N/A</v>
      </c>
      <c r="L615" t="s">
        <v>231</v>
      </c>
      <c r="M615" s="111"/>
    </row>
    <row r="616" spans="1:13" x14ac:dyDescent="0.25">
      <c r="A616">
        <v>615</v>
      </c>
      <c r="B616">
        <v>30276148</v>
      </c>
      <c r="C616">
        <v>4</v>
      </c>
      <c r="E616" s="110">
        <v>42519</v>
      </c>
      <c r="F616" s="111" t="s">
        <v>250</v>
      </c>
      <c r="G616">
        <v>48.715000000000003</v>
      </c>
      <c r="H616">
        <v>49.999999999999986</v>
      </c>
      <c r="I616">
        <v>3</v>
      </c>
      <c r="J616">
        <v>227</v>
      </c>
      <c r="K616" s="1" t="e">
        <f>INDEX($P$4:$AM$15,MATCH(MONTH($E616),$O$4:$O$15,0),MATCH(HOUR($F616),$P$3:$AM$3,0))</f>
        <v>#N/A</v>
      </c>
      <c r="L616" t="s">
        <v>231</v>
      </c>
      <c r="M616" s="111"/>
    </row>
    <row r="617" spans="1:13" x14ac:dyDescent="0.25">
      <c r="A617">
        <v>616</v>
      </c>
      <c r="B617">
        <v>30276148</v>
      </c>
      <c r="C617">
        <v>5</v>
      </c>
      <c r="E617" s="110">
        <v>42519</v>
      </c>
      <c r="F617" s="111" t="s">
        <v>484</v>
      </c>
      <c r="G617">
        <v>10.311</v>
      </c>
      <c r="H617">
        <v>20.999999999999925</v>
      </c>
      <c r="I617">
        <v>3</v>
      </c>
      <c r="J617">
        <v>727</v>
      </c>
      <c r="K617" s="1" t="e">
        <f>INDEX($P$4:$AM$15,MATCH(MONTH($E617),$O$4:$O$15,0),MATCH(HOUR($F617),$P$3:$AM$3,0))</f>
        <v>#N/A</v>
      </c>
      <c r="L617" t="s">
        <v>231</v>
      </c>
      <c r="M617" s="111"/>
    </row>
    <row r="618" spans="1:13" x14ac:dyDescent="0.25">
      <c r="A618">
        <v>617</v>
      </c>
      <c r="B618">
        <v>30276148</v>
      </c>
      <c r="C618">
        <v>1</v>
      </c>
      <c r="E618" s="110">
        <v>42520</v>
      </c>
      <c r="F618" s="111" t="s">
        <v>485</v>
      </c>
      <c r="G618">
        <v>11.087</v>
      </c>
      <c r="H618">
        <v>20.000000000000007</v>
      </c>
      <c r="I618">
        <v>3</v>
      </c>
      <c r="J618">
        <v>665</v>
      </c>
      <c r="K618" s="1" t="e">
        <f>INDEX($P$4:$AM$15,MATCH(MONTH($E618),$O$4:$O$15,0),MATCH(HOUR($F618),$P$3:$AM$3,0))</f>
        <v>#N/A</v>
      </c>
      <c r="L618" t="s">
        <v>231</v>
      </c>
      <c r="M618" s="111"/>
    </row>
    <row r="619" spans="1:13" x14ac:dyDescent="0.25">
      <c r="A619">
        <v>618</v>
      </c>
      <c r="B619">
        <v>30276148</v>
      </c>
      <c r="C619">
        <v>2</v>
      </c>
      <c r="E619" s="110">
        <v>42520</v>
      </c>
      <c r="F619" s="111" t="s">
        <v>300</v>
      </c>
      <c r="G619">
        <v>11.101000000000001</v>
      </c>
      <c r="H619">
        <v>19.999999999999929</v>
      </c>
      <c r="I619">
        <v>3</v>
      </c>
      <c r="J619">
        <v>54.999999999999964</v>
      </c>
      <c r="K619" s="1" t="e">
        <f>INDEX($P$4:$AM$15,MATCH(MONTH($E619),$O$4:$O$15,0),MATCH(HOUR($F619),$P$3:$AM$3,0))</f>
        <v>#N/A</v>
      </c>
      <c r="L619" t="s">
        <v>231</v>
      </c>
      <c r="M619" s="111"/>
    </row>
    <row r="620" spans="1:13" x14ac:dyDescent="0.25">
      <c r="A620">
        <v>619</v>
      </c>
      <c r="B620">
        <v>30276148</v>
      </c>
      <c r="C620">
        <v>3</v>
      </c>
      <c r="E620" s="110">
        <v>42520</v>
      </c>
      <c r="F620" s="111" t="s">
        <v>486</v>
      </c>
      <c r="G620">
        <v>8.4550000000000001</v>
      </c>
      <c r="H620">
        <v>15.000000000000107</v>
      </c>
      <c r="I620">
        <v>3</v>
      </c>
      <c r="J620">
        <v>85.000000000000014</v>
      </c>
      <c r="K620" s="1" t="e">
        <f>INDEX($P$4:$AM$15,MATCH(MONTH($E620),$O$4:$O$15,0),MATCH(HOUR($F620),$P$3:$AM$3,0))</f>
        <v>#N/A</v>
      </c>
      <c r="L620" t="s">
        <v>231</v>
      </c>
      <c r="M620" s="111"/>
    </row>
    <row r="621" spans="1:13" x14ac:dyDescent="0.25">
      <c r="A621">
        <v>620</v>
      </c>
      <c r="B621">
        <v>30276148</v>
      </c>
      <c r="C621">
        <v>4</v>
      </c>
      <c r="E621" s="110">
        <v>42520</v>
      </c>
      <c r="F621" s="111" t="s">
        <v>487</v>
      </c>
      <c r="G621">
        <v>8.4550000000000001</v>
      </c>
      <c r="H621">
        <v>19.999999999999929</v>
      </c>
      <c r="I621">
        <v>3</v>
      </c>
      <c r="J621">
        <v>704.99999999999989</v>
      </c>
      <c r="K621" s="1" t="e">
        <f>INDEX($P$4:$AM$15,MATCH(MONTH($E621),$O$4:$O$15,0),MATCH(HOUR($F621),$P$3:$AM$3,0))</f>
        <v>#N/A</v>
      </c>
      <c r="L621" t="s">
        <v>231</v>
      </c>
      <c r="M621" s="111"/>
    </row>
    <row r="622" spans="1:13" x14ac:dyDescent="0.25">
      <c r="A622">
        <v>621</v>
      </c>
      <c r="B622">
        <v>30277226</v>
      </c>
      <c r="C622">
        <v>1</v>
      </c>
      <c r="E622" s="110">
        <v>42521</v>
      </c>
      <c r="F622" s="111" t="s">
        <v>326</v>
      </c>
      <c r="G622">
        <v>3.3260000000000001</v>
      </c>
      <c r="H622">
        <v>9.9999999999999645</v>
      </c>
      <c r="I622">
        <v>6</v>
      </c>
      <c r="J622">
        <v>65.000000000000085</v>
      </c>
      <c r="K622" s="1" t="e">
        <f>INDEX($P$4:$AM$15,MATCH(MONTH($E622),$O$4:$O$15,0),MATCH(HOUR($F622),$P$3:$AM$3,0))</f>
        <v>#N/A</v>
      </c>
      <c r="L622" t="s">
        <v>257</v>
      </c>
      <c r="M622" s="111"/>
    </row>
    <row r="623" spans="1:13" x14ac:dyDescent="0.25">
      <c r="A623">
        <v>622</v>
      </c>
      <c r="B623">
        <v>30277226</v>
      </c>
      <c r="C623">
        <v>2</v>
      </c>
      <c r="E623" s="110">
        <v>42521</v>
      </c>
      <c r="F623" s="111" t="s">
        <v>388</v>
      </c>
      <c r="G623">
        <v>3.3540000000000001</v>
      </c>
      <c r="H623">
        <v>14.999999999999947</v>
      </c>
      <c r="I623">
        <v>6</v>
      </c>
      <c r="J623">
        <v>26.000000000000068</v>
      </c>
      <c r="K623" s="1" t="e">
        <f>INDEX($P$4:$AM$15,MATCH(MONTH($E623),$O$4:$O$15,0),MATCH(HOUR($F623),$P$3:$AM$3,0))</f>
        <v>#N/A</v>
      </c>
      <c r="L623" t="s">
        <v>257</v>
      </c>
      <c r="M623" s="111"/>
    </row>
    <row r="624" spans="1:13" x14ac:dyDescent="0.25">
      <c r="A624">
        <v>623</v>
      </c>
      <c r="B624">
        <v>30277226</v>
      </c>
      <c r="C624">
        <v>3</v>
      </c>
      <c r="E624" s="110">
        <v>42521</v>
      </c>
      <c r="F624" s="111" t="s">
        <v>488</v>
      </c>
      <c r="G624">
        <v>2.0129999999999999</v>
      </c>
      <c r="H624">
        <v>12.999999999999954</v>
      </c>
      <c r="I624">
        <v>3</v>
      </c>
      <c r="J624">
        <v>5.9999999999999787</v>
      </c>
      <c r="K624" s="1" t="e">
        <f>INDEX($P$4:$AM$15,MATCH(MONTH($E624),$O$4:$O$15,0),MATCH(HOUR($F624),$P$3:$AM$3,0))</f>
        <v>#N/A</v>
      </c>
      <c r="L624" t="s">
        <v>257</v>
      </c>
      <c r="M624" s="111"/>
    </row>
    <row r="625" spans="1:13" x14ac:dyDescent="0.25">
      <c r="A625">
        <v>624</v>
      </c>
      <c r="B625">
        <v>30277226</v>
      </c>
      <c r="C625">
        <v>4</v>
      </c>
      <c r="E625" s="110">
        <v>42521</v>
      </c>
      <c r="F625" s="111" t="s">
        <v>223</v>
      </c>
      <c r="G625">
        <v>5.2889999999999997</v>
      </c>
      <c r="H625">
        <v>11.000000000000041</v>
      </c>
      <c r="I625">
        <v>3</v>
      </c>
      <c r="J625">
        <v>67.000000000000085</v>
      </c>
      <c r="K625" s="1" t="e">
        <f>INDEX($P$4:$AM$15,MATCH(MONTH($E625),$O$4:$O$15,0),MATCH(HOUR($F625),$P$3:$AM$3,0))</f>
        <v>#N/A</v>
      </c>
      <c r="L625" t="s">
        <v>257</v>
      </c>
      <c r="M625" s="111"/>
    </row>
    <row r="626" spans="1:13" x14ac:dyDescent="0.25">
      <c r="A626">
        <v>625</v>
      </c>
      <c r="B626">
        <v>30277226</v>
      </c>
      <c r="C626">
        <v>5</v>
      </c>
      <c r="E626" s="110">
        <v>42521</v>
      </c>
      <c r="F626" s="111" t="s">
        <v>489</v>
      </c>
      <c r="G626">
        <v>3.7530000000000001</v>
      </c>
      <c r="H626">
        <v>11.999999999999957</v>
      </c>
      <c r="I626">
        <v>3</v>
      </c>
      <c r="J626">
        <v>35.000000000000036</v>
      </c>
      <c r="K626" s="1" t="e">
        <f>INDEX($P$4:$AM$15,MATCH(MONTH($E626),$O$4:$O$15,0),MATCH(HOUR($F626),$P$3:$AM$3,0))</f>
        <v>#N/A</v>
      </c>
      <c r="L626" t="s">
        <v>257</v>
      </c>
      <c r="M626" s="111"/>
    </row>
    <row r="627" spans="1:13" x14ac:dyDescent="0.25">
      <c r="A627">
        <v>626</v>
      </c>
      <c r="B627">
        <v>30277226</v>
      </c>
      <c r="C627">
        <v>6</v>
      </c>
      <c r="E627" s="110">
        <v>42521</v>
      </c>
      <c r="F627" s="111" t="s">
        <v>490</v>
      </c>
      <c r="G627">
        <v>8.2620000000000005</v>
      </c>
      <c r="H627">
        <v>19.999999999999929</v>
      </c>
      <c r="I627">
        <v>3</v>
      </c>
      <c r="J627">
        <v>9.9999999999999645</v>
      </c>
      <c r="K627" s="1" t="e">
        <f>INDEX($P$4:$AM$15,MATCH(MONTH($E627),$O$4:$O$15,0),MATCH(HOUR($F627),$P$3:$AM$3,0))</f>
        <v>#N/A</v>
      </c>
      <c r="L627" t="s">
        <v>257</v>
      </c>
      <c r="M627" s="111"/>
    </row>
    <row r="628" spans="1:13" x14ac:dyDescent="0.25">
      <c r="A628">
        <v>627</v>
      </c>
      <c r="B628">
        <v>30277226</v>
      </c>
      <c r="C628">
        <v>7</v>
      </c>
      <c r="E628" s="110">
        <v>42521</v>
      </c>
      <c r="F628" s="111" t="s">
        <v>351</v>
      </c>
      <c r="G628">
        <v>1.7869999999999999</v>
      </c>
      <c r="H628">
        <v>11.000000000000121</v>
      </c>
      <c r="I628">
        <v>3</v>
      </c>
      <c r="J628">
        <v>1099.9999999999998</v>
      </c>
      <c r="K628" s="1" t="e">
        <f>INDEX($P$4:$AM$15,MATCH(MONTH($E628),$O$4:$O$15,0),MATCH(HOUR($F628),$P$3:$AM$3,0))</f>
        <v>#N/A</v>
      </c>
      <c r="L628" t="s">
        <v>257</v>
      </c>
      <c r="M628" s="111"/>
    </row>
    <row r="629" spans="1:13" x14ac:dyDescent="0.25">
      <c r="A629">
        <v>628</v>
      </c>
      <c r="B629">
        <v>30013610</v>
      </c>
      <c r="C629">
        <v>1</v>
      </c>
      <c r="E629" s="110">
        <v>42522</v>
      </c>
      <c r="F629" s="111" t="s">
        <v>273</v>
      </c>
      <c r="G629">
        <v>2.2080000000000002</v>
      </c>
      <c r="H629">
        <v>9.9999999999999645</v>
      </c>
      <c r="I629">
        <v>6</v>
      </c>
      <c r="J629">
        <v>5.0000000000000622</v>
      </c>
      <c r="K629" s="1" t="e">
        <f>INDEX($P$4:$AM$15,MATCH(MONTH($E629),$O$4:$O$15,0),MATCH(HOUR($F629),$P$3:$AM$3,0))</f>
        <v>#N/A</v>
      </c>
      <c r="L629" t="s">
        <v>222</v>
      </c>
      <c r="M629" s="111"/>
    </row>
    <row r="630" spans="1:13" x14ac:dyDescent="0.25">
      <c r="A630">
        <v>629</v>
      </c>
      <c r="B630">
        <v>30013610</v>
      </c>
      <c r="C630">
        <v>2</v>
      </c>
      <c r="E630" s="110">
        <v>42522</v>
      </c>
      <c r="F630" s="111" t="s">
        <v>389</v>
      </c>
      <c r="G630">
        <v>2.2320000000000002</v>
      </c>
      <c r="H630">
        <v>5.0000000000000622</v>
      </c>
      <c r="I630">
        <v>6</v>
      </c>
      <c r="J630">
        <v>84.999999999999943</v>
      </c>
      <c r="K630" s="1" t="e">
        <f>INDEX($P$4:$AM$15,MATCH(MONTH($E630),$O$4:$O$15,0),MATCH(HOUR($F630),$P$3:$AM$3,0))</f>
        <v>#N/A</v>
      </c>
      <c r="L630" t="s">
        <v>222</v>
      </c>
      <c r="M630" s="111"/>
    </row>
    <row r="631" spans="1:13" x14ac:dyDescent="0.25">
      <c r="A631">
        <v>630</v>
      </c>
      <c r="B631">
        <v>30013610</v>
      </c>
      <c r="C631">
        <v>3</v>
      </c>
      <c r="E631" s="110">
        <v>42522</v>
      </c>
      <c r="F631" s="111" t="s">
        <v>311</v>
      </c>
      <c r="G631">
        <v>12.265000000000001</v>
      </c>
      <c r="H631">
        <v>24.999999999999993</v>
      </c>
      <c r="I631">
        <v>6</v>
      </c>
      <c r="J631">
        <v>140.00000000000006</v>
      </c>
      <c r="K631" s="1" t="e">
        <f>INDEX($P$4:$AM$15,MATCH(MONTH($E631),$O$4:$O$15,0),MATCH(HOUR($F631),$P$3:$AM$3,0))</f>
        <v>#N/A</v>
      </c>
      <c r="L631" t="s">
        <v>222</v>
      </c>
      <c r="M631" s="111"/>
    </row>
    <row r="632" spans="1:13" x14ac:dyDescent="0.25">
      <c r="A632">
        <v>631</v>
      </c>
      <c r="B632">
        <v>30013610</v>
      </c>
      <c r="C632">
        <v>4</v>
      </c>
      <c r="E632" s="110">
        <v>42522</v>
      </c>
      <c r="F632" s="111" t="s">
        <v>314</v>
      </c>
      <c r="G632">
        <v>11.445</v>
      </c>
      <c r="H632">
        <v>19.999999999999929</v>
      </c>
      <c r="I632">
        <v>6</v>
      </c>
      <c r="J632">
        <v>25.000000000000071</v>
      </c>
      <c r="K632" s="1" t="e">
        <f>INDEX($P$4:$AM$15,MATCH(MONTH($E632),$O$4:$O$15,0),MATCH(HOUR($F632),$P$3:$AM$3,0))</f>
        <v>#N/A</v>
      </c>
      <c r="L632" t="s">
        <v>222</v>
      </c>
      <c r="M632" s="111"/>
    </row>
    <row r="633" spans="1:13" x14ac:dyDescent="0.25">
      <c r="A633">
        <v>632</v>
      </c>
      <c r="B633">
        <v>30013610</v>
      </c>
      <c r="C633">
        <v>5</v>
      </c>
      <c r="E633" s="110">
        <v>42522</v>
      </c>
      <c r="F633" s="111" t="s">
        <v>369</v>
      </c>
      <c r="G633">
        <v>12.076000000000001</v>
      </c>
      <c r="H633">
        <v>19.999999999999929</v>
      </c>
      <c r="I633">
        <v>6</v>
      </c>
      <c r="J633">
        <v>1180</v>
      </c>
      <c r="K633" s="1" t="e">
        <f>INDEX($P$4:$AM$15,MATCH(MONTH($E633),$O$4:$O$15,0),MATCH(HOUR($F633),$P$3:$AM$3,0))</f>
        <v>#N/A</v>
      </c>
      <c r="L633" t="s">
        <v>222</v>
      </c>
      <c r="M633" s="111"/>
    </row>
    <row r="634" spans="1:13" x14ac:dyDescent="0.25">
      <c r="A634">
        <v>633</v>
      </c>
      <c r="B634">
        <v>30023657</v>
      </c>
      <c r="C634">
        <v>1</v>
      </c>
      <c r="E634" s="110">
        <v>42523</v>
      </c>
      <c r="F634" s="111" t="s">
        <v>287</v>
      </c>
      <c r="G634">
        <v>6.9249999999999998</v>
      </c>
      <c r="H634">
        <v>14.999999999999947</v>
      </c>
      <c r="I634">
        <v>3</v>
      </c>
      <c r="J634">
        <v>338</v>
      </c>
      <c r="K634" s="1" t="e">
        <f>INDEX($P$4:$AM$15,MATCH(MONTH($E634),$O$4:$O$15,0),MATCH(HOUR($F634),$P$3:$AM$3,0))</f>
        <v>#N/A</v>
      </c>
      <c r="L634" t="s">
        <v>231</v>
      </c>
      <c r="M634" s="111"/>
    </row>
    <row r="635" spans="1:13" x14ac:dyDescent="0.25">
      <c r="A635">
        <v>634</v>
      </c>
      <c r="B635">
        <v>30023657</v>
      </c>
      <c r="C635">
        <v>2</v>
      </c>
      <c r="E635" s="110">
        <v>42523</v>
      </c>
      <c r="F635" s="111" t="s">
        <v>366</v>
      </c>
      <c r="G635">
        <v>0.92100000000000004</v>
      </c>
      <c r="H635">
        <v>12.000000000000117</v>
      </c>
      <c r="I635">
        <v>3</v>
      </c>
      <c r="J635">
        <v>9.9999999999999645</v>
      </c>
      <c r="K635" s="1" t="e">
        <f>INDEX($P$4:$AM$15,MATCH(MONTH($E635),$O$4:$O$15,0),MATCH(HOUR($F635),$P$3:$AM$3,0))</f>
        <v>#N/A</v>
      </c>
      <c r="L635" t="s">
        <v>231</v>
      </c>
      <c r="M635" s="111"/>
    </row>
    <row r="636" spans="1:13" x14ac:dyDescent="0.25">
      <c r="A636">
        <v>635</v>
      </c>
      <c r="B636">
        <v>30023657</v>
      </c>
      <c r="C636">
        <v>3</v>
      </c>
      <c r="E636" s="110">
        <v>42523</v>
      </c>
      <c r="F636" s="111" t="s">
        <v>235</v>
      </c>
      <c r="G636">
        <v>4.843</v>
      </c>
      <c r="H636">
        <v>14.999999999999947</v>
      </c>
      <c r="I636">
        <v>3</v>
      </c>
      <c r="J636">
        <v>75.000000000000057</v>
      </c>
      <c r="K636" s="1" t="e">
        <f>INDEX($P$4:$AM$15,MATCH(MONTH($E636),$O$4:$O$15,0),MATCH(HOUR($F636),$P$3:$AM$3,0))</f>
        <v>#N/A</v>
      </c>
      <c r="L636" t="s">
        <v>231</v>
      </c>
      <c r="M636" s="111"/>
    </row>
    <row r="637" spans="1:13" x14ac:dyDescent="0.25">
      <c r="A637">
        <v>636</v>
      </c>
      <c r="B637">
        <v>30023657</v>
      </c>
      <c r="C637">
        <v>4</v>
      </c>
      <c r="E637" s="110">
        <v>42523</v>
      </c>
      <c r="F637" s="111" t="s">
        <v>229</v>
      </c>
      <c r="G637">
        <v>3.8780000000000001</v>
      </c>
      <c r="H637">
        <v>9.9999999999999645</v>
      </c>
      <c r="I637">
        <v>3</v>
      </c>
      <c r="J637">
        <v>830</v>
      </c>
      <c r="K637" s="1" t="e">
        <f>INDEX($P$4:$AM$15,MATCH(MONTH($E637),$O$4:$O$15,0),MATCH(HOUR($F637),$P$3:$AM$3,0))</f>
        <v>#N/A</v>
      </c>
      <c r="L637" t="s">
        <v>231</v>
      </c>
      <c r="M637" s="111"/>
    </row>
    <row r="638" spans="1:13" x14ac:dyDescent="0.25">
      <c r="A638">
        <v>637</v>
      </c>
      <c r="B638">
        <v>30027010</v>
      </c>
      <c r="C638">
        <v>1</v>
      </c>
      <c r="E638" s="110">
        <v>42524</v>
      </c>
      <c r="F638" s="111" t="s">
        <v>305</v>
      </c>
      <c r="G638">
        <v>1.5449999999999999</v>
      </c>
      <c r="H638">
        <v>14.999999999999947</v>
      </c>
      <c r="I638">
        <v>3</v>
      </c>
      <c r="J638">
        <v>114.99999999999999</v>
      </c>
      <c r="K638" s="1" t="e">
        <f>INDEX($P$4:$AM$15,MATCH(MONTH($E638),$O$4:$O$15,0),MATCH(HOUR($F638),$P$3:$AM$3,0))</f>
        <v>#N/A</v>
      </c>
      <c r="L638" t="s">
        <v>257</v>
      </c>
      <c r="M638" s="111"/>
    </row>
    <row r="639" spans="1:13" x14ac:dyDescent="0.25">
      <c r="A639">
        <v>638</v>
      </c>
      <c r="B639">
        <v>30027010</v>
      </c>
      <c r="C639">
        <v>2</v>
      </c>
      <c r="E639" s="110">
        <v>42524</v>
      </c>
      <c r="F639" s="111" t="s">
        <v>354</v>
      </c>
      <c r="G639">
        <v>228.33</v>
      </c>
      <c r="H639">
        <v>335.00000000000011</v>
      </c>
      <c r="I639">
        <v>3</v>
      </c>
      <c r="J639">
        <v>975</v>
      </c>
      <c r="K639" s="1" t="e">
        <f>INDEX($P$4:$AM$15,MATCH(MONTH($E639),$O$4:$O$15,0),MATCH(HOUR($F639),$P$3:$AM$3,0))</f>
        <v>#N/A</v>
      </c>
      <c r="L639" t="s">
        <v>257</v>
      </c>
      <c r="M639" s="111"/>
    </row>
    <row r="640" spans="1:13" x14ac:dyDescent="0.25">
      <c r="A640">
        <v>639</v>
      </c>
      <c r="B640">
        <v>30027010</v>
      </c>
      <c r="C640">
        <v>1</v>
      </c>
      <c r="E640" s="110">
        <v>42525</v>
      </c>
      <c r="F640" s="111" t="s">
        <v>305</v>
      </c>
      <c r="G640">
        <v>16.326000000000001</v>
      </c>
      <c r="H640">
        <v>14.999999999999947</v>
      </c>
      <c r="I640">
        <v>6</v>
      </c>
      <c r="J640">
        <v>0.99999999999999645</v>
      </c>
      <c r="K640" s="1" t="e">
        <f>INDEX($P$4:$AM$15,MATCH(MONTH($E640),$O$4:$O$15,0),MATCH(HOUR($F640),$P$3:$AM$3,0))</f>
        <v>#N/A</v>
      </c>
      <c r="L640" t="s">
        <v>257</v>
      </c>
      <c r="M640" s="111"/>
    </row>
    <row r="641" spans="1:13" x14ac:dyDescent="0.25">
      <c r="A641">
        <v>640</v>
      </c>
      <c r="B641">
        <v>30027010</v>
      </c>
      <c r="C641">
        <v>2</v>
      </c>
      <c r="E641" s="110">
        <v>42525</v>
      </c>
      <c r="F641" s="111" t="s">
        <v>491</v>
      </c>
      <c r="G641">
        <v>16.193000000000001</v>
      </c>
      <c r="H641">
        <v>12.000000000000037</v>
      </c>
      <c r="I641">
        <v>6</v>
      </c>
      <c r="J641">
        <v>1392</v>
      </c>
      <c r="K641" s="1" t="e">
        <f>INDEX($P$4:$AM$15,MATCH(MONTH($E641),$O$4:$O$15,0),MATCH(HOUR($F641),$P$3:$AM$3,0))</f>
        <v>#N/A</v>
      </c>
      <c r="L641" t="s">
        <v>257</v>
      </c>
      <c r="M641" s="111"/>
    </row>
    <row r="642" spans="1:13" x14ac:dyDescent="0.25">
      <c r="A642">
        <v>641</v>
      </c>
      <c r="B642">
        <v>30028473</v>
      </c>
      <c r="C642">
        <v>1</v>
      </c>
      <c r="E642" s="110">
        <v>42526</v>
      </c>
      <c r="F642" s="111" t="s">
        <v>425</v>
      </c>
      <c r="G642">
        <v>11.749000000000001</v>
      </c>
      <c r="H642">
        <v>20.000000000000007</v>
      </c>
      <c r="I642">
        <v>4</v>
      </c>
      <c r="J642">
        <v>449.99999999999989</v>
      </c>
      <c r="K642" s="1" t="e">
        <f>INDEX($P$4:$AM$15,MATCH(MONTH($E642),$O$4:$O$15,0),MATCH(HOUR($F642),$P$3:$AM$3,0))</f>
        <v>#N/A</v>
      </c>
      <c r="L642" t="s">
        <v>218</v>
      </c>
      <c r="M642" s="111"/>
    </row>
    <row r="643" spans="1:13" x14ac:dyDescent="0.25">
      <c r="A643">
        <v>642</v>
      </c>
      <c r="B643">
        <v>30028473</v>
      </c>
      <c r="C643">
        <v>2</v>
      </c>
      <c r="E643" s="110">
        <v>42526</v>
      </c>
      <c r="F643" s="111" t="s">
        <v>294</v>
      </c>
      <c r="G643">
        <v>11.782999999999999</v>
      </c>
      <c r="H643">
        <v>30.000000000000053</v>
      </c>
      <c r="I643">
        <v>4</v>
      </c>
      <c r="J643">
        <v>14.999999999999947</v>
      </c>
      <c r="K643" s="1" t="e">
        <f>INDEX($P$4:$AM$15,MATCH(MONTH($E643),$O$4:$O$15,0),MATCH(HOUR($F643),$P$3:$AM$3,0))</f>
        <v>#N/A</v>
      </c>
      <c r="L643" t="s">
        <v>218</v>
      </c>
      <c r="M643" s="111"/>
    </row>
    <row r="644" spans="1:13" x14ac:dyDescent="0.25">
      <c r="A644">
        <v>643</v>
      </c>
      <c r="B644">
        <v>30028473</v>
      </c>
      <c r="C644">
        <v>3</v>
      </c>
      <c r="E644" s="110">
        <v>42526</v>
      </c>
      <c r="F644" s="111" t="s">
        <v>268</v>
      </c>
      <c r="G644">
        <v>4.2549999999999999</v>
      </c>
      <c r="H644">
        <v>9.9999999999999645</v>
      </c>
      <c r="I644">
        <v>4</v>
      </c>
      <c r="J644">
        <v>35.000000000000036</v>
      </c>
      <c r="K644" s="1" t="e">
        <f>INDEX($P$4:$AM$15,MATCH(MONTH($E644),$O$4:$O$15,0),MATCH(HOUR($F644),$P$3:$AM$3,0))</f>
        <v>#N/A</v>
      </c>
      <c r="L644" t="s">
        <v>218</v>
      </c>
      <c r="M644" s="111"/>
    </row>
    <row r="645" spans="1:13" x14ac:dyDescent="0.25">
      <c r="A645">
        <v>644</v>
      </c>
      <c r="B645">
        <v>30028473</v>
      </c>
      <c r="C645">
        <v>4</v>
      </c>
      <c r="E645" s="110">
        <v>42526</v>
      </c>
      <c r="F645" s="111" t="s">
        <v>252</v>
      </c>
      <c r="G645">
        <v>4.2450000000000001</v>
      </c>
      <c r="H645">
        <v>10.000000000000124</v>
      </c>
      <c r="I645">
        <v>4</v>
      </c>
      <c r="J645">
        <v>49.999999999999986</v>
      </c>
      <c r="K645" s="1" t="e">
        <f>INDEX($P$4:$AM$15,MATCH(MONTH($E645),$O$4:$O$15,0),MATCH(HOUR($F645),$P$3:$AM$3,0))</f>
        <v>#N/A</v>
      </c>
      <c r="L645" t="s">
        <v>218</v>
      </c>
      <c r="M645" s="111"/>
    </row>
    <row r="646" spans="1:13" x14ac:dyDescent="0.25">
      <c r="A646">
        <v>645</v>
      </c>
      <c r="B646">
        <v>30028473</v>
      </c>
      <c r="C646">
        <v>5</v>
      </c>
      <c r="E646" s="110">
        <v>42526</v>
      </c>
      <c r="F646" s="111" t="s">
        <v>229</v>
      </c>
      <c r="G646">
        <v>11.749000000000001</v>
      </c>
      <c r="H646">
        <v>19.999999999999929</v>
      </c>
      <c r="I646">
        <v>4</v>
      </c>
      <c r="J646">
        <v>115.00000000000007</v>
      </c>
      <c r="K646" s="1" t="e">
        <f>INDEX($P$4:$AM$15,MATCH(MONTH($E646),$O$4:$O$15,0),MATCH(HOUR($F646),$P$3:$AM$3,0))</f>
        <v>#N/A</v>
      </c>
      <c r="L646" t="s">
        <v>218</v>
      </c>
      <c r="M646" s="111"/>
    </row>
    <row r="647" spans="1:13" x14ac:dyDescent="0.25">
      <c r="A647">
        <v>646</v>
      </c>
      <c r="B647">
        <v>30028473</v>
      </c>
      <c r="C647">
        <v>6</v>
      </c>
      <c r="E647" s="110">
        <v>42526</v>
      </c>
      <c r="F647" s="111" t="s">
        <v>415</v>
      </c>
      <c r="G647">
        <v>11.782999999999999</v>
      </c>
      <c r="H647">
        <v>19.999999999999929</v>
      </c>
      <c r="I647">
        <v>4</v>
      </c>
      <c r="J647">
        <v>925</v>
      </c>
      <c r="K647" s="1" t="e">
        <f>INDEX($P$4:$AM$15,MATCH(MONTH($E647),$O$4:$O$15,0),MATCH(HOUR($F647),$P$3:$AM$3,0))</f>
        <v>#N/A</v>
      </c>
      <c r="L647" t="s">
        <v>218</v>
      </c>
      <c r="M647" s="111"/>
    </row>
    <row r="648" spans="1:13" x14ac:dyDescent="0.25">
      <c r="A648">
        <v>647</v>
      </c>
      <c r="B648">
        <v>30035072</v>
      </c>
      <c r="C648">
        <v>1</v>
      </c>
      <c r="E648" s="110">
        <v>42527</v>
      </c>
      <c r="F648" s="111" t="s">
        <v>221</v>
      </c>
      <c r="G648">
        <v>1.7829999999999999</v>
      </c>
      <c r="H648">
        <v>9.9999999999999645</v>
      </c>
      <c r="I648">
        <v>5</v>
      </c>
      <c r="J648">
        <v>20.000000000000089</v>
      </c>
      <c r="K648" s="1" t="e">
        <f>INDEX($P$4:$AM$15,MATCH(MONTH($E648),$O$4:$O$15,0),MATCH(HOUR($F648),$P$3:$AM$3,0))</f>
        <v>#N/A</v>
      </c>
      <c r="L648" t="s">
        <v>257</v>
      </c>
      <c r="M648" s="111"/>
    </row>
    <row r="649" spans="1:13" x14ac:dyDescent="0.25">
      <c r="A649">
        <v>648</v>
      </c>
      <c r="B649">
        <v>30035072</v>
      </c>
      <c r="C649">
        <v>2</v>
      </c>
      <c r="E649" s="110">
        <v>42527</v>
      </c>
      <c r="F649" s="111" t="s">
        <v>262</v>
      </c>
      <c r="G649">
        <v>0.69899999999999995</v>
      </c>
      <c r="H649">
        <v>4.9999999999999822</v>
      </c>
      <c r="I649">
        <v>5</v>
      </c>
      <c r="J649">
        <v>15.000000000000027</v>
      </c>
      <c r="K649" s="1" t="e">
        <f>INDEX($P$4:$AM$15,MATCH(MONTH($E649),$O$4:$O$15,0),MATCH(HOUR($F649),$P$3:$AM$3,0))</f>
        <v>#N/A</v>
      </c>
      <c r="L649" t="s">
        <v>257</v>
      </c>
      <c r="M649" s="111"/>
    </row>
    <row r="650" spans="1:13" x14ac:dyDescent="0.25">
      <c r="A650">
        <v>649</v>
      </c>
      <c r="B650">
        <v>30035072</v>
      </c>
      <c r="C650">
        <v>3</v>
      </c>
      <c r="E650" s="110">
        <v>42527</v>
      </c>
      <c r="F650" s="111" t="s">
        <v>298</v>
      </c>
      <c r="G650">
        <v>0.309</v>
      </c>
      <c r="H650">
        <v>8.9999999999998881</v>
      </c>
      <c r="I650">
        <v>5</v>
      </c>
      <c r="J650">
        <v>21.000000000000163</v>
      </c>
      <c r="K650" s="1" t="e">
        <f>INDEX($P$4:$AM$15,MATCH(MONTH($E650),$O$4:$O$15,0),MATCH(HOUR($F650),$P$3:$AM$3,0))</f>
        <v>#N/A</v>
      </c>
      <c r="L650" t="s">
        <v>257</v>
      </c>
      <c r="M650" s="111"/>
    </row>
    <row r="651" spans="1:13" x14ac:dyDescent="0.25">
      <c r="A651">
        <v>650</v>
      </c>
      <c r="B651">
        <v>30035072</v>
      </c>
      <c r="C651">
        <v>4</v>
      </c>
      <c r="E651" s="110">
        <v>42527</v>
      </c>
      <c r="F651" s="111" t="s">
        <v>355</v>
      </c>
      <c r="G651">
        <v>2.8570000000000002</v>
      </c>
      <c r="H651">
        <v>9.9999999999999645</v>
      </c>
      <c r="I651">
        <v>5</v>
      </c>
      <c r="J651">
        <v>180</v>
      </c>
      <c r="K651" s="1" t="e">
        <f>INDEX($P$4:$AM$15,MATCH(MONTH($E651),$O$4:$O$15,0),MATCH(HOUR($F651),$P$3:$AM$3,0))</f>
        <v>#N/A</v>
      </c>
      <c r="L651" t="s">
        <v>257</v>
      </c>
      <c r="M651" s="111"/>
    </row>
    <row r="652" spans="1:13" x14ac:dyDescent="0.25">
      <c r="A652">
        <v>651</v>
      </c>
      <c r="B652">
        <v>30035072</v>
      </c>
      <c r="C652">
        <v>5</v>
      </c>
      <c r="E652" s="110">
        <v>42527</v>
      </c>
      <c r="F652" s="111" t="s">
        <v>235</v>
      </c>
      <c r="G652">
        <v>6.641</v>
      </c>
      <c r="H652">
        <v>19.999999999999929</v>
      </c>
      <c r="I652">
        <v>5</v>
      </c>
      <c r="J652">
        <v>20.000000000000089</v>
      </c>
      <c r="K652" s="1" t="e">
        <f>INDEX($P$4:$AM$15,MATCH(MONTH($E652),$O$4:$O$15,0),MATCH(HOUR($F652),$P$3:$AM$3,0))</f>
        <v>#N/A</v>
      </c>
      <c r="L652" t="s">
        <v>257</v>
      </c>
      <c r="M652" s="111"/>
    </row>
    <row r="653" spans="1:13" x14ac:dyDescent="0.25">
      <c r="A653">
        <v>652</v>
      </c>
      <c r="B653">
        <v>30035072</v>
      </c>
      <c r="C653">
        <v>6</v>
      </c>
      <c r="E653" s="110">
        <v>42527</v>
      </c>
      <c r="F653" s="111" t="s">
        <v>376</v>
      </c>
      <c r="G653">
        <v>0.34499999999999997</v>
      </c>
      <c r="H653">
        <v>4.9999999999999822</v>
      </c>
      <c r="I653">
        <v>5</v>
      </c>
      <c r="J653">
        <v>29.999999999999893</v>
      </c>
      <c r="K653" s="1" t="e">
        <f>INDEX($P$4:$AM$15,MATCH(MONTH($E653),$O$4:$O$15,0),MATCH(HOUR($F653),$P$3:$AM$3,0))</f>
        <v>#N/A</v>
      </c>
      <c r="L653" t="s">
        <v>257</v>
      </c>
      <c r="M653" s="111"/>
    </row>
    <row r="654" spans="1:13" x14ac:dyDescent="0.25">
      <c r="A654">
        <v>653</v>
      </c>
      <c r="B654">
        <v>30035072</v>
      </c>
      <c r="C654">
        <v>7</v>
      </c>
      <c r="E654" s="110">
        <v>42527</v>
      </c>
      <c r="F654" s="111" t="s">
        <v>317</v>
      </c>
      <c r="G654">
        <v>0.249</v>
      </c>
      <c r="H654">
        <v>10.000000000000124</v>
      </c>
      <c r="I654">
        <v>5</v>
      </c>
      <c r="J654">
        <v>19.999999999999929</v>
      </c>
      <c r="K654" s="1" t="e">
        <f>INDEX($P$4:$AM$15,MATCH(MONTH($E654),$O$4:$O$15,0),MATCH(HOUR($F654),$P$3:$AM$3,0))</f>
        <v>#N/A</v>
      </c>
      <c r="L654" t="s">
        <v>257</v>
      </c>
      <c r="M654" s="111"/>
    </row>
    <row r="655" spans="1:13" x14ac:dyDescent="0.25">
      <c r="A655">
        <v>654</v>
      </c>
      <c r="B655">
        <v>30035072</v>
      </c>
      <c r="C655">
        <v>8</v>
      </c>
      <c r="E655" s="110">
        <v>42527</v>
      </c>
      <c r="F655" s="111" t="s">
        <v>241</v>
      </c>
      <c r="G655">
        <v>5.7839999999999998</v>
      </c>
      <c r="H655">
        <v>19.999999999999929</v>
      </c>
      <c r="I655">
        <v>5</v>
      </c>
      <c r="J655">
        <v>1105</v>
      </c>
      <c r="K655" s="1" t="e">
        <f>INDEX($P$4:$AM$15,MATCH(MONTH($E655),$O$4:$O$15,0),MATCH(HOUR($F655),$P$3:$AM$3,0))</f>
        <v>#N/A</v>
      </c>
      <c r="L655" t="s">
        <v>257</v>
      </c>
      <c r="M655" s="111"/>
    </row>
    <row r="656" spans="1:13" x14ac:dyDescent="0.25">
      <c r="A656">
        <v>655</v>
      </c>
      <c r="B656">
        <v>30040741</v>
      </c>
      <c r="C656">
        <v>1</v>
      </c>
      <c r="E656" s="110">
        <v>42528</v>
      </c>
      <c r="F656" s="111" t="s">
        <v>318</v>
      </c>
      <c r="G656">
        <v>10.842000000000001</v>
      </c>
      <c r="H656">
        <v>30.000000000000053</v>
      </c>
      <c r="I656">
        <v>3</v>
      </c>
      <c r="J656">
        <v>59.999999999999943</v>
      </c>
      <c r="K656" s="1" t="e">
        <f>INDEX($P$4:$AM$15,MATCH(MONTH($E656),$O$4:$O$15,0),MATCH(HOUR($F656),$P$3:$AM$3,0))</f>
        <v>#N/A</v>
      </c>
      <c r="L656" t="s">
        <v>257</v>
      </c>
      <c r="M656" s="111"/>
    </row>
    <row r="657" spans="1:13" x14ac:dyDescent="0.25">
      <c r="A657">
        <v>656</v>
      </c>
      <c r="B657">
        <v>30040741</v>
      </c>
      <c r="C657">
        <v>2</v>
      </c>
      <c r="E657" s="110">
        <v>42528</v>
      </c>
      <c r="F657" s="111" t="s">
        <v>240</v>
      </c>
      <c r="G657">
        <v>0.35499999999999998</v>
      </c>
      <c r="H657">
        <v>14.999999999999947</v>
      </c>
      <c r="I657">
        <v>3</v>
      </c>
      <c r="J657">
        <v>9.9999999999999645</v>
      </c>
      <c r="K657" s="1" t="e">
        <f>INDEX($P$4:$AM$15,MATCH(MONTH($E657),$O$4:$O$15,0),MATCH(HOUR($F657),$P$3:$AM$3,0))</f>
        <v>#N/A</v>
      </c>
      <c r="L657" t="s">
        <v>257</v>
      </c>
      <c r="M657" s="111"/>
    </row>
    <row r="658" spans="1:13" x14ac:dyDescent="0.25">
      <c r="A658">
        <v>657</v>
      </c>
      <c r="B658">
        <v>30040741</v>
      </c>
      <c r="C658">
        <v>3</v>
      </c>
      <c r="E658" s="110">
        <v>42528</v>
      </c>
      <c r="F658" s="111" t="s">
        <v>423</v>
      </c>
      <c r="G658">
        <v>11.563000000000001</v>
      </c>
      <c r="H658">
        <v>35.000000000000036</v>
      </c>
      <c r="I658">
        <v>3</v>
      </c>
      <c r="J658">
        <v>900</v>
      </c>
      <c r="K658" s="1" t="e">
        <f>INDEX($P$4:$AM$15,MATCH(MONTH($E658),$O$4:$O$15,0),MATCH(HOUR($F658),$P$3:$AM$3,0))</f>
        <v>#N/A</v>
      </c>
      <c r="L658" t="s">
        <v>257</v>
      </c>
      <c r="M658" s="111"/>
    </row>
    <row r="659" spans="1:13" x14ac:dyDescent="0.25">
      <c r="A659">
        <v>658</v>
      </c>
      <c r="B659">
        <v>30042614</v>
      </c>
      <c r="C659">
        <v>1</v>
      </c>
      <c r="E659" s="110">
        <v>42529</v>
      </c>
      <c r="F659" s="111" t="s">
        <v>293</v>
      </c>
      <c r="G659">
        <v>7.98</v>
      </c>
      <c r="H659">
        <v>15.000000000000027</v>
      </c>
      <c r="I659">
        <v>6</v>
      </c>
      <c r="J659">
        <v>179.99999999999994</v>
      </c>
      <c r="K659" s="1" t="e">
        <f>INDEX($P$4:$AM$15,MATCH(MONTH($E659),$O$4:$O$15,0),MATCH(HOUR($F659),$P$3:$AM$3,0))</f>
        <v>#N/A</v>
      </c>
      <c r="L659" t="s">
        <v>231</v>
      </c>
      <c r="M659" s="111"/>
    </row>
    <row r="660" spans="1:13" x14ac:dyDescent="0.25">
      <c r="A660">
        <v>659</v>
      </c>
      <c r="B660">
        <v>30042614</v>
      </c>
      <c r="C660">
        <v>2</v>
      </c>
      <c r="E660" s="110">
        <v>42529</v>
      </c>
      <c r="F660" s="111" t="s">
        <v>244</v>
      </c>
      <c r="G660">
        <v>1.143</v>
      </c>
      <c r="H660">
        <v>5.0000000000000622</v>
      </c>
      <c r="I660">
        <v>6</v>
      </c>
      <c r="J660">
        <v>4.9999999999999023</v>
      </c>
      <c r="K660" s="1" t="e">
        <f>INDEX($P$4:$AM$15,MATCH(MONTH($E660),$O$4:$O$15,0),MATCH(HOUR($F660),$P$3:$AM$3,0))</f>
        <v>#N/A</v>
      </c>
      <c r="L660" t="s">
        <v>231</v>
      </c>
      <c r="M660" s="111"/>
    </row>
    <row r="661" spans="1:13" x14ac:dyDescent="0.25">
      <c r="A661">
        <v>660</v>
      </c>
      <c r="B661">
        <v>30042614</v>
      </c>
      <c r="C661">
        <v>3</v>
      </c>
      <c r="E661" s="110">
        <v>42529</v>
      </c>
      <c r="F661" s="111" t="s">
        <v>329</v>
      </c>
      <c r="G661">
        <v>1.1339999999999999</v>
      </c>
      <c r="H661">
        <v>10.000000000000124</v>
      </c>
      <c r="I661">
        <v>6</v>
      </c>
      <c r="J661">
        <v>279.99999999999989</v>
      </c>
      <c r="K661" s="1" t="e">
        <f>INDEX($P$4:$AM$15,MATCH(MONTH($E661),$O$4:$O$15,0),MATCH(HOUR($F661),$P$3:$AM$3,0))</f>
        <v>#N/A</v>
      </c>
      <c r="L661" t="s">
        <v>231</v>
      </c>
      <c r="M661" s="111"/>
    </row>
    <row r="662" spans="1:13" x14ac:dyDescent="0.25">
      <c r="A662">
        <v>661</v>
      </c>
      <c r="B662">
        <v>30042614</v>
      </c>
      <c r="C662">
        <v>4</v>
      </c>
      <c r="E662" s="110">
        <v>42529</v>
      </c>
      <c r="F662" s="111" t="s">
        <v>315</v>
      </c>
      <c r="G662">
        <v>7.9889999999999999</v>
      </c>
      <c r="H662">
        <v>15.000000000000107</v>
      </c>
      <c r="I662">
        <v>6</v>
      </c>
      <c r="J662">
        <v>315</v>
      </c>
      <c r="K662" s="1" t="e">
        <f>INDEX($P$4:$AM$15,MATCH(MONTH($E662),$O$4:$O$15,0),MATCH(HOUR($F662),$P$3:$AM$3,0))</f>
        <v>#N/A</v>
      </c>
      <c r="L662" t="s">
        <v>231</v>
      </c>
      <c r="M662" s="111"/>
    </row>
    <row r="663" spans="1:13" x14ac:dyDescent="0.25">
      <c r="A663">
        <v>662</v>
      </c>
      <c r="B663">
        <v>30042614</v>
      </c>
      <c r="C663">
        <v>5</v>
      </c>
      <c r="E663" s="110">
        <v>42529</v>
      </c>
      <c r="F663" s="111" t="s">
        <v>415</v>
      </c>
      <c r="G663">
        <v>4.2560000000000002</v>
      </c>
      <c r="H663">
        <v>14.999999999999947</v>
      </c>
      <c r="I663">
        <v>6</v>
      </c>
      <c r="J663">
        <v>4.9999999999999822</v>
      </c>
      <c r="K663" s="1" t="e">
        <f>INDEX($P$4:$AM$15,MATCH(MONTH($E663),$O$4:$O$15,0),MATCH(HOUR($F663),$P$3:$AM$3,0))</f>
        <v>#N/A</v>
      </c>
      <c r="L663" t="s">
        <v>231</v>
      </c>
      <c r="M663" s="111"/>
    </row>
    <row r="664" spans="1:13" x14ac:dyDescent="0.25">
      <c r="A664">
        <v>663</v>
      </c>
      <c r="B664">
        <v>30042614</v>
      </c>
      <c r="C664">
        <v>6</v>
      </c>
      <c r="E664" s="110">
        <v>42529</v>
      </c>
      <c r="F664" s="111" t="s">
        <v>395</v>
      </c>
      <c r="G664">
        <v>5.28</v>
      </c>
      <c r="H664">
        <v>9.9999999999999645</v>
      </c>
      <c r="I664">
        <v>6</v>
      </c>
      <c r="J664">
        <v>715.00000000000023</v>
      </c>
      <c r="K664" s="1" t="e">
        <f>INDEX($P$4:$AM$15,MATCH(MONTH($E664),$O$4:$O$15,0),MATCH(HOUR($F664),$P$3:$AM$3,0))</f>
        <v>#N/A</v>
      </c>
      <c r="L664" t="s">
        <v>231</v>
      </c>
      <c r="M664" s="111"/>
    </row>
    <row r="665" spans="1:13" x14ac:dyDescent="0.25">
      <c r="A665">
        <v>664</v>
      </c>
      <c r="B665">
        <v>30042614</v>
      </c>
      <c r="C665">
        <v>1</v>
      </c>
      <c r="E665" s="110">
        <v>42530</v>
      </c>
      <c r="F665" s="111" t="s">
        <v>246</v>
      </c>
      <c r="G665">
        <v>2.7839999999999998</v>
      </c>
      <c r="H665">
        <v>4.9999999999999822</v>
      </c>
      <c r="I665">
        <v>3</v>
      </c>
      <c r="J665">
        <v>345</v>
      </c>
      <c r="K665" s="1" t="e">
        <f>INDEX($P$4:$AM$15,MATCH(MONTH($E665),$O$4:$O$15,0),MATCH(HOUR($F665),$P$3:$AM$3,0))</f>
        <v>#N/A</v>
      </c>
      <c r="L665" t="s">
        <v>231</v>
      </c>
      <c r="M665" s="111"/>
    </row>
    <row r="666" spans="1:13" x14ac:dyDescent="0.25">
      <c r="A666">
        <v>665</v>
      </c>
      <c r="B666">
        <v>30042614</v>
      </c>
      <c r="C666">
        <v>2</v>
      </c>
      <c r="E666" s="110">
        <v>42530</v>
      </c>
      <c r="F666" s="111" t="s">
        <v>240</v>
      </c>
      <c r="G666">
        <v>2.7839999999999998</v>
      </c>
      <c r="H666">
        <v>9.9999999999999645</v>
      </c>
      <c r="I666">
        <v>3</v>
      </c>
      <c r="J666">
        <v>49.999999999999986</v>
      </c>
      <c r="K666" s="1" t="e">
        <f>INDEX($P$4:$AM$15,MATCH(MONTH($E666),$O$4:$O$15,0),MATCH(HOUR($F666),$P$3:$AM$3,0))</f>
        <v>#N/A</v>
      </c>
      <c r="L666" t="s">
        <v>231</v>
      </c>
      <c r="M666" s="111"/>
    </row>
    <row r="667" spans="1:13" x14ac:dyDescent="0.25">
      <c r="A667">
        <v>666</v>
      </c>
      <c r="B667">
        <v>30042614</v>
      </c>
      <c r="C667">
        <v>3</v>
      </c>
      <c r="E667" s="110">
        <v>42530</v>
      </c>
      <c r="F667" s="111" t="s">
        <v>294</v>
      </c>
      <c r="G667">
        <v>2.7839999999999998</v>
      </c>
      <c r="H667">
        <v>5.0000000000001421</v>
      </c>
      <c r="I667">
        <v>3</v>
      </c>
      <c r="J667">
        <v>154.99999999999994</v>
      </c>
      <c r="K667" s="1" t="e">
        <f>INDEX($P$4:$AM$15,MATCH(MONTH($E667),$O$4:$O$15,0),MATCH(HOUR($F667),$P$3:$AM$3,0))</f>
        <v>#N/A</v>
      </c>
      <c r="L667" t="s">
        <v>231</v>
      </c>
      <c r="M667" s="111"/>
    </row>
    <row r="668" spans="1:13" x14ac:dyDescent="0.25">
      <c r="A668">
        <v>667</v>
      </c>
      <c r="B668">
        <v>30042614</v>
      </c>
      <c r="C668">
        <v>4</v>
      </c>
      <c r="E668" s="110">
        <v>42530</v>
      </c>
      <c r="F668" s="111" t="s">
        <v>279</v>
      </c>
      <c r="G668">
        <v>2.7839999999999998</v>
      </c>
      <c r="H668">
        <v>9.9999999999999645</v>
      </c>
      <c r="I668">
        <v>3</v>
      </c>
      <c r="J668">
        <v>130.00000000000003</v>
      </c>
      <c r="K668" s="1" t="e">
        <f>INDEX($P$4:$AM$15,MATCH(MONTH($E668),$O$4:$O$15,0),MATCH(HOUR($F668),$P$3:$AM$3,0))</f>
        <v>#N/A</v>
      </c>
      <c r="L668" t="s">
        <v>231</v>
      </c>
      <c r="M668" s="111"/>
    </row>
    <row r="669" spans="1:13" x14ac:dyDescent="0.25">
      <c r="A669">
        <v>668</v>
      </c>
      <c r="B669">
        <v>30042614</v>
      </c>
      <c r="C669">
        <v>5</v>
      </c>
      <c r="E669" s="110">
        <v>42530</v>
      </c>
      <c r="F669" s="111" t="s">
        <v>374</v>
      </c>
      <c r="G669">
        <v>4.2560000000000002</v>
      </c>
      <c r="H669">
        <v>14.999999999999947</v>
      </c>
      <c r="I669">
        <v>3</v>
      </c>
      <c r="J669">
        <v>810.00000000000011</v>
      </c>
      <c r="K669" s="1" t="e">
        <f>INDEX($P$4:$AM$15,MATCH(MONTH($E669),$O$4:$O$15,0),MATCH(HOUR($F669),$P$3:$AM$3,0))</f>
        <v>#N/A</v>
      </c>
      <c r="L669" t="s">
        <v>231</v>
      </c>
      <c r="M669" s="111"/>
    </row>
    <row r="670" spans="1:13" x14ac:dyDescent="0.25">
      <c r="A670">
        <v>669</v>
      </c>
      <c r="B670">
        <v>30045230</v>
      </c>
      <c r="C670">
        <v>1</v>
      </c>
      <c r="E670" s="110">
        <v>42531</v>
      </c>
      <c r="F670" s="111" t="s">
        <v>287</v>
      </c>
      <c r="G670">
        <v>3.0990000000000002</v>
      </c>
      <c r="H670">
        <v>9.9999999999999645</v>
      </c>
      <c r="I670">
        <v>3</v>
      </c>
      <c r="J670">
        <v>4.9999999999999822</v>
      </c>
      <c r="K670" s="1" t="e">
        <f>INDEX($P$4:$AM$15,MATCH(MONTH($E670),$O$4:$O$15,0),MATCH(HOUR($F670),$P$3:$AM$3,0))</f>
        <v>#N/A</v>
      </c>
      <c r="L670" t="s">
        <v>218</v>
      </c>
      <c r="M670" s="111"/>
    </row>
    <row r="671" spans="1:13" x14ac:dyDescent="0.25">
      <c r="A671">
        <v>670</v>
      </c>
      <c r="B671">
        <v>30045230</v>
      </c>
      <c r="C671">
        <v>2</v>
      </c>
      <c r="E671" s="110">
        <v>42531</v>
      </c>
      <c r="F671" s="111" t="s">
        <v>326</v>
      </c>
      <c r="G671">
        <v>2.427</v>
      </c>
      <c r="H671">
        <v>5.0000000000000622</v>
      </c>
      <c r="I671">
        <v>3</v>
      </c>
      <c r="J671">
        <v>34.999999999999957</v>
      </c>
      <c r="K671" s="1" t="e">
        <f>INDEX($P$4:$AM$15,MATCH(MONTH($E671),$O$4:$O$15,0),MATCH(HOUR($F671),$P$3:$AM$3,0))</f>
        <v>#N/A</v>
      </c>
      <c r="L671" t="s">
        <v>218</v>
      </c>
      <c r="M671" s="111"/>
    </row>
    <row r="672" spans="1:13" x14ac:dyDescent="0.25">
      <c r="A672">
        <v>671</v>
      </c>
      <c r="B672">
        <v>30045230</v>
      </c>
      <c r="C672">
        <v>3</v>
      </c>
      <c r="E672" s="110">
        <v>42531</v>
      </c>
      <c r="F672" s="111" t="s">
        <v>297</v>
      </c>
      <c r="G672">
        <v>2.3090000000000002</v>
      </c>
      <c r="H672">
        <v>4.9999999999999822</v>
      </c>
      <c r="I672">
        <v>3</v>
      </c>
      <c r="J672">
        <v>15.000000000000027</v>
      </c>
      <c r="K672" s="1" t="e">
        <f>INDEX($P$4:$AM$15,MATCH(MONTH($E672),$O$4:$O$15,0),MATCH(HOUR($F672),$P$3:$AM$3,0))</f>
        <v>#N/A</v>
      </c>
      <c r="L672" t="s">
        <v>218</v>
      </c>
      <c r="M672" s="111"/>
    </row>
    <row r="673" spans="1:13" x14ac:dyDescent="0.25">
      <c r="A673">
        <v>672</v>
      </c>
      <c r="B673">
        <v>30045230</v>
      </c>
      <c r="C673">
        <v>4</v>
      </c>
      <c r="E673" s="110">
        <v>42531</v>
      </c>
      <c r="F673" s="111" t="s">
        <v>217</v>
      </c>
      <c r="G673">
        <v>3.2170000000000001</v>
      </c>
      <c r="H673">
        <v>9.9999999999999645</v>
      </c>
      <c r="I673">
        <v>3</v>
      </c>
      <c r="J673">
        <v>395.00000000000006</v>
      </c>
      <c r="K673" s="1" t="e">
        <f>INDEX($P$4:$AM$15,MATCH(MONTH($E673),$O$4:$O$15,0),MATCH(HOUR($F673),$P$3:$AM$3,0))</f>
        <v>#N/A</v>
      </c>
      <c r="L673" t="s">
        <v>218</v>
      </c>
      <c r="M673" s="111"/>
    </row>
    <row r="674" spans="1:13" x14ac:dyDescent="0.25">
      <c r="A674">
        <v>673</v>
      </c>
      <c r="B674">
        <v>30045230</v>
      </c>
      <c r="C674">
        <v>5</v>
      </c>
      <c r="E674" s="110">
        <v>42531</v>
      </c>
      <c r="F674" s="111" t="s">
        <v>241</v>
      </c>
      <c r="G674">
        <v>4.9279999999999999</v>
      </c>
      <c r="H674">
        <v>25.000000000000071</v>
      </c>
      <c r="I674">
        <v>3</v>
      </c>
      <c r="J674">
        <v>184.99999999999997</v>
      </c>
      <c r="K674" s="1" t="e">
        <f>INDEX($P$4:$AM$15,MATCH(MONTH($E674),$O$4:$O$15,0),MATCH(HOUR($F674),$P$3:$AM$3,0))</f>
        <v>#N/A</v>
      </c>
      <c r="L674" t="s">
        <v>218</v>
      </c>
      <c r="M674" s="111"/>
    </row>
    <row r="675" spans="1:13" x14ac:dyDescent="0.25">
      <c r="A675">
        <v>674</v>
      </c>
      <c r="B675">
        <v>30045230</v>
      </c>
      <c r="C675">
        <v>6</v>
      </c>
      <c r="E675" s="110">
        <v>42531</v>
      </c>
      <c r="F675" s="111" t="s">
        <v>416</v>
      </c>
      <c r="G675">
        <v>5.2530000000000001</v>
      </c>
      <c r="H675">
        <v>9.9999999999999645</v>
      </c>
      <c r="I675">
        <v>3</v>
      </c>
      <c r="J675">
        <v>724.99999999999989</v>
      </c>
      <c r="K675" s="1" t="e">
        <f>INDEX($P$4:$AM$15,MATCH(MONTH($E675),$O$4:$O$15,0),MATCH(HOUR($F675),$P$3:$AM$3,0))</f>
        <v>#N/A</v>
      </c>
      <c r="L675" t="s">
        <v>218</v>
      </c>
      <c r="M675" s="111"/>
    </row>
    <row r="676" spans="1:13" x14ac:dyDescent="0.25">
      <c r="A676">
        <v>675</v>
      </c>
      <c r="B676">
        <v>30049419</v>
      </c>
      <c r="C676">
        <v>1</v>
      </c>
      <c r="E676" s="110">
        <v>42532</v>
      </c>
      <c r="F676" s="111" t="s">
        <v>295</v>
      </c>
      <c r="G676">
        <v>3.1030000000000002</v>
      </c>
      <c r="H676">
        <v>9.9999999999999645</v>
      </c>
      <c r="I676">
        <v>3</v>
      </c>
      <c r="J676">
        <v>10.000000000000044</v>
      </c>
      <c r="K676" s="1" t="e">
        <f>INDEX($P$4:$AM$15,MATCH(MONTH($E676),$O$4:$O$15,0),MATCH(HOUR($F676),$P$3:$AM$3,0))</f>
        <v>#N/A</v>
      </c>
      <c r="L676" t="s">
        <v>257</v>
      </c>
      <c r="M676" s="111"/>
    </row>
    <row r="677" spans="1:13" x14ac:dyDescent="0.25">
      <c r="A677">
        <v>676</v>
      </c>
      <c r="B677">
        <v>30049419</v>
      </c>
      <c r="C677">
        <v>2</v>
      </c>
      <c r="E677" s="110">
        <v>42532</v>
      </c>
      <c r="F677" s="111" t="s">
        <v>296</v>
      </c>
      <c r="G677">
        <v>0.56999999999999995</v>
      </c>
      <c r="H677">
        <v>4.9999999999999822</v>
      </c>
      <c r="I677">
        <v>3</v>
      </c>
      <c r="J677">
        <v>65.000000000000014</v>
      </c>
      <c r="K677" s="1" t="e">
        <f>INDEX($P$4:$AM$15,MATCH(MONTH($E677),$O$4:$O$15,0),MATCH(HOUR($F677),$P$3:$AM$3,0))</f>
        <v>#N/A</v>
      </c>
      <c r="L677" t="s">
        <v>257</v>
      </c>
      <c r="M677" s="111"/>
    </row>
    <row r="678" spans="1:13" x14ac:dyDescent="0.25">
      <c r="A678">
        <v>677</v>
      </c>
      <c r="B678">
        <v>30049419</v>
      </c>
      <c r="C678">
        <v>3</v>
      </c>
      <c r="E678" s="110">
        <v>42532</v>
      </c>
      <c r="F678" s="111" t="s">
        <v>217</v>
      </c>
      <c r="G678">
        <v>2.9169999999999998</v>
      </c>
      <c r="H678">
        <v>9.9999999999999645</v>
      </c>
      <c r="I678">
        <v>3</v>
      </c>
      <c r="J678">
        <v>35.000000000000036</v>
      </c>
      <c r="K678" s="1" t="e">
        <f>INDEX($P$4:$AM$15,MATCH(MONTH($E678),$O$4:$O$15,0),MATCH(HOUR($F678),$P$3:$AM$3,0))</f>
        <v>#N/A</v>
      </c>
      <c r="L678" t="s">
        <v>257</v>
      </c>
      <c r="M678" s="111"/>
    </row>
    <row r="679" spans="1:13" x14ac:dyDescent="0.25">
      <c r="A679">
        <v>678</v>
      </c>
      <c r="B679">
        <v>30049419</v>
      </c>
      <c r="C679">
        <v>4</v>
      </c>
      <c r="E679" s="110">
        <v>42532</v>
      </c>
      <c r="F679" s="111" t="s">
        <v>327</v>
      </c>
      <c r="G679">
        <v>3.54</v>
      </c>
      <c r="H679">
        <v>9.9999999999999645</v>
      </c>
      <c r="I679">
        <v>3</v>
      </c>
      <c r="J679">
        <v>5.0000000000000622</v>
      </c>
      <c r="K679" s="1" t="e">
        <f>INDEX($P$4:$AM$15,MATCH(MONTH($E679),$O$4:$O$15,0),MATCH(HOUR($F679),$P$3:$AM$3,0))</f>
        <v>#N/A</v>
      </c>
      <c r="L679" t="s">
        <v>257</v>
      </c>
      <c r="M679" s="111"/>
    </row>
    <row r="680" spans="1:13" x14ac:dyDescent="0.25">
      <c r="A680">
        <v>679</v>
      </c>
      <c r="B680">
        <v>30049419</v>
      </c>
      <c r="C680">
        <v>5</v>
      </c>
      <c r="E680" s="110">
        <v>42532</v>
      </c>
      <c r="F680" s="111" t="s">
        <v>262</v>
      </c>
      <c r="G680">
        <v>2.4129999999999998</v>
      </c>
      <c r="H680">
        <v>4.9999999999999822</v>
      </c>
      <c r="I680">
        <v>3</v>
      </c>
      <c r="J680">
        <v>15.000000000000027</v>
      </c>
      <c r="K680" s="1" t="e">
        <f>INDEX($P$4:$AM$15,MATCH(MONTH($E680),$O$4:$O$15,0),MATCH(HOUR($F680),$P$3:$AM$3,0))</f>
        <v>#N/A</v>
      </c>
      <c r="L680" t="s">
        <v>257</v>
      </c>
      <c r="M680" s="111"/>
    </row>
    <row r="681" spans="1:13" x14ac:dyDescent="0.25">
      <c r="A681">
        <v>680</v>
      </c>
      <c r="B681">
        <v>30049419</v>
      </c>
      <c r="C681">
        <v>6</v>
      </c>
      <c r="E681" s="110">
        <v>42532</v>
      </c>
      <c r="F681" s="111" t="s">
        <v>298</v>
      </c>
      <c r="G681">
        <v>1.0900000000000001</v>
      </c>
      <c r="H681">
        <v>4.9999999999999023</v>
      </c>
      <c r="I681">
        <v>3</v>
      </c>
      <c r="J681">
        <v>1145</v>
      </c>
      <c r="K681" s="1" t="e">
        <f>INDEX($P$4:$AM$15,MATCH(MONTH($E681),$O$4:$O$15,0),MATCH(HOUR($F681),$P$3:$AM$3,0))</f>
        <v>#N/A</v>
      </c>
      <c r="L681" t="s">
        <v>257</v>
      </c>
      <c r="M681" s="111"/>
    </row>
    <row r="682" spans="1:13" x14ac:dyDescent="0.25">
      <c r="A682">
        <v>681</v>
      </c>
      <c r="B682">
        <v>30049419</v>
      </c>
      <c r="C682">
        <v>1</v>
      </c>
      <c r="E682" s="110">
        <v>42533</v>
      </c>
      <c r="F682" s="111" t="s">
        <v>305</v>
      </c>
      <c r="G682">
        <v>3.8980000000000001</v>
      </c>
      <c r="H682">
        <v>14.999999999999947</v>
      </c>
      <c r="I682">
        <v>3</v>
      </c>
      <c r="J682">
        <v>630.00000000000011</v>
      </c>
      <c r="K682" s="1" t="e">
        <f>INDEX($P$4:$AM$15,MATCH(MONTH($E682),$O$4:$O$15,0),MATCH(HOUR($F682),$P$3:$AM$3,0))</f>
        <v>#N/A</v>
      </c>
      <c r="L682" t="s">
        <v>257</v>
      </c>
      <c r="M682" s="111"/>
    </row>
    <row r="683" spans="1:13" x14ac:dyDescent="0.25">
      <c r="A683">
        <v>682</v>
      </c>
      <c r="B683">
        <v>30049419</v>
      </c>
      <c r="C683">
        <v>2</v>
      </c>
      <c r="E683" s="110">
        <v>42533</v>
      </c>
      <c r="F683" s="111" t="s">
        <v>281</v>
      </c>
      <c r="G683">
        <v>3.786</v>
      </c>
      <c r="H683">
        <v>14.999999999999947</v>
      </c>
      <c r="I683">
        <v>3</v>
      </c>
      <c r="J683">
        <v>820.00000000000011</v>
      </c>
      <c r="K683" s="1" t="e">
        <f>INDEX($P$4:$AM$15,MATCH(MONTH($E683),$O$4:$O$15,0),MATCH(HOUR($F683),$P$3:$AM$3,0))</f>
        <v>#N/A</v>
      </c>
      <c r="L683" t="s">
        <v>257</v>
      </c>
      <c r="M683" s="111"/>
    </row>
    <row r="684" spans="1:13" x14ac:dyDescent="0.25">
      <c r="A684">
        <v>683</v>
      </c>
      <c r="B684">
        <v>30055298</v>
      </c>
      <c r="C684">
        <v>1</v>
      </c>
      <c r="E684" s="110">
        <v>42534</v>
      </c>
      <c r="F684" s="111" t="s">
        <v>246</v>
      </c>
      <c r="G684">
        <v>4.7110000000000003</v>
      </c>
      <c r="H684">
        <v>14.999999999999947</v>
      </c>
      <c r="I684">
        <v>3</v>
      </c>
      <c r="J684">
        <v>590</v>
      </c>
      <c r="K684" s="1" t="e">
        <f>INDEX($P$4:$AM$15,MATCH(MONTH($E684),$O$4:$O$15,0),MATCH(HOUR($F684),$P$3:$AM$3,0))</f>
        <v>#N/A</v>
      </c>
      <c r="L684" t="s">
        <v>218</v>
      </c>
      <c r="M684" s="111"/>
    </row>
    <row r="685" spans="1:13" x14ac:dyDescent="0.25">
      <c r="A685">
        <v>684</v>
      </c>
      <c r="B685">
        <v>30055298</v>
      </c>
      <c r="C685">
        <v>2</v>
      </c>
      <c r="E685" s="110">
        <v>42534</v>
      </c>
      <c r="F685" s="111" t="s">
        <v>281</v>
      </c>
      <c r="G685">
        <v>3.9769999999999999</v>
      </c>
      <c r="H685">
        <v>14.999999999999947</v>
      </c>
      <c r="I685">
        <v>3</v>
      </c>
      <c r="J685">
        <v>820.00000000000011</v>
      </c>
      <c r="K685" s="1" t="e">
        <f>INDEX($P$4:$AM$15,MATCH(MONTH($E685),$O$4:$O$15,0),MATCH(HOUR($F685),$P$3:$AM$3,0))</f>
        <v>#N/A</v>
      </c>
      <c r="L685" t="s">
        <v>218</v>
      </c>
      <c r="M685" s="111"/>
    </row>
    <row r="686" spans="1:13" x14ac:dyDescent="0.25">
      <c r="A686">
        <v>685</v>
      </c>
      <c r="B686">
        <v>30055298</v>
      </c>
      <c r="C686">
        <v>1</v>
      </c>
      <c r="E686" s="110">
        <v>42535</v>
      </c>
      <c r="F686" s="111" t="s">
        <v>246</v>
      </c>
      <c r="G686">
        <v>3.5150000000000001</v>
      </c>
      <c r="H686">
        <v>9.9999999999999645</v>
      </c>
      <c r="I686">
        <v>4</v>
      </c>
      <c r="J686">
        <v>85.000000000000014</v>
      </c>
      <c r="K686" s="1" t="e">
        <f>INDEX($P$4:$AM$15,MATCH(MONTH($E686),$O$4:$O$15,0),MATCH(HOUR($F686),$P$3:$AM$3,0))</f>
        <v>#N/A</v>
      </c>
      <c r="L686" t="s">
        <v>218</v>
      </c>
      <c r="M686" s="111"/>
    </row>
    <row r="687" spans="1:13" x14ac:dyDescent="0.25">
      <c r="A687">
        <v>686</v>
      </c>
      <c r="B687">
        <v>30055298</v>
      </c>
      <c r="C687">
        <v>2</v>
      </c>
      <c r="E687" s="110">
        <v>42535</v>
      </c>
      <c r="F687" s="111" t="s">
        <v>287</v>
      </c>
      <c r="G687">
        <v>4.0830000000000002</v>
      </c>
      <c r="H687">
        <v>14.999999999999947</v>
      </c>
      <c r="I687">
        <v>4</v>
      </c>
      <c r="J687">
        <v>9.9999999999999645</v>
      </c>
      <c r="K687" s="1" t="e">
        <f>INDEX($P$4:$AM$15,MATCH(MONTH($E687),$O$4:$O$15,0),MATCH(HOUR($F687),$P$3:$AM$3,0))</f>
        <v>#N/A</v>
      </c>
      <c r="L687" t="s">
        <v>218</v>
      </c>
      <c r="M687" s="111"/>
    </row>
    <row r="688" spans="1:13" x14ac:dyDescent="0.25">
      <c r="A688">
        <v>687</v>
      </c>
      <c r="B688">
        <v>30055298</v>
      </c>
      <c r="C688">
        <v>3</v>
      </c>
      <c r="E688" s="110">
        <v>42535</v>
      </c>
      <c r="F688" s="111" t="s">
        <v>266</v>
      </c>
      <c r="G688">
        <v>2.8359999999999999</v>
      </c>
      <c r="H688">
        <v>10.000000000000124</v>
      </c>
      <c r="I688">
        <v>4</v>
      </c>
      <c r="J688">
        <v>19.999999999999929</v>
      </c>
      <c r="K688" s="1" t="e">
        <f>INDEX($P$4:$AM$15,MATCH(MONTH($E688),$O$4:$O$15,0),MATCH(HOUR($F688),$P$3:$AM$3,0))</f>
        <v>#N/A</v>
      </c>
      <c r="L688" t="s">
        <v>218</v>
      </c>
      <c r="M688" s="111"/>
    </row>
    <row r="689" spans="1:13" x14ac:dyDescent="0.25">
      <c r="A689">
        <v>688</v>
      </c>
      <c r="B689">
        <v>30055298</v>
      </c>
      <c r="C689">
        <v>4</v>
      </c>
      <c r="E689" s="110">
        <v>42535</v>
      </c>
      <c r="F689" s="111" t="s">
        <v>297</v>
      </c>
      <c r="G689">
        <v>2.657</v>
      </c>
      <c r="H689">
        <v>10.000000000000044</v>
      </c>
      <c r="I689">
        <v>4</v>
      </c>
      <c r="J689">
        <v>1265</v>
      </c>
      <c r="K689" s="1" t="e">
        <f>INDEX($P$4:$AM$15,MATCH(MONTH($E689),$O$4:$O$15,0),MATCH(HOUR($F689),$P$3:$AM$3,0))</f>
        <v>#N/A</v>
      </c>
      <c r="L689" t="s">
        <v>218</v>
      </c>
      <c r="M689" s="111"/>
    </row>
    <row r="690" spans="1:13" x14ac:dyDescent="0.25">
      <c r="A690">
        <v>689</v>
      </c>
      <c r="B690">
        <v>30055744</v>
      </c>
      <c r="C690">
        <v>1</v>
      </c>
      <c r="E690" s="110">
        <v>42536</v>
      </c>
      <c r="F690" s="111" t="s">
        <v>492</v>
      </c>
      <c r="G690">
        <v>10.58</v>
      </c>
      <c r="H690">
        <v>20.000000000000007</v>
      </c>
      <c r="I690">
        <v>6</v>
      </c>
      <c r="J690">
        <v>555</v>
      </c>
      <c r="K690" s="1" t="e">
        <f>INDEX($P$4:$AM$15,MATCH(MONTH($E690),$O$4:$O$15,0),MATCH(HOUR($F690),$P$3:$AM$3,0))</f>
        <v>#N/A</v>
      </c>
      <c r="L690" t="s">
        <v>222</v>
      </c>
      <c r="M690" s="111"/>
    </row>
    <row r="691" spans="1:13" x14ac:dyDescent="0.25">
      <c r="A691">
        <v>690</v>
      </c>
      <c r="B691">
        <v>30055744</v>
      </c>
      <c r="C691">
        <v>2</v>
      </c>
      <c r="E691" s="110">
        <v>42536</v>
      </c>
      <c r="F691" s="111" t="s">
        <v>229</v>
      </c>
      <c r="G691">
        <v>10.554</v>
      </c>
      <c r="H691">
        <v>26.999999999999904</v>
      </c>
      <c r="I691">
        <v>6</v>
      </c>
      <c r="J691">
        <v>873</v>
      </c>
      <c r="K691" s="1" t="e">
        <f>INDEX($P$4:$AM$15,MATCH(MONTH($E691),$O$4:$O$15,0),MATCH(HOUR($F691),$P$3:$AM$3,0))</f>
        <v>#N/A</v>
      </c>
      <c r="L691" t="s">
        <v>222</v>
      </c>
      <c r="M691" s="111"/>
    </row>
    <row r="692" spans="1:13" x14ac:dyDescent="0.25">
      <c r="A692">
        <v>691</v>
      </c>
      <c r="B692">
        <v>30055744</v>
      </c>
      <c r="C692">
        <v>1</v>
      </c>
      <c r="E692" s="110">
        <v>42537</v>
      </c>
      <c r="F692" s="111" t="s">
        <v>273</v>
      </c>
      <c r="G692">
        <v>5.4539999999999997</v>
      </c>
      <c r="H692">
        <v>9.9999999999999645</v>
      </c>
      <c r="I692">
        <v>4</v>
      </c>
      <c r="J692">
        <v>10.000000000000124</v>
      </c>
      <c r="K692" s="1" t="e">
        <f>INDEX($P$4:$AM$15,MATCH(MONTH($E692),$O$4:$O$15,0),MATCH(HOUR($F692),$P$3:$AM$3,0))</f>
        <v>#N/A</v>
      </c>
      <c r="L692" t="s">
        <v>222</v>
      </c>
      <c r="M692" s="111"/>
    </row>
    <row r="693" spans="1:13" x14ac:dyDescent="0.25">
      <c r="A693">
        <v>692</v>
      </c>
      <c r="B693">
        <v>30055744</v>
      </c>
      <c r="C693">
        <v>2</v>
      </c>
      <c r="E693" s="110">
        <v>42537</v>
      </c>
      <c r="F693" s="111" t="s">
        <v>441</v>
      </c>
      <c r="G693">
        <v>9.2469999999999999</v>
      </c>
      <c r="H693">
        <v>9.9999999999999645</v>
      </c>
      <c r="I693">
        <v>4</v>
      </c>
      <c r="J693">
        <v>1.9999999999999929</v>
      </c>
      <c r="K693" s="1" t="e">
        <f>INDEX($P$4:$AM$15,MATCH(MONTH($E693),$O$4:$O$15,0),MATCH(HOUR($F693),$P$3:$AM$3,0))</f>
        <v>#N/A</v>
      </c>
      <c r="L693" t="s">
        <v>222</v>
      </c>
      <c r="M693" s="111"/>
    </row>
    <row r="694" spans="1:13" x14ac:dyDescent="0.25">
      <c r="A694">
        <v>693</v>
      </c>
      <c r="B694">
        <v>30055744</v>
      </c>
      <c r="C694">
        <v>3</v>
      </c>
      <c r="E694" s="110">
        <v>42537</v>
      </c>
      <c r="F694" s="111" t="s">
        <v>493</v>
      </c>
      <c r="G694">
        <v>0.19600000000000001</v>
      </c>
      <c r="H694">
        <v>0.99999999999999645</v>
      </c>
      <c r="I694">
        <v>4</v>
      </c>
      <c r="J694">
        <v>476.99999999999994</v>
      </c>
      <c r="K694" s="1" t="e">
        <f>INDEX($P$4:$AM$15,MATCH(MONTH($E694),$O$4:$O$15,0),MATCH(HOUR($F694),$P$3:$AM$3,0))</f>
        <v>#N/A</v>
      </c>
      <c r="L694" t="s">
        <v>222</v>
      </c>
      <c r="M694" s="111"/>
    </row>
    <row r="695" spans="1:13" x14ac:dyDescent="0.25">
      <c r="A695">
        <v>694</v>
      </c>
      <c r="B695">
        <v>30055744</v>
      </c>
      <c r="C695">
        <v>4</v>
      </c>
      <c r="E695" s="110">
        <v>42537</v>
      </c>
      <c r="F695" s="111" t="s">
        <v>247</v>
      </c>
      <c r="G695">
        <v>5.0410000000000004</v>
      </c>
      <c r="H695">
        <v>14.999999999999947</v>
      </c>
      <c r="I695">
        <v>4</v>
      </c>
      <c r="J695">
        <v>1000</v>
      </c>
      <c r="K695" s="1" t="e">
        <f>INDEX($P$4:$AM$15,MATCH(MONTH($E695),$O$4:$O$15,0),MATCH(HOUR($F695),$P$3:$AM$3,0))</f>
        <v>#N/A</v>
      </c>
      <c r="L695" t="s">
        <v>222</v>
      </c>
      <c r="M695" s="111"/>
    </row>
    <row r="696" spans="1:13" x14ac:dyDescent="0.25">
      <c r="A696">
        <v>695</v>
      </c>
      <c r="B696">
        <v>30085920</v>
      </c>
      <c r="C696">
        <v>1</v>
      </c>
      <c r="E696" s="110">
        <v>42538</v>
      </c>
      <c r="F696" s="111" t="s">
        <v>467</v>
      </c>
      <c r="G696">
        <v>54.570999999999998</v>
      </c>
      <c r="H696">
        <v>74.999999999999972</v>
      </c>
      <c r="I696">
        <v>5</v>
      </c>
      <c r="J696">
        <v>80.000000000000028</v>
      </c>
      <c r="K696" s="1" t="e">
        <f>INDEX($P$4:$AM$15,MATCH(MONTH($E696),$O$4:$O$15,0),MATCH(HOUR($F696),$P$3:$AM$3,0))</f>
        <v>#N/A</v>
      </c>
      <c r="L696" t="s">
        <v>222</v>
      </c>
      <c r="M696" s="111"/>
    </row>
    <row r="697" spans="1:13" x14ac:dyDescent="0.25">
      <c r="A697">
        <v>696</v>
      </c>
      <c r="B697">
        <v>30085920</v>
      </c>
      <c r="C697">
        <v>2</v>
      </c>
      <c r="E697" s="110">
        <v>42538</v>
      </c>
      <c r="F697" s="111" t="s">
        <v>318</v>
      </c>
      <c r="G697">
        <v>37.808999999999997</v>
      </c>
      <c r="H697">
        <v>90</v>
      </c>
      <c r="I697">
        <v>5</v>
      </c>
      <c r="J697">
        <v>30.000000000000053</v>
      </c>
      <c r="K697" s="1" t="e">
        <f>INDEX($P$4:$AM$15,MATCH(MONTH($E697),$O$4:$O$15,0),MATCH(HOUR($F697),$P$3:$AM$3,0))</f>
        <v>#N/A</v>
      </c>
      <c r="L697" t="s">
        <v>222</v>
      </c>
      <c r="M697" s="111"/>
    </row>
    <row r="698" spans="1:13" x14ac:dyDescent="0.25">
      <c r="A698">
        <v>697</v>
      </c>
      <c r="B698">
        <v>30085920</v>
      </c>
      <c r="C698">
        <v>3</v>
      </c>
      <c r="E698" s="110">
        <v>42538</v>
      </c>
      <c r="F698" s="111" t="s">
        <v>250</v>
      </c>
      <c r="G698">
        <v>2.7370000000000001</v>
      </c>
      <c r="H698">
        <v>14.999999999999947</v>
      </c>
      <c r="I698">
        <v>5</v>
      </c>
      <c r="J698">
        <v>40.000000000000014</v>
      </c>
      <c r="K698" s="1" t="e">
        <f>INDEX($P$4:$AM$15,MATCH(MONTH($E698),$O$4:$O$15,0),MATCH(HOUR($F698),$P$3:$AM$3,0))</f>
        <v>#N/A</v>
      </c>
      <c r="L698" t="s">
        <v>222</v>
      </c>
      <c r="M698" s="111"/>
    </row>
    <row r="699" spans="1:13" x14ac:dyDescent="0.25">
      <c r="A699">
        <v>698</v>
      </c>
      <c r="B699">
        <v>30085920</v>
      </c>
      <c r="C699">
        <v>4</v>
      </c>
      <c r="E699" s="110">
        <v>42538</v>
      </c>
      <c r="F699" s="111" t="s">
        <v>451</v>
      </c>
      <c r="G699">
        <v>15.64</v>
      </c>
      <c r="H699">
        <v>19.999999999999929</v>
      </c>
      <c r="I699">
        <v>5</v>
      </c>
      <c r="J699">
        <v>48.000000000000149</v>
      </c>
      <c r="K699" s="1" t="e">
        <f>INDEX($P$4:$AM$15,MATCH(MONTH($E699),$O$4:$O$15,0),MATCH(HOUR($F699),$P$3:$AM$3,0))</f>
        <v>#N/A</v>
      </c>
      <c r="L699" t="s">
        <v>222</v>
      </c>
      <c r="M699" s="111"/>
    </row>
    <row r="700" spans="1:13" x14ac:dyDescent="0.25">
      <c r="A700">
        <v>699</v>
      </c>
      <c r="B700">
        <v>30085920</v>
      </c>
      <c r="C700">
        <v>5</v>
      </c>
      <c r="E700" s="110">
        <v>42538</v>
      </c>
      <c r="F700" s="111" t="s">
        <v>494</v>
      </c>
      <c r="G700">
        <v>4.1920000000000002</v>
      </c>
      <c r="H700">
        <v>16.99999999999978</v>
      </c>
      <c r="I700">
        <v>5</v>
      </c>
      <c r="J700">
        <v>110.00000000000026</v>
      </c>
      <c r="K700" s="1" t="e">
        <f>INDEX($P$4:$AM$15,MATCH(MONTH($E700),$O$4:$O$15,0),MATCH(HOUR($F700),$P$3:$AM$3,0))</f>
        <v>#N/A</v>
      </c>
      <c r="L700" t="s">
        <v>222</v>
      </c>
      <c r="M700" s="111"/>
    </row>
    <row r="701" spans="1:13" x14ac:dyDescent="0.25">
      <c r="A701">
        <v>700</v>
      </c>
      <c r="B701">
        <v>30085920</v>
      </c>
      <c r="C701">
        <v>6</v>
      </c>
      <c r="E701" s="110">
        <v>42538</v>
      </c>
      <c r="F701" s="111" t="s">
        <v>309</v>
      </c>
      <c r="G701">
        <v>4.5190000000000001</v>
      </c>
      <c r="H701">
        <v>19.999999999999929</v>
      </c>
      <c r="I701">
        <v>5</v>
      </c>
      <c r="J701">
        <v>1235</v>
      </c>
      <c r="K701" s="1" t="e">
        <f>INDEX($P$4:$AM$15,MATCH(MONTH($E701),$O$4:$O$15,0),MATCH(HOUR($F701),$P$3:$AM$3,0))</f>
        <v>#N/A</v>
      </c>
      <c r="L701" t="s">
        <v>222</v>
      </c>
      <c r="M701" s="111"/>
    </row>
    <row r="702" spans="1:13" x14ac:dyDescent="0.25">
      <c r="A702">
        <v>701</v>
      </c>
      <c r="B702">
        <v>30093944</v>
      </c>
      <c r="C702">
        <v>1</v>
      </c>
      <c r="E702" s="110">
        <v>42539</v>
      </c>
      <c r="F702" s="111" t="s">
        <v>426</v>
      </c>
      <c r="G702">
        <v>1.5569999999999999</v>
      </c>
      <c r="H702">
        <v>9.9999999999999645</v>
      </c>
      <c r="I702">
        <v>4</v>
      </c>
      <c r="J702">
        <v>20.000000000000089</v>
      </c>
      <c r="K702" s="1" t="e">
        <f>INDEX($P$4:$AM$15,MATCH(MONTH($E702),$O$4:$O$15,0),MATCH(HOUR($F702),$P$3:$AM$3,0))</f>
        <v>#N/A</v>
      </c>
      <c r="L702" t="s">
        <v>222</v>
      </c>
      <c r="M702" s="111"/>
    </row>
    <row r="703" spans="1:13" x14ac:dyDescent="0.25">
      <c r="A703">
        <v>702</v>
      </c>
      <c r="B703">
        <v>30093944</v>
      </c>
      <c r="C703">
        <v>2</v>
      </c>
      <c r="E703" s="110">
        <v>42539</v>
      </c>
      <c r="F703" s="111" t="s">
        <v>429</v>
      </c>
      <c r="G703">
        <v>1.6919999999999999</v>
      </c>
      <c r="H703">
        <v>9.9999999999999645</v>
      </c>
      <c r="I703">
        <v>4</v>
      </c>
      <c r="J703">
        <v>1145</v>
      </c>
      <c r="K703" s="1" t="e">
        <f>INDEX($P$4:$AM$15,MATCH(MONTH($E703),$O$4:$O$15,0),MATCH(HOUR($F703),$P$3:$AM$3,0))</f>
        <v>#N/A</v>
      </c>
      <c r="L703" t="s">
        <v>222</v>
      </c>
      <c r="M703" s="111"/>
    </row>
    <row r="704" spans="1:13" x14ac:dyDescent="0.25">
      <c r="A704">
        <v>703</v>
      </c>
      <c r="B704">
        <v>30097388</v>
      </c>
      <c r="C704">
        <v>1</v>
      </c>
      <c r="E704" s="110">
        <v>42540</v>
      </c>
      <c r="F704" s="111" t="s">
        <v>417</v>
      </c>
      <c r="G704">
        <v>2.0609999999999999</v>
      </c>
      <c r="H704">
        <v>9.9999999999999645</v>
      </c>
      <c r="I704">
        <v>3</v>
      </c>
      <c r="J704">
        <v>50.000000000000064</v>
      </c>
      <c r="K704" s="1" t="e">
        <f>INDEX($P$4:$AM$15,MATCH(MONTH($E704),$O$4:$O$15,0),MATCH(HOUR($F704),$P$3:$AM$3,0))</f>
        <v>#N/A</v>
      </c>
      <c r="L704" t="s">
        <v>257</v>
      </c>
      <c r="M704" s="111"/>
    </row>
    <row r="705" spans="1:13" x14ac:dyDescent="0.25">
      <c r="A705">
        <v>704</v>
      </c>
      <c r="B705">
        <v>30097388</v>
      </c>
      <c r="C705">
        <v>2</v>
      </c>
      <c r="E705" s="110">
        <v>42540</v>
      </c>
      <c r="F705" s="111" t="s">
        <v>298</v>
      </c>
      <c r="G705">
        <v>1.367</v>
      </c>
      <c r="H705">
        <v>2.9999999999999094</v>
      </c>
      <c r="I705">
        <v>3</v>
      </c>
      <c r="J705">
        <v>7.0000000000000551</v>
      </c>
      <c r="K705" s="1" t="e">
        <f>INDEX($P$4:$AM$15,MATCH(MONTH($E705),$O$4:$O$15,0),MATCH(HOUR($F705),$P$3:$AM$3,0))</f>
        <v>#N/A</v>
      </c>
      <c r="L705" t="s">
        <v>257</v>
      </c>
      <c r="M705" s="111"/>
    </row>
    <row r="706" spans="1:13" x14ac:dyDescent="0.25">
      <c r="A706">
        <v>705</v>
      </c>
      <c r="B706">
        <v>30097388</v>
      </c>
      <c r="C706">
        <v>3</v>
      </c>
      <c r="E706" s="110">
        <v>42540</v>
      </c>
      <c r="F706" s="111" t="s">
        <v>318</v>
      </c>
      <c r="G706">
        <v>2.2280000000000002</v>
      </c>
      <c r="H706">
        <v>14.999999999999947</v>
      </c>
      <c r="I706">
        <v>3</v>
      </c>
      <c r="J706">
        <v>30.000000000000053</v>
      </c>
      <c r="K706" s="1" t="e">
        <f>INDEX($P$4:$AM$15,MATCH(MONTH($E706),$O$4:$O$15,0),MATCH(HOUR($F706),$P$3:$AM$3,0))</f>
        <v>#N/A</v>
      </c>
      <c r="L706" t="s">
        <v>257</v>
      </c>
      <c r="M706" s="111"/>
    </row>
    <row r="707" spans="1:13" x14ac:dyDescent="0.25">
      <c r="A707">
        <v>706</v>
      </c>
      <c r="B707">
        <v>30097388</v>
      </c>
      <c r="C707">
        <v>4</v>
      </c>
      <c r="E707" s="110">
        <v>42540</v>
      </c>
      <c r="F707" s="111" t="s">
        <v>225</v>
      </c>
      <c r="G707">
        <v>3.7749999999999999</v>
      </c>
      <c r="H707">
        <v>14.999999999999947</v>
      </c>
      <c r="I707">
        <v>3</v>
      </c>
      <c r="J707">
        <v>9.9999999999999645</v>
      </c>
      <c r="K707" s="1" t="e">
        <f>INDEX($P$4:$AM$15,MATCH(MONTH($E707),$O$4:$O$15,0),MATCH(HOUR($F707),$P$3:$AM$3,0))</f>
        <v>#N/A</v>
      </c>
      <c r="L707" t="s">
        <v>257</v>
      </c>
      <c r="M707" s="111"/>
    </row>
    <row r="708" spans="1:13" x14ac:dyDescent="0.25">
      <c r="A708">
        <v>707</v>
      </c>
      <c r="B708">
        <v>30097388</v>
      </c>
      <c r="C708">
        <v>5</v>
      </c>
      <c r="E708" s="110">
        <v>42540</v>
      </c>
      <c r="F708" s="111" t="s">
        <v>299</v>
      </c>
      <c r="G708">
        <v>1.2529999999999999</v>
      </c>
      <c r="H708">
        <v>5.0000000000001421</v>
      </c>
      <c r="I708">
        <v>3</v>
      </c>
      <c r="J708">
        <v>394.99999999999989</v>
      </c>
      <c r="K708" s="1" t="e">
        <f>INDEX($P$4:$AM$15,MATCH(MONTH($E708),$O$4:$O$15,0),MATCH(HOUR($F708),$P$3:$AM$3,0))</f>
        <v>#N/A</v>
      </c>
      <c r="L708" t="s">
        <v>257</v>
      </c>
      <c r="M708" s="111"/>
    </row>
    <row r="709" spans="1:13" x14ac:dyDescent="0.25">
      <c r="A709">
        <v>708</v>
      </c>
      <c r="B709">
        <v>30097388</v>
      </c>
      <c r="C709">
        <v>6</v>
      </c>
      <c r="E709" s="110">
        <v>42540</v>
      </c>
      <c r="F709" s="111" t="s">
        <v>495</v>
      </c>
      <c r="G709">
        <v>4.6909999999999998</v>
      </c>
      <c r="H709">
        <v>13.000000000000114</v>
      </c>
      <c r="I709">
        <v>3</v>
      </c>
      <c r="J709">
        <v>31.999999999999886</v>
      </c>
      <c r="K709" s="1" t="e">
        <f>INDEX($P$4:$AM$15,MATCH(MONTH($E709),$O$4:$O$15,0),MATCH(HOUR($F709),$P$3:$AM$3,0))</f>
        <v>#N/A</v>
      </c>
      <c r="L709" t="s">
        <v>257</v>
      </c>
      <c r="M709" s="111"/>
    </row>
    <row r="710" spans="1:13" x14ac:dyDescent="0.25">
      <c r="A710">
        <v>709</v>
      </c>
      <c r="B710">
        <v>30097388</v>
      </c>
      <c r="C710">
        <v>7</v>
      </c>
      <c r="E710" s="110">
        <v>42540</v>
      </c>
      <c r="F710" s="111" t="s">
        <v>411</v>
      </c>
      <c r="G710">
        <v>4.7060000000000004</v>
      </c>
      <c r="H710">
        <v>14.00000000000011</v>
      </c>
      <c r="I710">
        <v>3</v>
      </c>
      <c r="J710">
        <v>710.99999999999989</v>
      </c>
      <c r="K710" s="1" t="e">
        <f>INDEX($P$4:$AM$15,MATCH(MONTH($E710),$O$4:$O$15,0),MATCH(HOUR($F710),$P$3:$AM$3,0))</f>
        <v>#N/A</v>
      </c>
      <c r="L710" t="s">
        <v>257</v>
      </c>
      <c r="M710" s="111"/>
    </row>
    <row r="711" spans="1:13" x14ac:dyDescent="0.25">
      <c r="A711">
        <v>710</v>
      </c>
      <c r="B711">
        <v>30099250</v>
      </c>
      <c r="C711">
        <v>1</v>
      </c>
      <c r="E711" s="110">
        <v>42541</v>
      </c>
      <c r="F711" s="111" t="s">
        <v>496</v>
      </c>
      <c r="G711">
        <v>2.09</v>
      </c>
      <c r="H711">
        <v>8.0000000000000515</v>
      </c>
      <c r="I711">
        <v>6</v>
      </c>
      <c r="J711">
        <v>6.9999999999998952</v>
      </c>
      <c r="K711" s="1" t="e">
        <f>INDEX($P$4:$AM$15,MATCH(MONTH($E711),$O$4:$O$15,0),MATCH(HOUR($F711),$P$3:$AM$3,0))</f>
        <v>#N/A</v>
      </c>
      <c r="L711" t="s">
        <v>222</v>
      </c>
      <c r="M711" s="111"/>
    </row>
    <row r="712" spans="1:13" x14ac:dyDescent="0.25">
      <c r="A712">
        <v>711</v>
      </c>
      <c r="B712">
        <v>30099250</v>
      </c>
      <c r="C712">
        <v>2</v>
      </c>
      <c r="E712" s="110">
        <v>42541</v>
      </c>
      <c r="F712" s="111" t="s">
        <v>329</v>
      </c>
      <c r="G712">
        <v>2.09</v>
      </c>
      <c r="H712">
        <v>7.0000000000000551</v>
      </c>
      <c r="I712">
        <v>6</v>
      </c>
      <c r="J712">
        <v>123.00000000000004</v>
      </c>
      <c r="K712" s="1" t="e">
        <f>INDEX($P$4:$AM$15,MATCH(MONTH($E712),$O$4:$O$15,0),MATCH(HOUR($F712),$P$3:$AM$3,0))</f>
        <v>#N/A</v>
      </c>
      <c r="L712" t="s">
        <v>222</v>
      </c>
      <c r="M712" s="111"/>
    </row>
    <row r="713" spans="1:13" x14ac:dyDescent="0.25">
      <c r="A713">
        <v>712</v>
      </c>
      <c r="B713">
        <v>30099250</v>
      </c>
      <c r="C713">
        <v>3</v>
      </c>
      <c r="E713" s="110">
        <v>42541</v>
      </c>
      <c r="F713" s="111" t="s">
        <v>497</v>
      </c>
      <c r="G713">
        <v>2.09</v>
      </c>
      <c r="H713">
        <v>4.9999999999999023</v>
      </c>
      <c r="I713">
        <v>6</v>
      </c>
      <c r="J713">
        <v>23.000000000000078</v>
      </c>
      <c r="K713" s="1" t="e">
        <f>INDEX($P$4:$AM$15,MATCH(MONTH($E713),$O$4:$O$15,0),MATCH(HOUR($F713),$P$3:$AM$3,0))</f>
        <v>#N/A</v>
      </c>
      <c r="L713" t="s">
        <v>222</v>
      </c>
      <c r="M713" s="111"/>
    </row>
    <row r="714" spans="1:13" x14ac:dyDescent="0.25">
      <c r="A714">
        <v>713</v>
      </c>
      <c r="B714">
        <v>30099250</v>
      </c>
      <c r="C714">
        <v>4</v>
      </c>
      <c r="E714" s="110">
        <v>42541</v>
      </c>
      <c r="F714" s="111" t="s">
        <v>498</v>
      </c>
      <c r="G714">
        <v>2.09</v>
      </c>
      <c r="H714">
        <v>6.9999999999999751</v>
      </c>
      <c r="I714">
        <v>6</v>
      </c>
      <c r="J714">
        <v>220.00000000000009</v>
      </c>
      <c r="K714" s="1" t="e">
        <f>INDEX($P$4:$AM$15,MATCH(MONTH($E714),$O$4:$O$15,0),MATCH(HOUR($F714),$P$3:$AM$3,0))</f>
        <v>#N/A</v>
      </c>
      <c r="L714" t="s">
        <v>222</v>
      </c>
    </row>
    <row r="715" spans="1:13" x14ac:dyDescent="0.25">
      <c r="A715">
        <v>714</v>
      </c>
      <c r="B715">
        <v>30099250</v>
      </c>
      <c r="C715">
        <v>5</v>
      </c>
      <c r="E715" s="110">
        <v>42541</v>
      </c>
      <c r="F715" s="111" t="s">
        <v>472</v>
      </c>
      <c r="G715">
        <v>9.968</v>
      </c>
      <c r="H715">
        <v>17.999999999999936</v>
      </c>
      <c r="I715">
        <v>6</v>
      </c>
      <c r="J715">
        <v>41.999999999999851</v>
      </c>
      <c r="K715" s="1" t="e">
        <f>INDEX($P$4:$AM$15,MATCH(MONTH($E715),$O$4:$O$15,0),MATCH(HOUR($F715),$P$3:$AM$3,0))</f>
        <v>#N/A</v>
      </c>
      <c r="L715" t="s">
        <v>222</v>
      </c>
    </row>
    <row r="716" spans="1:13" x14ac:dyDescent="0.25">
      <c r="A716">
        <v>715</v>
      </c>
      <c r="B716">
        <v>30099250</v>
      </c>
      <c r="C716">
        <v>6</v>
      </c>
      <c r="E716" s="110">
        <v>42541</v>
      </c>
      <c r="F716" s="111" t="s">
        <v>371</v>
      </c>
      <c r="G716">
        <v>8.6189999999999998</v>
      </c>
      <c r="H716">
        <v>18.000000000000096</v>
      </c>
      <c r="I716">
        <v>6</v>
      </c>
      <c r="J716">
        <v>1222</v>
      </c>
      <c r="K716" s="1" t="e">
        <f>INDEX($P$4:$AM$15,MATCH(MONTH($E716),$O$4:$O$15,0),MATCH(HOUR($F716),$P$3:$AM$3,0))</f>
        <v>#N/A</v>
      </c>
      <c r="L716" t="s">
        <v>222</v>
      </c>
    </row>
    <row r="717" spans="1:13" x14ac:dyDescent="0.25">
      <c r="A717">
        <v>716</v>
      </c>
      <c r="B717">
        <v>30103522</v>
      </c>
      <c r="C717">
        <v>1</v>
      </c>
      <c r="E717" s="110">
        <v>42542</v>
      </c>
      <c r="F717" s="111" t="s">
        <v>219</v>
      </c>
      <c r="G717">
        <v>1.9650000000000001</v>
      </c>
      <c r="H717">
        <v>9.9999999999999645</v>
      </c>
      <c r="I717">
        <v>3</v>
      </c>
      <c r="J717">
        <v>14.00000000000011</v>
      </c>
      <c r="K717" s="1" t="e">
        <f>INDEX($P$4:$AM$15,MATCH(MONTH($E717),$O$4:$O$15,0),MATCH(HOUR($F717),$P$3:$AM$3,0))</f>
        <v>#N/A</v>
      </c>
      <c r="L717" t="s">
        <v>222</v>
      </c>
    </row>
    <row r="718" spans="1:13" x14ac:dyDescent="0.25">
      <c r="A718">
        <v>717</v>
      </c>
      <c r="B718">
        <v>30103522</v>
      </c>
      <c r="C718">
        <v>2</v>
      </c>
      <c r="E718" s="110">
        <v>42542</v>
      </c>
      <c r="F718" s="111" t="s">
        <v>499</v>
      </c>
      <c r="G718">
        <v>0.23200000000000001</v>
      </c>
      <c r="H718">
        <v>2.9999999999999893</v>
      </c>
      <c r="I718">
        <v>3</v>
      </c>
      <c r="J718">
        <v>55.999999999999957</v>
      </c>
      <c r="K718" s="1" t="e">
        <f>INDEX($P$4:$AM$15,MATCH(MONTH($E718),$O$4:$O$15,0),MATCH(HOUR($F718),$P$3:$AM$3,0))</f>
        <v>#N/A</v>
      </c>
      <c r="L718" t="s">
        <v>222</v>
      </c>
    </row>
    <row r="719" spans="1:13" x14ac:dyDescent="0.25">
      <c r="A719">
        <v>718</v>
      </c>
      <c r="B719">
        <v>30103522</v>
      </c>
      <c r="C719">
        <v>3</v>
      </c>
      <c r="E719" s="110">
        <v>42542</v>
      </c>
      <c r="F719" s="111" t="s">
        <v>500</v>
      </c>
      <c r="G719">
        <v>1.905</v>
      </c>
      <c r="H719">
        <v>10.999999999999961</v>
      </c>
      <c r="I719">
        <v>3</v>
      </c>
      <c r="J719">
        <v>1055</v>
      </c>
      <c r="K719" s="1" t="e">
        <f>INDEX($P$4:$AM$15,MATCH(MONTH($E719),$O$4:$O$15,0),MATCH(HOUR($F719),$P$3:$AM$3,0))</f>
        <v>#N/A</v>
      </c>
      <c r="L719" t="s">
        <v>222</v>
      </c>
    </row>
    <row r="720" spans="1:13" x14ac:dyDescent="0.25">
      <c r="A720">
        <v>719</v>
      </c>
      <c r="B720">
        <v>30108417</v>
      </c>
      <c r="C720">
        <v>1</v>
      </c>
      <c r="E720" s="110">
        <v>42543</v>
      </c>
      <c r="F720" s="111" t="s">
        <v>501</v>
      </c>
      <c r="G720">
        <v>2.8279999999999998</v>
      </c>
      <c r="H720">
        <v>11.000000000000041</v>
      </c>
      <c r="I720">
        <v>3</v>
      </c>
      <c r="J720">
        <v>489.99999999999994</v>
      </c>
      <c r="K720" s="1" t="e">
        <f>INDEX($P$4:$AM$15,MATCH(MONTH($E720),$O$4:$O$15,0),MATCH(HOUR($F720),$P$3:$AM$3,0))</f>
        <v>#N/A</v>
      </c>
      <c r="L720" t="s">
        <v>249</v>
      </c>
    </row>
    <row r="721" spans="1:12" x14ac:dyDescent="0.25">
      <c r="A721">
        <v>720</v>
      </c>
      <c r="B721">
        <v>30108417</v>
      </c>
      <c r="C721">
        <v>2</v>
      </c>
      <c r="E721" s="110">
        <v>42543</v>
      </c>
      <c r="F721" s="111" t="s">
        <v>247</v>
      </c>
      <c r="G721">
        <v>2.5960000000000001</v>
      </c>
      <c r="H721">
        <v>10.000000000000124</v>
      </c>
      <c r="I721">
        <v>3</v>
      </c>
      <c r="J721">
        <v>969.99999999999989</v>
      </c>
      <c r="K721" s="1" t="e">
        <f>INDEX($P$4:$AM$15,MATCH(MONTH($E721),$O$4:$O$15,0),MATCH(HOUR($F721),$P$3:$AM$3,0))</f>
        <v>#N/A</v>
      </c>
      <c r="L721" t="s">
        <v>249</v>
      </c>
    </row>
    <row r="722" spans="1:12" x14ac:dyDescent="0.25">
      <c r="A722">
        <v>721</v>
      </c>
      <c r="B722">
        <v>30108419</v>
      </c>
      <c r="C722">
        <v>1</v>
      </c>
      <c r="E722" s="110">
        <v>42544</v>
      </c>
      <c r="F722" s="111" t="s">
        <v>336</v>
      </c>
      <c r="G722">
        <v>2.9950000000000001</v>
      </c>
      <c r="H722">
        <v>9.9999999999999645</v>
      </c>
      <c r="I722">
        <v>4</v>
      </c>
      <c r="J722">
        <v>419.99999999999994</v>
      </c>
      <c r="K722" s="1" t="e">
        <f>INDEX($P$4:$AM$15,MATCH(MONTH($E722),$O$4:$O$15,0),MATCH(HOUR($F722),$P$3:$AM$3,0))</f>
        <v>#N/A</v>
      </c>
      <c r="L722" t="s">
        <v>257</v>
      </c>
    </row>
    <row r="723" spans="1:12" x14ac:dyDescent="0.25">
      <c r="A723">
        <v>722</v>
      </c>
      <c r="B723">
        <v>30108419</v>
      </c>
      <c r="C723">
        <v>2</v>
      </c>
      <c r="E723" s="110">
        <v>42544</v>
      </c>
      <c r="F723" s="111" t="s">
        <v>252</v>
      </c>
      <c r="G723">
        <v>2.9950000000000001</v>
      </c>
      <c r="H723">
        <v>10.000000000000124</v>
      </c>
      <c r="I723">
        <v>4</v>
      </c>
      <c r="J723">
        <v>799.99999999999989</v>
      </c>
      <c r="K723" s="1" t="e">
        <f>INDEX($P$4:$AM$15,MATCH(MONTH($E723),$O$4:$O$15,0),MATCH(HOUR($F723),$P$3:$AM$3,0))</f>
        <v>#N/A</v>
      </c>
      <c r="L723" t="s">
        <v>257</v>
      </c>
    </row>
    <row r="724" spans="1:12" x14ac:dyDescent="0.25">
      <c r="A724">
        <v>723</v>
      </c>
      <c r="B724">
        <v>30108419</v>
      </c>
      <c r="C724">
        <v>1</v>
      </c>
      <c r="E724" s="110">
        <v>42545</v>
      </c>
      <c r="F724" s="111" t="s">
        <v>293</v>
      </c>
      <c r="G724">
        <v>22.731999999999999</v>
      </c>
      <c r="H724">
        <v>30.000000000000014</v>
      </c>
      <c r="I724">
        <v>4</v>
      </c>
      <c r="J724">
        <v>630</v>
      </c>
      <c r="K724" s="1" t="e">
        <f>INDEX($P$4:$AM$15,MATCH(MONTH($E724),$O$4:$O$15,0),MATCH(HOUR($F724),$P$3:$AM$3,0))</f>
        <v>#N/A</v>
      </c>
      <c r="L724" t="s">
        <v>257</v>
      </c>
    </row>
    <row r="725" spans="1:12" x14ac:dyDescent="0.25">
      <c r="A725">
        <v>724</v>
      </c>
      <c r="B725">
        <v>30108419</v>
      </c>
      <c r="C725">
        <v>2</v>
      </c>
      <c r="E725" s="110">
        <v>42545</v>
      </c>
      <c r="F725" s="111" t="s">
        <v>247</v>
      </c>
      <c r="G725">
        <v>22.681000000000001</v>
      </c>
      <c r="H725">
        <v>59.999999999999943</v>
      </c>
      <c r="I725">
        <v>4</v>
      </c>
      <c r="J725">
        <v>750</v>
      </c>
      <c r="K725" s="1" t="e">
        <f>INDEX($P$4:$AM$15,MATCH(MONTH($E725),$O$4:$O$15,0),MATCH(HOUR($F725),$P$3:$AM$3,0))</f>
        <v>#N/A</v>
      </c>
      <c r="L725" t="s">
        <v>257</v>
      </c>
    </row>
    <row r="726" spans="1:12" x14ac:dyDescent="0.25">
      <c r="A726">
        <v>725</v>
      </c>
      <c r="B726">
        <v>30109402</v>
      </c>
      <c r="C726">
        <v>1</v>
      </c>
      <c r="E726" s="110">
        <v>42546</v>
      </c>
      <c r="F726" s="111" t="s">
        <v>248</v>
      </c>
      <c r="G726">
        <v>31.291</v>
      </c>
      <c r="H726">
        <v>24.999999999999993</v>
      </c>
      <c r="I726">
        <v>3</v>
      </c>
      <c r="J726">
        <v>515</v>
      </c>
      <c r="K726" s="1" t="e">
        <f>INDEX($P$4:$AM$15,MATCH(MONTH($E726),$O$4:$O$15,0),MATCH(HOUR($F726),$P$3:$AM$3,0))</f>
        <v>#N/A</v>
      </c>
      <c r="L726" t="s">
        <v>231</v>
      </c>
    </row>
    <row r="727" spans="1:12" x14ac:dyDescent="0.25">
      <c r="A727">
        <v>726</v>
      </c>
      <c r="B727">
        <v>30109402</v>
      </c>
      <c r="C727">
        <v>2</v>
      </c>
      <c r="E727" s="110">
        <v>42546</v>
      </c>
      <c r="F727" s="111" t="s">
        <v>227</v>
      </c>
      <c r="G727">
        <v>10.343</v>
      </c>
      <c r="H727">
        <v>28.00000000000006</v>
      </c>
      <c r="I727">
        <v>3</v>
      </c>
      <c r="J727">
        <v>876.99999999999989</v>
      </c>
      <c r="K727" s="1" t="e">
        <f>INDEX($P$4:$AM$15,MATCH(MONTH($E727),$O$4:$O$15,0),MATCH(HOUR($F727),$P$3:$AM$3,0))</f>
        <v>#N/A</v>
      </c>
      <c r="L727" t="s">
        <v>231</v>
      </c>
    </row>
    <row r="728" spans="1:12" x14ac:dyDescent="0.25">
      <c r="A728">
        <v>727</v>
      </c>
      <c r="B728">
        <v>30109402</v>
      </c>
      <c r="C728">
        <v>1</v>
      </c>
      <c r="E728" s="110">
        <v>42547</v>
      </c>
      <c r="F728" s="111" t="s">
        <v>502</v>
      </c>
      <c r="G728">
        <v>5.7329999999999997</v>
      </c>
      <c r="H728">
        <v>24.999999999999993</v>
      </c>
      <c r="I728">
        <v>3</v>
      </c>
      <c r="J728">
        <v>45</v>
      </c>
      <c r="K728" s="1" t="e">
        <f>INDEX($P$4:$AM$15,MATCH(MONTH($E728),$O$4:$O$15,0),MATCH(HOUR($F728),$P$3:$AM$3,0))</f>
        <v>#N/A</v>
      </c>
      <c r="L728" t="s">
        <v>231</v>
      </c>
    </row>
    <row r="729" spans="1:12" x14ac:dyDescent="0.25">
      <c r="A729">
        <v>728</v>
      </c>
      <c r="B729">
        <v>30109402</v>
      </c>
      <c r="C729">
        <v>2</v>
      </c>
      <c r="E729" s="110">
        <v>42547</v>
      </c>
      <c r="F729" s="111" t="s">
        <v>254</v>
      </c>
      <c r="G729">
        <v>0.63200000000000001</v>
      </c>
      <c r="H729">
        <v>4.9999999999999822</v>
      </c>
      <c r="I729">
        <v>3</v>
      </c>
      <c r="J729">
        <v>60.000000000000107</v>
      </c>
      <c r="K729" s="1" t="e">
        <f>INDEX($P$4:$AM$15,MATCH(MONTH($E729),$O$4:$O$15,0),MATCH(HOUR($F729),$P$3:$AM$3,0))</f>
        <v>#N/A</v>
      </c>
      <c r="L729" t="s">
        <v>231</v>
      </c>
    </row>
    <row r="730" spans="1:12" x14ac:dyDescent="0.25">
      <c r="A730">
        <v>729</v>
      </c>
      <c r="B730">
        <v>30109402</v>
      </c>
      <c r="C730">
        <v>3</v>
      </c>
      <c r="E730" s="110">
        <v>42547</v>
      </c>
      <c r="F730" s="111" t="s">
        <v>441</v>
      </c>
      <c r="G730">
        <v>1.8919999999999999</v>
      </c>
      <c r="H730">
        <v>4.9999999999999023</v>
      </c>
      <c r="I730">
        <v>3</v>
      </c>
      <c r="J730">
        <v>65.000000000000014</v>
      </c>
      <c r="K730" s="1" t="e">
        <f>INDEX($P$4:$AM$15,MATCH(MONTH($E730),$O$4:$O$15,0),MATCH(HOUR($F730),$P$3:$AM$3,0))</f>
        <v>#N/A</v>
      </c>
      <c r="L730" t="s">
        <v>231</v>
      </c>
    </row>
    <row r="731" spans="1:12" x14ac:dyDescent="0.25">
      <c r="A731">
        <v>730</v>
      </c>
      <c r="B731">
        <v>30109402</v>
      </c>
      <c r="C731">
        <v>4</v>
      </c>
      <c r="E731" s="110">
        <v>42547</v>
      </c>
      <c r="F731" s="111" t="s">
        <v>326</v>
      </c>
      <c r="G731">
        <v>1.032</v>
      </c>
      <c r="H731">
        <v>5.0000000000000622</v>
      </c>
      <c r="I731">
        <v>3</v>
      </c>
      <c r="J731">
        <v>39.999999999999936</v>
      </c>
      <c r="K731" s="1" t="e">
        <f>INDEX($P$4:$AM$15,MATCH(MONTH($E731),$O$4:$O$15,0),MATCH(HOUR($F731),$P$3:$AM$3,0))</f>
        <v>#N/A</v>
      </c>
      <c r="L731" t="s">
        <v>231</v>
      </c>
    </row>
    <row r="732" spans="1:12" x14ac:dyDescent="0.25">
      <c r="A732">
        <v>731</v>
      </c>
      <c r="B732">
        <v>30109402</v>
      </c>
      <c r="C732">
        <v>5</v>
      </c>
      <c r="E732" s="110">
        <v>42547</v>
      </c>
      <c r="F732" s="111" t="s">
        <v>357</v>
      </c>
      <c r="G732">
        <v>6.9669999999999996</v>
      </c>
      <c r="H732">
        <v>15.000000000000027</v>
      </c>
      <c r="I732">
        <v>3</v>
      </c>
      <c r="J732">
        <v>60.000000000000028</v>
      </c>
      <c r="K732" s="1" t="e">
        <f>INDEX($P$4:$AM$15,MATCH(MONTH($E732),$O$4:$O$15,0),MATCH(HOUR($F732),$P$3:$AM$3,0))</f>
        <v>#N/A</v>
      </c>
      <c r="L732" t="s">
        <v>231</v>
      </c>
    </row>
    <row r="733" spans="1:12" x14ac:dyDescent="0.25">
      <c r="A733">
        <v>732</v>
      </c>
      <c r="B733">
        <v>30109402</v>
      </c>
      <c r="C733">
        <v>6</v>
      </c>
      <c r="E733" s="110">
        <v>42547</v>
      </c>
      <c r="F733" s="111" t="s">
        <v>262</v>
      </c>
      <c r="G733">
        <v>3.673</v>
      </c>
      <c r="H733">
        <v>4.9999999999999822</v>
      </c>
      <c r="I733">
        <v>3</v>
      </c>
      <c r="J733">
        <v>24.999999999999993</v>
      </c>
      <c r="K733" s="1" t="e">
        <f>INDEX($P$4:$AM$15,MATCH(MONTH($E733),$O$4:$O$15,0),MATCH(HOUR($F733),$P$3:$AM$3,0))</f>
        <v>#N/A</v>
      </c>
      <c r="L733" t="s">
        <v>231</v>
      </c>
    </row>
    <row r="734" spans="1:12" x14ac:dyDescent="0.25">
      <c r="A734">
        <v>733</v>
      </c>
      <c r="B734">
        <v>30109402</v>
      </c>
      <c r="C734">
        <v>7</v>
      </c>
      <c r="E734" s="110">
        <v>42547</v>
      </c>
      <c r="F734" s="111" t="s">
        <v>318</v>
      </c>
      <c r="G734">
        <v>3.673</v>
      </c>
      <c r="H734">
        <v>30.000000000000053</v>
      </c>
      <c r="I734">
        <v>3</v>
      </c>
      <c r="J734">
        <v>1003</v>
      </c>
      <c r="K734" s="1" t="e">
        <f>INDEX($P$4:$AM$15,MATCH(MONTH($E734),$O$4:$O$15,0),MATCH(HOUR($F734),$P$3:$AM$3,0))</f>
        <v>#N/A</v>
      </c>
      <c r="L734" t="s">
        <v>231</v>
      </c>
    </row>
    <row r="735" spans="1:12" x14ac:dyDescent="0.25">
      <c r="A735">
        <v>734</v>
      </c>
      <c r="B735">
        <v>30113710</v>
      </c>
      <c r="C735">
        <v>1</v>
      </c>
      <c r="E735" s="110">
        <v>42548</v>
      </c>
      <c r="F735" s="111" t="s">
        <v>503</v>
      </c>
      <c r="G735">
        <v>10.499000000000001</v>
      </c>
      <c r="H735">
        <v>16.999999999999979</v>
      </c>
      <c r="I735">
        <v>3</v>
      </c>
      <c r="J735">
        <v>755</v>
      </c>
      <c r="K735" s="1" t="e">
        <f>INDEX($P$4:$AM$15,MATCH(MONTH($E735),$O$4:$O$15,0),MATCH(HOUR($F735),$P$3:$AM$3,0))</f>
        <v>#N/A</v>
      </c>
      <c r="L735" t="s">
        <v>222</v>
      </c>
    </row>
    <row r="736" spans="1:12" x14ac:dyDescent="0.25">
      <c r="A736">
        <v>735</v>
      </c>
      <c r="B736">
        <v>30113710</v>
      </c>
      <c r="C736">
        <v>2</v>
      </c>
      <c r="E736" s="110">
        <v>42548</v>
      </c>
      <c r="F736" s="111" t="s">
        <v>413</v>
      </c>
      <c r="G736">
        <v>3.359</v>
      </c>
      <c r="H736">
        <v>5.0000000000001421</v>
      </c>
      <c r="I736">
        <v>3</v>
      </c>
      <c r="J736">
        <v>19.999999999999929</v>
      </c>
      <c r="K736" s="1" t="e">
        <f>INDEX($P$4:$AM$15,MATCH(MONTH($E736),$O$4:$O$15,0),MATCH(HOUR($F736),$P$3:$AM$3,0))</f>
        <v>#N/A</v>
      </c>
      <c r="L736" t="s">
        <v>222</v>
      </c>
    </row>
    <row r="737" spans="1:12" x14ac:dyDescent="0.25">
      <c r="A737">
        <v>736</v>
      </c>
      <c r="B737">
        <v>30113710</v>
      </c>
      <c r="C737">
        <v>3</v>
      </c>
      <c r="E737" s="110">
        <v>42548</v>
      </c>
      <c r="F737" s="111" t="s">
        <v>300</v>
      </c>
      <c r="G737">
        <v>8.3109999999999999</v>
      </c>
      <c r="H737">
        <v>9.9999999999999645</v>
      </c>
      <c r="I737">
        <v>3</v>
      </c>
      <c r="J737">
        <v>649.99999999999989</v>
      </c>
      <c r="K737" s="1" t="e">
        <f>INDEX($P$4:$AM$15,MATCH(MONTH($E737),$O$4:$O$15,0),MATCH(HOUR($F737),$P$3:$AM$3,0))</f>
        <v>#N/A</v>
      </c>
      <c r="L737" t="s">
        <v>222</v>
      </c>
    </row>
    <row r="738" spans="1:12" x14ac:dyDescent="0.25">
      <c r="A738">
        <v>737</v>
      </c>
      <c r="B738">
        <v>30117813</v>
      </c>
      <c r="C738">
        <v>1</v>
      </c>
      <c r="E738" s="110">
        <v>42549</v>
      </c>
      <c r="F738" s="111" t="s">
        <v>293</v>
      </c>
      <c r="G738">
        <v>14.885</v>
      </c>
      <c r="H738">
        <v>20.000000000000007</v>
      </c>
      <c r="I738">
        <v>3</v>
      </c>
      <c r="J738">
        <v>640</v>
      </c>
      <c r="K738" s="1" t="e">
        <f>INDEX($P$4:$AM$15,MATCH(MONTH($E738),$O$4:$O$15,0),MATCH(HOUR($F738),$P$3:$AM$3,0))</f>
        <v>#N/A</v>
      </c>
      <c r="L738" t="s">
        <v>302</v>
      </c>
    </row>
    <row r="739" spans="1:12" x14ac:dyDescent="0.25">
      <c r="A739">
        <v>738</v>
      </c>
      <c r="B739">
        <v>30117813</v>
      </c>
      <c r="C739">
        <v>2</v>
      </c>
      <c r="E739" s="110">
        <v>42549</v>
      </c>
      <c r="F739" s="111" t="s">
        <v>247</v>
      </c>
      <c r="G739">
        <v>14.85</v>
      </c>
      <c r="H739">
        <v>30.000000000000053</v>
      </c>
      <c r="I739">
        <v>3</v>
      </c>
      <c r="J739">
        <v>904.99999999999989</v>
      </c>
      <c r="K739" s="1" t="e">
        <f>INDEX($P$4:$AM$15,MATCH(MONTH($E739),$O$4:$O$15,0),MATCH(HOUR($F739),$P$3:$AM$3,0))</f>
        <v>#N/A</v>
      </c>
      <c r="L739" t="s">
        <v>302</v>
      </c>
    </row>
    <row r="740" spans="1:12" x14ac:dyDescent="0.25">
      <c r="A740">
        <v>739</v>
      </c>
      <c r="B740">
        <v>30117813</v>
      </c>
      <c r="C740">
        <v>1</v>
      </c>
      <c r="E740" s="110">
        <v>42550</v>
      </c>
      <c r="F740" s="111" t="s">
        <v>452</v>
      </c>
      <c r="G740">
        <v>1.7010000000000001</v>
      </c>
      <c r="H740">
        <v>4.9999999999999023</v>
      </c>
      <c r="I740">
        <v>3</v>
      </c>
      <c r="J740">
        <v>1.9999999999999929</v>
      </c>
      <c r="K740" s="1" t="e">
        <f>INDEX($P$4:$AM$15,MATCH(MONTH($E740),$O$4:$O$15,0),MATCH(HOUR($F740),$P$3:$AM$3,0))</f>
        <v>#N/A</v>
      </c>
      <c r="L740" t="s">
        <v>302</v>
      </c>
    </row>
    <row r="741" spans="1:12" x14ac:dyDescent="0.25">
      <c r="A741">
        <v>740</v>
      </c>
      <c r="B741">
        <v>30117813</v>
      </c>
      <c r="C741">
        <v>2</v>
      </c>
      <c r="E741" s="110">
        <v>42550</v>
      </c>
      <c r="F741" s="111" t="s">
        <v>504</v>
      </c>
      <c r="G741">
        <v>35.417999999999999</v>
      </c>
      <c r="H741">
        <v>43.000000000000007</v>
      </c>
      <c r="I741">
        <v>3</v>
      </c>
      <c r="J741">
        <v>485.00000000000011</v>
      </c>
      <c r="K741" s="1" t="e">
        <f>INDEX($P$4:$AM$15,MATCH(MONTH($E741),$O$4:$O$15,0),MATCH(HOUR($F741),$P$3:$AM$3,0))</f>
        <v>#N/A</v>
      </c>
      <c r="L741" t="s">
        <v>302</v>
      </c>
    </row>
    <row r="742" spans="1:12" x14ac:dyDescent="0.25">
      <c r="A742">
        <v>741</v>
      </c>
      <c r="B742">
        <v>30117813</v>
      </c>
      <c r="C742">
        <v>3</v>
      </c>
      <c r="E742" s="110">
        <v>42550</v>
      </c>
      <c r="F742" s="111" t="s">
        <v>229</v>
      </c>
      <c r="G742">
        <v>34.085000000000001</v>
      </c>
      <c r="H742">
        <v>49.999999999999822</v>
      </c>
      <c r="I742">
        <v>3</v>
      </c>
      <c r="J742">
        <v>1000.0000000000001</v>
      </c>
      <c r="K742" s="1" t="e">
        <f>INDEX($P$4:$AM$15,MATCH(MONTH($E742),$O$4:$O$15,0),MATCH(HOUR($F742),$P$3:$AM$3,0))</f>
        <v>#N/A</v>
      </c>
      <c r="L742" t="s">
        <v>302</v>
      </c>
    </row>
    <row r="743" spans="1:12" x14ac:dyDescent="0.25">
      <c r="A743">
        <v>742</v>
      </c>
      <c r="B743">
        <v>30117847</v>
      </c>
      <c r="C743">
        <v>1</v>
      </c>
      <c r="E743" s="110">
        <v>42551</v>
      </c>
      <c r="F743" s="111" t="s">
        <v>217</v>
      </c>
      <c r="G743">
        <v>3.2120000000000002</v>
      </c>
      <c r="H743">
        <v>15.000000000000027</v>
      </c>
      <c r="I743">
        <v>3</v>
      </c>
      <c r="J743">
        <v>45</v>
      </c>
      <c r="K743" s="1" t="e">
        <f>INDEX($P$4:$AM$15,MATCH(MONTH($E743),$O$4:$O$15,0),MATCH(HOUR($F743),$P$3:$AM$3,0))</f>
        <v>#N/A</v>
      </c>
      <c r="L743" t="s">
        <v>218</v>
      </c>
    </row>
    <row r="744" spans="1:12" x14ac:dyDescent="0.25">
      <c r="A744">
        <v>743</v>
      </c>
      <c r="B744">
        <v>30117847</v>
      </c>
      <c r="C744">
        <v>2</v>
      </c>
      <c r="E744" s="110">
        <v>42551</v>
      </c>
      <c r="F744" s="111" t="s">
        <v>262</v>
      </c>
      <c r="G744">
        <v>2.5099999999999998</v>
      </c>
      <c r="H744">
        <v>14.999999999999947</v>
      </c>
      <c r="I744">
        <v>3</v>
      </c>
      <c r="J744">
        <v>20.000000000000007</v>
      </c>
      <c r="K744" s="1" t="e">
        <f>INDEX($P$4:$AM$15,MATCH(MONTH($E744),$O$4:$O$15,0),MATCH(HOUR($F744),$P$3:$AM$3,0))</f>
        <v>#N/A</v>
      </c>
      <c r="L744" t="s">
        <v>218</v>
      </c>
    </row>
    <row r="745" spans="1:12" x14ac:dyDescent="0.25">
      <c r="A745">
        <v>744</v>
      </c>
      <c r="B745">
        <v>30117847</v>
      </c>
      <c r="C745">
        <v>3</v>
      </c>
      <c r="E745" s="110">
        <v>42551</v>
      </c>
      <c r="F745" s="111" t="s">
        <v>237</v>
      </c>
      <c r="G745">
        <v>2.379</v>
      </c>
      <c r="H745">
        <v>15.000000000000107</v>
      </c>
      <c r="I745">
        <v>3</v>
      </c>
      <c r="J745">
        <v>24.999999999999911</v>
      </c>
      <c r="K745" s="1" t="e">
        <f>INDEX($P$4:$AM$15,MATCH(MONTH($E745),$O$4:$O$15,0),MATCH(HOUR($F745),$P$3:$AM$3,0))</f>
        <v>#N/A</v>
      </c>
      <c r="L745" t="s">
        <v>218</v>
      </c>
    </row>
    <row r="746" spans="1:12" x14ac:dyDescent="0.25">
      <c r="A746">
        <v>745</v>
      </c>
      <c r="B746">
        <v>30117847</v>
      </c>
      <c r="C746">
        <v>4</v>
      </c>
      <c r="E746" s="110">
        <v>42551</v>
      </c>
      <c r="F746" s="111" t="s">
        <v>225</v>
      </c>
      <c r="G746">
        <v>2.5099999999999998</v>
      </c>
      <c r="H746">
        <v>14.999999999999947</v>
      </c>
      <c r="I746">
        <v>3</v>
      </c>
      <c r="J746">
        <v>5.0000000000001421</v>
      </c>
      <c r="K746" s="1" t="e">
        <f>INDEX($P$4:$AM$15,MATCH(MONTH($E746),$O$4:$O$15,0),MATCH(HOUR($F746),$P$3:$AM$3,0))</f>
        <v>#N/A</v>
      </c>
      <c r="L746" t="s">
        <v>218</v>
      </c>
    </row>
    <row r="747" spans="1:12" x14ac:dyDescent="0.25">
      <c r="A747">
        <v>746</v>
      </c>
      <c r="B747">
        <v>30117847</v>
      </c>
      <c r="C747">
        <v>5</v>
      </c>
      <c r="E747" s="110">
        <v>42551</v>
      </c>
      <c r="F747" s="111" t="s">
        <v>340</v>
      </c>
      <c r="G747">
        <v>2.379</v>
      </c>
      <c r="H747">
        <v>14.999999999999947</v>
      </c>
      <c r="I747">
        <v>3</v>
      </c>
      <c r="J747">
        <v>130.00000000000003</v>
      </c>
      <c r="K747" s="1" t="e">
        <f>INDEX($P$4:$AM$15,MATCH(MONTH($E747),$O$4:$O$15,0),MATCH(HOUR($F747),$P$3:$AM$3,0))</f>
        <v>#N/A</v>
      </c>
      <c r="L747" t="s">
        <v>218</v>
      </c>
    </row>
    <row r="748" spans="1:12" x14ac:dyDescent="0.25">
      <c r="A748">
        <v>747</v>
      </c>
      <c r="B748">
        <v>30117847</v>
      </c>
      <c r="C748">
        <v>6</v>
      </c>
      <c r="E748" s="110">
        <v>42551</v>
      </c>
      <c r="F748" s="111" t="s">
        <v>235</v>
      </c>
      <c r="G748">
        <v>3.222</v>
      </c>
      <c r="H748">
        <v>14.999999999999947</v>
      </c>
      <c r="I748">
        <v>3</v>
      </c>
      <c r="J748">
        <v>149.99999999999994</v>
      </c>
      <c r="K748" s="1" t="e">
        <f>INDEX($P$4:$AM$15,MATCH(MONTH($E748),$O$4:$O$15,0),MATCH(HOUR($F748),$P$3:$AM$3,0))</f>
        <v>#N/A</v>
      </c>
      <c r="L748" t="s">
        <v>218</v>
      </c>
    </row>
    <row r="749" spans="1:12" x14ac:dyDescent="0.25">
      <c r="A749">
        <v>748</v>
      </c>
      <c r="B749">
        <v>30117847</v>
      </c>
      <c r="C749">
        <v>7</v>
      </c>
      <c r="E749" s="110">
        <v>42551</v>
      </c>
      <c r="F749" s="111" t="s">
        <v>358</v>
      </c>
      <c r="G749">
        <v>7.2069999999999999</v>
      </c>
      <c r="H749">
        <v>15.000000000000107</v>
      </c>
      <c r="I749">
        <v>3</v>
      </c>
      <c r="J749">
        <v>209.99999999999989</v>
      </c>
      <c r="K749" s="1" t="e">
        <f>INDEX($P$4:$AM$15,MATCH(MONTH($E749),$O$4:$O$15,0),MATCH(HOUR($F749),$P$3:$AM$3,0))</f>
        <v>#N/A</v>
      </c>
      <c r="L749" t="s">
        <v>218</v>
      </c>
    </row>
    <row r="750" spans="1:12" x14ac:dyDescent="0.25">
      <c r="A750">
        <v>749</v>
      </c>
      <c r="B750">
        <v>30117847</v>
      </c>
      <c r="C750">
        <v>8</v>
      </c>
      <c r="E750" s="110">
        <v>42551</v>
      </c>
      <c r="F750" s="111" t="s">
        <v>505</v>
      </c>
      <c r="G750">
        <v>6.524</v>
      </c>
      <c r="H750">
        <v>30.000000000000053</v>
      </c>
      <c r="I750">
        <v>3</v>
      </c>
      <c r="J750">
        <v>665</v>
      </c>
      <c r="K750" s="1" t="e">
        <f>INDEX($P$4:$AM$15,MATCH(MONTH($E750),$O$4:$O$15,0),MATCH(HOUR($F750),$P$3:$AM$3,0))</f>
        <v>#N/A</v>
      </c>
      <c r="L750" t="s">
        <v>218</v>
      </c>
    </row>
    <row r="751" spans="1:12" x14ac:dyDescent="0.25">
      <c r="A751">
        <v>750</v>
      </c>
      <c r="B751">
        <v>30007585</v>
      </c>
      <c r="C751">
        <v>1</v>
      </c>
      <c r="E751" s="110">
        <v>42552</v>
      </c>
      <c r="F751" s="111" t="s">
        <v>402</v>
      </c>
      <c r="G751">
        <v>6.7859999999999996</v>
      </c>
      <c r="H751">
        <v>20.000000000000007</v>
      </c>
      <c r="I751">
        <v>3</v>
      </c>
      <c r="J751">
        <v>503</v>
      </c>
      <c r="K751" s="1" t="e">
        <f>INDEX($P$4:$AM$15,MATCH(MONTH($E751),$O$4:$O$15,0),MATCH(HOUR($F751),$P$3:$AM$3,0))</f>
        <v>#N/A</v>
      </c>
      <c r="L751" t="s">
        <v>222</v>
      </c>
    </row>
    <row r="752" spans="1:12" x14ac:dyDescent="0.25">
      <c r="A752">
        <v>751</v>
      </c>
      <c r="B752">
        <v>30007585</v>
      </c>
      <c r="C752">
        <v>2</v>
      </c>
      <c r="E752" s="110">
        <v>42552</v>
      </c>
      <c r="F752" s="111" t="s">
        <v>506</v>
      </c>
      <c r="G752">
        <v>6.9610000000000003</v>
      </c>
      <c r="H752">
        <v>16.99999999999994</v>
      </c>
      <c r="I752">
        <v>3</v>
      </c>
      <c r="J752">
        <v>41.000000000000014</v>
      </c>
      <c r="K752" s="1" t="e">
        <f>INDEX($P$4:$AM$15,MATCH(MONTH($E752),$O$4:$O$15,0),MATCH(HOUR($F752),$P$3:$AM$3,0))</f>
        <v>#N/A</v>
      </c>
      <c r="L752" t="s">
        <v>222</v>
      </c>
    </row>
    <row r="753" spans="1:12" x14ac:dyDescent="0.25">
      <c r="A753">
        <v>752</v>
      </c>
      <c r="B753">
        <v>30007585</v>
      </c>
      <c r="C753">
        <v>3</v>
      </c>
      <c r="E753" s="110">
        <v>42552</v>
      </c>
      <c r="F753" s="111" t="s">
        <v>507</v>
      </c>
      <c r="G753">
        <v>11.23</v>
      </c>
      <c r="H753">
        <v>21.999999999999922</v>
      </c>
      <c r="I753">
        <v>3</v>
      </c>
      <c r="J753">
        <v>187.00000000000014</v>
      </c>
      <c r="K753" s="1" t="e">
        <f>INDEX($P$4:$AM$15,MATCH(MONTH($E753),$O$4:$O$15,0),MATCH(HOUR($F753),$P$3:$AM$3,0))</f>
        <v>#N/A</v>
      </c>
      <c r="L753" t="s">
        <v>222</v>
      </c>
    </row>
    <row r="754" spans="1:12" x14ac:dyDescent="0.25">
      <c r="A754">
        <v>753</v>
      </c>
      <c r="B754">
        <v>30007585</v>
      </c>
      <c r="C754">
        <v>4</v>
      </c>
      <c r="E754" s="110">
        <v>42552</v>
      </c>
      <c r="F754" s="111" t="s">
        <v>508</v>
      </c>
      <c r="G754">
        <v>11.199</v>
      </c>
      <c r="H754">
        <v>22.999999999999918</v>
      </c>
      <c r="I754">
        <v>3</v>
      </c>
      <c r="J754">
        <v>764</v>
      </c>
      <c r="K754" s="1" t="e">
        <f>INDEX($P$4:$AM$15,MATCH(MONTH($E754),$O$4:$O$15,0),MATCH(HOUR($F754),$P$3:$AM$3,0))</f>
        <v>#N/A</v>
      </c>
      <c r="L754" t="s">
        <v>222</v>
      </c>
    </row>
    <row r="755" spans="1:12" x14ac:dyDescent="0.25">
      <c r="A755">
        <v>754</v>
      </c>
      <c r="B755">
        <v>30008033</v>
      </c>
      <c r="C755">
        <v>1</v>
      </c>
      <c r="E755" s="110">
        <v>42553</v>
      </c>
      <c r="F755" s="111" t="s">
        <v>388</v>
      </c>
      <c r="G755">
        <v>1.056</v>
      </c>
      <c r="H755">
        <v>9.9999999999999645</v>
      </c>
      <c r="I755">
        <v>3</v>
      </c>
      <c r="J755">
        <v>25.000000000000071</v>
      </c>
      <c r="K755" s="1" t="e">
        <f>INDEX($P$4:$AM$15,MATCH(MONTH($E755),$O$4:$O$15,0),MATCH(HOUR($F755),$P$3:$AM$3,0))</f>
        <v>#N/A</v>
      </c>
      <c r="L755" t="s">
        <v>231</v>
      </c>
    </row>
    <row r="756" spans="1:12" x14ac:dyDescent="0.25">
      <c r="A756">
        <v>755</v>
      </c>
      <c r="B756">
        <v>30008033</v>
      </c>
      <c r="C756">
        <v>2</v>
      </c>
      <c r="E756" s="110">
        <v>42553</v>
      </c>
      <c r="F756" s="111" t="s">
        <v>387</v>
      </c>
      <c r="G756">
        <v>0.26800000000000002</v>
      </c>
      <c r="H756">
        <v>9.9999999999999645</v>
      </c>
      <c r="I756">
        <v>3</v>
      </c>
      <c r="J756">
        <v>24.999999999999911</v>
      </c>
      <c r="K756" s="1" t="e">
        <f>INDEX($P$4:$AM$15,MATCH(MONTH($E756),$O$4:$O$15,0),MATCH(HOUR($F756),$P$3:$AM$3,0))</f>
        <v>#N/A</v>
      </c>
      <c r="L756" t="s">
        <v>231</v>
      </c>
    </row>
    <row r="757" spans="1:12" x14ac:dyDescent="0.25">
      <c r="A757">
        <v>756</v>
      </c>
      <c r="B757">
        <v>30008033</v>
      </c>
      <c r="C757">
        <v>3</v>
      </c>
      <c r="E757" s="110">
        <v>42553</v>
      </c>
      <c r="F757" s="111" t="s">
        <v>263</v>
      </c>
      <c r="G757">
        <v>0.83399999999999996</v>
      </c>
      <c r="H757">
        <v>20.000000000000007</v>
      </c>
      <c r="I757">
        <v>3</v>
      </c>
      <c r="J757">
        <v>1406</v>
      </c>
      <c r="K757" s="1" t="e">
        <f>INDEX($P$4:$AM$15,MATCH(MONTH($E757),$O$4:$O$15,0),MATCH(HOUR($F757),$P$3:$AM$3,0))</f>
        <v>#N/A</v>
      </c>
      <c r="L757" t="s">
        <v>231</v>
      </c>
    </row>
    <row r="758" spans="1:12" x14ac:dyDescent="0.25">
      <c r="A758">
        <v>757</v>
      </c>
      <c r="B758">
        <v>30009053</v>
      </c>
      <c r="C758">
        <v>1</v>
      </c>
      <c r="E758" s="110">
        <v>42554</v>
      </c>
      <c r="F758" s="111" t="s">
        <v>509</v>
      </c>
      <c r="G758">
        <v>2.1669999999999998</v>
      </c>
      <c r="H758">
        <v>9.000000000000048</v>
      </c>
      <c r="I758">
        <v>6</v>
      </c>
      <c r="J758">
        <v>40.000000000000014</v>
      </c>
      <c r="K758" s="1" t="e">
        <f>INDEX($P$4:$AM$15,MATCH(MONTH($E758),$O$4:$O$15,0),MATCH(HOUR($F758),$P$3:$AM$3,0))</f>
        <v>#N/A</v>
      </c>
      <c r="L758" t="s">
        <v>231</v>
      </c>
    </row>
    <row r="759" spans="1:12" x14ac:dyDescent="0.25">
      <c r="A759">
        <v>758</v>
      </c>
      <c r="B759">
        <v>30009053</v>
      </c>
      <c r="C759">
        <v>2</v>
      </c>
      <c r="E759" s="110">
        <v>42554</v>
      </c>
      <c r="F759" s="111" t="s">
        <v>314</v>
      </c>
      <c r="G759">
        <v>2.2709999999999999</v>
      </c>
      <c r="H759">
        <v>9.9999999999999645</v>
      </c>
      <c r="I759">
        <v>6</v>
      </c>
      <c r="J759">
        <v>1318</v>
      </c>
      <c r="K759" s="1" t="e">
        <f>INDEX($P$4:$AM$15,MATCH(MONTH($E759),$O$4:$O$15,0),MATCH(HOUR($F759),$P$3:$AM$3,0))</f>
        <v>#N/A</v>
      </c>
      <c r="L759" t="s">
        <v>231</v>
      </c>
    </row>
    <row r="760" spans="1:12" x14ac:dyDescent="0.25">
      <c r="A760">
        <v>759</v>
      </c>
      <c r="B760">
        <v>30009490</v>
      </c>
      <c r="C760">
        <v>1</v>
      </c>
      <c r="E760" s="110">
        <v>42555</v>
      </c>
      <c r="F760" s="111" t="s">
        <v>510</v>
      </c>
      <c r="G760">
        <v>1.5860000000000001</v>
      </c>
      <c r="H760">
        <v>8.0000000000000515</v>
      </c>
      <c r="I760">
        <v>3</v>
      </c>
      <c r="J760">
        <v>10.999999999999961</v>
      </c>
      <c r="K760" s="1" t="e">
        <f>INDEX($P$4:$AM$15,MATCH(MONTH($E760),$O$4:$O$15,0),MATCH(HOUR($F760),$P$3:$AM$3,0))</f>
        <v>#N/A</v>
      </c>
      <c r="L760" t="s">
        <v>249</v>
      </c>
    </row>
    <row r="761" spans="1:12" x14ac:dyDescent="0.25">
      <c r="A761">
        <v>760</v>
      </c>
      <c r="B761">
        <v>30009490</v>
      </c>
      <c r="C761">
        <v>2</v>
      </c>
      <c r="E761" s="110">
        <v>42555</v>
      </c>
      <c r="F761" s="111" t="s">
        <v>511</v>
      </c>
      <c r="G761">
        <v>2.3730000000000002</v>
      </c>
      <c r="H761">
        <v>8.999999999999968</v>
      </c>
      <c r="I761">
        <v>3</v>
      </c>
      <c r="J761">
        <v>52.000000000000057</v>
      </c>
      <c r="K761" s="1" t="e">
        <f>INDEX($P$4:$AM$15,MATCH(MONTH($E761),$O$4:$O$15,0),MATCH(HOUR($F761),$P$3:$AM$3,0))</f>
        <v>#N/A</v>
      </c>
      <c r="L761" t="s">
        <v>249</v>
      </c>
    </row>
    <row r="762" spans="1:12" x14ac:dyDescent="0.25">
      <c r="A762">
        <v>761</v>
      </c>
      <c r="B762">
        <v>30009490</v>
      </c>
      <c r="C762">
        <v>3</v>
      </c>
      <c r="E762" s="110">
        <v>42555</v>
      </c>
      <c r="F762" s="111" t="s">
        <v>512</v>
      </c>
      <c r="G762">
        <v>2.165</v>
      </c>
      <c r="H762">
        <v>12.999999999999954</v>
      </c>
      <c r="I762">
        <v>3</v>
      </c>
      <c r="J762">
        <v>1344</v>
      </c>
      <c r="K762" s="1" t="e">
        <f>INDEX($P$4:$AM$15,MATCH(MONTH($E762),$O$4:$O$15,0),MATCH(HOUR($F762),$P$3:$AM$3,0))</f>
        <v>#N/A</v>
      </c>
      <c r="L762" t="s">
        <v>249</v>
      </c>
    </row>
    <row r="763" spans="1:12" x14ac:dyDescent="0.25">
      <c r="A763">
        <v>762</v>
      </c>
      <c r="B763">
        <v>30011713</v>
      </c>
      <c r="C763">
        <v>1</v>
      </c>
      <c r="E763" s="110">
        <v>42556</v>
      </c>
      <c r="F763" s="111" t="s">
        <v>386</v>
      </c>
      <c r="G763">
        <v>3.0649999999999999</v>
      </c>
      <c r="H763">
        <v>10.999999999999961</v>
      </c>
      <c r="I763">
        <v>3</v>
      </c>
      <c r="J763">
        <v>19.000000000000014</v>
      </c>
      <c r="K763" s="1" t="e">
        <f>INDEX($P$4:$AM$15,MATCH(MONTH($E763),$O$4:$O$15,0),MATCH(HOUR($F763),$P$3:$AM$3,0))</f>
        <v>#N/A</v>
      </c>
      <c r="L763" t="s">
        <v>257</v>
      </c>
    </row>
    <row r="764" spans="1:12" x14ac:dyDescent="0.25">
      <c r="A764">
        <v>763</v>
      </c>
      <c r="B764">
        <v>30011713</v>
      </c>
      <c r="C764">
        <v>2</v>
      </c>
      <c r="E764" s="110">
        <v>42556</v>
      </c>
      <c r="F764" s="111" t="s">
        <v>497</v>
      </c>
      <c r="G764">
        <v>2.363</v>
      </c>
      <c r="H764">
        <v>15.000000000000027</v>
      </c>
      <c r="I764">
        <v>3</v>
      </c>
      <c r="J764">
        <v>19.999999999999929</v>
      </c>
      <c r="K764" s="1" t="e">
        <f>INDEX($P$4:$AM$15,MATCH(MONTH($E764),$O$4:$O$15,0),MATCH(HOUR($F764),$P$3:$AM$3,0))</f>
        <v>#N/A</v>
      </c>
      <c r="L764" t="s">
        <v>257</v>
      </c>
    </row>
    <row r="765" spans="1:12" x14ac:dyDescent="0.25">
      <c r="A765">
        <v>764</v>
      </c>
      <c r="B765">
        <v>30011713</v>
      </c>
      <c r="C765">
        <v>3</v>
      </c>
      <c r="E765" s="110">
        <v>42556</v>
      </c>
      <c r="F765" s="111" t="s">
        <v>513</v>
      </c>
      <c r="G765">
        <v>0.97399999999999998</v>
      </c>
      <c r="H765">
        <v>6.9999999999999751</v>
      </c>
      <c r="I765">
        <v>3</v>
      </c>
      <c r="J765">
        <v>1273</v>
      </c>
      <c r="K765" s="1" t="e">
        <f>INDEX($P$4:$AM$15,MATCH(MONTH($E765),$O$4:$O$15,0),MATCH(HOUR($F765),$P$3:$AM$3,0))</f>
        <v>#N/A</v>
      </c>
      <c r="L765" t="s">
        <v>257</v>
      </c>
    </row>
    <row r="766" spans="1:12" x14ac:dyDescent="0.25">
      <c r="A766">
        <v>765</v>
      </c>
      <c r="B766">
        <v>30020687</v>
      </c>
      <c r="C766">
        <v>1</v>
      </c>
      <c r="E766" s="110">
        <v>42557</v>
      </c>
      <c r="F766" s="111" t="s">
        <v>295</v>
      </c>
      <c r="G766">
        <v>6.5979999999999999</v>
      </c>
      <c r="H766">
        <v>20.000000000000007</v>
      </c>
      <c r="I766">
        <v>4</v>
      </c>
      <c r="J766">
        <v>90</v>
      </c>
      <c r="K766" s="1" t="e">
        <f>INDEX($P$4:$AM$15,MATCH(MONTH($E766),$O$4:$O$15,0),MATCH(HOUR($F766),$P$3:$AM$3,0))</f>
        <v>#N/A</v>
      </c>
      <c r="L766" t="s">
        <v>222</v>
      </c>
    </row>
    <row r="767" spans="1:12" x14ac:dyDescent="0.25">
      <c r="A767">
        <v>766</v>
      </c>
      <c r="B767">
        <v>30020687</v>
      </c>
      <c r="C767">
        <v>2</v>
      </c>
      <c r="E767" s="110">
        <v>42557</v>
      </c>
      <c r="F767" s="111" t="s">
        <v>417</v>
      </c>
      <c r="G767">
        <v>1.3859999999999999</v>
      </c>
      <c r="H767">
        <v>9.9999999999999645</v>
      </c>
      <c r="I767">
        <v>4</v>
      </c>
      <c r="J767">
        <v>1.0000000000000764</v>
      </c>
      <c r="K767" s="1" t="e">
        <f>INDEX($P$4:$AM$15,MATCH(MONTH($E767),$O$4:$O$15,0),MATCH(HOUR($F767),$P$3:$AM$3,0))</f>
        <v>#N/A</v>
      </c>
      <c r="L767" t="s">
        <v>222</v>
      </c>
    </row>
    <row r="768" spans="1:12" x14ac:dyDescent="0.25">
      <c r="A768">
        <v>767</v>
      </c>
      <c r="B768">
        <v>30020687</v>
      </c>
      <c r="C768">
        <v>3</v>
      </c>
      <c r="E768" s="110">
        <v>42557</v>
      </c>
      <c r="F768" s="111" t="s">
        <v>514</v>
      </c>
      <c r="G768">
        <v>0.40300000000000002</v>
      </c>
      <c r="H768">
        <v>5.9999999999999787</v>
      </c>
      <c r="I768">
        <v>4</v>
      </c>
      <c r="J768">
        <v>52.999999999999972</v>
      </c>
      <c r="K768" s="1" t="e">
        <f>INDEX($P$4:$AM$15,MATCH(MONTH($E768),$O$4:$O$15,0),MATCH(HOUR($F768),$P$3:$AM$3,0))</f>
        <v>#N/A</v>
      </c>
      <c r="L768" t="s">
        <v>222</v>
      </c>
    </row>
    <row r="769" spans="1:12" x14ac:dyDescent="0.25">
      <c r="A769">
        <v>768</v>
      </c>
      <c r="B769">
        <v>30020687</v>
      </c>
      <c r="C769">
        <v>4</v>
      </c>
      <c r="E769" s="110">
        <v>42557</v>
      </c>
      <c r="F769" s="111" t="s">
        <v>318</v>
      </c>
      <c r="G769">
        <v>0.41699999999999998</v>
      </c>
      <c r="H769">
        <v>6.9999999999999751</v>
      </c>
      <c r="I769">
        <v>4</v>
      </c>
      <c r="J769">
        <v>2.9999999999999893</v>
      </c>
      <c r="K769" s="1" t="e">
        <f>INDEX($P$4:$AM$15,MATCH(MONTH($E769),$O$4:$O$15,0),MATCH(HOUR($F769),$P$3:$AM$3,0))</f>
        <v>#N/A</v>
      </c>
      <c r="L769" t="s">
        <v>222</v>
      </c>
    </row>
    <row r="770" spans="1:12" x14ac:dyDescent="0.25">
      <c r="A770">
        <v>769</v>
      </c>
      <c r="B770">
        <v>30020687</v>
      </c>
      <c r="C770">
        <v>5</v>
      </c>
      <c r="E770" s="110">
        <v>42557</v>
      </c>
      <c r="F770" s="111" t="s">
        <v>224</v>
      </c>
      <c r="G770">
        <v>6.4320000000000004</v>
      </c>
      <c r="H770">
        <v>20.000000000000089</v>
      </c>
      <c r="I770">
        <v>4</v>
      </c>
      <c r="J770">
        <v>149.99999999999994</v>
      </c>
      <c r="K770" s="1" t="e">
        <f>INDEX($P$4:$AM$15,MATCH(MONTH($E770),$O$4:$O$15,0),MATCH(HOUR($F770),$P$3:$AM$3,0))</f>
        <v>#N/A</v>
      </c>
      <c r="L770" t="s">
        <v>222</v>
      </c>
    </row>
    <row r="771" spans="1:12" x14ac:dyDescent="0.25">
      <c r="A771">
        <v>770</v>
      </c>
      <c r="B771">
        <v>30020687</v>
      </c>
      <c r="C771">
        <v>6</v>
      </c>
      <c r="E771" s="110">
        <v>42557</v>
      </c>
      <c r="F771" s="111" t="s">
        <v>227</v>
      </c>
      <c r="G771">
        <v>4.6589999999999998</v>
      </c>
      <c r="H771">
        <v>20.000000000000089</v>
      </c>
      <c r="I771">
        <v>4</v>
      </c>
      <c r="J771">
        <v>69.999999999999915</v>
      </c>
      <c r="K771" s="1" t="e">
        <f>INDEX($P$4:$AM$15,MATCH(MONTH($E771),$O$4:$O$15,0),MATCH(HOUR($F771),$P$3:$AM$3,0))</f>
        <v>#N/A</v>
      </c>
      <c r="L771" t="s">
        <v>222</v>
      </c>
    </row>
    <row r="772" spans="1:12" x14ac:dyDescent="0.25">
      <c r="A772">
        <v>771</v>
      </c>
      <c r="B772">
        <v>30020687</v>
      </c>
      <c r="C772">
        <v>7</v>
      </c>
      <c r="E772" s="110">
        <v>42557</v>
      </c>
      <c r="F772" s="111" t="s">
        <v>247</v>
      </c>
      <c r="G772">
        <v>4.5220000000000002</v>
      </c>
      <c r="H772">
        <v>19.999999999999929</v>
      </c>
      <c r="I772">
        <v>4</v>
      </c>
      <c r="J772">
        <v>890.00000000000011</v>
      </c>
      <c r="K772" s="1" t="e">
        <f>INDEX($P$4:$AM$15,MATCH(MONTH($E772),$O$4:$O$15,0),MATCH(HOUR($F772),$P$3:$AM$3,0))</f>
        <v>#N/A</v>
      </c>
      <c r="L772" t="s">
        <v>222</v>
      </c>
    </row>
    <row r="773" spans="1:12" x14ac:dyDescent="0.25">
      <c r="A773">
        <v>772</v>
      </c>
      <c r="B773">
        <v>30020687</v>
      </c>
      <c r="C773">
        <v>1</v>
      </c>
      <c r="E773" s="110">
        <v>42558</v>
      </c>
      <c r="F773" s="111" t="s">
        <v>246</v>
      </c>
      <c r="G773">
        <v>6.5259999999999998</v>
      </c>
      <c r="H773">
        <v>19.999999999999929</v>
      </c>
      <c r="I773">
        <v>3</v>
      </c>
      <c r="J773">
        <v>540.00000000000011</v>
      </c>
      <c r="K773" s="1" t="e">
        <f>INDEX($P$4:$AM$15,MATCH(MONTH($E773),$O$4:$O$15,0),MATCH(HOUR($F773),$P$3:$AM$3,0))</f>
        <v>#N/A</v>
      </c>
      <c r="L773" t="s">
        <v>222</v>
      </c>
    </row>
    <row r="774" spans="1:12" x14ac:dyDescent="0.25">
      <c r="A774">
        <v>773</v>
      </c>
      <c r="B774">
        <v>30020687</v>
      </c>
      <c r="C774">
        <v>2</v>
      </c>
      <c r="E774" s="110">
        <v>42558</v>
      </c>
      <c r="F774" s="111" t="s">
        <v>229</v>
      </c>
      <c r="G774">
        <v>2.9239999999999999</v>
      </c>
      <c r="H774">
        <v>19.999999999999929</v>
      </c>
      <c r="I774">
        <v>3</v>
      </c>
      <c r="J774">
        <v>459.99999999999989</v>
      </c>
      <c r="K774" s="1" t="e">
        <f>INDEX($P$4:$AM$15,MATCH(MONTH($E774),$O$4:$O$15,0),MATCH(HOUR($F774),$P$3:$AM$3,0))</f>
        <v>#N/A</v>
      </c>
      <c r="L774" t="s">
        <v>222</v>
      </c>
    </row>
    <row r="775" spans="1:12" x14ac:dyDescent="0.25">
      <c r="A775">
        <v>774</v>
      </c>
      <c r="B775">
        <v>30020687</v>
      </c>
      <c r="C775">
        <v>1</v>
      </c>
      <c r="E775" s="110">
        <v>42559</v>
      </c>
      <c r="F775" s="111" t="s">
        <v>515</v>
      </c>
      <c r="G775">
        <v>6.5</v>
      </c>
      <c r="H775">
        <v>20</v>
      </c>
      <c r="I775">
        <v>3</v>
      </c>
      <c r="J775">
        <v>424.99999999999994</v>
      </c>
      <c r="K775" s="1" t="e">
        <f>INDEX($P$4:$AM$15,MATCH(MONTH($E775),$O$4:$O$15,0),MATCH(HOUR($F775),$P$3:$AM$3,0))</f>
        <v>#N/A</v>
      </c>
      <c r="L775" t="s">
        <v>222</v>
      </c>
    </row>
    <row r="776" spans="1:12" x14ac:dyDescent="0.25">
      <c r="A776">
        <v>775</v>
      </c>
      <c r="B776">
        <v>30025164</v>
      </c>
      <c r="C776">
        <v>2</v>
      </c>
      <c r="E776" s="110">
        <v>42559</v>
      </c>
      <c r="F776" s="111" t="s">
        <v>226</v>
      </c>
      <c r="G776">
        <v>5.2729999999999997</v>
      </c>
      <c r="H776">
        <v>35.000000000000036</v>
      </c>
      <c r="I776">
        <v>3</v>
      </c>
      <c r="J776">
        <v>1.0000000000000764</v>
      </c>
      <c r="K776" s="1" t="e">
        <f>INDEX($P$4:$AM$15,MATCH(MONTH($E776),$O$4:$O$15,0),MATCH(HOUR($F776),$P$3:$AM$3,0))</f>
        <v>#N/A</v>
      </c>
      <c r="L776" t="s">
        <v>302</v>
      </c>
    </row>
    <row r="777" spans="1:12" x14ac:dyDescent="0.25">
      <c r="A777">
        <v>776</v>
      </c>
      <c r="B777">
        <v>30025164</v>
      </c>
      <c r="C777">
        <v>3</v>
      </c>
      <c r="E777" s="110">
        <v>42559</v>
      </c>
      <c r="F777" s="111" t="s">
        <v>516</v>
      </c>
      <c r="G777">
        <v>31.381</v>
      </c>
      <c r="H777">
        <v>38.999999999999858</v>
      </c>
      <c r="I777">
        <v>3</v>
      </c>
      <c r="J777">
        <v>17.000000000000021</v>
      </c>
      <c r="K777" s="1" t="e">
        <f>INDEX($P$4:$AM$15,MATCH(MONTH($E777),$O$4:$O$15,0),MATCH(HOUR($F777),$P$3:$AM$3,0))</f>
        <v>#N/A</v>
      </c>
      <c r="L777" t="s">
        <v>302</v>
      </c>
    </row>
    <row r="778" spans="1:12" x14ac:dyDescent="0.25">
      <c r="A778">
        <v>777</v>
      </c>
      <c r="B778">
        <v>30025164</v>
      </c>
      <c r="C778">
        <v>4</v>
      </c>
      <c r="E778" s="110">
        <v>42559</v>
      </c>
      <c r="F778" s="111" t="s">
        <v>517</v>
      </c>
      <c r="G778">
        <v>11.279</v>
      </c>
      <c r="H778">
        <v>23.000000000000078</v>
      </c>
      <c r="I778">
        <v>3</v>
      </c>
      <c r="J778">
        <v>54.999999999999964</v>
      </c>
      <c r="K778" s="1" t="e">
        <f>INDEX($P$4:$AM$15,MATCH(MONTH($E778),$O$4:$O$15,0),MATCH(HOUR($F778),$P$3:$AM$3,0))</f>
        <v>#N/A</v>
      </c>
      <c r="L778" t="s">
        <v>302</v>
      </c>
    </row>
    <row r="779" spans="1:12" x14ac:dyDescent="0.25">
      <c r="A779">
        <v>778</v>
      </c>
      <c r="B779">
        <v>30025164</v>
      </c>
      <c r="C779">
        <v>5</v>
      </c>
      <c r="E779" s="110">
        <v>42559</v>
      </c>
      <c r="F779" s="111" t="s">
        <v>327</v>
      </c>
      <c r="G779">
        <v>10.303000000000001</v>
      </c>
      <c r="H779">
        <v>24.999999999999993</v>
      </c>
      <c r="I779">
        <v>3</v>
      </c>
      <c r="J779">
        <v>4.9999999999999822</v>
      </c>
      <c r="K779" s="1" t="e">
        <f>INDEX($P$4:$AM$15,MATCH(MONTH($E779),$O$4:$O$15,0),MATCH(HOUR($F779),$P$3:$AM$3,0))</f>
        <v>#N/A</v>
      </c>
      <c r="L779" t="s">
        <v>302</v>
      </c>
    </row>
    <row r="780" spans="1:12" x14ac:dyDescent="0.25">
      <c r="A780">
        <v>779</v>
      </c>
      <c r="B780">
        <v>30025164</v>
      </c>
      <c r="C780">
        <v>6</v>
      </c>
      <c r="E780" s="110">
        <v>42559</v>
      </c>
      <c r="F780" s="111" t="s">
        <v>223</v>
      </c>
      <c r="G780">
        <v>16.843</v>
      </c>
      <c r="H780">
        <v>17.000000000000021</v>
      </c>
      <c r="I780">
        <v>3</v>
      </c>
      <c r="J780">
        <v>9.9999999999999645</v>
      </c>
      <c r="K780" s="1" t="e">
        <f>INDEX($P$4:$AM$15,MATCH(MONTH($E780),$O$4:$O$15,0),MATCH(HOUR($F780),$P$3:$AM$3,0))</f>
        <v>#N/A</v>
      </c>
      <c r="L780" t="s">
        <v>302</v>
      </c>
    </row>
    <row r="781" spans="1:12" x14ac:dyDescent="0.25">
      <c r="A781">
        <v>780</v>
      </c>
      <c r="B781">
        <v>30025164</v>
      </c>
      <c r="C781">
        <v>7</v>
      </c>
      <c r="E781" s="110">
        <v>42559</v>
      </c>
      <c r="F781" s="111" t="s">
        <v>518</v>
      </c>
      <c r="G781">
        <v>33.863999999999997</v>
      </c>
      <c r="H781">
        <v>38.000000000000028</v>
      </c>
      <c r="I781">
        <v>3</v>
      </c>
      <c r="J781">
        <v>115.00000000000007</v>
      </c>
      <c r="K781" s="1" t="e">
        <f>INDEX($P$4:$AM$15,MATCH(MONTH($E781),$O$4:$O$15,0),MATCH(HOUR($F781),$P$3:$AM$3,0))</f>
        <v>#N/A</v>
      </c>
      <c r="L781" t="s">
        <v>302</v>
      </c>
    </row>
    <row r="782" spans="1:12" x14ac:dyDescent="0.25">
      <c r="A782">
        <v>781</v>
      </c>
      <c r="B782">
        <v>30025164</v>
      </c>
      <c r="C782">
        <v>8</v>
      </c>
      <c r="E782" s="110">
        <v>42559</v>
      </c>
      <c r="F782" s="111" t="s">
        <v>342</v>
      </c>
      <c r="G782">
        <v>4.1890000000000001</v>
      </c>
      <c r="H782">
        <v>12.999999999999954</v>
      </c>
      <c r="I782">
        <v>3</v>
      </c>
      <c r="J782">
        <v>59.999999999999943</v>
      </c>
      <c r="K782" s="1" t="e">
        <f>INDEX($P$4:$AM$15,MATCH(MONTH($E782),$O$4:$O$15,0),MATCH(HOUR($F782),$P$3:$AM$3,0))</f>
        <v>#N/A</v>
      </c>
      <c r="L782" t="s">
        <v>302</v>
      </c>
    </row>
    <row r="783" spans="1:12" x14ac:dyDescent="0.25">
      <c r="A783">
        <v>782</v>
      </c>
      <c r="B783">
        <v>30025164</v>
      </c>
      <c r="C783">
        <v>9</v>
      </c>
      <c r="E783" s="110">
        <v>42559</v>
      </c>
      <c r="F783" s="111" t="s">
        <v>519</v>
      </c>
      <c r="G783">
        <v>3.33</v>
      </c>
      <c r="H783">
        <v>6.9999999999999751</v>
      </c>
      <c r="I783">
        <v>3</v>
      </c>
      <c r="J783">
        <v>27.000000000000224</v>
      </c>
      <c r="K783" s="1" t="e">
        <f>INDEX($P$4:$AM$15,MATCH(MONTH($E783),$O$4:$O$15,0),MATCH(HOUR($F783),$P$3:$AM$3,0))</f>
        <v>#N/A</v>
      </c>
      <c r="L783" t="s">
        <v>302</v>
      </c>
    </row>
    <row r="784" spans="1:12" x14ac:dyDescent="0.25">
      <c r="A784">
        <v>783</v>
      </c>
      <c r="B784">
        <v>30025164</v>
      </c>
      <c r="C784">
        <v>10</v>
      </c>
      <c r="E784" s="110">
        <v>42559</v>
      </c>
      <c r="F784" s="111" t="s">
        <v>372</v>
      </c>
      <c r="G784">
        <v>0.85099999999999998</v>
      </c>
      <c r="H784">
        <v>4.9999999999998224</v>
      </c>
      <c r="I784">
        <v>3</v>
      </c>
      <c r="J784">
        <v>102.99999999999996</v>
      </c>
      <c r="K784" s="1" t="e">
        <f>INDEX($P$4:$AM$15,MATCH(MONTH($E784),$O$4:$O$15,0),MATCH(HOUR($F784),$P$3:$AM$3,0))</f>
        <v>#N/A</v>
      </c>
      <c r="L784" t="s">
        <v>302</v>
      </c>
    </row>
    <row r="785" spans="1:12" x14ac:dyDescent="0.25">
      <c r="A785">
        <v>784</v>
      </c>
      <c r="B785">
        <v>30025164</v>
      </c>
      <c r="C785">
        <v>11</v>
      </c>
      <c r="E785" s="110">
        <v>42559</v>
      </c>
      <c r="F785" s="111" t="s">
        <v>280</v>
      </c>
      <c r="G785">
        <v>2.0409999999999999</v>
      </c>
      <c r="H785">
        <v>6.0000000000001386</v>
      </c>
      <c r="I785">
        <v>3</v>
      </c>
      <c r="J785">
        <v>103.99999999999994</v>
      </c>
      <c r="K785" s="1" t="e">
        <f>INDEX($P$4:$AM$15,MATCH(MONTH($E785),$O$4:$O$15,0),MATCH(HOUR($F785),$P$3:$AM$3,0))</f>
        <v>#N/A</v>
      </c>
      <c r="L785" t="s">
        <v>302</v>
      </c>
    </row>
    <row r="786" spans="1:12" x14ac:dyDescent="0.25">
      <c r="A786">
        <v>785</v>
      </c>
      <c r="B786">
        <v>30025164</v>
      </c>
      <c r="C786">
        <v>12</v>
      </c>
      <c r="E786" s="110">
        <v>42559</v>
      </c>
      <c r="F786" s="111" t="s">
        <v>520</v>
      </c>
      <c r="G786">
        <v>2.0409999999999999</v>
      </c>
      <c r="H786">
        <v>7.000000000000135</v>
      </c>
      <c r="I786">
        <v>3</v>
      </c>
      <c r="J786">
        <v>947.99999999999977</v>
      </c>
      <c r="K786" s="1" t="e">
        <f>INDEX($P$4:$AM$15,MATCH(MONTH($E786),$O$4:$O$15,0),MATCH(HOUR($F786),$P$3:$AM$3,0))</f>
        <v>#N/A</v>
      </c>
      <c r="L786" t="s">
        <v>302</v>
      </c>
    </row>
    <row r="787" spans="1:12" x14ac:dyDescent="0.25">
      <c r="A787">
        <v>786</v>
      </c>
      <c r="B787">
        <v>30027339</v>
      </c>
      <c r="C787">
        <v>1</v>
      </c>
      <c r="E787" s="110">
        <v>42560</v>
      </c>
      <c r="F787" s="111" t="s">
        <v>237</v>
      </c>
      <c r="G787">
        <v>0.17799999999999999</v>
      </c>
      <c r="H787">
        <v>9.9999999999999645</v>
      </c>
      <c r="I787">
        <v>3</v>
      </c>
      <c r="J787">
        <v>5.0000000000001421</v>
      </c>
      <c r="K787" s="1" t="e">
        <f>INDEX($P$4:$AM$15,MATCH(MONTH($E787),$O$4:$O$15,0),MATCH(HOUR($F787),$P$3:$AM$3,0))</f>
        <v>#N/A</v>
      </c>
      <c r="L787" t="s">
        <v>218</v>
      </c>
    </row>
    <row r="788" spans="1:12" x14ac:dyDescent="0.25">
      <c r="A788">
        <v>787</v>
      </c>
      <c r="B788">
        <v>30027339</v>
      </c>
      <c r="C788">
        <v>2</v>
      </c>
      <c r="E788" s="110">
        <v>42560</v>
      </c>
      <c r="F788" s="111" t="s">
        <v>355</v>
      </c>
      <c r="G788">
        <v>12.923</v>
      </c>
      <c r="H788">
        <v>14.999999999999947</v>
      </c>
      <c r="I788">
        <v>3</v>
      </c>
      <c r="J788">
        <v>24.999999999999911</v>
      </c>
      <c r="K788" s="1" t="e">
        <f>INDEX($P$4:$AM$15,MATCH(MONTH($E788),$O$4:$O$15,0),MATCH(HOUR($F788),$P$3:$AM$3,0))</f>
        <v>#N/A</v>
      </c>
      <c r="L788" t="s">
        <v>218</v>
      </c>
    </row>
    <row r="789" spans="1:12" x14ac:dyDescent="0.25">
      <c r="A789">
        <v>788</v>
      </c>
      <c r="B789">
        <v>30027339</v>
      </c>
      <c r="C789">
        <v>3</v>
      </c>
      <c r="E789" s="110">
        <v>42560</v>
      </c>
      <c r="F789" s="111" t="s">
        <v>219</v>
      </c>
      <c r="G789">
        <v>29.131</v>
      </c>
      <c r="H789">
        <v>45</v>
      </c>
      <c r="I789">
        <v>3</v>
      </c>
      <c r="J789">
        <v>65.000000000000085</v>
      </c>
      <c r="K789" s="1" t="e">
        <f>INDEX($P$4:$AM$15,MATCH(MONTH($E789),$O$4:$O$15,0),MATCH(HOUR($F789),$P$3:$AM$3,0))</f>
        <v>#N/A</v>
      </c>
      <c r="L789" t="s">
        <v>218</v>
      </c>
    </row>
    <row r="790" spans="1:12" x14ac:dyDescent="0.25">
      <c r="A790">
        <v>789</v>
      </c>
      <c r="B790">
        <v>30027339</v>
      </c>
      <c r="C790">
        <v>4</v>
      </c>
      <c r="E790" s="110">
        <v>42560</v>
      </c>
      <c r="F790" s="111" t="s">
        <v>328</v>
      </c>
      <c r="G790">
        <v>35.381</v>
      </c>
      <c r="H790">
        <v>49.999999999999986</v>
      </c>
      <c r="I790">
        <v>3</v>
      </c>
      <c r="J790">
        <v>60.000000000000107</v>
      </c>
      <c r="K790" s="1" t="e">
        <f>INDEX($P$4:$AM$15,MATCH(MONTH($E790),$O$4:$O$15,0),MATCH(HOUR($F790),$P$3:$AM$3,0))</f>
        <v>#N/A</v>
      </c>
      <c r="L790" t="s">
        <v>218</v>
      </c>
    </row>
    <row r="791" spans="1:12" x14ac:dyDescent="0.25">
      <c r="A791">
        <v>790</v>
      </c>
      <c r="B791">
        <v>30027339</v>
      </c>
      <c r="C791">
        <v>5</v>
      </c>
      <c r="E791" s="110">
        <v>42560</v>
      </c>
      <c r="F791" s="111" t="s">
        <v>270</v>
      </c>
      <c r="G791">
        <v>198.154</v>
      </c>
      <c r="H791">
        <v>189.9999999999998</v>
      </c>
      <c r="I791">
        <v>3</v>
      </c>
      <c r="J791">
        <v>970</v>
      </c>
      <c r="K791" s="1" t="e">
        <f>INDEX($P$4:$AM$15,MATCH(MONTH($E791),$O$4:$O$15,0),MATCH(HOUR($F791),$P$3:$AM$3,0))</f>
        <v>#N/A</v>
      </c>
      <c r="L791" t="s">
        <v>218</v>
      </c>
    </row>
    <row r="792" spans="1:12" x14ac:dyDescent="0.25">
      <c r="A792">
        <v>791</v>
      </c>
      <c r="B792">
        <v>30031122</v>
      </c>
      <c r="C792">
        <v>1</v>
      </c>
      <c r="E792" s="110">
        <v>42561</v>
      </c>
      <c r="F792" s="111" t="s">
        <v>318</v>
      </c>
      <c r="G792">
        <v>5.2670000000000003</v>
      </c>
      <c r="H792">
        <v>9.9999999999999645</v>
      </c>
      <c r="I792">
        <v>3</v>
      </c>
      <c r="J792">
        <v>35.000000000000036</v>
      </c>
      <c r="K792" s="1" t="e">
        <f>INDEX($P$4:$AM$15,MATCH(MONTH($E792),$O$4:$O$15,0),MATCH(HOUR($F792),$P$3:$AM$3,0))</f>
        <v>#N/A</v>
      </c>
      <c r="L792" t="s">
        <v>249</v>
      </c>
    </row>
    <row r="793" spans="1:12" x14ac:dyDescent="0.25">
      <c r="A793">
        <v>792</v>
      </c>
      <c r="B793">
        <v>30031122</v>
      </c>
      <c r="C793">
        <v>2</v>
      </c>
      <c r="E793" s="110">
        <v>42561</v>
      </c>
      <c r="F793" s="111" t="s">
        <v>225</v>
      </c>
      <c r="G793">
        <v>5.2850000000000001</v>
      </c>
      <c r="H793">
        <v>14.999999999999947</v>
      </c>
      <c r="I793">
        <v>3</v>
      </c>
      <c r="J793">
        <v>420.00000000000011</v>
      </c>
      <c r="K793" s="1" t="e">
        <f>INDEX($P$4:$AM$15,MATCH(MONTH($E793),$O$4:$O$15,0),MATCH(HOUR($F793),$P$3:$AM$3,0))</f>
        <v>#N/A</v>
      </c>
      <c r="L793" t="s">
        <v>249</v>
      </c>
    </row>
    <row r="794" spans="1:12" x14ac:dyDescent="0.25">
      <c r="A794">
        <v>793</v>
      </c>
      <c r="B794">
        <v>30031122</v>
      </c>
      <c r="C794">
        <v>3</v>
      </c>
      <c r="E794" s="110">
        <v>42561</v>
      </c>
      <c r="F794" s="111" t="s">
        <v>319</v>
      </c>
      <c r="G794">
        <v>3.262</v>
      </c>
      <c r="H794">
        <v>9.9999999999999645</v>
      </c>
      <c r="I794">
        <v>3</v>
      </c>
      <c r="J794">
        <v>1.9999999999999929</v>
      </c>
      <c r="K794" s="1" t="e">
        <f>INDEX($P$4:$AM$15,MATCH(MONTH($E794),$O$4:$O$15,0),MATCH(HOUR($F794),$P$3:$AM$3,0))</f>
        <v>#N/A</v>
      </c>
      <c r="L794" t="s">
        <v>249</v>
      </c>
    </row>
    <row r="795" spans="1:12" x14ac:dyDescent="0.25">
      <c r="A795">
        <v>794</v>
      </c>
      <c r="B795">
        <v>30031122</v>
      </c>
      <c r="C795">
        <v>4</v>
      </c>
      <c r="E795" s="110">
        <v>42561</v>
      </c>
      <c r="F795" s="111" t="s">
        <v>521</v>
      </c>
      <c r="G795">
        <v>3.262</v>
      </c>
      <c r="H795">
        <v>5.9999999999999787</v>
      </c>
      <c r="I795">
        <v>3</v>
      </c>
      <c r="J795">
        <v>792</v>
      </c>
      <c r="K795" s="1" t="e">
        <f>INDEX($P$4:$AM$15,MATCH(MONTH($E795),$O$4:$O$15,0),MATCH(HOUR($F795),$P$3:$AM$3,0))</f>
        <v>#N/A</v>
      </c>
      <c r="L795" t="s">
        <v>249</v>
      </c>
    </row>
    <row r="796" spans="1:12" x14ac:dyDescent="0.25">
      <c r="A796">
        <v>795</v>
      </c>
      <c r="B796">
        <v>30031193</v>
      </c>
      <c r="C796">
        <v>1</v>
      </c>
      <c r="E796" s="110">
        <v>42562</v>
      </c>
      <c r="F796" s="111" t="s">
        <v>326</v>
      </c>
      <c r="G796">
        <v>0.51200000000000001</v>
      </c>
      <c r="H796">
        <v>9.9999999999999645</v>
      </c>
      <c r="I796">
        <v>3</v>
      </c>
      <c r="J796">
        <v>10.000000000000124</v>
      </c>
      <c r="K796" s="1" t="e">
        <f>INDEX($P$4:$AM$15,MATCH(MONTH($E796),$O$4:$O$15,0),MATCH(HOUR($F796),$P$3:$AM$3,0))</f>
        <v>#N/A</v>
      </c>
      <c r="L796" t="s">
        <v>218</v>
      </c>
    </row>
    <row r="797" spans="1:12" x14ac:dyDescent="0.25">
      <c r="A797">
        <v>796</v>
      </c>
      <c r="B797">
        <v>30031193</v>
      </c>
      <c r="C797">
        <v>2</v>
      </c>
      <c r="E797" s="110">
        <v>42562</v>
      </c>
      <c r="F797" s="111" t="s">
        <v>267</v>
      </c>
      <c r="G797">
        <v>2.6909999999999998</v>
      </c>
      <c r="H797">
        <v>19.999999999999929</v>
      </c>
      <c r="I797">
        <v>3</v>
      </c>
      <c r="J797">
        <v>35.000000000000036</v>
      </c>
      <c r="K797" s="1" t="e">
        <f>INDEX($P$4:$AM$15,MATCH(MONTH($E797),$O$4:$O$15,0),MATCH(HOUR($F797),$P$3:$AM$3,0))</f>
        <v>#N/A</v>
      </c>
      <c r="L797" t="s">
        <v>218</v>
      </c>
    </row>
    <row r="798" spans="1:12" x14ac:dyDescent="0.25">
      <c r="A798">
        <v>797</v>
      </c>
      <c r="B798">
        <v>30031193</v>
      </c>
      <c r="C798">
        <v>3</v>
      </c>
      <c r="E798" s="110">
        <v>42562</v>
      </c>
      <c r="F798" s="111" t="s">
        <v>388</v>
      </c>
      <c r="G798">
        <v>1.2509999999999999</v>
      </c>
      <c r="H798">
        <v>14.999999999999947</v>
      </c>
      <c r="I798">
        <v>3</v>
      </c>
      <c r="J798">
        <v>9.9999999999999645</v>
      </c>
      <c r="K798" s="1" t="e">
        <f>INDEX($P$4:$AM$15,MATCH(MONTH($E798),$O$4:$O$15,0),MATCH(HOUR($F798),$P$3:$AM$3,0))</f>
        <v>#N/A</v>
      </c>
      <c r="L798" t="s">
        <v>218</v>
      </c>
    </row>
    <row r="799" spans="1:12" x14ac:dyDescent="0.25">
      <c r="A799">
        <v>798</v>
      </c>
      <c r="B799">
        <v>30031193</v>
      </c>
      <c r="C799">
        <v>4</v>
      </c>
      <c r="E799" s="110">
        <v>42562</v>
      </c>
      <c r="F799" s="111" t="s">
        <v>337</v>
      </c>
      <c r="G799">
        <v>1.056</v>
      </c>
      <c r="H799">
        <v>10.000000000000124</v>
      </c>
      <c r="I799">
        <v>3</v>
      </c>
      <c r="J799">
        <v>4.9999999999999023</v>
      </c>
      <c r="K799" s="1" t="e">
        <f>INDEX($P$4:$AM$15,MATCH(MONTH($E799),$O$4:$O$15,0),MATCH(HOUR($F799),$P$3:$AM$3,0))</f>
        <v>#N/A</v>
      </c>
      <c r="L799" t="s">
        <v>218</v>
      </c>
    </row>
    <row r="800" spans="1:12" x14ac:dyDescent="0.25">
      <c r="A800">
        <v>799</v>
      </c>
      <c r="B800">
        <v>30031193</v>
      </c>
      <c r="C800">
        <v>5</v>
      </c>
      <c r="E800" s="110">
        <v>42562</v>
      </c>
      <c r="F800" s="111" t="s">
        <v>522</v>
      </c>
      <c r="G800">
        <v>9.7479999999999993</v>
      </c>
      <c r="H800">
        <v>45</v>
      </c>
      <c r="I800">
        <v>3</v>
      </c>
      <c r="J800">
        <v>65.000000000000085</v>
      </c>
      <c r="K800" s="1" t="e">
        <f>INDEX($P$4:$AM$15,MATCH(MONTH($E800),$O$4:$O$15,0),MATCH(HOUR($F800),$P$3:$AM$3,0))</f>
        <v>#N/A</v>
      </c>
      <c r="L800" t="s">
        <v>218</v>
      </c>
    </row>
    <row r="801" spans="1:12" x14ac:dyDescent="0.25">
      <c r="A801">
        <v>800</v>
      </c>
      <c r="B801">
        <v>30031193</v>
      </c>
      <c r="C801">
        <v>6</v>
      </c>
      <c r="E801" s="110">
        <v>42562</v>
      </c>
      <c r="F801" s="111" t="s">
        <v>369</v>
      </c>
      <c r="G801">
        <v>12.653</v>
      </c>
      <c r="H801">
        <v>45</v>
      </c>
      <c r="I801">
        <v>3</v>
      </c>
      <c r="J801">
        <v>119.99999999999989</v>
      </c>
      <c r="K801" s="1" t="e">
        <f>INDEX($P$4:$AM$15,MATCH(MONTH($E801),$O$4:$O$15,0),MATCH(HOUR($F801),$P$3:$AM$3,0))</f>
        <v>#N/A</v>
      </c>
      <c r="L801" t="s">
        <v>218</v>
      </c>
    </row>
    <row r="802" spans="1:12" x14ac:dyDescent="0.25">
      <c r="A802">
        <v>801</v>
      </c>
      <c r="B802">
        <v>30031193</v>
      </c>
      <c r="C802">
        <v>7</v>
      </c>
      <c r="E802" s="110">
        <v>42562</v>
      </c>
      <c r="F802" s="111" t="s">
        <v>252</v>
      </c>
      <c r="G802">
        <v>0.871</v>
      </c>
      <c r="H802">
        <v>10.000000000000124</v>
      </c>
      <c r="I802">
        <v>3</v>
      </c>
      <c r="J802">
        <v>1100</v>
      </c>
      <c r="K802" s="1" t="e">
        <f>INDEX($P$4:$AM$15,MATCH(MONTH($E802),$O$4:$O$15,0),MATCH(HOUR($F802),$P$3:$AM$3,0))</f>
        <v>#N/A</v>
      </c>
      <c r="L802" t="s">
        <v>218</v>
      </c>
    </row>
    <row r="803" spans="1:12" x14ac:dyDescent="0.25">
      <c r="A803">
        <v>802</v>
      </c>
      <c r="B803">
        <v>30035951</v>
      </c>
      <c r="C803">
        <v>1</v>
      </c>
      <c r="E803" s="110">
        <v>42563</v>
      </c>
      <c r="F803" s="111" t="s">
        <v>217</v>
      </c>
      <c r="G803">
        <v>0.94099999999999995</v>
      </c>
      <c r="H803">
        <v>9.9999999999999645</v>
      </c>
      <c r="I803">
        <v>6</v>
      </c>
      <c r="J803">
        <v>155.00000000000009</v>
      </c>
      <c r="K803" s="1" t="e">
        <f>INDEX($P$4:$AM$15,MATCH(MONTH($E803),$O$4:$O$15,0),MATCH(HOUR($F803),$P$3:$AM$3,0))</f>
        <v>#N/A</v>
      </c>
      <c r="L803" t="s">
        <v>222</v>
      </c>
    </row>
    <row r="804" spans="1:12" x14ac:dyDescent="0.25">
      <c r="A804">
        <v>803</v>
      </c>
      <c r="B804">
        <v>30035951</v>
      </c>
      <c r="C804">
        <v>2</v>
      </c>
      <c r="E804" s="110">
        <v>42563</v>
      </c>
      <c r="F804" s="111" t="s">
        <v>369</v>
      </c>
      <c r="G804">
        <v>1.788</v>
      </c>
      <c r="H804">
        <v>11.999999999999957</v>
      </c>
      <c r="I804">
        <v>6</v>
      </c>
      <c r="J804">
        <v>0.99999999999999645</v>
      </c>
      <c r="K804" s="1" t="e">
        <f>INDEX($P$4:$AM$15,MATCH(MONTH($E804),$O$4:$O$15,0),MATCH(HOUR($F804),$P$3:$AM$3,0))</f>
        <v>#N/A</v>
      </c>
      <c r="L804" t="s">
        <v>222</v>
      </c>
    </row>
    <row r="805" spans="1:12" x14ac:dyDescent="0.25">
      <c r="A805">
        <v>804</v>
      </c>
      <c r="B805">
        <v>30035951</v>
      </c>
      <c r="C805">
        <v>3</v>
      </c>
      <c r="E805" s="110">
        <v>42563</v>
      </c>
      <c r="F805" s="111" t="s">
        <v>523</v>
      </c>
      <c r="G805">
        <v>0.16900000000000001</v>
      </c>
      <c r="H805">
        <v>0.99999999999999645</v>
      </c>
      <c r="I805">
        <v>6</v>
      </c>
      <c r="J805">
        <v>8.999999999999968</v>
      </c>
      <c r="K805" s="1" t="e">
        <f>INDEX($P$4:$AM$15,MATCH(MONTH($E805),$O$4:$O$15,0),MATCH(HOUR($F805),$P$3:$AM$3,0))</f>
        <v>#N/A</v>
      </c>
      <c r="L805" t="s">
        <v>222</v>
      </c>
    </row>
    <row r="806" spans="1:12" x14ac:dyDescent="0.25">
      <c r="A806">
        <v>805</v>
      </c>
      <c r="B806">
        <v>30035951</v>
      </c>
      <c r="C806">
        <v>4</v>
      </c>
      <c r="E806" s="110">
        <v>42563</v>
      </c>
      <c r="F806" s="111" t="s">
        <v>524</v>
      </c>
      <c r="G806">
        <v>1.611</v>
      </c>
      <c r="H806">
        <v>6.9999999999999751</v>
      </c>
      <c r="I806">
        <v>6</v>
      </c>
      <c r="J806">
        <v>315</v>
      </c>
      <c r="K806" s="1" t="e">
        <f>INDEX($P$4:$AM$15,MATCH(MONTH($E806),$O$4:$O$15,0),MATCH(HOUR($F806),$P$3:$AM$3,0))</f>
        <v>#N/A</v>
      </c>
      <c r="L806" t="s">
        <v>222</v>
      </c>
    </row>
    <row r="807" spans="1:12" x14ac:dyDescent="0.25">
      <c r="A807">
        <v>806</v>
      </c>
      <c r="B807">
        <v>30035951</v>
      </c>
      <c r="C807">
        <v>5</v>
      </c>
      <c r="E807" s="110">
        <v>42563</v>
      </c>
      <c r="F807" s="111" t="s">
        <v>245</v>
      </c>
      <c r="G807">
        <v>1.161</v>
      </c>
      <c r="H807">
        <v>6.0000000000001386</v>
      </c>
      <c r="I807">
        <v>6</v>
      </c>
      <c r="J807">
        <v>683</v>
      </c>
      <c r="K807" s="1" t="e">
        <f>INDEX($P$4:$AM$15,MATCH(MONTH($E807),$O$4:$O$15,0),MATCH(HOUR($F807),$P$3:$AM$3,0))</f>
        <v>#N/A</v>
      </c>
      <c r="L807" t="s">
        <v>222</v>
      </c>
    </row>
    <row r="808" spans="1:12" x14ac:dyDescent="0.25">
      <c r="A808">
        <v>807</v>
      </c>
      <c r="B808">
        <v>30040611</v>
      </c>
      <c r="C808">
        <v>1</v>
      </c>
      <c r="E808" s="110">
        <v>42564</v>
      </c>
      <c r="F808" s="111" t="s">
        <v>525</v>
      </c>
      <c r="G808">
        <v>11.494</v>
      </c>
      <c r="H808">
        <v>21.000000000000007</v>
      </c>
      <c r="I808">
        <v>4</v>
      </c>
      <c r="J808">
        <v>640</v>
      </c>
      <c r="K808" s="1" t="e">
        <f>INDEX($P$4:$AM$15,MATCH(MONTH($E808),$O$4:$O$15,0),MATCH(HOUR($F808),$P$3:$AM$3,0))</f>
        <v>#N/A</v>
      </c>
      <c r="L808" t="s">
        <v>218</v>
      </c>
    </row>
    <row r="809" spans="1:12" x14ac:dyDescent="0.25">
      <c r="A809">
        <v>808</v>
      </c>
      <c r="B809">
        <v>30040611</v>
      </c>
      <c r="C809">
        <v>2</v>
      </c>
      <c r="E809" s="110">
        <v>42564</v>
      </c>
      <c r="F809" s="111" t="s">
        <v>258</v>
      </c>
      <c r="G809">
        <v>10.058999999999999</v>
      </c>
      <c r="H809">
        <v>23.000000000000078</v>
      </c>
      <c r="I809">
        <v>4</v>
      </c>
      <c r="J809">
        <v>2.9999999999999893</v>
      </c>
      <c r="K809" s="1" t="e">
        <f>INDEX($P$4:$AM$15,MATCH(MONTH($E809),$O$4:$O$15,0),MATCH(HOUR($F809),$P$3:$AM$3,0))</f>
        <v>#N/A</v>
      </c>
      <c r="L809" t="s">
        <v>218</v>
      </c>
    </row>
    <row r="810" spans="1:12" x14ac:dyDescent="0.25">
      <c r="A810">
        <v>809</v>
      </c>
      <c r="B810">
        <v>30040611</v>
      </c>
      <c r="C810">
        <v>3</v>
      </c>
      <c r="E810" s="110">
        <v>42564</v>
      </c>
      <c r="F810" s="111" t="s">
        <v>526</v>
      </c>
      <c r="G810">
        <v>0.91</v>
      </c>
      <c r="H810">
        <v>2.9999999999999893</v>
      </c>
      <c r="I810">
        <v>4</v>
      </c>
      <c r="J810">
        <v>13.99999999999995</v>
      </c>
      <c r="K810" s="1" t="e">
        <f>INDEX($P$4:$AM$15,MATCH(MONTH($E810),$O$4:$O$15,0),MATCH(HOUR($F810),$P$3:$AM$3,0))</f>
        <v>#N/A</v>
      </c>
      <c r="L810" t="s">
        <v>218</v>
      </c>
    </row>
    <row r="811" spans="1:12" x14ac:dyDescent="0.25">
      <c r="A811">
        <v>810</v>
      </c>
      <c r="B811">
        <v>30040611</v>
      </c>
      <c r="C811">
        <v>4</v>
      </c>
      <c r="E811" s="110">
        <v>42564</v>
      </c>
      <c r="F811" s="111" t="s">
        <v>527</v>
      </c>
      <c r="G811">
        <v>6.444</v>
      </c>
      <c r="H811">
        <v>16.000000000000103</v>
      </c>
      <c r="I811">
        <v>4</v>
      </c>
      <c r="J811">
        <v>58.999999999999787</v>
      </c>
      <c r="K811" s="1" t="e">
        <f>INDEX($P$4:$AM$15,MATCH(MONTH($E811),$O$4:$O$15,0),MATCH(HOUR($F811),$P$3:$AM$3,0))</f>
        <v>#N/A</v>
      </c>
      <c r="L811" t="s">
        <v>218</v>
      </c>
    </row>
    <row r="812" spans="1:12" x14ac:dyDescent="0.25">
      <c r="A812">
        <v>811</v>
      </c>
      <c r="B812">
        <v>30040611</v>
      </c>
      <c r="C812">
        <v>5</v>
      </c>
      <c r="E812" s="110">
        <v>42564</v>
      </c>
      <c r="F812" s="111" t="s">
        <v>528</v>
      </c>
      <c r="G812">
        <v>6.399</v>
      </c>
      <c r="H812">
        <v>16.000000000000263</v>
      </c>
      <c r="I812">
        <v>4</v>
      </c>
      <c r="J812">
        <v>642.99999999999977</v>
      </c>
      <c r="K812" s="1" t="e">
        <f>INDEX($P$4:$AM$15,MATCH(MONTH($E812),$O$4:$O$15,0),MATCH(HOUR($F812),$P$3:$AM$3,0))</f>
        <v>#N/A</v>
      </c>
      <c r="L812" t="s">
        <v>218</v>
      </c>
    </row>
    <row r="813" spans="1:12" x14ac:dyDescent="0.25">
      <c r="A813">
        <v>812</v>
      </c>
      <c r="B813">
        <v>30040611</v>
      </c>
      <c r="C813">
        <v>1</v>
      </c>
      <c r="E813" s="110">
        <v>42565</v>
      </c>
      <c r="F813" s="111" t="s">
        <v>529</v>
      </c>
      <c r="G813">
        <v>6.8970000000000002</v>
      </c>
      <c r="H813">
        <v>17.000000000000021</v>
      </c>
      <c r="I813">
        <v>4</v>
      </c>
      <c r="J813">
        <v>616</v>
      </c>
      <c r="K813" s="1" t="e">
        <f>INDEX($P$4:$AM$15,MATCH(MONTH($E813),$O$4:$O$15,0),MATCH(HOUR($F813),$P$3:$AM$3,0))</f>
        <v>#N/A</v>
      </c>
      <c r="L813" t="s">
        <v>218</v>
      </c>
    </row>
    <row r="814" spans="1:12" x14ac:dyDescent="0.25">
      <c r="A814">
        <v>813</v>
      </c>
      <c r="B814">
        <v>30040611</v>
      </c>
      <c r="C814">
        <v>2</v>
      </c>
      <c r="E814" s="110">
        <v>42565</v>
      </c>
      <c r="F814" s="111" t="s">
        <v>229</v>
      </c>
      <c r="G814">
        <v>6.89</v>
      </c>
      <c r="H814">
        <v>26.999999999999904</v>
      </c>
      <c r="I814">
        <v>4</v>
      </c>
      <c r="J814">
        <v>841</v>
      </c>
      <c r="K814" s="1" t="e">
        <f>INDEX($P$4:$AM$15,MATCH(MONTH($E814),$O$4:$O$15,0),MATCH(HOUR($F814),$P$3:$AM$3,0))</f>
        <v>#N/A</v>
      </c>
      <c r="L814" t="s">
        <v>218</v>
      </c>
    </row>
    <row r="815" spans="1:12" x14ac:dyDescent="0.25">
      <c r="A815">
        <v>814</v>
      </c>
      <c r="B815">
        <v>30040611</v>
      </c>
      <c r="C815">
        <v>1</v>
      </c>
      <c r="E815" s="110">
        <v>42566</v>
      </c>
      <c r="F815" s="111" t="s">
        <v>530</v>
      </c>
      <c r="G815">
        <v>13.173</v>
      </c>
      <c r="H815">
        <v>30.999999999999972</v>
      </c>
      <c r="I815">
        <v>4</v>
      </c>
      <c r="J815">
        <v>647</v>
      </c>
      <c r="K815" s="1" t="e">
        <f>INDEX($P$4:$AM$15,MATCH(MONTH($E815),$O$4:$O$15,0),MATCH(HOUR($F815),$P$3:$AM$3,0))</f>
        <v>#N/A</v>
      </c>
      <c r="L815" t="s">
        <v>218</v>
      </c>
    </row>
    <row r="816" spans="1:12" x14ac:dyDescent="0.25">
      <c r="A816">
        <v>815</v>
      </c>
      <c r="B816">
        <v>30040611</v>
      </c>
      <c r="C816">
        <v>2</v>
      </c>
      <c r="E816" s="110">
        <v>42566</v>
      </c>
      <c r="F816" s="111" t="s">
        <v>531</v>
      </c>
      <c r="G816">
        <v>8.6159999999999997</v>
      </c>
      <c r="H816">
        <v>21.000000000000085</v>
      </c>
      <c r="I816">
        <v>4</v>
      </c>
      <c r="J816">
        <v>191.99999999999994</v>
      </c>
      <c r="K816" s="1" t="e">
        <f>INDEX($P$4:$AM$15,MATCH(MONTH($E816),$O$4:$O$15,0),MATCH(HOUR($F816),$P$3:$AM$3,0))</f>
        <v>#N/A</v>
      </c>
      <c r="L816" t="s">
        <v>218</v>
      </c>
    </row>
    <row r="817" spans="1:12" x14ac:dyDescent="0.25">
      <c r="A817">
        <v>816</v>
      </c>
      <c r="B817">
        <v>30040611</v>
      </c>
      <c r="C817">
        <v>3</v>
      </c>
      <c r="E817" s="110">
        <v>42566</v>
      </c>
      <c r="F817" s="111" t="s">
        <v>532</v>
      </c>
      <c r="G817">
        <v>7.8289999999999997</v>
      </c>
      <c r="H817">
        <v>18.999999999999932</v>
      </c>
      <c r="I817">
        <v>4</v>
      </c>
      <c r="J817">
        <v>682.00000000000011</v>
      </c>
      <c r="K817" s="1" t="e">
        <f>INDEX($P$4:$AM$15,MATCH(MONTH($E817),$O$4:$O$15,0),MATCH(HOUR($F817),$P$3:$AM$3,0))</f>
        <v>#N/A</v>
      </c>
      <c r="L817" t="s">
        <v>218</v>
      </c>
    </row>
    <row r="818" spans="1:12" x14ac:dyDescent="0.25">
      <c r="A818">
        <v>817</v>
      </c>
      <c r="B818">
        <v>30053480</v>
      </c>
      <c r="C818">
        <v>1</v>
      </c>
      <c r="E818" s="110">
        <v>42567</v>
      </c>
      <c r="F818" s="111" t="s">
        <v>283</v>
      </c>
      <c r="G818">
        <v>1.8420000000000001</v>
      </c>
      <c r="H818">
        <v>4.9999999999999822</v>
      </c>
      <c r="I818">
        <v>6</v>
      </c>
      <c r="J818">
        <v>9.9999999999999645</v>
      </c>
      <c r="K818" s="1" t="e">
        <f>INDEX($P$4:$AM$15,MATCH(MONTH($E818),$O$4:$O$15,0),MATCH(HOUR($F818),$P$3:$AM$3,0))</f>
        <v>#N/A</v>
      </c>
      <c r="L818" t="s">
        <v>218</v>
      </c>
    </row>
    <row r="819" spans="1:12" x14ac:dyDescent="0.25">
      <c r="A819">
        <v>818</v>
      </c>
      <c r="B819">
        <v>30053480</v>
      </c>
      <c r="C819">
        <v>2</v>
      </c>
      <c r="E819" s="110">
        <v>42567</v>
      </c>
      <c r="F819" s="111" t="s">
        <v>357</v>
      </c>
      <c r="G819">
        <v>0.629</v>
      </c>
      <c r="H819">
        <v>9.9999999999999645</v>
      </c>
      <c r="I819">
        <v>6</v>
      </c>
      <c r="J819">
        <v>20.000000000000089</v>
      </c>
      <c r="K819" s="1" t="e">
        <f>INDEX($P$4:$AM$15,MATCH(MONTH($E819),$O$4:$O$15,0),MATCH(HOUR($F819),$P$3:$AM$3,0))</f>
        <v>#N/A</v>
      </c>
      <c r="L819" t="s">
        <v>218</v>
      </c>
    </row>
    <row r="820" spans="1:12" x14ac:dyDescent="0.25">
      <c r="A820">
        <v>819</v>
      </c>
      <c r="B820">
        <v>30053480</v>
      </c>
      <c r="C820">
        <v>3</v>
      </c>
      <c r="E820" s="110">
        <v>42567</v>
      </c>
      <c r="F820" s="111" t="s">
        <v>388</v>
      </c>
      <c r="G820">
        <v>2.1429999999999998</v>
      </c>
      <c r="H820">
        <v>14.999999999999947</v>
      </c>
      <c r="I820">
        <v>6</v>
      </c>
      <c r="J820">
        <v>1375</v>
      </c>
      <c r="K820" s="1" t="e">
        <f>INDEX($P$4:$AM$15,MATCH(MONTH($E820),$O$4:$O$15,0),MATCH(HOUR($F820),$P$3:$AM$3,0))</f>
        <v>#N/A</v>
      </c>
      <c r="L820" t="s">
        <v>218</v>
      </c>
    </row>
    <row r="821" spans="1:12" x14ac:dyDescent="0.25">
      <c r="A821">
        <v>820</v>
      </c>
      <c r="B821">
        <v>30053480</v>
      </c>
      <c r="C821">
        <v>1</v>
      </c>
      <c r="E821" s="110">
        <v>42568</v>
      </c>
      <c r="F821" s="111" t="s">
        <v>236</v>
      </c>
      <c r="G821">
        <v>0.96399999999999997</v>
      </c>
      <c r="H821">
        <v>5.0000000000000622</v>
      </c>
      <c r="I821">
        <v>3</v>
      </c>
      <c r="J821">
        <v>14.999999999999947</v>
      </c>
      <c r="K821" s="1" t="e">
        <f>INDEX($P$4:$AM$15,MATCH(MONTH($E821),$O$4:$O$15,0),MATCH(HOUR($F821),$P$3:$AM$3,0))</f>
        <v>#N/A</v>
      </c>
      <c r="L821" t="s">
        <v>218</v>
      </c>
    </row>
    <row r="822" spans="1:12" x14ac:dyDescent="0.25">
      <c r="A822">
        <v>821</v>
      </c>
      <c r="B822">
        <v>30053480</v>
      </c>
      <c r="C822">
        <v>2</v>
      </c>
      <c r="E822" s="110">
        <v>42568</v>
      </c>
      <c r="F822" s="111" t="s">
        <v>357</v>
      </c>
      <c r="G822">
        <v>5.0629999999999997</v>
      </c>
      <c r="H822">
        <v>30.000000000000053</v>
      </c>
      <c r="I822">
        <v>3</v>
      </c>
      <c r="J822">
        <v>74.999999999999972</v>
      </c>
      <c r="K822" s="1" t="e">
        <f>INDEX($P$4:$AM$15,MATCH(MONTH($E822),$O$4:$O$15,0),MATCH(HOUR($F822),$P$3:$AM$3,0))</f>
        <v>#N/A</v>
      </c>
      <c r="L822" t="s">
        <v>218</v>
      </c>
    </row>
    <row r="823" spans="1:12" x14ac:dyDescent="0.25">
      <c r="A823">
        <v>822</v>
      </c>
      <c r="B823">
        <v>30053480</v>
      </c>
      <c r="C823">
        <v>3</v>
      </c>
      <c r="E823" s="110">
        <v>42568</v>
      </c>
      <c r="F823" s="111" t="s">
        <v>318</v>
      </c>
      <c r="G823">
        <v>3.5049999999999999</v>
      </c>
      <c r="H823">
        <v>14.999999999999947</v>
      </c>
      <c r="I823">
        <v>3</v>
      </c>
      <c r="J823">
        <v>20.000000000000089</v>
      </c>
      <c r="K823" s="1" t="e">
        <f>INDEX($P$4:$AM$15,MATCH(MONTH($E823),$O$4:$O$15,0),MATCH(HOUR($F823),$P$3:$AM$3,0))</f>
        <v>#N/A</v>
      </c>
      <c r="L823" t="s">
        <v>218</v>
      </c>
    </row>
    <row r="824" spans="1:12" x14ac:dyDescent="0.25">
      <c r="A824">
        <v>823</v>
      </c>
      <c r="B824">
        <v>30053480</v>
      </c>
      <c r="C824">
        <v>4</v>
      </c>
      <c r="E824" s="110">
        <v>42568</v>
      </c>
      <c r="F824" s="111" t="s">
        <v>282</v>
      </c>
      <c r="G824">
        <v>1.87</v>
      </c>
      <c r="H824">
        <v>4.9999999999999822</v>
      </c>
      <c r="I824">
        <v>3</v>
      </c>
      <c r="J824">
        <v>59.999999999999943</v>
      </c>
      <c r="K824" s="1" t="e">
        <f>INDEX($P$4:$AM$15,MATCH(MONTH($E824),$O$4:$O$15,0),MATCH(HOUR($F824),$P$3:$AM$3,0))</f>
        <v>#N/A</v>
      </c>
      <c r="L824" t="s">
        <v>218</v>
      </c>
    </row>
    <row r="825" spans="1:12" x14ac:dyDescent="0.25">
      <c r="A825">
        <v>824</v>
      </c>
      <c r="B825">
        <v>30053480</v>
      </c>
      <c r="C825">
        <v>5</v>
      </c>
      <c r="E825" s="110">
        <v>42568</v>
      </c>
      <c r="F825" s="111" t="s">
        <v>341</v>
      </c>
      <c r="G825">
        <v>1.5229999999999999</v>
      </c>
      <c r="H825">
        <v>4.9999999999999822</v>
      </c>
      <c r="I825">
        <v>3</v>
      </c>
      <c r="J825">
        <v>1095</v>
      </c>
      <c r="K825" s="1" t="e">
        <f>INDEX($P$4:$AM$15,MATCH(MONTH($E825),$O$4:$O$15,0),MATCH(HOUR($F825),$P$3:$AM$3,0))</f>
        <v>#N/A</v>
      </c>
      <c r="L825" t="s">
        <v>218</v>
      </c>
    </row>
    <row r="826" spans="1:12" x14ac:dyDescent="0.25">
      <c r="A826">
        <v>825</v>
      </c>
      <c r="B826">
        <v>30055770</v>
      </c>
      <c r="C826">
        <v>1</v>
      </c>
      <c r="E826" s="110">
        <v>42569</v>
      </c>
      <c r="F826" s="111" t="s">
        <v>273</v>
      </c>
      <c r="G826">
        <v>0.90700000000000003</v>
      </c>
      <c r="H826">
        <v>5.0000000000000622</v>
      </c>
      <c r="I826">
        <v>4</v>
      </c>
      <c r="J826">
        <v>1.9999999999999929</v>
      </c>
      <c r="K826" s="1" t="e">
        <f>INDEX($P$4:$AM$15,MATCH(MONTH($E826),$O$4:$O$15,0),MATCH(HOUR($F826),$P$3:$AM$3,0))</f>
        <v>#N/A</v>
      </c>
      <c r="L826" t="s">
        <v>218</v>
      </c>
    </row>
    <row r="827" spans="1:12" x14ac:dyDescent="0.25">
      <c r="A827">
        <v>826</v>
      </c>
      <c r="B827">
        <v>30055770</v>
      </c>
      <c r="C827">
        <v>2</v>
      </c>
      <c r="E827" s="110">
        <v>42569</v>
      </c>
      <c r="F827" s="111" t="s">
        <v>533</v>
      </c>
      <c r="G827">
        <v>3.9350000000000001</v>
      </c>
      <c r="H827">
        <v>7.9999999999999716</v>
      </c>
      <c r="I827">
        <v>4</v>
      </c>
      <c r="J827">
        <v>15.000000000000027</v>
      </c>
      <c r="K827" s="1" t="e">
        <f>INDEX($P$4:$AM$15,MATCH(MONTH($E827),$O$4:$O$15,0),MATCH(HOUR($F827),$P$3:$AM$3,0))</f>
        <v>#N/A</v>
      </c>
      <c r="L827" t="s">
        <v>218</v>
      </c>
    </row>
    <row r="828" spans="1:12" x14ac:dyDescent="0.25">
      <c r="A828">
        <v>827</v>
      </c>
      <c r="B828">
        <v>30055770</v>
      </c>
      <c r="C828">
        <v>3</v>
      </c>
      <c r="E828" s="110">
        <v>42569</v>
      </c>
      <c r="F828" s="111" t="s">
        <v>286</v>
      </c>
      <c r="G828">
        <v>3.327</v>
      </c>
      <c r="H828">
        <v>9.9999999999999645</v>
      </c>
      <c r="I828">
        <v>4</v>
      </c>
      <c r="J828">
        <v>139.99999999999997</v>
      </c>
      <c r="K828" s="1" t="e">
        <f>INDEX($P$4:$AM$15,MATCH(MONTH($E828),$O$4:$O$15,0),MATCH(HOUR($F828),$P$3:$AM$3,0))</f>
        <v>#N/A</v>
      </c>
      <c r="L828" t="s">
        <v>218</v>
      </c>
    </row>
    <row r="829" spans="1:12" x14ac:dyDescent="0.25">
      <c r="A829">
        <v>828</v>
      </c>
      <c r="B829">
        <v>30055770</v>
      </c>
      <c r="C829">
        <v>4</v>
      </c>
      <c r="E829" s="110">
        <v>42569</v>
      </c>
      <c r="F829" s="111" t="s">
        <v>221</v>
      </c>
      <c r="G829">
        <v>6.57</v>
      </c>
      <c r="H829">
        <v>15.000000000000027</v>
      </c>
      <c r="I829">
        <v>6</v>
      </c>
      <c r="J829">
        <v>149.99999999999994</v>
      </c>
      <c r="K829" s="1" t="e">
        <f>INDEX($P$4:$AM$15,MATCH(MONTH($E829),$O$4:$O$15,0),MATCH(HOUR($F829),$P$3:$AM$3,0))</f>
        <v>#N/A</v>
      </c>
      <c r="L829" t="s">
        <v>218</v>
      </c>
    </row>
    <row r="830" spans="1:12" x14ac:dyDescent="0.25">
      <c r="A830">
        <v>829</v>
      </c>
      <c r="B830">
        <v>30055770</v>
      </c>
      <c r="C830">
        <v>5</v>
      </c>
      <c r="E830" s="110">
        <v>42569</v>
      </c>
      <c r="F830" s="111" t="s">
        <v>315</v>
      </c>
      <c r="G830">
        <v>6.194</v>
      </c>
      <c r="H830">
        <v>15.000000000000107</v>
      </c>
      <c r="I830">
        <v>6</v>
      </c>
      <c r="J830">
        <v>0.99999999999999645</v>
      </c>
      <c r="K830" s="1" t="e">
        <f>INDEX($P$4:$AM$15,MATCH(MONTH($E830),$O$4:$O$15,0),MATCH(HOUR($F830),$P$3:$AM$3,0))</f>
        <v>#N/A</v>
      </c>
      <c r="L830" t="s">
        <v>218</v>
      </c>
    </row>
    <row r="831" spans="1:12" x14ac:dyDescent="0.25">
      <c r="A831">
        <v>830</v>
      </c>
      <c r="B831">
        <v>30055770</v>
      </c>
      <c r="C831">
        <v>6</v>
      </c>
      <c r="E831" s="110">
        <v>42569</v>
      </c>
      <c r="F831" s="111" t="s">
        <v>534</v>
      </c>
      <c r="G831">
        <v>3.3</v>
      </c>
      <c r="H831">
        <v>13.99999999999995</v>
      </c>
      <c r="I831">
        <v>4</v>
      </c>
      <c r="J831">
        <v>14.999999999999947</v>
      </c>
      <c r="K831" s="1" t="e">
        <f>INDEX($P$4:$AM$15,MATCH(MONTH($E831),$O$4:$O$15,0),MATCH(HOUR($F831),$P$3:$AM$3,0))</f>
        <v>#N/A</v>
      </c>
      <c r="L831" t="s">
        <v>218</v>
      </c>
    </row>
    <row r="832" spans="1:12" x14ac:dyDescent="0.25">
      <c r="A832">
        <v>831</v>
      </c>
      <c r="B832">
        <v>30055770</v>
      </c>
      <c r="C832">
        <v>7</v>
      </c>
      <c r="E832" s="110">
        <v>42569</v>
      </c>
      <c r="F832" s="111" t="s">
        <v>294</v>
      </c>
      <c r="G832">
        <v>2.839</v>
      </c>
      <c r="H832">
        <v>20.000000000000089</v>
      </c>
      <c r="I832">
        <v>4</v>
      </c>
      <c r="J832">
        <v>189.99999999999997</v>
      </c>
      <c r="K832" s="1" t="e">
        <f>INDEX($P$4:$AM$15,MATCH(MONTH($E832),$O$4:$O$15,0),MATCH(HOUR($F832),$P$3:$AM$3,0))</f>
        <v>#N/A</v>
      </c>
      <c r="L832" t="s">
        <v>218</v>
      </c>
    </row>
    <row r="833" spans="1:12" x14ac:dyDescent="0.25">
      <c r="A833">
        <v>832</v>
      </c>
      <c r="B833">
        <v>30055770</v>
      </c>
      <c r="C833">
        <v>8</v>
      </c>
      <c r="E833" s="110">
        <v>42569</v>
      </c>
      <c r="F833" s="111" t="s">
        <v>253</v>
      </c>
      <c r="G833">
        <v>4.9039999999999999</v>
      </c>
      <c r="H833">
        <v>14.999999999999947</v>
      </c>
      <c r="I833">
        <v>4</v>
      </c>
      <c r="J833">
        <v>15.000000000000107</v>
      </c>
      <c r="K833" s="1" t="e">
        <f>INDEX($P$4:$AM$15,MATCH(MONTH($E833),$O$4:$O$15,0),MATCH(HOUR($F833),$P$3:$AM$3,0))</f>
        <v>#N/A</v>
      </c>
      <c r="L833" t="s">
        <v>218</v>
      </c>
    </row>
    <row r="834" spans="1:12" x14ac:dyDescent="0.25">
      <c r="A834">
        <v>833</v>
      </c>
      <c r="B834">
        <v>30055770</v>
      </c>
      <c r="C834">
        <v>9</v>
      </c>
      <c r="E834" s="110">
        <v>42569</v>
      </c>
      <c r="F834" s="111" t="s">
        <v>300</v>
      </c>
      <c r="G834">
        <v>2.5720000000000001</v>
      </c>
      <c r="H834">
        <v>4.9999999999998224</v>
      </c>
      <c r="I834">
        <v>6</v>
      </c>
      <c r="J834">
        <v>145.00000000000011</v>
      </c>
      <c r="K834" s="1" t="e">
        <f>INDEX($P$4:$AM$15,MATCH(MONTH($E834),$O$4:$O$15,0),MATCH(HOUR($F834),$P$3:$AM$3,0))</f>
        <v>#N/A</v>
      </c>
      <c r="L834" t="s">
        <v>218</v>
      </c>
    </row>
    <row r="835" spans="1:12" x14ac:dyDescent="0.25">
      <c r="A835">
        <v>834</v>
      </c>
      <c r="B835">
        <v>30055770</v>
      </c>
      <c r="C835">
        <v>10</v>
      </c>
      <c r="E835" s="110">
        <v>42569</v>
      </c>
      <c r="F835" s="111" t="s">
        <v>343</v>
      </c>
      <c r="G835">
        <v>2.5979999999999999</v>
      </c>
      <c r="H835">
        <v>6.9999999999999751</v>
      </c>
      <c r="I835">
        <v>6</v>
      </c>
      <c r="J835">
        <v>1052</v>
      </c>
      <c r="K835" s="1" t="e">
        <f>INDEX($P$4:$AM$15,MATCH(MONTH($E835),$O$4:$O$15,0),MATCH(HOUR($F835),$P$3:$AM$3,0))</f>
        <v>#N/A</v>
      </c>
      <c r="L835" t="s">
        <v>218</v>
      </c>
    </row>
    <row r="836" spans="1:12" x14ac:dyDescent="0.25">
      <c r="A836">
        <v>835</v>
      </c>
      <c r="B836">
        <v>30060096</v>
      </c>
      <c r="C836">
        <v>1</v>
      </c>
      <c r="E836" s="110">
        <v>42570</v>
      </c>
      <c r="F836" s="111" t="s">
        <v>535</v>
      </c>
      <c r="G836">
        <v>1.863</v>
      </c>
      <c r="H836">
        <v>8.999999999999968</v>
      </c>
      <c r="I836">
        <v>3</v>
      </c>
      <c r="J836">
        <v>19.999999999999929</v>
      </c>
      <c r="K836" s="1" t="e">
        <f>INDEX($P$4:$AM$15,MATCH(MONTH($E836),$O$4:$O$15,0),MATCH(HOUR($F836),$P$3:$AM$3,0))</f>
        <v>#N/A</v>
      </c>
      <c r="L836" t="s">
        <v>218</v>
      </c>
    </row>
    <row r="837" spans="1:12" x14ac:dyDescent="0.25">
      <c r="A837">
        <v>836</v>
      </c>
      <c r="B837">
        <v>30060096</v>
      </c>
      <c r="C837">
        <v>2</v>
      </c>
      <c r="E837" s="110">
        <v>42570</v>
      </c>
      <c r="F837" s="111" t="s">
        <v>366</v>
      </c>
      <c r="G837">
        <v>2.089</v>
      </c>
      <c r="H837">
        <v>10.000000000000124</v>
      </c>
      <c r="I837">
        <v>3</v>
      </c>
      <c r="J837">
        <v>1181.9999999999998</v>
      </c>
      <c r="K837" s="1" t="e">
        <f>INDEX($P$4:$AM$15,MATCH(MONTH($E837),$O$4:$O$15,0),MATCH(HOUR($F837),$P$3:$AM$3,0))</f>
        <v>#N/A</v>
      </c>
      <c r="L837" t="s">
        <v>218</v>
      </c>
    </row>
    <row r="838" spans="1:12" x14ac:dyDescent="0.25">
      <c r="A838">
        <v>837</v>
      </c>
      <c r="B838">
        <v>30074239</v>
      </c>
      <c r="C838">
        <v>1</v>
      </c>
      <c r="E838" s="110">
        <v>42571</v>
      </c>
      <c r="F838" s="111" t="s">
        <v>221</v>
      </c>
      <c r="G838">
        <v>4.3979999999999997</v>
      </c>
      <c r="H838">
        <v>9.9999999999999645</v>
      </c>
      <c r="I838">
        <v>3</v>
      </c>
      <c r="J838">
        <v>21.000000000000085</v>
      </c>
      <c r="K838" s="1" t="e">
        <f>INDEX($P$4:$AM$15,MATCH(MONTH($E838),$O$4:$O$15,0),MATCH(HOUR($F838),$P$3:$AM$3,0))</f>
        <v>#N/A</v>
      </c>
      <c r="L838" t="s">
        <v>249</v>
      </c>
    </row>
    <row r="839" spans="1:12" x14ac:dyDescent="0.25">
      <c r="A839">
        <v>838</v>
      </c>
      <c r="B839">
        <v>30074239</v>
      </c>
      <c r="C839">
        <v>2</v>
      </c>
      <c r="E839" s="110">
        <v>42571</v>
      </c>
      <c r="F839" s="111" t="s">
        <v>536</v>
      </c>
      <c r="G839">
        <v>1.92</v>
      </c>
      <c r="H839">
        <v>4.9999999999999822</v>
      </c>
      <c r="I839">
        <v>3</v>
      </c>
      <c r="J839">
        <v>8.999999999999968</v>
      </c>
      <c r="K839" s="1" t="e">
        <f>INDEX($P$4:$AM$15,MATCH(MONTH($E839),$O$4:$O$15,0),MATCH(HOUR($F839),$P$3:$AM$3,0))</f>
        <v>#N/A</v>
      </c>
      <c r="L839" t="s">
        <v>249</v>
      </c>
    </row>
    <row r="840" spans="1:12" x14ac:dyDescent="0.25">
      <c r="A840">
        <v>839</v>
      </c>
      <c r="B840">
        <v>30074239</v>
      </c>
      <c r="C840">
        <v>3</v>
      </c>
      <c r="E840" s="110">
        <v>42571</v>
      </c>
      <c r="F840" s="111" t="s">
        <v>223</v>
      </c>
      <c r="G840">
        <v>2.8170000000000002</v>
      </c>
      <c r="H840">
        <v>9.9999999999999645</v>
      </c>
      <c r="I840">
        <v>3</v>
      </c>
      <c r="J840">
        <v>515</v>
      </c>
      <c r="K840" s="1" t="e">
        <f>INDEX($P$4:$AM$15,MATCH(MONTH($E840),$O$4:$O$15,0),MATCH(HOUR($F840),$P$3:$AM$3,0))</f>
        <v>#N/A</v>
      </c>
      <c r="L840" t="s">
        <v>249</v>
      </c>
    </row>
    <row r="841" spans="1:12" x14ac:dyDescent="0.25">
      <c r="A841">
        <v>840</v>
      </c>
      <c r="B841">
        <v>30074239</v>
      </c>
      <c r="C841">
        <v>4</v>
      </c>
      <c r="E841" s="110">
        <v>42571</v>
      </c>
      <c r="F841" s="111" t="s">
        <v>322</v>
      </c>
      <c r="G841">
        <v>4.1379999999999999</v>
      </c>
      <c r="H841">
        <v>15.000000000000107</v>
      </c>
      <c r="I841">
        <v>3</v>
      </c>
      <c r="J841">
        <v>29.999999999999893</v>
      </c>
      <c r="K841" s="1" t="e">
        <f>INDEX($P$4:$AM$15,MATCH(MONTH($E841),$O$4:$O$15,0),MATCH(HOUR($F841),$P$3:$AM$3,0))</f>
        <v>#N/A</v>
      </c>
      <c r="L841" t="s">
        <v>249</v>
      </c>
    </row>
    <row r="842" spans="1:12" x14ac:dyDescent="0.25">
      <c r="A842">
        <v>841</v>
      </c>
      <c r="B842">
        <v>30074239</v>
      </c>
      <c r="C842">
        <v>5</v>
      </c>
      <c r="E842" s="110">
        <v>42571</v>
      </c>
      <c r="F842" s="111" t="s">
        <v>356</v>
      </c>
      <c r="G842">
        <v>0.56799999999999995</v>
      </c>
      <c r="H842">
        <v>3.0000000000001492</v>
      </c>
      <c r="I842">
        <v>3</v>
      </c>
      <c r="J842">
        <v>6.9999999999999751</v>
      </c>
      <c r="K842" s="1" t="e">
        <f>INDEX($P$4:$AM$15,MATCH(MONTH($E842),$O$4:$O$15,0),MATCH(HOUR($F842),$P$3:$AM$3,0))</f>
        <v>#N/A</v>
      </c>
      <c r="L842" t="s">
        <v>249</v>
      </c>
    </row>
    <row r="843" spans="1:12" x14ac:dyDescent="0.25">
      <c r="A843">
        <v>842</v>
      </c>
      <c r="B843">
        <v>30074239</v>
      </c>
      <c r="C843">
        <v>6</v>
      </c>
      <c r="E843" s="110">
        <v>42571</v>
      </c>
      <c r="F843" s="111" t="s">
        <v>487</v>
      </c>
      <c r="G843">
        <v>3.6320000000000001</v>
      </c>
      <c r="H843">
        <v>9.9999999999998046</v>
      </c>
      <c r="I843">
        <v>3</v>
      </c>
      <c r="J843">
        <v>670.00000000000023</v>
      </c>
      <c r="K843" s="1" t="e">
        <f>INDEX($P$4:$AM$15,MATCH(MONTH($E843),$O$4:$O$15,0),MATCH(HOUR($F843),$P$3:$AM$3,0))</f>
        <v>#N/A</v>
      </c>
      <c r="L843" t="s">
        <v>249</v>
      </c>
    </row>
    <row r="844" spans="1:12" x14ac:dyDescent="0.25">
      <c r="A844">
        <v>843</v>
      </c>
      <c r="B844">
        <v>30074263</v>
      </c>
      <c r="C844">
        <v>1</v>
      </c>
      <c r="E844" s="110">
        <v>42572</v>
      </c>
      <c r="F844" s="111" t="s">
        <v>244</v>
      </c>
      <c r="G844">
        <v>3.4729999999999999</v>
      </c>
      <c r="H844">
        <v>20.000000000000089</v>
      </c>
      <c r="I844">
        <v>3</v>
      </c>
      <c r="J844">
        <v>54.999999999999964</v>
      </c>
      <c r="K844" s="1" t="e">
        <f>INDEX($P$4:$AM$15,MATCH(MONTH($E844),$O$4:$O$15,0),MATCH(HOUR($F844),$P$3:$AM$3,0))</f>
        <v>#N/A</v>
      </c>
      <c r="L844" t="s">
        <v>218</v>
      </c>
    </row>
    <row r="845" spans="1:12" x14ac:dyDescent="0.25">
      <c r="A845">
        <v>844</v>
      </c>
      <c r="B845">
        <v>30074263</v>
      </c>
      <c r="C845">
        <v>2</v>
      </c>
      <c r="E845" s="110">
        <v>42572</v>
      </c>
      <c r="F845" s="111" t="s">
        <v>283</v>
      </c>
      <c r="G845">
        <v>3.0819999999999999</v>
      </c>
      <c r="H845">
        <v>14.999999999999947</v>
      </c>
      <c r="I845">
        <v>3</v>
      </c>
      <c r="J845">
        <v>45</v>
      </c>
      <c r="K845" s="1" t="e">
        <f>INDEX($P$4:$AM$15,MATCH(MONTH($E845),$O$4:$O$15,0),MATCH(HOUR($F845),$P$3:$AM$3,0))</f>
        <v>#N/A</v>
      </c>
      <c r="L845" t="s">
        <v>218</v>
      </c>
    </row>
    <row r="846" spans="1:12" x14ac:dyDescent="0.25">
      <c r="A846">
        <v>845</v>
      </c>
      <c r="B846">
        <v>30074263</v>
      </c>
      <c r="C846">
        <v>3</v>
      </c>
      <c r="E846" s="110">
        <v>42572</v>
      </c>
      <c r="F846" s="111" t="s">
        <v>221</v>
      </c>
      <c r="G846">
        <v>2.7989999999999999</v>
      </c>
      <c r="H846">
        <v>20.000000000000089</v>
      </c>
      <c r="I846">
        <v>3</v>
      </c>
      <c r="J846">
        <v>49.999999999999901</v>
      </c>
      <c r="K846" s="1" t="e">
        <f>INDEX($P$4:$AM$15,MATCH(MONTH($E846),$O$4:$O$15,0),MATCH(HOUR($F846),$P$3:$AM$3,0))</f>
        <v>#N/A</v>
      </c>
      <c r="L846" t="s">
        <v>218</v>
      </c>
    </row>
    <row r="847" spans="1:12" x14ac:dyDescent="0.25">
      <c r="A847">
        <v>846</v>
      </c>
      <c r="B847">
        <v>30074263</v>
      </c>
      <c r="C847">
        <v>4</v>
      </c>
      <c r="E847" s="110">
        <v>42572</v>
      </c>
      <c r="F847" s="111" t="s">
        <v>224</v>
      </c>
      <c r="G847">
        <v>1.107</v>
      </c>
      <c r="H847">
        <v>10.000000000000124</v>
      </c>
      <c r="I847">
        <v>3</v>
      </c>
      <c r="J847">
        <v>26.999999999999904</v>
      </c>
      <c r="K847" s="1" t="e">
        <f>INDEX($P$4:$AM$15,MATCH(MONTH($E847),$O$4:$O$15,0),MATCH(HOUR($F847),$P$3:$AM$3,0))</f>
        <v>#N/A</v>
      </c>
      <c r="L847" t="s">
        <v>218</v>
      </c>
    </row>
    <row r="848" spans="1:12" x14ac:dyDescent="0.25">
      <c r="A848">
        <v>847</v>
      </c>
      <c r="B848">
        <v>30075332</v>
      </c>
      <c r="C848">
        <v>5</v>
      </c>
      <c r="E848" s="110">
        <v>42572</v>
      </c>
      <c r="F848" s="111" t="s">
        <v>537</v>
      </c>
      <c r="G848">
        <v>1.272</v>
      </c>
      <c r="H848">
        <v>2.9999999999999893</v>
      </c>
      <c r="I848">
        <v>3</v>
      </c>
      <c r="J848">
        <v>8.999999999999968</v>
      </c>
      <c r="K848" s="1" t="e">
        <f>INDEX($P$4:$AM$15,MATCH(MONTH($E848),$O$4:$O$15,0),MATCH(HOUR($F848),$P$3:$AM$3,0))</f>
        <v>#N/A</v>
      </c>
      <c r="L848" t="s">
        <v>222</v>
      </c>
    </row>
    <row r="849" spans="1:12" x14ac:dyDescent="0.25">
      <c r="A849">
        <v>848</v>
      </c>
      <c r="B849">
        <v>30075332</v>
      </c>
      <c r="C849">
        <v>6</v>
      </c>
      <c r="E849" s="110">
        <v>42572</v>
      </c>
      <c r="F849" s="111" t="s">
        <v>538</v>
      </c>
      <c r="G849">
        <v>1.272</v>
      </c>
      <c r="H849">
        <v>4.9999999999999822</v>
      </c>
      <c r="I849">
        <v>3</v>
      </c>
      <c r="J849">
        <v>516.00000000000011</v>
      </c>
      <c r="K849" s="1" t="e">
        <f>INDEX($P$4:$AM$15,MATCH(MONTH($E849),$O$4:$O$15,0),MATCH(HOUR($F849),$P$3:$AM$3,0))</f>
        <v>#N/A</v>
      </c>
      <c r="L849" t="s">
        <v>222</v>
      </c>
    </row>
    <row r="850" spans="1:12" x14ac:dyDescent="0.25">
      <c r="A850">
        <v>849</v>
      </c>
      <c r="B850">
        <v>30075332</v>
      </c>
      <c r="C850">
        <v>7</v>
      </c>
      <c r="E850" s="110">
        <v>42572</v>
      </c>
      <c r="F850" s="111" t="s">
        <v>539</v>
      </c>
      <c r="G850">
        <v>21.335999999999999</v>
      </c>
      <c r="H850">
        <v>15.000000000000107</v>
      </c>
      <c r="I850">
        <v>3</v>
      </c>
      <c r="J850">
        <v>784.99999999999977</v>
      </c>
      <c r="K850" s="1" t="e">
        <f>INDEX($P$4:$AM$15,MATCH(MONTH($E850),$O$4:$O$15,0),MATCH(HOUR($F850),$P$3:$AM$3,0))</f>
        <v>#N/A</v>
      </c>
      <c r="L850" t="s">
        <v>222</v>
      </c>
    </row>
    <row r="851" spans="1:12" x14ac:dyDescent="0.25">
      <c r="A851">
        <v>850</v>
      </c>
      <c r="B851">
        <v>30076348</v>
      </c>
      <c r="C851">
        <v>1</v>
      </c>
      <c r="E851" s="110">
        <v>42573</v>
      </c>
      <c r="F851" s="111" t="s">
        <v>221</v>
      </c>
      <c r="G851">
        <v>0.69799999999999995</v>
      </c>
      <c r="H851">
        <v>5.0000000000000622</v>
      </c>
      <c r="I851">
        <v>3</v>
      </c>
      <c r="J851">
        <v>19.999999999999929</v>
      </c>
      <c r="K851" s="1" t="e">
        <f>INDEX($P$4:$AM$15,MATCH(MONTH($E851),$O$4:$O$15,0),MATCH(HOUR($F851),$P$3:$AM$3,0))</f>
        <v>#N/A</v>
      </c>
      <c r="L851" t="s">
        <v>249</v>
      </c>
    </row>
    <row r="852" spans="1:12" x14ac:dyDescent="0.25">
      <c r="A852">
        <v>851</v>
      </c>
      <c r="B852">
        <v>30076348</v>
      </c>
      <c r="C852">
        <v>2</v>
      </c>
      <c r="E852" s="110">
        <v>42573</v>
      </c>
      <c r="F852" s="111" t="s">
        <v>522</v>
      </c>
      <c r="G852">
        <v>0.69799999999999995</v>
      </c>
      <c r="H852">
        <v>5.0000000000000622</v>
      </c>
      <c r="I852">
        <v>3</v>
      </c>
      <c r="J852">
        <v>300</v>
      </c>
      <c r="K852" s="1" t="e">
        <f>INDEX($P$4:$AM$15,MATCH(MONTH($E852),$O$4:$O$15,0),MATCH(HOUR($F852),$P$3:$AM$3,0))</f>
        <v>#N/A</v>
      </c>
      <c r="L852" t="s">
        <v>249</v>
      </c>
    </row>
    <row r="853" spans="1:12" x14ac:dyDescent="0.25">
      <c r="A853">
        <v>852</v>
      </c>
      <c r="B853">
        <v>30076348</v>
      </c>
      <c r="C853">
        <v>3</v>
      </c>
      <c r="E853" s="110">
        <v>42573</v>
      </c>
      <c r="F853" s="111" t="s">
        <v>247</v>
      </c>
      <c r="G853">
        <v>8.577</v>
      </c>
      <c r="H853">
        <v>40.000000000000014</v>
      </c>
      <c r="I853">
        <v>3</v>
      </c>
      <c r="J853">
        <v>139.99999999999997</v>
      </c>
      <c r="K853" s="1" t="e">
        <f>INDEX($P$4:$AM$15,MATCH(MONTH($E853),$O$4:$O$15,0),MATCH(HOUR($F853),$P$3:$AM$3,0))</f>
        <v>#N/A</v>
      </c>
      <c r="L853" t="s">
        <v>249</v>
      </c>
    </row>
    <row r="854" spans="1:12" x14ac:dyDescent="0.25">
      <c r="A854">
        <v>853</v>
      </c>
      <c r="B854">
        <v>30076348</v>
      </c>
      <c r="C854">
        <v>4</v>
      </c>
      <c r="E854" s="110">
        <v>42573</v>
      </c>
      <c r="F854" s="111" t="s">
        <v>374</v>
      </c>
      <c r="G854">
        <v>8.5779999999999994</v>
      </c>
      <c r="H854">
        <v>33.000000000000043</v>
      </c>
      <c r="I854">
        <v>3</v>
      </c>
      <c r="J854">
        <v>897</v>
      </c>
      <c r="K854" s="1" t="e">
        <f>INDEX($P$4:$AM$15,MATCH(MONTH($E854),$O$4:$O$15,0),MATCH(HOUR($F854),$P$3:$AM$3,0))</f>
        <v>#N/A</v>
      </c>
      <c r="L854" t="s">
        <v>249</v>
      </c>
    </row>
    <row r="855" spans="1:12" x14ac:dyDescent="0.25">
      <c r="A855">
        <v>854</v>
      </c>
      <c r="B855">
        <v>30076379</v>
      </c>
      <c r="C855">
        <v>1</v>
      </c>
      <c r="E855" s="110">
        <v>42574</v>
      </c>
      <c r="F855" s="111" t="s">
        <v>221</v>
      </c>
      <c r="G855">
        <v>3.234</v>
      </c>
      <c r="H855">
        <v>9.9999999999999645</v>
      </c>
      <c r="I855">
        <v>4</v>
      </c>
      <c r="J855">
        <v>20.000000000000089</v>
      </c>
      <c r="K855" s="1" t="e">
        <f>INDEX($P$4:$AM$15,MATCH(MONTH($E855),$O$4:$O$15,0),MATCH(HOUR($F855),$P$3:$AM$3,0))</f>
        <v>#N/A</v>
      </c>
      <c r="L855" t="s">
        <v>257</v>
      </c>
    </row>
    <row r="856" spans="1:12" x14ac:dyDescent="0.25">
      <c r="A856">
        <v>855</v>
      </c>
      <c r="B856">
        <v>30076379</v>
      </c>
      <c r="C856">
        <v>2</v>
      </c>
      <c r="E856" s="110">
        <v>42574</v>
      </c>
      <c r="F856" s="111" t="s">
        <v>262</v>
      </c>
      <c r="G856">
        <v>1.5449999999999999</v>
      </c>
      <c r="H856">
        <v>9.9999999999999645</v>
      </c>
      <c r="I856">
        <v>4</v>
      </c>
      <c r="J856">
        <v>10.000000000000044</v>
      </c>
      <c r="K856" s="1" t="e">
        <f>INDEX($P$4:$AM$15,MATCH(MONTH($E856),$O$4:$O$15,0),MATCH(HOUR($F856),$P$3:$AM$3,0))</f>
        <v>#N/A</v>
      </c>
      <c r="L856" t="s">
        <v>257</v>
      </c>
    </row>
    <row r="857" spans="1:12" x14ac:dyDescent="0.25">
      <c r="A857">
        <v>856</v>
      </c>
      <c r="B857">
        <v>30076379</v>
      </c>
      <c r="C857">
        <v>3</v>
      </c>
      <c r="E857" s="110">
        <v>42574</v>
      </c>
      <c r="F857" s="111" t="s">
        <v>298</v>
      </c>
      <c r="G857">
        <v>4.3659999999999997</v>
      </c>
      <c r="H857">
        <v>9.9999999999999645</v>
      </c>
      <c r="I857">
        <v>4</v>
      </c>
      <c r="J857">
        <v>94.999999999999986</v>
      </c>
      <c r="K857" s="1" t="e">
        <f>INDEX($P$4:$AM$15,MATCH(MONTH($E857),$O$4:$O$15,0),MATCH(HOUR($F857),$P$3:$AM$3,0))</f>
        <v>#N/A</v>
      </c>
      <c r="L857" t="s">
        <v>257</v>
      </c>
    </row>
    <row r="858" spans="1:12" x14ac:dyDescent="0.25">
      <c r="A858">
        <v>857</v>
      </c>
      <c r="B858">
        <v>30076379</v>
      </c>
      <c r="C858">
        <v>4</v>
      </c>
      <c r="E858" s="110">
        <v>42574</v>
      </c>
      <c r="F858" s="111" t="s">
        <v>442</v>
      </c>
      <c r="G858">
        <v>2.0449999999999999</v>
      </c>
      <c r="H858">
        <v>4.9999999999999822</v>
      </c>
      <c r="I858">
        <v>4</v>
      </c>
      <c r="J858">
        <v>20.000000000000089</v>
      </c>
      <c r="K858" s="1" t="e">
        <f>INDEX($P$4:$AM$15,MATCH(MONTH($E858),$O$4:$O$15,0),MATCH(HOUR($F858),$P$3:$AM$3,0))</f>
        <v>#N/A</v>
      </c>
      <c r="L858" t="s">
        <v>257</v>
      </c>
    </row>
    <row r="859" spans="1:12" x14ac:dyDescent="0.25">
      <c r="A859">
        <v>858</v>
      </c>
      <c r="B859">
        <v>30076379</v>
      </c>
      <c r="C859">
        <v>5</v>
      </c>
      <c r="E859" s="110">
        <v>42574</v>
      </c>
      <c r="F859" s="111" t="s">
        <v>250</v>
      </c>
      <c r="G859">
        <v>2.0449999999999999</v>
      </c>
      <c r="H859">
        <v>4.9999999999999822</v>
      </c>
      <c r="I859">
        <v>4</v>
      </c>
      <c r="J859">
        <v>24.999999999999911</v>
      </c>
      <c r="K859" s="1" t="e">
        <f>INDEX($P$4:$AM$15,MATCH(MONTH($E859),$O$4:$O$15,0),MATCH(HOUR($F859),$P$3:$AM$3,0))</f>
        <v>#N/A</v>
      </c>
      <c r="L859" t="s">
        <v>257</v>
      </c>
    </row>
    <row r="860" spans="1:12" x14ac:dyDescent="0.25">
      <c r="A860">
        <v>859</v>
      </c>
      <c r="B860">
        <v>30076379</v>
      </c>
      <c r="C860">
        <v>6</v>
      </c>
      <c r="E860" s="110">
        <v>42574</v>
      </c>
      <c r="F860" s="111" t="s">
        <v>294</v>
      </c>
      <c r="G860">
        <v>3.91</v>
      </c>
      <c r="H860">
        <v>9.9999999999999645</v>
      </c>
      <c r="I860">
        <v>4</v>
      </c>
      <c r="J860">
        <v>10.000000000000124</v>
      </c>
      <c r="K860" s="1" t="e">
        <f>INDEX($P$4:$AM$15,MATCH(MONTH($E860),$O$4:$O$15,0),MATCH(HOUR($F860),$P$3:$AM$3,0))</f>
        <v>#N/A</v>
      </c>
      <c r="L860" t="s">
        <v>257</v>
      </c>
    </row>
    <row r="861" spans="1:12" x14ac:dyDescent="0.25">
      <c r="A861">
        <v>860</v>
      </c>
      <c r="B861">
        <v>30076379</v>
      </c>
      <c r="C861">
        <v>7</v>
      </c>
      <c r="E861" s="110">
        <v>42574</v>
      </c>
      <c r="F861" s="111" t="s">
        <v>328</v>
      </c>
      <c r="G861">
        <v>2.0350000000000001</v>
      </c>
      <c r="H861">
        <v>9.9999999999999645</v>
      </c>
      <c r="I861">
        <v>4</v>
      </c>
      <c r="J861">
        <v>75.000000000000057</v>
      </c>
      <c r="K861" s="1" t="e">
        <f>INDEX($P$4:$AM$15,MATCH(MONTH($E861),$O$4:$O$15,0),MATCH(HOUR($F861),$P$3:$AM$3,0))</f>
        <v>#N/A</v>
      </c>
      <c r="L861" t="s">
        <v>257</v>
      </c>
    </row>
    <row r="862" spans="1:12" x14ac:dyDescent="0.25">
      <c r="A862">
        <v>861</v>
      </c>
      <c r="B862">
        <v>30076379</v>
      </c>
      <c r="C862">
        <v>8</v>
      </c>
      <c r="E862" s="110">
        <v>42574</v>
      </c>
      <c r="F862" s="111" t="s">
        <v>274</v>
      </c>
      <c r="G862">
        <v>2.9809999999999999</v>
      </c>
      <c r="H862">
        <v>9.9999999999999645</v>
      </c>
      <c r="I862">
        <v>4</v>
      </c>
      <c r="J862">
        <v>1265</v>
      </c>
      <c r="K862" s="1" t="e">
        <f>INDEX($P$4:$AM$15,MATCH(MONTH($E862),$O$4:$O$15,0),MATCH(HOUR($F862),$P$3:$AM$3,0))</f>
        <v>#N/A</v>
      </c>
      <c r="L862" t="s">
        <v>257</v>
      </c>
    </row>
    <row r="863" spans="1:12" x14ac:dyDescent="0.25">
      <c r="A863">
        <v>862</v>
      </c>
      <c r="B863">
        <v>30076379</v>
      </c>
      <c r="C863">
        <v>1</v>
      </c>
      <c r="E863" s="110">
        <v>42575</v>
      </c>
      <c r="F863" s="111" t="s">
        <v>240</v>
      </c>
      <c r="G863">
        <v>25.117000000000001</v>
      </c>
      <c r="H863">
        <v>35.000000000000036</v>
      </c>
      <c r="I863">
        <v>3</v>
      </c>
      <c r="J863">
        <v>109.99999999999993</v>
      </c>
      <c r="K863" s="1" t="e">
        <f>INDEX($P$4:$AM$15,MATCH(MONTH($E863),$O$4:$O$15,0),MATCH(HOUR($F863),$P$3:$AM$3,0))</f>
        <v>#N/A</v>
      </c>
      <c r="L863" t="s">
        <v>257</v>
      </c>
    </row>
    <row r="864" spans="1:12" x14ac:dyDescent="0.25">
      <c r="A864">
        <v>863</v>
      </c>
      <c r="B864">
        <v>30076379</v>
      </c>
      <c r="C864">
        <v>2</v>
      </c>
      <c r="E864" s="110">
        <v>42575</v>
      </c>
      <c r="F864" s="111" t="s">
        <v>434</v>
      </c>
      <c r="G864">
        <v>23.908000000000001</v>
      </c>
      <c r="H864">
        <v>35.000000000000036</v>
      </c>
      <c r="I864">
        <v>3</v>
      </c>
      <c r="J864">
        <v>975</v>
      </c>
      <c r="K864" s="1" t="e">
        <f>INDEX($P$4:$AM$15,MATCH(MONTH($E864),$O$4:$O$15,0),MATCH(HOUR($F864),$P$3:$AM$3,0))</f>
        <v>#N/A</v>
      </c>
      <c r="L864" t="s">
        <v>257</v>
      </c>
    </row>
    <row r="865" spans="1:12" x14ac:dyDescent="0.25">
      <c r="A865">
        <v>864</v>
      </c>
      <c r="B865">
        <v>30076478</v>
      </c>
      <c r="C865">
        <v>1</v>
      </c>
      <c r="E865" s="110">
        <v>42576</v>
      </c>
      <c r="F865" s="111" t="s">
        <v>244</v>
      </c>
      <c r="G865">
        <v>7.9880000000000004</v>
      </c>
      <c r="H865">
        <v>16.000000000000103</v>
      </c>
      <c r="I865">
        <v>4</v>
      </c>
      <c r="J865">
        <v>448.99999999999994</v>
      </c>
      <c r="K865" s="1" t="e">
        <f>INDEX($P$4:$AM$15,MATCH(MONTH($E865),$O$4:$O$15,0),MATCH(HOUR($F865),$P$3:$AM$3,0))</f>
        <v>#N/A</v>
      </c>
      <c r="L865" t="s">
        <v>218</v>
      </c>
    </row>
    <row r="866" spans="1:12" x14ac:dyDescent="0.25">
      <c r="A866">
        <v>865</v>
      </c>
      <c r="B866">
        <v>30076478</v>
      </c>
      <c r="C866">
        <v>2</v>
      </c>
      <c r="E866" s="110">
        <v>42576</v>
      </c>
      <c r="F866" s="111" t="s">
        <v>247</v>
      </c>
      <c r="G866">
        <v>8.0180000000000007</v>
      </c>
      <c r="H866">
        <v>18.000000000000096</v>
      </c>
      <c r="I866">
        <v>4</v>
      </c>
      <c r="J866">
        <v>891.99999999999989</v>
      </c>
      <c r="K866" s="1" t="e">
        <f>INDEX($P$4:$AM$15,MATCH(MONTH($E866),$O$4:$O$15,0),MATCH(HOUR($F866),$P$3:$AM$3,0))</f>
        <v>#N/A</v>
      </c>
      <c r="L866" t="s">
        <v>218</v>
      </c>
    </row>
    <row r="867" spans="1:12" x14ac:dyDescent="0.25">
      <c r="A867">
        <v>866</v>
      </c>
      <c r="B867">
        <v>30076478</v>
      </c>
      <c r="C867">
        <v>1</v>
      </c>
      <c r="E867" s="110">
        <v>42577</v>
      </c>
      <c r="F867" s="111" t="s">
        <v>246</v>
      </c>
      <c r="G867">
        <v>5.2430000000000003</v>
      </c>
      <c r="H867">
        <v>14.999999999999947</v>
      </c>
      <c r="I867">
        <v>3</v>
      </c>
      <c r="J867">
        <v>455.00000000000006</v>
      </c>
      <c r="K867" s="1" t="e">
        <f>INDEX($P$4:$AM$15,MATCH(MONTH($E867),$O$4:$O$15,0),MATCH(HOUR($F867),$P$3:$AM$3,0))</f>
        <v>#N/A</v>
      </c>
      <c r="L867" t="s">
        <v>218</v>
      </c>
    </row>
    <row r="868" spans="1:12" x14ac:dyDescent="0.25">
      <c r="A868">
        <v>867</v>
      </c>
      <c r="B868">
        <v>30076478</v>
      </c>
      <c r="C868">
        <v>2</v>
      </c>
      <c r="E868" s="110">
        <v>42577</v>
      </c>
      <c r="F868" s="111" t="s">
        <v>235</v>
      </c>
      <c r="G868">
        <v>5.2290000000000001</v>
      </c>
      <c r="H868">
        <v>14.999999999999947</v>
      </c>
      <c r="I868">
        <v>3</v>
      </c>
      <c r="J868">
        <v>315</v>
      </c>
      <c r="K868" s="1" t="e">
        <f>INDEX($P$4:$AM$15,MATCH(MONTH($E868),$O$4:$O$15,0),MATCH(HOUR($F868),$P$3:$AM$3,0))</f>
        <v>#N/A</v>
      </c>
      <c r="L868" t="s">
        <v>218</v>
      </c>
    </row>
    <row r="869" spans="1:12" x14ac:dyDescent="0.25">
      <c r="A869">
        <v>868</v>
      </c>
      <c r="B869">
        <v>30076478</v>
      </c>
      <c r="C869">
        <v>3</v>
      </c>
      <c r="E869" s="110">
        <v>42577</v>
      </c>
      <c r="F869" s="111" t="s">
        <v>343</v>
      </c>
      <c r="G869">
        <v>6.0460000000000003</v>
      </c>
      <c r="H869">
        <v>14.999999999999947</v>
      </c>
      <c r="I869">
        <v>3</v>
      </c>
      <c r="J869">
        <v>225</v>
      </c>
      <c r="K869" s="1" t="e">
        <f>INDEX($P$4:$AM$15,MATCH(MONTH($E869),$O$4:$O$15,0),MATCH(HOUR($F869),$P$3:$AM$3,0))</f>
        <v>#N/A</v>
      </c>
      <c r="L869" t="s">
        <v>218</v>
      </c>
    </row>
    <row r="870" spans="1:12" x14ac:dyDescent="0.25">
      <c r="A870">
        <v>869</v>
      </c>
      <c r="B870">
        <v>30076478</v>
      </c>
      <c r="C870">
        <v>1</v>
      </c>
      <c r="E870" s="110">
        <v>42578</v>
      </c>
      <c r="F870" s="111" t="s">
        <v>515</v>
      </c>
      <c r="G870">
        <v>6.1059999999999999</v>
      </c>
      <c r="H870">
        <v>30</v>
      </c>
      <c r="I870">
        <v>3</v>
      </c>
      <c r="J870">
        <v>510</v>
      </c>
      <c r="K870" s="1" t="e">
        <f>INDEX($P$4:$AM$15,MATCH(MONTH($E870),$O$4:$O$15,0),MATCH(HOUR($F870),$P$3:$AM$3,0))</f>
        <v>#N/A</v>
      </c>
      <c r="L870" t="s">
        <v>218</v>
      </c>
    </row>
    <row r="871" spans="1:12" x14ac:dyDescent="0.25">
      <c r="A871">
        <v>870</v>
      </c>
      <c r="B871">
        <v>30076755</v>
      </c>
      <c r="C871">
        <v>2</v>
      </c>
      <c r="E871" s="110">
        <v>42578</v>
      </c>
      <c r="F871" s="111" t="s">
        <v>283</v>
      </c>
      <c r="G871">
        <v>2.395</v>
      </c>
      <c r="H871">
        <v>4.9999999999999822</v>
      </c>
      <c r="I871">
        <v>3</v>
      </c>
      <c r="J871">
        <v>1225</v>
      </c>
      <c r="K871" s="1" t="e">
        <f>INDEX($P$4:$AM$15,MATCH(MONTH($E871),$O$4:$O$15,0),MATCH(HOUR($F871),$P$3:$AM$3,0))</f>
        <v>#N/A</v>
      </c>
      <c r="L871" t="s">
        <v>222</v>
      </c>
    </row>
    <row r="872" spans="1:12" x14ac:dyDescent="0.25">
      <c r="A872">
        <v>871</v>
      </c>
      <c r="B872">
        <v>30076755</v>
      </c>
      <c r="C872">
        <v>1</v>
      </c>
      <c r="E872" s="110">
        <v>42579</v>
      </c>
      <c r="F872" s="111" t="s">
        <v>256</v>
      </c>
      <c r="G872">
        <v>3.8639999999999999</v>
      </c>
      <c r="H872">
        <v>15.000000000000027</v>
      </c>
      <c r="I872">
        <v>6</v>
      </c>
      <c r="J872">
        <v>525</v>
      </c>
      <c r="K872" s="1" t="e">
        <f>INDEX($P$4:$AM$15,MATCH(MONTH($E872),$O$4:$O$15,0),MATCH(HOUR($F872),$P$3:$AM$3,0))</f>
        <v>#N/A</v>
      </c>
      <c r="L872" t="s">
        <v>222</v>
      </c>
    </row>
    <row r="873" spans="1:12" x14ac:dyDescent="0.25">
      <c r="A873">
        <v>872</v>
      </c>
      <c r="B873">
        <v>30076755</v>
      </c>
      <c r="C873">
        <v>2</v>
      </c>
      <c r="E873" s="110">
        <v>42579</v>
      </c>
      <c r="F873" s="111" t="s">
        <v>235</v>
      </c>
      <c r="G873">
        <v>3.8730000000000002</v>
      </c>
      <c r="H873">
        <v>14.999999999999947</v>
      </c>
      <c r="I873">
        <v>6</v>
      </c>
      <c r="J873">
        <v>945</v>
      </c>
      <c r="K873" s="1" t="e">
        <f>INDEX($P$4:$AM$15,MATCH(MONTH($E873),$O$4:$O$15,0),MATCH(HOUR($F873),$P$3:$AM$3,0))</f>
        <v>#N/A</v>
      </c>
      <c r="L873" t="s">
        <v>222</v>
      </c>
    </row>
    <row r="874" spans="1:12" x14ac:dyDescent="0.25">
      <c r="A874">
        <v>873</v>
      </c>
      <c r="B874">
        <v>30088801</v>
      </c>
      <c r="C874">
        <v>1</v>
      </c>
      <c r="E874" s="110">
        <v>42580</v>
      </c>
      <c r="F874" s="111" t="s">
        <v>251</v>
      </c>
      <c r="G874">
        <v>9.1289999999999996</v>
      </c>
      <c r="H874">
        <v>24.999999999999993</v>
      </c>
      <c r="I874">
        <v>3</v>
      </c>
      <c r="J874">
        <v>94.999999999999986</v>
      </c>
      <c r="K874" s="1" t="e">
        <f>INDEX($P$4:$AM$15,MATCH(MONTH($E874),$O$4:$O$15,0),MATCH(HOUR($F874),$P$3:$AM$3,0))</f>
        <v>#N/A</v>
      </c>
      <c r="L874" t="s">
        <v>302</v>
      </c>
    </row>
    <row r="875" spans="1:12" x14ac:dyDescent="0.25">
      <c r="A875">
        <v>874</v>
      </c>
      <c r="B875">
        <v>30088801</v>
      </c>
      <c r="C875">
        <v>2</v>
      </c>
      <c r="E875" s="110">
        <v>42580</v>
      </c>
      <c r="F875" s="111" t="s">
        <v>326</v>
      </c>
      <c r="G875">
        <v>9.0530000000000008</v>
      </c>
      <c r="H875">
        <v>30.000000000000053</v>
      </c>
      <c r="I875">
        <v>3</v>
      </c>
      <c r="J875">
        <v>59.999999999999943</v>
      </c>
      <c r="K875" s="1" t="e">
        <f>INDEX($P$4:$AM$15,MATCH(MONTH($E875),$O$4:$O$15,0),MATCH(HOUR($F875),$P$3:$AM$3,0))</f>
        <v>#N/A</v>
      </c>
      <c r="L875" t="s">
        <v>302</v>
      </c>
    </row>
    <row r="876" spans="1:12" x14ac:dyDescent="0.25">
      <c r="A876">
        <v>875</v>
      </c>
      <c r="B876">
        <v>30088801</v>
      </c>
      <c r="C876">
        <v>3</v>
      </c>
      <c r="E876" s="110">
        <v>42580</v>
      </c>
      <c r="F876" s="111" t="s">
        <v>221</v>
      </c>
      <c r="G876">
        <v>2.4550000000000001</v>
      </c>
      <c r="H876">
        <v>15.000000000000027</v>
      </c>
      <c r="I876">
        <v>3</v>
      </c>
      <c r="J876">
        <v>49.999999999999986</v>
      </c>
      <c r="K876" s="1" t="e">
        <f>INDEX($P$4:$AM$15,MATCH(MONTH($E876),$O$4:$O$15,0),MATCH(HOUR($F876),$P$3:$AM$3,0))</f>
        <v>#N/A</v>
      </c>
      <c r="L876" t="s">
        <v>302</v>
      </c>
    </row>
    <row r="877" spans="1:12" x14ac:dyDescent="0.25">
      <c r="A877">
        <v>876</v>
      </c>
      <c r="B877">
        <v>30088801</v>
      </c>
      <c r="C877">
        <v>4</v>
      </c>
      <c r="E877" s="110">
        <v>42580</v>
      </c>
      <c r="F877" s="111" t="s">
        <v>237</v>
      </c>
      <c r="G877">
        <v>2.4630000000000001</v>
      </c>
      <c r="H877">
        <v>15.000000000000107</v>
      </c>
      <c r="I877">
        <v>3</v>
      </c>
      <c r="J877">
        <v>1256</v>
      </c>
      <c r="K877" s="1" t="e">
        <f>INDEX($P$4:$AM$15,MATCH(MONTH($E877),$O$4:$O$15,0),MATCH(HOUR($F877),$P$3:$AM$3,0))</f>
        <v>#N/A</v>
      </c>
      <c r="L877" t="s">
        <v>302</v>
      </c>
    </row>
    <row r="878" spans="1:12" x14ac:dyDescent="0.25">
      <c r="A878">
        <v>877</v>
      </c>
      <c r="B878">
        <v>30093784</v>
      </c>
      <c r="C878">
        <v>1</v>
      </c>
      <c r="E878" s="110">
        <v>42581</v>
      </c>
      <c r="F878" s="111" t="s">
        <v>540</v>
      </c>
      <c r="G878">
        <v>7.0309999999999997</v>
      </c>
      <c r="H878">
        <v>19.000000000000014</v>
      </c>
      <c r="I878">
        <v>3</v>
      </c>
      <c r="J878">
        <v>288.99999999999994</v>
      </c>
      <c r="K878" s="1" t="e">
        <f>INDEX($P$4:$AM$15,MATCH(MONTH($E878),$O$4:$O$15,0),MATCH(HOUR($F878),$P$3:$AM$3,0))</f>
        <v>#N/A</v>
      </c>
      <c r="L878" t="s">
        <v>302</v>
      </c>
    </row>
    <row r="879" spans="1:12" x14ac:dyDescent="0.25">
      <c r="A879">
        <v>878</v>
      </c>
      <c r="B879">
        <v>30093784</v>
      </c>
      <c r="C879">
        <v>2</v>
      </c>
      <c r="E879" s="110">
        <v>42581</v>
      </c>
      <c r="F879" s="111" t="s">
        <v>541</v>
      </c>
      <c r="G879">
        <v>7.01</v>
      </c>
      <c r="H879">
        <v>22.000000000000082</v>
      </c>
      <c r="I879">
        <v>3</v>
      </c>
      <c r="J879">
        <v>1094</v>
      </c>
      <c r="K879" s="1" t="e">
        <f>INDEX($P$4:$AM$15,MATCH(MONTH($E879),$O$4:$O$15,0),MATCH(HOUR($F879),$P$3:$AM$3,0))</f>
        <v>#N/A</v>
      </c>
      <c r="L879" t="s">
        <v>302</v>
      </c>
    </row>
    <row r="880" spans="1:12" x14ac:dyDescent="0.25">
      <c r="A880">
        <v>879</v>
      </c>
      <c r="B880">
        <v>30094242</v>
      </c>
      <c r="C880">
        <v>1</v>
      </c>
      <c r="E880" s="110">
        <v>42582</v>
      </c>
      <c r="F880" s="111" t="s">
        <v>295</v>
      </c>
      <c r="G880">
        <v>1.325</v>
      </c>
      <c r="H880">
        <v>15.000000000000027</v>
      </c>
      <c r="I880">
        <v>3</v>
      </c>
      <c r="J880">
        <v>59.999999999999943</v>
      </c>
      <c r="K880" s="1" t="e">
        <f>INDEX($P$4:$AM$15,MATCH(MONTH($E880),$O$4:$O$15,0),MATCH(HOUR($F880),$P$3:$AM$3,0))</f>
        <v>#N/A</v>
      </c>
      <c r="L880" t="s">
        <v>257</v>
      </c>
    </row>
    <row r="881" spans="1:13" x14ac:dyDescent="0.25">
      <c r="A881">
        <v>880</v>
      </c>
      <c r="B881">
        <v>30094242</v>
      </c>
      <c r="C881">
        <v>2</v>
      </c>
      <c r="E881" s="110">
        <v>42582</v>
      </c>
      <c r="F881" s="111" t="s">
        <v>357</v>
      </c>
      <c r="G881">
        <v>1.96</v>
      </c>
      <c r="H881">
        <v>15.000000000000027</v>
      </c>
      <c r="I881">
        <v>3</v>
      </c>
      <c r="J881">
        <v>74.999999999999972</v>
      </c>
      <c r="K881" s="1" t="e">
        <f>INDEX($P$4:$AM$15,MATCH(MONTH($E881),$O$4:$O$15,0),MATCH(HOUR($F881),$P$3:$AM$3,0))</f>
        <v>#N/A</v>
      </c>
      <c r="L881" t="s">
        <v>257</v>
      </c>
    </row>
    <row r="882" spans="1:13" x14ac:dyDescent="0.25">
      <c r="A882">
        <v>881</v>
      </c>
      <c r="B882">
        <v>30094242</v>
      </c>
      <c r="C882">
        <v>3</v>
      </c>
      <c r="E882" s="110">
        <v>42582</v>
      </c>
      <c r="F882" s="111" t="s">
        <v>223</v>
      </c>
      <c r="G882">
        <v>2.0979999999999999</v>
      </c>
      <c r="H882">
        <v>15.000000000000027</v>
      </c>
      <c r="I882">
        <v>3</v>
      </c>
      <c r="J882">
        <v>300.00000000000006</v>
      </c>
      <c r="K882" s="1" t="e">
        <f>INDEX($P$4:$AM$15,MATCH(MONTH($E882),$O$4:$O$15,0),MATCH(HOUR($F882),$P$3:$AM$3,0))</f>
        <v>#N/A</v>
      </c>
      <c r="L882" t="s">
        <v>257</v>
      </c>
    </row>
    <row r="883" spans="1:13" x14ac:dyDescent="0.25">
      <c r="A883">
        <v>882</v>
      </c>
      <c r="B883">
        <v>30095310</v>
      </c>
      <c r="C883">
        <v>4</v>
      </c>
      <c r="E883" s="110">
        <v>42582</v>
      </c>
      <c r="F883" s="111" t="s">
        <v>229</v>
      </c>
      <c r="G883">
        <v>0.56999999999999995</v>
      </c>
      <c r="H883">
        <v>9.9999999999999645</v>
      </c>
      <c r="I883">
        <v>5</v>
      </c>
      <c r="J883">
        <v>2.9999999999998295</v>
      </c>
      <c r="K883" s="1" t="e">
        <f>INDEX($P$4:$AM$15,MATCH(MONTH($E883),$O$4:$O$15,0),MATCH(HOUR($F883),$P$3:$AM$3,0))</f>
        <v>#N/A</v>
      </c>
      <c r="L883" t="s">
        <v>231</v>
      </c>
    </row>
    <row r="884" spans="1:13" x14ac:dyDescent="0.25">
      <c r="A884">
        <v>883</v>
      </c>
      <c r="B884">
        <v>30095310</v>
      </c>
      <c r="C884">
        <v>5</v>
      </c>
      <c r="E884" s="110">
        <v>42582</v>
      </c>
      <c r="F884" s="111" t="s">
        <v>542</v>
      </c>
      <c r="G884">
        <v>0.49199999999999999</v>
      </c>
      <c r="H884">
        <v>2.0000000000001528</v>
      </c>
      <c r="I884">
        <v>5</v>
      </c>
      <c r="J884">
        <v>2.0000000000001528</v>
      </c>
      <c r="K884" s="1" t="e">
        <f>INDEX($P$4:$AM$15,MATCH(MONTH($E884),$O$4:$O$15,0),MATCH(HOUR($F884),$P$3:$AM$3,0))</f>
        <v>#N/A</v>
      </c>
      <c r="L884" t="s">
        <v>231</v>
      </c>
    </row>
    <row r="885" spans="1:13" x14ac:dyDescent="0.25">
      <c r="A885">
        <v>884</v>
      </c>
      <c r="B885">
        <v>30095310</v>
      </c>
      <c r="C885">
        <v>6</v>
      </c>
      <c r="E885" s="110">
        <v>42582</v>
      </c>
      <c r="F885" s="111" t="s">
        <v>543</v>
      </c>
      <c r="G885">
        <v>0.185</v>
      </c>
      <c r="H885">
        <v>2.9999999999998295</v>
      </c>
      <c r="I885">
        <v>5</v>
      </c>
      <c r="J885">
        <v>5.0000000000001421</v>
      </c>
      <c r="K885" s="1" t="e">
        <f>INDEX($P$4:$AM$15,MATCH(MONTH($E885),$O$4:$O$15,0),MATCH(HOUR($F885),$P$3:$AM$3,0))</f>
        <v>#N/A</v>
      </c>
      <c r="L885" t="s">
        <v>231</v>
      </c>
    </row>
    <row r="886" spans="1:13" x14ac:dyDescent="0.25">
      <c r="A886">
        <v>885</v>
      </c>
      <c r="B886">
        <v>30095310</v>
      </c>
      <c r="C886">
        <v>7</v>
      </c>
      <c r="E886" s="110">
        <v>42582</v>
      </c>
      <c r="F886" s="111" t="s">
        <v>383</v>
      </c>
      <c r="G886">
        <v>6.3</v>
      </c>
      <c r="H886">
        <v>6.9999999999999751</v>
      </c>
      <c r="I886">
        <v>5</v>
      </c>
      <c r="J886">
        <v>12.999999999999954</v>
      </c>
      <c r="K886" s="1" t="e">
        <f>INDEX($P$4:$AM$15,MATCH(MONTH($E886),$O$4:$O$15,0),MATCH(HOUR($F886),$P$3:$AM$3,0))</f>
        <v>#N/A</v>
      </c>
      <c r="L886" t="s">
        <v>231</v>
      </c>
    </row>
    <row r="887" spans="1:13" x14ac:dyDescent="0.25">
      <c r="A887">
        <v>886</v>
      </c>
      <c r="B887">
        <v>30095310</v>
      </c>
      <c r="C887">
        <v>8</v>
      </c>
      <c r="E887" s="110">
        <v>42582</v>
      </c>
      <c r="F887" s="111" t="s">
        <v>281</v>
      </c>
      <c r="G887">
        <v>5.8360000000000003</v>
      </c>
      <c r="H887">
        <v>9.9999999999999645</v>
      </c>
      <c r="I887">
        <v>5</v>
      </c>
      <c r="J887">
        <v>825</v>
      </c>
      <c r="K887" s="1" t="e">
        <f>INDEX($P$4:$AM$15,MATCH(MONTH($E887),$O$4:$O$15,0),MATCH(HOUR($F887),$P$3:$AM$3,0))</f>
        <v>#N/A</v>
      </c>
      <c r="L887" t="s">
        <v>231</v>
      </c>
    </row>
    <row r="888" spans="1:13" x14ac:dyDescent="0.25">
      <c r="A888">
        <v>887</v>
      </c>
      <c r="B888">
        <v>30000934</v>
      </c>
      <c r="C888">
        <v>1</v>
      </c>
      <c r="E888" s="110">
        <v>42583</v>
      </c>
      <c r="F888" s="111" t="s">
        <v>262</v>
      </c>
      <c r="G888">
        <v>80.197000000000003</v>
      </c>
      <c r="H888">
        <v>60.000000000000028</v>
      </c>
      <c r="I888">
        <v>4</v>
      </c>
      <c r="J888">
        <v>329.99999999999994</v>
      </c>
      <c r="K888" s="1" t="e">
        <f>INDEX($P$4:$AM$15,MATCH(MONTH($E888),$O$4:$O$15,0),MATCH(HOUR($F888),$P$3:$AM$3,0))</f>
        <v>#N/A</v>
      </c>
      <c r="L888" t="s">
        <v>249</v>
      </c>
    </row>
    <row r="889" spans="1:13" x14ac:dyDescent="0.25">
      <c r="A889">
        <v>888</v>
      </c>
      <c r="B889">
        <v>30000934</v>
      </c>
      <c r="C889">
        <v>2</v>
      </c>
      <c r="E889" s="110">
        <v>42583</v>
      </c>
      <c r="F889" s="111" t="s">
        <v>253</v>
      </c>
      <c r="G889">
        <v>80.266000000000005</v>
      </c>
      <c r="H889">
        <v>90</v>
      </c>
      <c r="I889">
        <v>4</v>
      </c>
      <c r="J889">
        <v>690.00000000000011</v>
      </c>
      <c r="K889" s="1" t="e">
        <f>INDEX($P$4:$AM$15,MATCH(MONTH($E889),$O$4:$O$15,0),MATCH(HOUR($F889),$P$3:$AM$3,0))</f>
        <v>#N/A</v>
      </c>
      <c r="L889" t="s">
        <v>249</v>
      </c>
    </row>
    <row r="890" spans="1:13" x14ac:dyDescent="0.25">
      <c r="A890">
        <v>889</v>
      </c>
      <c r="B890">
        <v>30000934</v>
      </c>
      <c r="C890">
        <v>1</v>
      </c>
      <c r="E890" s="110">
        <v>42584</v>
      </c>
      <c r="F890" s="111" t="s">
        <v>305</v>
      </c>
      <c r="G890">
        <v>6.0149999999999997</v>
      </c>
      <c r="H890">
        <v>29.999999999999972</v>
      </c>
      <c r="I890">
        <v>4</v>
      </c>
      <c r="J890">
        <v>29.999999999999972</v>
      </c>
      <c r="K890" s="1" t="e">
        <f>INDEX($P$4:$AM$15,MATCH(MONTH($E890),$O$4:$O$15,0),MATCH(HOUR($F890),$P$3:$AM$3,0))</f>
        <v>#N/A</v>
      </c>
      <c r="L890" t="s">
        <v>249</v>
      </c>
    </row>
    <row r="891" spans="1:13" x14ac:dyDescent="0.25">
      <c r="A891">
        <v>890</v>
      </c>
      <c r="B891">
        <v>30000934</v>
      </c>
      <c r="C891">
        <v>2</v>
      </c>
      <c r="E891" s="110">
        <v>42584</v>
      </c>
      <c r="F891" s="111" t="s">
        <v>273</v>
      </c>
      <c r="G891">
        <v>6.0510000000000002</v>
      </c>
      <c r="H891">
        <v>30.000000000000053</v>
      </c>
      <c r="I891">
        <v>4</v>
      </c>
      <c r="J891">
        <v>49.999999999999986</v>
      </c>
      <c r="K891" s="1" t="e">
        <f>INDEX($P$4:$AM$15,MATCH(MONTH($E891),$O$4:$O$15,0),MATCH(HOUR($F891),$P$3:$AM$3,0))</f>
        <v>#N/A</v>
      </c>
      <c r="L891" t="s">
        <v>249</v>
      </c>
      <c r="M891" s="111"/>
    </row>
    <row r="892" spans="1:13" x14ac:dyDescent="0.25">
      <c r="A892">
        <v>891</v>
      </c>
      <c r="B892">
        <v>30002242</v>
      </c>
      <c r="C892">
        <v>3</v>
      </c>
      <c r="E892" s="110">
        <v>42584</v>
      </c>
      <c r="F892" s="111" t="s">
        <v>296</v>
      </c>
      <c r="G892">
        <v>4.2279999999999998</v>
      </c>
      <c r="H892">
        <v>19.999999999999929</v>
      </c>
      <c r="I892">
        <v>4</v>
      </c>
      <c r="J892">
        <v>215.00000000000011</v>
      </c>
      <c r="K892" s="1" t="e">
        <f>INDEX($P$4:$AM$15,MATCH(MONTH($E892),$O$4:$O$15,0),MATCH(HOUR($F892),$P$3:$AM$3,0))</f>
        <v>#N/A</v>
      </c>
      <c r="L892" t="s">
        <v>231</v>
      </c>
      <c r="M892" s="111"/>
    </row>
    <row r="893" spans="1:13" x14ac:dyDescent="0.25">
      <c r="A893">
        <v>892</v>
      </c>
      <c r="B893">
        <v>30002242</v>
      </c>
      <c r="C893">
        <v>4</v>
      </c>
      <c r="E893" s="110">
        <v>42584</v>
      </c>
      <c r="F893" s="111" t="s">
        <v>369</v>
      </c>
      <c r="G893">
        <v>4.2590000000000003</v>
      </c>
      <c r="H893">
        <v>19.999999999999929</v>
      </c>
      <c r="I893">
        <v>4</v>
      </c>
      <c r="J893">
        <v>54.999999999999964</v>
      </c>
      <c r="K893" s="1" t="e">
        <f>INDEX($P$4:$AM$15,MATCH(MONTH($E893),$O$4:$O$15,0),MATCH(HOUR($F893),$P$3:$AM$3,0))</f>
        <v>#N/A</v>
      </c>
      <c r="L893" t="s">
        <v>231</v>
      </c>
      <c r="M893" s="111"/>
    </row>
    <row r="894" spans="1:13" x14ac:dyDescent="0.25">
      <c r="A894">
        <v>893</v>
      </c>
      <c r="B894">
        <v>30002242</v>
      </c>
      <c r="C894">
        <v>5</v>
      </c>
      <c r="E894" s="110">
        <v>42584</v>
      </c>
      <c r="F894" s="111" t="s">
        <v>294</v>
      </c>
      <c r="G894">
        <v>7.9950000000000001</v>
      </c>
      <c r="H894">
        <v>25.000000000000071</v>
      </c>
      <c r="I894">
        <v>4</v>
      </c>
      <c r="J894">
        <v>139.99999999999997</v>
      </c>
      <c r="K894" s="1" t="e">
        <f>INDEX($P$4:$AM$15,MATCH(MONTH($E894),$O$4:$O$15,0),MATCH(HOUR($F894),$P$3:$AM$3,0))</f>
        <v>#N/A</v>
      </c>
      <c r="L894" t="s">
        <v>231</v>
      </c>
      <c r="M894" s="111"/>
    </row>
    <row r="895" spans="1:13" x14ac:dyDescent="0.25">
      <c r="A895">
        <v>894</v>
      </c>
      <c r="B895">
        <v>30002242</v>
      </c>
      <c r="C895">
        <v>6</v>
      </c>
      <c r="E895" s="110">
        <v>42584</v>
      </c>
      <c r="F895" s="111" t="s">
        <v>241</v>
      </c>
      <c r="G895">
        <v>7.8179999999999996</v>
      </c>
      <c r="H895">
        <v>25.000000000000071</v>
      </c>
      <c r="I895">
        <v>4</v>
      </c>
      <c r="J895">
        <v>1225</v>
      </c>
      <c r="K895" s="1" t="e">
        <f>INDEX($P$4:$AM$15,MATCH(MONTH($E895),$O$4:$O$15,0),MATCH(HOUR($F895),$P$3:$AM$3,0))</f>
        <v>#N/A</v>
      </c>
      <c r="L895" t="s">
        <v>231</v>
      </c>
      <c r="M895" s="111"/>
    </row>
    <row r="896" spans="1:13" x14ac:dyDescent="0.25">
      <c r="A896">
        <v>895</v>
      </c>
      <c r="B896">
        <v>30003274</v>
      </c>
      <c r="C896">
        <v>1</v>
      </c>
      <c r="E896" s="110">
        <v>42585</v>
      </c>
      <c r="F896" s="111" t="s">
        <v>333</v>
      </c>
      <c r="G896">
        <v>2.1520000000000001</v>
      </c>
      <c r="H896">
        <v>8.999999999999968</v>
      </c>
      <c r="I896">
        <v>3</v>
      </c>
      <c r="J896">
        <v>55.999999999999957</v>
      </c>
      <c r="K896" s="1" t="e">
        <f>INDEX($P$4:$AM$15,MATCH(MONTH($E896),$O$4:$O$15,0),MATCH(HOUR($F896),$P$3:$AM$3,0))</f>
        <v>#N/A</v>
      </c>
      <c r="L896" t="s">
        <v>218</v>
      </c>
      <c r="M896" s="111"/>
    </row>
    <row r="897" spans="1:13" x14ac:dyDescent="0.25">
      <c r="A897">
        <v>896</v>
      </c>
      <c r="B897">
        <v>30003274</v>
      </c>
      <c r="C897">
        <v>2</v>
      </c>
      <c r="E897" s="110">
        <v>42585</v>
      </c>
      <c r="F897" s="111" t="s">
        <v>460</v>
      </c>
      <c r="G897">
        <v>0.35499999999999998</v>
      </c>
      <c r="H897">
        <v>3.9999999999999858</v>
      </c>
      <c r="I897">
        <v>3</v>
      </c>
      <c r="J897">
        <v>10.000000000000124</v>
      </c>
      <c r="K897" s="1" t="e">
        <f>INDEX($P$4:$AM$15,MATCH(MONTH($E897),$O$4:$O$15,0),MATCH(HOUR($F897),$P$3:$AM$3,0))</f>
        <v>#N/A</v>
      </c>
      <c r="L897" t="s">
        <v>218</v>
      </c>
      <c r="M897" s="111"/>
    </row>
    <row r="898" spans="1:13" x14ac:dyDescent="0.25">
      <c r="A898">
        <v>897</v>
      </c>
      <c r="B898">
        <v>30003274</v>
      </c>
      <c r="C898">
        <v>3</v>
      </c>
      <c r="E898" s="110">
        <v>42585</v>
      </c>
      <c r="F898" s="111" t="s">
        <v>544</v>
      </c>
      <c r="G898">
        <v>1.601</v>
      </c>
      <c r="H898">
        <v>4.9999999999998224</v>
      </c>
      <c r="I898">
        <v>3</v>
      </c>
      <c r="J898">
        <v>6.0000000000001386</v>
      </c>
      <c r="K898" s="1" t="e">
        <f>INDEX($P$4:$AM$15,MATCH(MONTH($E898),$O$4:$O$15,0),MATCH(HOUR($F898),$P$3:$AM$3,0))</f>
        <v>#N/A</v>
      </c>
      <c r="L898" t="s">
        <v>218</v>
      </c>
      <c r="M898" s="111"/>
    </row>
    <row r="899" spans="1:13" x14ac:dyDescent="0.25">
      <c r="A899">
        <v>898</v>
      </c>
      <c r="B899">
        <v>30003274</v>
      </c>
      <c r="C899">
        <v>4</v>
      </c>
      <c r="E899" s="110">
        <v>42585</v>
      </c>
      <c r="F899" s="111" t="s">
        <v>429</v>
      </c>
      <c r="G899">
        <v>0.90200000000000002</v>
      </c>
      <c r="H899">
        <v>5.9999999999999787</v>
      </c>
      <c r="I899">
        <v>3</v>
      </c>
      <c r="J899">
        <v>1099</v>
      </c>
      <c r="K899" s="1" t="e">
        <f>INDEX($P$4:$AM$15,MATCH(MONTH($E899),$O$4:$O$15,0),MATCH(HOUR($F899),$P$3:$AM$3,0))</f>
        <v>#N/A</v>
      </c>
      <c r="L899" t="s">
        <v>218</v>
      </c>
      <c r="M899" s="111"/>
    </row>
    <row r="900" spans="1:13" x14ac:dyDescent="0.25">
      <c r="A900">
        <v>899</v>
      </c>
      <c r="B900">
        <v>30004211</v>
      </c>
      <c r="C900">
        <v>1</v>
      </c>
      <c r="E900" s="110">
        <v>42586</v>
      </c>
      <c r="F900" s="111" t="s">
        <v>283</v>
      </c>
      <c r="G900">
        <v>4.1210000000000004</v>
      </c>
      <c r="H900">
        <v>20.000000000000007</v>
      </c>
      <c r="I900">
        <v>3</v>
      </c>
      <c r="J900">
        <v>130.00000000000003</v>
      </c>
      <c r="K900" s="1" t="e">
        <f>INDEX($P$4:$AM$15,MATCH(MONTH($E900),$O$4:$O$15,0),MATCH(HOUR($F900),$P$3:$AM$3,0))</f>
        <v>#N/A</v>
      </c>
      <c r="L900" t="s">
        <v>218</v>
      </c>
      <c r="M900" s="111"/>
    </row>
    <row r="901" spans="1:13" x14ac:dyDescent="0.25">
      <c r="A901">
        <v>900</v>
      </c>
      <c r="B901">
        <v>30004211</v>
      </c>
      <c r="C901">
        <v>2</v>
      </c>
      <c r="E901" s="110">
        <v>42586</v>
      </c>
      <c r="F901" s="111" t="s">
        <v>314</v>
      </c>
      <c r="G901">
        <v>4.2889999999999997</v>
      </c>
      <c r="H901">
        <v>29.999999999999893</v>
      </c>
      <c r="I901">
        <v>3</v>
      </c>
      <c r="J901">
        <v>0</v>
      </c>
      <c r="K901" s="1" t="e">
        <f>INDEX($P$4:$AM$15,MATCH(MONTH($E901),$O$4:$O$15,0),MATCH(HOUR($F901),$P$3:$AM$3,0))</f>
        <v>#N/A</v>
      </c>
      <c r="L901" t="s">
        <v>218</v>
      </c>
      <c r="M901" s="111"/>
    </row>
    <row r="902" spans="1:13" x14ac:dyDescent="0.25">
      <c r="A902">
        <v>901</v>
      </c>
      <c r="B902">
        <v>30017564</v>
      </c>
      <c r="C902">
        <v>3</v>
      </c>
      <c r="E902" s="110">
        <v>42586</v>
      </c>
      <c r="F902" s="111" t="s">
        <v>219</v>
      </c>
      <c r="G902">
        <v>15.077999999999999</v>
      </c>
      <c r="H902">
        <v>25.000000000000071</v>
      </c>
      <c r="I902">
        <v>3</v>
      </c>
      <c r="J902">
        <v>40.000000000000014</v>
      </c>
      <c r="K902" s="1" t="e">
        <f>INDEX($P$4:$AM$15,MATCH(MONTH($E902),$O$4:$O$15,0),MATCH(HOUR($F902),$P$3:$AM$3,0))</f>
        <v>#N/A</v>
      </c>
      <c r="L902" t="s">
        <v>257</v>
      </c>
      <c r="M902" s="111"/>
    </row>
    <row r="903" spans="1:13" x14ac:dyDescent="0.25">
      <c r="A903">
        <v>902</v>
      </c>
      <c r="B903">
        <v>30017564</v>
      </c>
      <c r="C903">
        <v>4</v>
      </c>
      <c r="E903" s="110">
        <v>42586</v>
      </c>
      <c r="F903" s="111" t="s">
        <v>333</v>
      </c>
      <c r="G903">
        <v>14.554</v>
      </c>
      <c r="H903">
        <v>24.999999999999911</v>
      </c>
      <c r="I903">
        <v>3</v>
      </c>
      <c r="J903">
        <v>210.00000000000006</v>
      </c>
      <c r="K903" s="1" t="e">
        <f>INDEX($P$4:$AM$15,MATCH(MONTH($E903),$O$4:$O$15,0),MATCH(HOUR($F903),$P$3:$AM$3,0))</f>
        <v>#N/A</v>
      </c>
      <c r="L903" t="s">
        <v>257</v>
      </c>
      <c r="M903" s="111"/>
    </row>
    <row r="904" spans="1:13" x14ac:dyDescent="0.25">
      <c r="A904">
        <v>903</v>
      </c>
      <c r="B904">
        <v>30017564</v>
      </c>
      <c r="C904">
        <v>5</v>
      </c>
      <c r="E904" s="110">
        <v>42586</v>
      </c>
      <c r="F904" s="111" t="s">
        <v>253</v>
      </c>
      <c r="G904">
        <v>0.27</v>
      </c>
      <c r="H904">
        <v>0.99999999999999645</v>
      </c>
      <c r="I904">
        <v>3</v>
      </c>
      <c r="J904">
        <v>1.0000000000001563</v>
      </c>
      <c r="K904" s="1" t="e">
        <f>INDEX($P$4:$AM$15,MATCH(MONTH($E904),$O$4:$O$15,0),MATCH(HOUR($F904),$P$3:$AM$3,0))</f>
        <v>#N/A</v>
      </c>
      <c r="L904" t="s">
        <v>257</v>
      </c>
      <c r="M904" s="111"/>
    </row>
    <row r="905" spans="1:13" x14ac:dyDescent="0.25">
      <c r="A905">
        <v>904</v>
      </c>
      <c r="B905">
        <v>30017564</v>
      </c>
      <c r="C905">
        <v>6</v>
      </c>
      <c r="E905" s="110">
        <v>42586</v>
      </c>
      <c r="F905" s="111" t="s">
        <v>545</v>
      </c>
      <c r="G905">
        <v>19.977</v>
      </c>
      <c r="H905">
        <v>17.999999999999776</v>
      </c>
      <c r="I905">
        <v>3</v>
      </c>
      <c r="J905">
        <v>140.00000000000014</v>
      </c>
      <c r="K905" s="1" t="e">
        <f>INDEX($P$4:$AM$15,MATCH(MONTH($E905),$O$4:$O$15,0),MATCH(HOUR($F905),$P$3:$AM$3,0))</f>
        <v>#N/A</v>
      </c>
      <c r="L905" t="s">
        <v>257</v>
      </c>
      <c r="M905" s="111"/>
    </row>
    <row r="906" spans="1:13" x14ac:dyDescent="0.25">
      <c r="A906">
        <v>905</v>
      </c>
      <c r="B906">
        <v>30017564</v>
      </c>
      <c r="C906">
        <v>7</v>
      </c>
      <c r="E906" s="110">
        <v>42586</v>
      </c>
      <c r="F906" s="111" t="s">
        <v>265</v>
      </c>
      <c r="G906">
        <v>6.2629999999999999</v>
      </c>
      <c r="H906">
        <v>19.999999999999929</v>
      </c>
      <c r="I906">
        <v>3</v>
      </c>
      <c r="J906">
        <v>64.999999999999929</v>
      </c>
      <c r="K906" s="1" t="e">
        <f>INDEX($P$4:$AM$15,MATCH(MONTH($E906),$O$4:$O$15,0),MATCH(HOUR($F906),$P$3:$AM$3,0))</f>
        <v>#N/A</v>
      </c>
      <c r="L906" t="s">
        <v>257</v>
      </c>
      <c r="M906" s="111"/>
    </row>
    <row r="907" spans="1:13" x14ac:dyDescent="0.25">
      <c r="A907">
        <v>906</v>
      </c>
      <c r="B907">
        <v>30017564</v>
      </c>
      <c r="C907">
        <v>8</v>
      </c>
      <c r="E907" s="110">
        <v>42586</v>
      </c>
      <c r="F907" s="111" t="s">
        <v>546</v>
      </c>
      <c r="G907">
        <v>6.4420000000000002</v>
      </c>
      <c r="H907">
        <v>14.999999999999947</v>
      </c>
      <c r="I907">
        <v>3</v>
      </c>
      <c r="J907">
        <v>5.0000000000001421</v>
      </c>
      <c r="K907" s="1" t="e">
        <f>INDEX($P$4:$AM$15,MATCH(MONTH($E907),$O$4:$O$15,0),MATCH(HOUR($F907),$P$3:$AM$3,0))</f>
        <v>#N/A</v>
      </c>
      <c r="L907" t="s">
        <v>257</v>
      </c>
      <c r="M907" s="111"/>
    </row>
    <row r="908" spans="1:13" x14ac:dyDescent="0.25">
      <c r="A908">
        <v>907</v>
      </c>
      <c r="B908">
        <v>30017564</v>
      </c>
      <c r="C908">
        <v>9</v>
      </c>
      <c r="E908" s="110">
        <v>42586</v>
      </c>
      <c r="F908" s="111" t="s">
        <v>547</v>
      </c>
      <c r="G908">
        <v>21.274000000000001</v>
      </c>
      <c r="H908">
        <v>24.999999999999911</v>
      </c>
      <c r="I908">
        <v>3</v>
      </c>
      <c r="J908">
        <v>520.00000000000011</v>
      </c>
      <c r="K908" s="1" t="e">
        <f>INDEX($P$4:$AM$15,MATCH(MONTH($E908),$O$4:$O$15,0),MATCH(HOUR($F908),$P$3:$AM$3,0))</f>
        <v>#N/A</v>
      </c>
      <c r="L908" t="s">
        <v>257</v>
      </c>
      <c r="M908" s="111"/>
    </row>
    <row r="909" spans="1:13" x14ac:dyDescent="0.25">
      <c r="A909">
        <v>908</v>
      </c>
      <c r="B909">
        <v>30025564</v>
      </c>
      <c r="C909">
        <v>1</v>
      </c>
      <c r="E909" s="110">
        <v>42587</v>
      </c>
      <c r="F909" s="111" t="s">
        <v>251</v>
      </c>
      <c r="G909">
        <v>3.5209999999999999</v>
      </c>
      <c r="H909">
        <v>10.000000000000044</v>
      </c>
      <c r="I909">
        <v>3</v>
      </c>
      <c r="J909">
        <v>439.99999999999994</v>
      </c>
      <c r="K909" s="1" t="e">
        <f>INDEX($P$4:$AM$15,MATCH(MONTH($E909),$O$4:$O$15,0),MATCH(HOUR($F909),$P$3:$AM$3,0))</f>
        <v>#N/A</v>
      </c>
      <c r="L909" t="s">
        <v>231</v>
      </c>
      <c r="M909" s="111"/>
    </row>
    <row r="910" spans="1:13" x14ac:dyDescent="0.25">
      <c r="A910">
        <v>909</v>
      </c>
      <c r="B910">
        <v>30025564</v>
      </c>
      <c r="C910">
        <v>2</v>
      </c>
      <c r="E910" s="110">
        <v>42587</v>
      </c>
      <c r="F910" s="111" t="s">
        <v>227</v>
      </c>
      <c r="G910">
        <v>3.5209999999999999</v>
      </c>
      <c r="H910">
        <v>9.9999999999999645</v>
      </c>
      <c r="I910">
        <v>4</v>
      </c>
      <c r="J910">
        <v>845</v>
      </c>
      <c r="K910" s="1" t="e">
        <f>INDEX($P$4:$AM$15,MATCH(MONTH($E910),$O$4:$O$15,0),MATCH(HOUR($F910),$P$3:$AM$3,0))</f>
        <v>#N/A</v>
      </c>
      <c r="L910" t="s">
        <v>231</v>
      </c>
      <c r="M910" s="111"/>
    </row>
    <row r="911" spans="1:13" x14ac:dyDescent="0.25">
      <c r="A911">
        <v>910</v>
      </c>
      <c r="B911">
        <v>30025564</v>
      </c>
      <c r="C911">
        <v>1</v>
      </c>
      <c r="E911" s="110">
        <v>42588</v>
      </c>
      <c r="F911" s="111" t="s">
        <v>548</v>
      </c>
      <c r="G911">
        <v>18.690000000000001</v>
      </c>
      <c r="H911">
        <v>30.000000000000014</v>
      </c>
      <c r="I911">
        <v>3</v>
      </c>
      <c r="J911">
        <v>555</v>
      </c>
      <c r="K911" s="1" t="e">
        <f>INDEX($P$4:$AM$15,MATCH(MONTH($E911),$O$4:$O$15,0),MATCH(HOUR($F911),$P$3:$AM$3,0))</f>
        <v>#N/A</v>
      </c>
      <c r="L911" t="s">
        <v>231</v>
      </c>
      <c r="M911" s="111"/>
    </row>
    <row r="912" spans="1:13" x14ac:dyDescent="0.25">
      <c r="A912">
        <v>911</v>
      </c>
      <c r="B912">
        <v>30025564</v>
      </c>
      <c r="C912">
        <v>2</v>
      </c>
      <c r="E912" s="110">
        <v>42588</v>
      </c>
      <c r="F912" s="111" t="s">
        <v>227</v>
      </c>
      <c r="G912">
        <v>18.681000000000001</v>
      </c>
      <c r="H912">
        <v>35.000000000000036</v>
      </c>
      <c r="I912">
        <v>3</v>
      </c>
      <c r="J912">
        <v>1165</v>
      </c>
      <c r="K912" s="1" t="e">
        <f>INDEX($P$4:$AM$15,MATCH(MONTH($E912),$O$4:$O$15,0),MATCH(HOUR($F912),$P$3:$AM$3,0))</f>
        <v>#N/A</v>
      </c>
      <c r="L912" t="s">
        <v>231</v>
      </c>
      <c r="M912" s="111"/>
    </row>
    <row r="913" spans="1:13" x14ac:dyDescent="0.25">
      <c r="A913">
        <v>912</v>
      </c>
      <c r="B913">
        <v>30026173</v>
      </c>
      <c r="C913">
        <v>1</v>
      </c>
      <c r="E913" s="110">
        <v>42589</v>
      </c>
      <c r="F913" s="111" t="s">
        <v>221</v>
      </c>
      <c r="G913">
        <v>12.965</v>
      </c>
      <c r="H913">
        <v>45</v>
      </c>
      <c r="I913">
        <v>4</v>
      </c>
      <c r="J913">
        <v>215.00000000000011</v>
      </c>
      <c r="K913" s="1" t="e">
        <f>INDEX($P$4:$AM$15,MATCH(MONTH($E913),$O$4:$O$15,0),MATCH(HOUR($F913),$P$3:$AM$3,0))</f>
        <v>#N/A</v>
      </c>
      <c r="L913" t="s">
        <v>218</v>
      </c>
      <c r="M913" s="111"/>
    </row>
    <row r="914" spans="1:13" x14ac:dyDescent="0.25">
      <c r="A914">
        <v>913</v>
      </c>
      <c r="B914">
        <v>30026173</v>
      </c>
      <c r="C914">
        <v>2</v>
      </c>
      <c r="E914" s="110">
        <v>42589</v>
      </c>
      <c r="F914" s="111" t="s">
        <v>472</v>
      </c>
      <c r="G914">
        <v>7.3070000000000004</v>
      </c>
      <c r="H914">
        <v>34.999999999999872</v>
      </c>
      <c r="I914">
        <v>4</v>
      </c>
      <c r="J914">
        <v>35.000000000000036</v>
      </c>
      <c r="K914" s="1" t="e">
        <f>INDEX($P$4:$AM$15,MATCH(MONTH($E914),$O$4:$O$15,0),MATCH(HOUR($F914),$P$3:$AM$3,0))</f>
        <v>#N/A</v>
      </c>
      <c r="L914" t="s">
        <v>218</v>
      </c>
      <c r="M914" s="111"/>
    </row>
    <row r="915" spans="1:13" x14ac:dyDescent="0.25">
      <c r="A915">
        <v>914</v>
      </c>
      <c r="B915">
        <v>30026173</v>
      </c>
      <c r="C915">
        <v>3</v>
      </c>
      <c r="E915" s="110">
        <v>42589</v>
      </c>
      <c r="F915" s="111" t="s">
        <v>247</v>
      </c>
      <c r="G915">
        <v>10.555</v>
      </c>
      <c r="H915">
        <v>25.000000000000071</v>
      </c>
      <c r="I915">
        <v>4</v>
      </c>
      <c r="J915">
        <v>19.999999999999929</v>
      </c>
      <c r="K915" s="1" t="e">
        <f>INDEX($P$4:$AM$15,MATCH(MONTH($E915),$O$4:$O$15,0),MATCH(HOUR($F915),$P$3:$AM$3,0))</f>
        <v>#N/A</v>
      </c>
      <c r="L915" t="s">
        <v>218</v>
      </c>
      <c r="M915" s="111"/>
    </row>
    <row r="916" spans="1:13" x14ac:dyDescent="0.25">
      <c r="A916">
        <v>915</v>
      </c>
      <c r="B916">
        <v>30026173</v>
      </c>
      <c r="C916">
        <v>4</v>
      </c>
      <c r="E916" s="110">
        <v>42589</v>
      </c>
      <c r="F916" s="111" t="s">
        <v>241</v>
      </c>
      <c r="G916">
        <v>5.4349999999999996</v>
      </c>
      <c r="H916">
        <v>30.000000000000053</v>
      </c>
      <c r="I916">
        <v>4</v>
      </c>
      <c r="J916">
        <v>735</v>
      </c>
      <c r="K916" s="1" t="e">
        <f>INDEX($P$4:$AM$15,MATCH(MONTH($E916),$O$4:$O$15,0),MATCH(HOUR($F916),$P$3:$AM$3,0))</f>
        <v>#N/A</v>
      </c>
      <c r="L916" t="s">
        <v>218</v>
      </c>
      <c r="M916" s="111"/>
    </row>
    <row r="917" spans="1:13" x14ac:dyDescent="0.25">
      <c r="A917">
        <v>916</v>
      </c>
      <c r="B917">
        <v>30029498</v>
      </c>
      <c r="C917">
        <v>1</v>
      </c>
      <c r="E917" s="110">
        <v>42590</v>
      </c>
      <c r="F917" s="111" t="s">
        <v>248</v>
      </c>
      <c r="G917">
        <v>1.111</v>
      </c>
      <c r="H917">
        <v>4.9999999999999822</v>
      </c>
      <c r="I917">
        <v>4</v>
      </c>
      <c r="J917">
        <v>55.000000000000043</v>
      </c>
      <c r="K917" s="1" t="e">
        <f>INDEX($P$4:$AM$15,MATCH(MONTH($E917),$O$4:$O$15,0),MATCH(HOUR($F917),$P$3:$AM$3,0))</f>
        <v>#N/A</v>
      </c>
      <c r="L917" t="s">
        <v>302</v>
      </c>
      <c r="M917" s="111"/>
    </row>
    <row r="918" spans="1:13" x14ac:dyDescent="0.25">
      <c r="A918">
        <v>917</v>
      </c>
      <c r="B918">
        <v>30029498</v>
      </c>
      <c r="C918">
        <v>2</v>
      </c>
      <c r="E918" s="110">
        <v>42590</v>
      </c>
      <c r="F918" s="111" t="s">
        <v>305</v>
      </c>
      <c r="G918">
        <v>1.111</v>
      </c>
      <c r="H918">
        <v>4.9999999999999822</v>
      </c>
      <c r="I918">
        <v>4</v>
      </c>
      <c r="J918">
        <v>75.000000000000057</v>
      </c>
      <c r="K918" s="1" t="e">
        <f>INDEX($P$4:$AM$15,MATCH(MONTH($E918),$O$4:$O$15,0),MATCH(HOUR($F918),$P$3:$AM$3,0))</f>
        <v>#N/A</v>
      </c>
      <c r="L918" t="s">
        <v>302</v>
      </c>
      <c r="M918" s="111"/>
    </row>
    <row r="919" spans="1:13" x14ac:dyDescent="0.25">
      <c r="A919">
        <v>918</v>
      </c>
      <c r="B919">
        <v>30029498</v>
      </c>
      <c r="C919">
        <v>3</v>
      </c>
      <c r="E919" s="110">
        <v>42590</v>
      </c>
      <c r="F919" s="111" t="s">
        <v>441</v>
      </c>
      <c r="G919">
        <v>1.952</v>
      </c>
      <c r="H919">
        <v>9.9999999999999645</v>
      </c>
      <c r="I919">
        <v>4</v>
      </c>
      <c r="J919">
        <v>629.99999999999989</v>
      </c>
      <c r="K919" s="1" t="e">
        <f>INDEX($P$4:$AM$15,MATCH(MONTH($E919),$O$4:$O$15,0),MATCH(HOUR($F919),$P$3:$AM$3,0))</f>
        <v>#N/A</v>
      </c>
      <c r="L919" t="s">
        <v>302</v>
      </c>
      <c r="M919" s="111"/>
    </row>
    <row r="920" spans="1:13" x14ac:dyDescent="0.25">
      <c r="A920">
        <v>919</v>
      </c>
      <c r="B920">
        <v>30029498</v>
      </c>
      <c r="C920">
        <v>4</v>
      </c>
      <c r="E920" s="110">
        <v>42590</v>
      </c>
      <c r="F920" s="111" t="s">
        <v>245</v>
      </c>
      <c r="G920">
        <v>4.899</v>
      </c>
      <c r="H920">
        <v>15.000000000000107</v>
      </c>
      <c r="I920">
        <v>4</v>
      </c>
      <c r="J920">
        <v>59.999999999999943</v>
      </c>
      <c r="K920" s="1" t="e">
        <f>INDEX($P$4:$AM$15,MATCH(MONTH($E920),$O$4:$O$15,0),MATCH(HOUR($F920),$P$3:$AM$3,0))</f>
        <v>#N/A</v>
      </c>
      <c r="L920" t="s">
        <v>302</v>
      </c>
      <c r="M920" s="111"/>
    </row>
    <row r="921" spans="1:13" x14ac:dyDescent="0.25">
      <c r="A921">
        <v>920</v>
      </c>
      <c r="B921">
        <v>30029498</v>
      </c>
      <c r="C921">
        <v>5</v>
      </c>
      <c r="E921" s="110">
        <v>42590</v>
      </c>
      <c r="F921" s="111" t="s">
        <v>347</v>
      </c>
      <c r="G921">
        <v>2.8740000000000001</v>
      </c>
      <c r="H921">
        <v>14.999999999999947</v>
      </c>
      <c r="I921">
        <v>4</v>
      </c>
      <c r="J921">
        <v>10.000000000000124</v>
      </c>
      <c r="K921" s="1" t="e">
        <f>INDEX($P$4:$AM$15,MATCH(MONTH($E921),$O$4:$O$15,0),MATCH(HOUR($F921),$P$3:$AM$3,0))</f>
        <v>#N/A</v>
      </c>
      <c r="L921" t="s">
        <v>302</v>
      </c>
      <c r="M921" s="111"/>
    </row>
    <row r="922" spans="1:13" x14ac:dyDescent="0.25">
      <c r="A922">
        <v>921</v>
      </c>
      <c r="B922">
        <v>30029498</v>
      </c>
      <c r="C922">
        <v>6</v>
      </c>
      <c r="E922" s="110">
        <v>42590</v>
      </c>
      <c r="F922" s="111" t="s">
        <v>265</v>
      </c>
      <c r="G922">
        <v>0.34100000000000003</v>
      </c>
      <c r="H922">
        <v>4.9999999999999822</v>
      </c>
      <c r="I922">
        <v>4</v>
      </c>
      <c r="J922">
        <v>614.99999999999989</v>
      </c>
      <c r="K922" s="1" t="e">
        <f>INDEX($P$4:$AM$15,MATCH(MONTH($E922),$O$4:$O$15,0),MATCH(HOUR($F922),$P$3:$AM$3,0))</f>
        <v>#N/A</v>
      </c>
      <c r="L922" t="s">
        <v>302</v>
      </c>
      <c r="M922" s="111"/>
    </row>
    <row r="923" spans="1:13" x14ac:dyDescent="0.25">
      <c r="A923">
        <v>922</v>
      </c>
      <c r="B923">
        <v>30029498</v>
      </c>
      <c r="C923">
        <v>1</v>
      </c>
      <c r="E923" s="110">
        <v>42591</v>
      </c>
      <c r="F923" s="111" t="s">
        <v>305</v>
      </c>
      <c r="G923">
        <v>6.5940000000000003</v>
      </c>
      <c r="H923">
        <v>19.999999999999929</v>
      </c>
      <c r="I923">
        <v>3</v>
      </c>
      <c r="J923">
        <v>700</v>
      </c>
      <c r="K923" s="1" t="e">
        <f>INDEX($P$4:$AM$15,MATCH(MONTH($E923),$O$4:$O$15,0),MATCH(HOUR($F923),$P$3:$AM$3,0))</f>
        <v>#N/A</v>
      </c>
      <c r="L923" t="s">
        <v>302</v>
      </c>
      <c r="M923" s="111"/>
    </row>
    <row r="924" spans="1:13" x14ac:dyDescent="0.25">
      <c r="A924">
        <v>923</v>
      </c>
      <c r="B924">
        <v>30029498</v>
      </c>
      <c r="C924">
        <v>2</v>
      </c>
      <c r="E924" s="110">
        <v>42591</v>
      </c>
      <c r="F924" s="111" t="s">
        <v>245</v>
      </c>
      <c r="G924">
        <v>6.6349999999999998</v>
      </c>
      <c r="H924">
        <v>19.999999999999929</v>
      </c>
      <c r="I924">
        <v>3</v>
      </c>
      <c r="J924">
        <v>1195</v>
      </c>
      <c r="K924" s="1" t="e">
        <f>INDEX($P$4:$AM$15,MATCH(MONTH($E924),$O$4:$O$15,0),MATCH(HOUR($F924),$P$3:$AM$3,0))</f>
        <v>#N/A</v>
      </c>
      <c r="L924" t="s">
        <v>302</v>
      </c>
      <c r="M924" s="111"/>
    </row>
    <row r="925" spans="1:13" x14ac:dyDescent="0.25">
      <c r="A925">
        <v>924</v>
      </c>
      <c r="B925">
        <v>30030591</v>
      </c>
      <c r="C925">
        <v>1</v>
      </c>
      <c r="E925" s="110">
        <v>42592</v>
      </c>
      <c r="F925" s="111" t="s">
        <v>268</v>
      </c>
      <c r="G925">
        <v>5.8049999999999997</v>
      </c>
      <c r="H925">
        <v>15.000000000000107</v>
      </c>
      <c r="I925">
        <v>5</v>
      </c>
      <c r="J925">
        <v>50.999999999999979</v>
      </c>
      <c r="K925" s="1" t="e">
        <f>INDEX($P$4:$AM$15,MATCH(MONTH($E925),$O$4:$O$15,0),MATCH(HOUR($F925),$P$3:$AM$3,0))</f>
        <v>#N/A</v>
      </c>
      <c r="L925" t="s">
        <v>302</v>
      </c>
      <c r="M925" s="111"/>
    </row>
    <row r="926" spans="1:13" x14ac:dyDescent="0.25">
      <c r="A926">
        <v>925</v>
      </c>
      <c r="B926">
        <v>30030591</v>
      </c>
      <c r="C926">
        <v>2</v>
      </c>
      <c r="E926" s="110">
        <v>42592</v>
      </c>
      <c r="F926" s="111" t="s">
        <v>278</v>
      </c>
      <c r="G926">
        <v>5.8090000000000002</v>
      </c>
      <c r="H926">
        <v>15.000000000000107</v>
      </c>
      <c r="I926">
        <v>5</v>
      </c>
      <c r="J926">
        <v>983.99999999999989</v>
      </c>
      <c r="K926" s="1" t="e">
        <f>INDEX($P$4:$AM$15,MATCH(MONTH($E926),$O$4:$O$15,0),MATCH(HOUR($F926),$P$3:$AM$3,0))</f>
        <v>#N/A</v>
      </c>
      <c r="L926" t="s">
        <v>302</v>
      </c>
      <c r="M926" s="111"/>
    </row>
    <row r="927" spans="1:13" x14ac:dyDescent="0.25">
      <c r="A927">
        <v>926</v>
      </c>
      <c r="B927">
        <v>30030727</v>
      </c>
      <c r="C927">
        <v>1</v>
      </c>
      <c r="E927" s="110">
        <v>42593</v>
      </c>
      <c r="F927" s="111" t="s">
        <v>295</v>
      </c>
      <c r="G927">
        <v>19.666</v>
      </c>
      <c r="H927">
        <v>29.999999999999972</v>
      </c>
      <c r="I927">
        <v>5</v>
      </c>
      <c r="J927">
        <v>499.99999999999994</v>
      </c>
      <c r="K927" s="1" t="e">
        <f>INDEX($P$4:$AM$15,MATCH(MONTH($E927),$O$4:$O$15,0),MATCH(HOUR($F927),$P$3:$AM$3,0))</f>
        <v>#N/A</v>
      </c>
      <c r="L927" t="s">
        <v>249</v>
      </c>
      <c r="M927" s="111"/>
    </row>
    <row r="928" spans="1:13" x14ac:dyDescent="0.25">
      <c r="A928">
        <v>927</v>
      </c>
      <c r="B928">
        <v>30030727</v>
      </c>
      <c r="C928">
        <v>2</v>
      </c>
      <c r="E928" s="110">
        <v>42593</v>
      </c>
      <c r="F928" s="111" t="s">
        <v>549</v>
      </c>
      <c r="G928">
        <v>19.937000000000001</v>
      </c>
      <c r="H928">
        <v>40.000000000000178</v>
      </c>
      <c r="I928">
        <v>5</v>
      </c>
      <c r="J928">
        <v>999.99999999999989</v>
      </c>
      <c r="K928" s="1" t="e">
        <f>INDEX($P$4:$AM$15,MATCH(MONTH($E928),$O$4:$O$15,0),MATCH(HOUR($F928),$P$3:$AM$3,0))</f>
        <v>#N/A</v>
      </c>
      <c r="L928" t="s">
        <v>249</v>
      </c>
      <c r="M928" s="111"/>
    </row>
    <row r="929" spans="1:13" x14ac:dyDescent="0.25">
      <c r="A929">
        <v>928</v>
      </c>
      <c r="B929">
        <v>30030727</v>
      </c>
      <c r="C929">
        <v>1</v>
      </c>
      <c r="E929" s="110">
        <v>42594</v>
      </c>
      <c r="F929" s="111" t="s">
        <v>337</v>
      </c>
      <c r="G929">
        <v>9.4499999999999993</v>
      </c>
      <c r="H929">
        <v>23.000000000000078</v>
      </c>
      <c r="I929">
        <v>3</v>
      </c>
      <c r="J929">
        <v>102.00000000000004</v>
      </c>
      <c r="K929" s="1" t="e">
        <f>INDEX($P$4:$AM$15,MATCH(MONTH($E929),$O$4:$O$15,0),MATCH(HOUR($F929),$P$3:$AM$3,0))</f>
        <v>#N/A</v>
      </c>
      <c r="L929" t="s">
        <v>249</v>
      </c>
      <c r="M929" s="111"/>
    </row>
    <row r="930" spans="1:13" x14ac:dyDescent="0.25">
      <c r="A930">
        <v>929</v>
      </c>
      <c r="B930">
        <v>30030727</v>
      </c>
      <c r="C930">
        <v>2</v>
      </c>
      <c r="E930" s="110">
        <v>42594</v>
      </c>
      <c r="F930" s="111" t="s">
        <v>369</v>
      </c>
      <c r="G930">
        <v>21.416</v>
      </c>
      <c r="H930">
        <v>24.999999999999911</v>
      </c>
      <c r="I930">
        <v>3</v>
      </c>
      <c r="J930">
        <v>120.00000000000006</v>
      </c>
      <c r="K930" s="1" t="e">
        <f>INDEX($P$4:$AM$15,MATCH(MONTH($E930),$O$4:$O$15,0),MATCH(HOUR($F930),$P$3:$AM$3,0))</f>
        <v>#N/A</v>
      </c>
      <c r="L930" t="s">
        <v>249</v>
      </c>
      <c r="M930" s="111"/>
    </row>
    <row r="931" spans="1:13" x14ac:dyDescent="0.25">
      <c r="A931">
        <v>930</v>
      </c>
      <c r="B931">
        <v>30030727</v>
      </c>
      <c r="C931">
        <v>3</v>
      </c>
      <c r="E931" s="110">
        <v>42594</v>
      </c>
      <c r="F931" s="111" t="s">
        <v>276</v>
      </c>
      <c r="G931">
        <v>1.397</v>
      </c>
      <c r="H931">
        <v>9.9999999999999645</v>
      </c>
      <c r="I931">
        <v>3</v>
      </c>
      <c r="J931">
        <v>9.9999999999999645</v>
      </c>
      <c r="K931" s="1" t="e">
        <f>INDEX($P$4:$AM$15,MATCH(MONTH($E931),$O$4:$O$15,0),MATCH(HOUR($F931),$P$3:$AM$3,0))</f>
        <v>#N/A</v>
      </c>
      <c r="L931" t="s">
        <v>249</v>
      </c>
      <c r="M931" s="111"/>
    </row>
    <row r="932" spans="1:13" x14ac:dyDescent="0.25">
      <c r="A932">
        <v>931</v>
      </c>
      <c r="B932">
        <v>30030727</v>
      </c>
      <c r="C932">
        <v>4</v>
      </c>
      <c r="E932" s="110">
        <v>42594</v>
      </c>
      <c r="F932" s="111" t="s">
        <v>252</v>
      </c>
      <c r="G932">
        <v>7.7949999999999999</v>
      </c>
      <c r="H932">
        <v>19.999999999999929</v>
      </c>
      <c r="I932">
        <v>3</v>
      </c>
      <c r="J932">
        <v>960.00000000000023</v>
      </c>
      <c r="K932" s="1" t="e">
        <f>INDEX($P$4:$AM$15,MATCH(MONTH($E932),$O$4:$O$15,0),MATCH(HOUR($F932),$P$3:$AM$3,0))</f>
        <v>#N/A</v>
      </c>
      <c r="L932" t="s">
        <v>249</v>
      </c>
      <c r="M932" s="111"/>
    </row>
    <row r="933" spans="1:13" x14ac:dyDescent="0.25">
      <c r="A933">
        <v>932</v>
      </c>
      <c r="B933">
        <v>30031016</v>
      </c>
      <c r="C933">
        <v>1</v>
      </c>
      <c r="E933" s="110">
        <v>42595</v>
      </c>
      <c r="F933" s="111" t="s">
        <v>441</v>
      </c>
      <c r="G933">
        <v>4.508</v>
      </c>
      <c r="H933">
        <v>9.9999999999999645</v>
      </c>
      <c r="I933">
        <v>4</v>
      </c>
      <c r="J933">
        <v>24.999999999999911</v>
      </c>
      <c r="K933" s="1" t="e">
        <f>INDEX($P$4:$AM$15,MATCH(MONTH($E933),$O$4:$O$15,0),MATCH(HOUR($F933),$P$3:$AM$3,0))</f>
        <v>#N/A</v>
      </c>
      <c r="L933" t="s">
        <v>302</v>
      </c>
      <c r="M933" s="111"/>
    </row>
    <row r="934" spans="1:13" x14ac:dyDescent="0.25">
      <c r="A934">
        <v>933</v>
      </c>
      <c r="B934">
        <v>30031016</v>
      </c>
      <c r="C934">
        <v>2</v>
      </c>
      <c r="E934" s="110">
        <v>42595</v>
      </c>
      <c r="F934" s="111" t="s">
        <v>329</v>
      </c>
      <c r="G934">
        <v>0.42699999999999999</v>
      </c>
      <c r="H934">
        <v>5.0000000000000622</v>
      </c>
      <c r="I934">
        <v>4</v>
      </c>
      <c r="J934">
        <v>5.0000000000000622</v>
      </c>
      <c r="K934" s="1" t="e">
        <f>INDEX($P$4:$AM$15,MATCH(MONTH($E934),$O$4:$O$15,0),MATCH(HOUR($F934),$P$3:$AM$3,0))</f>
        <v>#N/A</v>
      </c>
      <c r="L934" t="s">
        <v>302</v>
      </c>
      <c r="M934" s="111"/>
    </row>
    <row r="935" spans="1:13" x14ac:dyDescent="0.25">
      <c r="A935">
        <v>934</v>
      </c>
      <c r="B935">
        <v>30031016</v>
      </c>
      <c r="C935">
        <v>3</v>
      </c>
      <c r="E935" s="110">
        <v>42595</v>
      </c>
      <c r="F935" s="111" t="s">
        <v>400</v>
      </c>
      <c r="G935">
        <v>4.3579999999999997</v>
      </c>
      <c r="H935">
        <v>9.9999999999999645</v>
      </c>
      <c r="I935">
        <v>4</v>
      </c>
      <c r="J935">
        <v>460.00000000000006</v>
      </c>
      <c r="K935" s="1" t="e">
        <f>INDEX($P$4:$AM$15,MATCH(MONTH($E935),$O$4:$O$15,0),MATCH(HOUR($F935),$P$3:$AM$3,0))</f>
        <v>#N/A</v>
      </c>
      <c r="L935" t="s">
        <v>302</v>
      </c>
      <c r="M935" s="111"/>
    </row>
    <row r="936" spans="1:13" x14ac:dyDescent="0.25">
      <c r="A936">
        <v>935</v>
      </c>
      <c r="B936">
        <v>30031016</v>
      </c>
      <c r="C936">
        <v>4</v>
      </c>
      <c r="E936" s="110">
        <v>42595</v>
      </c>
      <c r="F936" s="111" t="s">
        <v>271</v>
      </c>
      <c r="G936">
        <v>8.077</v>
      </c>
      <c r="H936">
        <v>24.999999999999911</v>
      </c>
      <c r="I936">
        <v>4</v>
      </c>
      <c r="J936">
        <v>260.00000000000006</v>
      </c>
      <c r="K936" s="1" t="e">
        <f>INDEX($P$4:$AM$15,MATCH(MONTH($E936),$O$4:$O$15,0),MATCH(HOUR($F936),$P$3:$AM$3,0))</f>
        <v>#N/A</v>
      </c>
      <c r="L936" t="s">
        <v>302</v>
      </c>
      <c r="M936" s="111"/>
    </row>
    <row r="937" spans="1:13" x14ac:dyDescent="0.25">
      <c r="A937">
        <v>936</v>
      </c>
      <c r="B937">
        <v>30031016</v>
      </c>
      <c r="C937">
        <v>5</v>
      </c>
      <c r="E937" s="110">
        <v>42595</v>
      </c>
      <c r="F937" s="111" t="s">
        <v>539</v>
      </c>
      <c r="G937">
        <v>8.1479999999999997</v>
      </c>
      <c r="H937">
        <v>24.999999999999911</v>
      </c>
      <c r="I937">
        <v>4</v>
      </c>
      <c r="J937">
        <v>825.00000000000011</v>
      </c>
      <c r="K937" s="1" t="e">
        <f>INDEX($P$4:$AM$15,MATCH(MONTH($E937),$O$4:$O$15,0),MATCH(HOUR($F937),$P$3:$AM$3,0))</f>
        <v>#N/A</v>
      </c>
      <c r="L937" t="s">
        <v>302</v>
      </c>
      <c r="M937" s="111"/>
    </row>
    <row r="938" spans="1:13" x14ac:dyDescent="0.25">
      <c r="A938">
        <v>937</v>
      </c>
      <c r="B938">
        <v>30031016</v>
      </c>
      <c r="C938">
        <v>1</v>
      </c>
      <c r="E938" s="110">
        <v>42596</v>
      </c>
      <c r="F938" s="111" t="s">
        <v>298</v>
      </c>
      <c r="G938">
        <v>9.6379999999999999</v>
      </c>
      <c r="H938">
        <v>24.999999999999911</v>
      </c>
      <c r="I938">
        <v>3</v>
      </c>
      <c r="J938">
        <v>195.00000000000011</v>
      </c>
      <c r="K938" s="1" t="e">
        <f>INDEX($P$4:$AM$15,MATCH(MONTH($E938),$O$4:$O$15,0),MATCH(HOUR($F938),$P$3:$AM$3,0))</f>
        <v>#N/A</v>
      </c>
      <c r="L938" t="s">
        <v>302</v>
      </c>
      <c r="M938" s="111"/>
    </row>
    <row r="939" spans="1:13" x14ac:dyDescent="0.25">
      <c r="A939">
        <v>938</v>
      </c>
      <c r="B939">
        <v>30031016</v>
      </c>
      <c r="C939">
        <v>2</v>
      </c>
      <c r="E939" s="110">
        <v>42596</v>
      </c>
      <c r="F939" s="111" t="s">
        <v>235</v>
      </c>
      <c r="G939">
        <v>8.4749999999999996</v>
      </c>
      <c r="H939">
        <v>19.999999999999929</v>
      </c>
      <c r="I939">
        <v>3</v>
      </c>
      <c r="J939">
        <v>25.000000000000071</v>
      </c>
      <c r="K939" s="1" t="e">
        <f>INDEX($P$4:$AM$15,MATCH(MONTH($E939),$O$4:$O$15,0),MATCH(HOUR($F939),$P$3:$AM$3,0))</f>
        <v>#N/A</v>
      </c>
      <c r="L939" t="s">
        <v>302</v>
      </c>
      <c r="M939" s="111"/>
    </row>
    <row r="940" spans="1:13" x14ac:dyDescent="0.25">
      <c r="A940">
        <v>939</v>
      </c>
      <c r="B940">
        <v>30031016</v>
      </c>
      <c r="C940">
        <v>3</v>
      </c>
      <c r="E940" s="110">
        <v>42596</v>
      </c>
      <c r="F940" s="111" t="s">
        <v>274</v>
      </c>
      <c r="G940">
        <v>4.0510000000000002</v>
      </c>
      <c r="H940">
        <v>4.9999999999998224</v>
      </c>
      <c r="I940">
        <v>3</v>
      </c>
      <c r="J940">
        <v>865.00000000000011</v>
      </c>
      <c r="K940" s="1" t="e">
        <f>INDEX($P$4:$AM$15,MATCH(MONTH($E940),$O$4:$O$15,0),MATCH(HOUR($F940),$P$3:$AM$3,0))</f>
        <v>#N/A</v>
      </c>
      <c r="L940" t="s">
        <v>302</v>
      </c>
      <c r="M940" s="111"/>
    </row>
    <row r="941" spans="1:13" x14ac:dyDescent="0.25">
      <c r="A941">
        <v>940</v>
      </c>
      <c r="B941">
        <v>30034541</v>
      </c>
      <c r="C941">
        <v>1</v>
      </c>
      <c r="E941" s="110">
        <v>42597</v>
      </c>
      <c r="F941" s="111" t="s">
        <v>368</v>
      </c>
      <c r="G941">
        <v>9.89</v>
      </c>
      <c r="H941">
        <v>34.999999999999957</v>
      </c>
      <c r="I941">
        <v>4</v>
      </c>
      <c r="J941">
        <v>474.99999999999994</v>
      </c>
      <c r="K941" s="1" t="e">
        <f>INDEX($P$4:$AM$15,MATCH(MONTH($E941),$O$4:$O$15,0),MATCH(HOUR($F941),$P$3:$AM$3,0))</f>
        <v>#N/A</v>
      </c>
      <c r="L941" t="s">
        <v>218</v>
      </c>
      <c r="M941" s="111"/>
    </row>
    <row r="942" spans="1:13" x14ac:dyDescent="0.25">
      <c r="A942">
        <v>941</v>
      </c>
      <c r="B942">
        <v>30034541</v>
      </c>
      <c r="C942">
        <v>2</v>
      </c>
      <c r="E942" s="110">
        <v>42597</v>
      </c>
      <c r="F942" s="111" t="s">
        <v>268</v>
      </c>
      <c r="G942">
        <v>9.0020000000000007</v>
      </c>
      <c r="H942">
        <v>25.000000000000071</v>
      </c>
      <c r="I942">
        <v>4</v>
      </c>
      <c r="J942">
        <v>1035</v>
      </c>
      <c r="K942" s="1" t="e">
        <f>INDEX($P$4:$AM$15,MATCH(MONTH($E942),$O$4:$O$15,0),MATCH(HOUR($F942),$P$3:$AM$3,0))</f>
        <v>#N/A</v>
      </c>
      <c r="L942" t="s">
        <v>218</v>
      </c>
      <c r="M942" s="111"/>
    </row>
    <row r="943" spans="1:13" x14ac:dyDescent="0.25">
      <c r="A943">
        <v>942</v>
      </c>
      <c r="B943">
        <v>30047169</v>
      </c>
      <c r="C943">
        <v>1</v>
      </c>
      <c r="E943" s="110">
        <v>42598</v>
      </c>
      <c r="F943" s="111" t="s">
        <v>329</v>
      </c>
      <c r="G943">
        <v>3.15</v>
      </c>
      <c r="H943">
        <v>5.0000000000000622</v>
      </c>
      <c r="I943">
        <v>3</v>
      </c>
      <c r="J943">
        <v>29.999999999999972</v>
      </c>
      <c r="K943" s="1" t="e">
        <f>INDEX($P$4:$AM$15,MATCH(MONTH($E943),$O$4:$O$15,0),MATCH(HOUR($F943),$P$3:$AM$3,0))</f>
        <v>#N/A</v>
      </c>
      <c r="L943" t="s">
        <v>249</v>
      </c>
      <c r="M943" s="111"/>
    </row>
    <row r="944" spans="1:13" x14ac:dyDescent="0.25">
      <c r="A944">
        <v>943</v>
      </c>
      <c r="B944">
        <v>30047169</v>
      </c>
      <c r="C944">
        <v>2</v>
      </c>
      <c r="E944" s="110">
        <v>42598</v>
      </c>
      <c r="F944" s="111" t="s">
        <v>326</v>
      </c>
      <c r="G944">
        <v>3.32</v>
      </c>
      <c r="H944">
        <v>9.9999999999999645</v>
      </c>
      <c r="I944">
        <v>3</v>
      </c>
      <c r="J944">
        <v>1340</v>
      </c>
      <c r="K944" s="1" t="e">
        <f>INDEX($P$4:$AM$15,MATCH(MONTH($E944),$O$4:$O$15,0),MATCH(HOUR($F944),$P$3:$AM$3,0))</f>
        <v>#N/A</v>
      </c>
      <c r="L944" t="s">
        <v>249</v>
      </c>
      <c r="M944" s="111"/>
    </row>
    <row r="945" spans="1:13" x14ac:dyDescent="0.25">
      <c r="A945">
        <v>944</v>
      </c>
      <c r="B945">
        <v>30047169</v>
      </c>
      <c r="C945">
        <v>1</v>
      </c>
      <c r="E945" s="110">
        <v>42599</v>
      </c>
      <c r="F945" s="111" t="s">
        <v>273</v>
      </c>
      <c r="G945">
        <v>16.247</v>
      </c>
      <c r="H945">
        <v>30.000000000000053</v>
      </c>
      <c r="I945">
        <v>3</v>
      </c>
      <c r="J945">
        <v>480</v>
      </c>
      <c r="K945" s="1" t="e">
        <f>INDEX($P$4:$AM$15,MATCH(MONTH($E945),$O$4:$O$15,0),MATCH(HOUR($F945),$P$3:$AM$3,0))</f>
        <v>#N/A</v>
      </c>
      <c r="L945" t="s">
        <v>249</v>
      </c>
      <c r="M945" s="111"/>
    </row>
    <row r="946" spans="1:13" x14ac:dyDescent="0.25">
      <c r="A946">
        <v>945</v>
      </c>
      <c r="B946">
        <v>30047169</v>
      </c>
      <c r="C946">
        <v>2</v>
      </c>
      <c r="E946" s="110">
        <v>42599</v>
      </c>
      <c r="F946" s="111" t="s">
        <v>247</v>
      </c>
      <c r="G946">
        <v>17.141999999999999</v>
      </c>
      <c r="H946">
        <v>40.000000000000014</v>
      </c>
      <c r="I946">
        <v>3</v>
      </c>
      <c r="J946">
        <v>875</v>
      </c>
      <c r="K946" s="1" t="e">
        <f>INDEX($P$4:$AM$15,MATCH(MONTH($E946),$O$4:$O$15,0),MATCH(HOUR($F946),$P$3:$AM$3,0))</f>
        <v>#N/A</v>
      </c>
      <c r="L946" t="s">
        <v>249</v>
      </c>
      <c r="M946" s="111"/>
    </row>
    <row r="947" spans="1:13" x14ac:dyDescent="0.25">
      <c r="A947">
        <v>946</v>
      </c>
      <c r="B947">
        <v>30050688</v>
      </c>
      <c r="C947">
        <v>1</v>
      </c>
      <c r="E947" s="110">
        <v>42600</v>
      </c>
      <c r="F947" s="111" t="s">
        <v>344</v>
      </c>
      <c r="G947">
        <v>1.962</v>
      </c>
      <c r="H947">
        <v>14.999999999999947</v>
      </c>
      <c r="I947">
        <v>3</v>
      </c>
      <c r="J947">
        <v>264.99999999999994</v>
      </c>
      <c r="K947" s="1" t="e">
        <f>INDEX($P$4:$AM$15,MATCH(MONTH($E947),$O$4:$O$15,0),MATCH(HOUR($F947),$P$3:$AM$3,0))</f>
        <v>#N/A</v>
      </c>
      <c r="L947" t="s">
        <v>249</v>
      </c>
      <c r="M947" s="111"/>
    </row>
    <row r="948" spans="1:13" x14ac:dyDescent="0.25">
      <c r="A948">
        <v>947</v>
      </c>
      <c r="B948">
        <v>30050688</v>
      </c>
      <c r="C948">
        <v>2</v>
      </c>
      <c r="E948" s="110">
        <v>42600</v>
      </c>
      <c r="F948" s="111" t="s">
        <v>462</v>
      </c>
      <c r="G948">
        <v>2.0430000000000001</v>
      </c>
      <c r="H948">
        <v>5.0000000000001421</v>
      </c>
      <c r="I948">
        <v>3</v>
      </c>
      <c r="J948">
        <v>54.999999999999964</v>
      </c>
      <c r="K948" s="1" t="e">
        <f>INDEX($P$4:$AM$15,MATCH(MONTH($E948),$O$4:$O$15,0),MATCH(HOUR($F948),$P$3:$AM$3,0))</f>
        <v>#N/A</v>
      </c>
      <c r="L948" t="s">
        <v>249</v>
      </c>
      <c r="M948" s="111"/>
    </row>
    <row r="949" spans="1:13" x14ac:dyDescent="0.25">
      <c r="A949">
        <v>948</v>
      </c>
      <c r="B949">
        <v>30050688</v>
      </c>
      <c r="C949">
        <v>3</v>
      </c>
      <c r="E949" s="110">
        <v>42600</v>
      </c>
      <c r="F949" s="111" t="s">
        <v>330</v>
      </c>
      <c r="G949">
        <v>1.962</v>
      </c>
      <c r="H949">
        <v>4.9999999999999822</v>
      </c>
      <c r="I949">
        <v>3</v>
      </c>
      <c r="J949">
        <v>239.99999999999994</v>
      </c>
      <c r="K949" s="1" t="e">
        <f>INDEX($P$4:$AM$15,MATCH(MONTH($E949),$O$4:$O$15,0),MATCH(HOUR($F949),$P$3:$AM$3,0))</f>
        <v>#N/A</v>
      </c>
      <c r="L949" t="s">
        <v>249</v>
      </c>
      <c r="M949" s="111"/>
    </row>
    <row r="950" spans="1:13" x14ac:dyDescent="0.25">
      <c r="A950">
        <v>949</v>
      </c>
      <c r="B950">
        <v>30050688</v>
      </c>
      <c r="C950">
        <v>4</v>
      </c>
      <c r="E950" s="110">
        <v>42600</v>
      </c>
      <c r="F950" s="111" t="s">
        <v>258</v>
      </c>
      <c r="G950">
        <v>2.0430000000000001</v>
      </c>
      <c r="H950">
        <v>10.000000000000124</v>
      </c>
      <c r="I950">
        <v>3</v>
      </c>
      <c r="J950">
        <v>859.99999999999989</v>
      </c>
      <c r="K950" s="1" t="e">
        <f>INDEX($P$4:$AM$15,MATCH(MONTH($E950),$O$4:$O$15,0),MATCH(HOUR($F950),$P$3:$AM$3,0))</f>
        <v>#N/A</v>
      </c>
      <c r="L950" t="s">
        <v>249</v>
      </c>
      <c r="M950" s="111"/>
    </row>
    <row r="951" spans="1:13" x14ac:dyDescent="0.25">
      <c r="A951">
        <v>950</v>
      </c>
      <c r="B951">
        <v>30054942</v>
      </c>
      <c r="C951">
        <v>1</v>
      </c>
      <c r="E951" s="110">
        <v>42601</v>
      </c>
      <c r="F951" s="111" t="s">
        <v>273</v>
      </c>
      <c r="G951">
        <v>3.1469999999999998</v>
      </c>
      <c r="H951">
        <v>15.000000000000027</v>
      </c>
      <c r="I951">
        <v>3</v>
      </c>
      <c r="J951">
        <v>29.999999999999972</v>
      </c>
      <c r="K951" s="1" t="e">
        <f>INDEX($P$4:$AM$15,MATCH(MONTH($E951),$O$4:$O$15,0),MATCH(HOUR($F951),$P$3:$AM$3,0))</f>
        <v>#N/A</v>
      </c>
      <c r="L951" t="s">
        <v>257</v>
      </c>
      <c r="M951" s="111"/>
    </row>
    <row r="952" spans="1:13" x14ac:dyDescent="0.25">
      <c r="A952">
        <v>951</v>
      </c>
      <c r="B952">
        <v>30054942</v>
      </c>
      <c r="C952">
        <v>2</v>
      </c>
      <c r="E952" s="110">
        <v>42601</v>
      </c>
      <c r="F952" s="111" t="s">
        <v>244</v>
      </c>
      <c r="G952">
        <v>3.4769999999999999</v>
      </c>
      <c r="H952">
        <v>9.9999999999999645</v>
      </c>
      <c r="I952">
        <v>3</v>
      </c>
      <c r="J952">
        <v>190.00000000000006</v>
      </c>
      <c r="K952" s="1" t="e">
        <f>INDEX($P$4:$AM$15,MATCH(MONTH($E952),$O$4:$O$15,0),MATCH(HOUR($F952),$P$3:$AM$3,0))</f>
        <v>#N/A</v>
      </c>
      <c r="L952" t="s">
        <v>257</v>
      </c>
      <c r="M952" s="111"/>
    </row>
    <row r="953" spans="1:13" x14ac:dyDescent="0.25">
      <c r="A953">
        <v>952</v>
      </c>
      <c r="B953">
        <v>30054942</v>
      </c>
      <c r="C953">
        <v>3</v>
      </c>
      <c r="E953" s="110">
        <v>42601</v>
      </c>
      <c r="F953" s="111" t="s">
        <v>237</v>
      </c>
      <c r="G953">
        <v>3.1469999999999998</v>
      </c>
      <c r="H953">
        <v>15.000000000000107</v>
      </c>
      <c r="I953">
        <v>3</v>
      </c>
      <c r="J953">
        <v>1240</v>
      </c>
      <c r="K953" s="1" t="e">
        <f>INDEX($P$4:$AM$15,MATCH(MONTH($E953),$O$4:$O$15,0),MATCH(HOUR($F953),$P$3:$AM$3,0))</f>
        <v>#N/A</v>
      </c>
      <c r="L953" t="s">
        <v>257</v>
      </c>
      <c r="M953" s="111"/>
    </row>
    <row r="954" spans="1:13" x14ac:dyDescent="0.25">
      <c r="A954">
        <v>953</v>
      </c>
      <c r="B954">
        <v>30054942</v>
      </c>
      <c r="C954">
        <v>1</v>
      </c>
      <c r="E954" s="110">
        <v>42602</v>
      </c>
      <c r="F954" s="111" t="s">
        <v>295</v>
      </c>
      <c r="G954">
        <v>0.55600000000000005</v>
      </c>
      <c r="H954">
        <v>5.0000000000000622</v>
      </c>
      <c r="I954">
        <v>3</v>
      </c>
      <c r="J954">
        <v>1360</v>
      </c>
      <c r="K954" s="1" t="e">
        <f>INDEX($P$4:$AM$15,MATCH(MONTH($E954),$O$4:$O$15,0),MATCH(HOUR($F954),$P$3:$AM$3,0))</f>
        <v>#N/A</v>
      </c>
      <c r="L954" t="s">
        <v>257</v>
      </c>
      <c r="M954" s="111"/>
    </row>
    <row r="955" spans="1:13" x14ac:dyDescent="0.25">
      <c r="A955">
        <v>954</v>
      </c>
      <c r="B955">
        <v>30060163</v>
      </c>
      <c r="C955">
        <v>1</v>
      </c>
      <c r="E955" s="110">
        <v>42603</v>
      </c>
      <c r="F955" s="111" t="s">
        <v>344</v>
      </c>
      <c r="G955">
        <v>3.351</v>
      </c>
      <c r="H955">
        <v>14.999999999999947</v>
      </c>
      <c r="I955">
        <v>3</v>
      </c>
      <c r="J955">
        <v>65.000000000000085</v>
      </c>
      <c r="K955" s="1" t="e">
        <f>INDEX($P$4:$AM$15,MATCH(MONTH($E955),$O$4:$O$15,0),MATCH(HOUR($F955),$P$3:$AM$3,0))</f>
        <v>#N/A</v>
      </c>
      <c r="L955" t="s">
        <v>249</v>
      </c>
      <c r="M955" s="111"/>
    </row>
    <row r="956" spans="1:13" x14ac:dyDescent="0.25">
      <c r="A956">
        <v>955</v>
      </c>
      <c r="B956">
        <v>30060163</v>
      </c>
      <c r="C956">
        <v>2</v>
      </c>
      <c r="E956" s="110">
        <v>42603</v>
      </c>
      <c r="F956" s="111" t="s">
        <v>400</v>
      </c>
      <c r="G956">
        <v>2.298</v>
      </c>
      <c r="H956">
        <v>9.9999999999999645</v>
      </c>
      <c r="I956">
        <v>3</v>
      </c>
      <c r="J956">
        <v>49.999999999999986</v>
      </c>
      <c r="K956" s="1" t="e">
        <f>INDEX($P$4:$AM$15,MATCH(MONTH($E956),$O$4:$O$15,0),MATCH(HOUR($F956),$P$3:$AM$3,0))</f>
        <v>#N/A</v>
      </c>
      <c r="L956" t="s">
        <v>249</v>
      </c>
      <c r="M956" s="111"/>
    </row>
    <row r="957" spans="1:13" x14ac:dyDescent="0.25">
      <c r="A957">
        <v>956</v>
      </c>
      <c r="B957">
        <v>30060163</v>
      </c>
      <c r="C957">
        <v>3</v>
      </c>
      <c r="E957" s="110">
        <v>42603</v>
      </c>
      <c r="F957" s="111" t="s">
        <v>396</v>
      </c>
      <c r="G957">
        <v>2.3660000000000001</v>
      </c>
      <c r="H957">
        <v>4.9999999999999822</v>
      </c>
      <c r="I957">
        <v>3</v>
      </c>
      <c r="J957">
        <v>1340</v>
      </c>
      <c r="K957" s="1" t="e">
        <f>INDEX($P$4:$AM$15,MATCH(MONTH($E957),$O$4:$O$15,0),MATCH(HOUR($F957),$P$3:$AM$3,0))</f>
        <v>#N/A</v>
      </c>
      <c r="L957" t="s">
        <v>249</v>
      </c>
      <c r="M957" s="111"/>
    </row>
    <row r="958" spans="1:13" x14ac:dyDescent="0.25">
      <c r="A958">
        <v>957</v>
      </c>
      <c r="B958">
        <v>30061188</v>
      </c>
      <c r="C958">
        <v>1</v>
      </c>
      <c r="E958" s="110">
        <v>42604</v>
      </c>
      <c r="F958" s="111" t="s">
        <v>286</v>
      </c>
      <c r="G958">
        <v>0.38</v>
      </c>
      <c r="H958">
        <v>4.9999999999999822</v>
      </c>
      <c r="I958">
        <v>3</v>
      </c>
      <c r="J958">
        <v>40.000000000000014</v>
      </c>
      <c r="K958" s="1" t="e">
        <f>INDEX($P$4:$AM$15,MATCH(MONTH($E958),$O$4:$O$15,0),MATCH(HOUR($F958),$P$3:$AM$3,0))</f>
        <v>#N/A</v>
      </c>
      <c r="L958" t="s">
        <v>222</v>
      </c>
      <c r="M958" s="111"/>
    </row>
    <row r="959" spans="1:13" x14ac:dyDescent="0.25">
      <c r="A959">
        <v>958</v>
      </c>
      <c r="B959">
        <v>30061188</v>
      </c>
      <c r="C959">
        <v>2</v>
      </c>
      <c r="E959" s="110">
        <v>42604</v>
      </c>
      <c r="F959" s="111" t="s">
        <v>287</v>
      </c>
      <c r="G959">
        <v>4.0209999999999999</v>
      </c>
      <c r="H959">
        <v>29.999999999999972</v>
      </c>
      <c r="I959">
        <v>3</v>
      </c>
      <c r="J959">
        <v>45</v>
      </c>
      <c r="K959" s="1" t="e">
        <f>INDEX($P$4:$AM$15,MATCH(MONTH($E959),$O$4:$O$15,0),MATCH(HOUR($F959),$P$3:$AM$3,0))</f>
        <v>#N/A</v>
      </c>
      <c r="L959" t="s">
        <v>222</v>
      </c>
      <c r="M959" s="111"/>
    </row>
    <row r="960" spans="1:13" x14ac:dyDescent="0.25">
      <c r="A960">
        <v>959</v>
      </c>
      <c r="B960">
        <v>30061188</v>
      </c>
      <c r="C960">
        <v>3</v>
      </c>
      <c r="E960" s="110">
        <v>42604</v>
      </c>
      <c r="F960" s="111" t="s">
        <v>217</v>
      </c>
      <c r="G960">
        <v>3.46</v>
      </c>
      <c r="H960">
        <v>15.000000000000027</v>
      </c>
      <c r="I960">
        <v>3</v>
      </c>
      <c r="J960">
        <v>285</v>
      </c>
      <c r="K960" s="1" t="e">
        <f>INDEX($P$4:$AM$15,MATCH(MONTH($E960),$O$4:$O$15,0),MATCH(HOUR($F960),$P$3:$AM$3,0))</f>
        <v>#N/A</v>
      </c>
      <c r="L960" t="s">
        <v>222</v>
      </c>
      <c r="M960" s="111"/>
    </row>
    <row r="961" spans="1:13" x14ac:dyDescent="0.25">
      <c r="A961">
        <v>960</v>
      </c>
      <c r="B961">
        <v>30061188</v>
      </c>
      <c r="C961">
        <v>4</v>
      </c>
      <c r="E961" s="110">
        <v>42604</v>
      </c>
      <c r="F961" s="111" t="s">
        <v>235</v>
      </c>
      <c r="G961">
        <v>3.125</v>
      </c>
      <c r="H961">
        <v>14.999999999999947</v>
      </c>
      <c r="I961">
        <v>3</v>
      </c>
      <c r="J961">
        <v>75.000000000000057</v>
      </c>
      <c r="K961" s="1" t="e">
        <f>INDEX($P$4:$AM$15,MATCH(MONTH($E961),$O$4:$O$15,0),MATCH(HOUR($F961),$P$3:$AM$3,0))</f>
        <v>#N/A</v>
      </c>
      <c r="L961" t="s">
        <v>222</v>
      </c>
      <c r="M961" s="111"/>
    </row>
    <row r="962" spans="1:13" x14ac:dyDescent="0.25">
      <c r="A962">
        <v>961</v>
      </c>
      <c r="B962">
        <v>30061188</v>
      </c>
      <c r="C962">
        <v>5</v>
      </c>
      <c r="E962" s="110">
        <v>42604</v>
      </c>
      <c r="F962" s="111" t="s">
        <v>229</v>
      </c>
      <c r="G962">
        <v>4.3029999999999999</v>
      </c>
      <c r="H962">
        <v>14.999999999999947</v>
      </c>
      <c r="I962">
        <v>3</v>
      </c>
      <c r="J962">
        <v>165.00000000000006</v>
      </c>
      <c r="K962" s="1" t="e">
        <f>INDEX($P$4:$AM$15,MATCH(MONTH($E962),$O$4:$O$15,0),MATCH(HOUR($F962),$P$3:$AM$3,0))</f>
        <v>#N/A</v>
      </c>
      <c r="L962" t="s">
        <v>222</v>
      </c>
      <c r="M962" s="111"/>
    </row>
    <row r="963" spans="1:13" x14ac:dyDescent="0.25">
      <c r="A963">
        <v>962</v>
      </c>
      <c r="B963">
        <v>30061188</v>
      </c>
      <c r="C963">
        <v>6</v>
      </c>
      <c r="E963" s="110">
        <v>42604</v>
      </c>
      <c r="F963" s="111" t="s">
        <v>319</v>
      </c>
      <c r="G963">
        <v>3.2490000000000001</v>
      </c>
      <c r="H963">
        <v>14.999999999999947</v>
      </c>
      <c r="I963">
        <v>3</v>
      </c>
      <c r="J963">
        <v>14.999999999999947</v>
      </c>
      <c r="K963" s="1" t="e">
        <f>INDEX($P$4:$AM$15,MATCH(MONTH($E963),$O$4:$O$15,0),MATCH(HOUR($F963),$P$3:$AM$3,0))</f>
        <v>#N/A</v>
      </c>
      <c r="L963" t="s">
        <v>222</v>
      </c>
      <c r="M963" s="111"/>
    </row>
    <row r="964" spans="1:13" x14ac:dyDescent="0.25">
      <c r="A964">
        <v>963</v>
      </c>
      <c r="B964">
        <v>30061188</v>
      </c>
      <c r="C964">
        <v>7</v>
      </c>
      <c r="E964" s="110">
        <v>42604</v>
      </c>
      <c r="F964" s="111" t="s">
        <v>322</v>
      </c>
      <c r="G964">
        <v>3.2490000000000001</v>
      </c>
      <c r="H964">
        <v>15.000000000000107</v>
      </c>
      <c r="I964">
        <v>3</v>
      </c>
      <c r="J964">
        <v>597</v>
      </c>
      <c r="K964" s="1" t="e">
        <f>INDEX($P$4:$AM$15,MATCH(MONTH($E964),$O$4:$O$15,0),MATCH(HOUR($F964),$P$3:$AM$3,0))</f>
        <v>#N/A</v>
      </c>
      <c r="L964" t="s">
        <v>222</v>
      </c>
      <c r="M964" s="111"/>
    </row>
    <row r="965" spans="1:13" x14ac:dyDescent="0.25">
      <c r="A965">
        <v>964</v>
      </c>
      <c r="B965">
        <v>30061188</v>
      </c>
      <c r="C965">
        <v>1</v>
      </c>
      <c r="E965" s="110">
        <v>42605</v>
      </c>
      <c r="F965" s="111" t="s">
        <v>550</v>
      </c>
      <c r="G965">
        <v>42.423999999999999</v>
      </c>
      <c r="H965">
        <v>44</v>
      </c>
      <c r="I965">
        <v>3</v>
      </c>
      <c r="J965">
        <v>131</v>
      </c>
      <c r="K965" s="1" t="e">
        <f>INDEX($P$4:$AM$15,MATCH(MONTH($E965),$O$4:$O$15,0),MATCH(HOUR($F965),$P$3:$AM$3,0))</f>
        <v>#N/A</v>
      </c>
      <c r="L965" t="s">
        <v>222</v>
      </c>
      <c r="M965" s="111"/>
    </row>
    <row r="966" spans="1:13" x14ac:dyDescent="0.25">
      <c r="A966">
        <v>965</v>
      </c>
      <c r="B966">
        <v>30061188</v>
      </c>
      <c r="C966">
        <v>2</v>
      </c>
      <c r="E966" s="110">
        <v>42605</v>
      </c>
      <c r="F966" s="111" t="s">
        <v>551</v>
      </c>
      <c r="G966">
        <v>5.1230000000000002</v>
      </c>
      <c r="H966">
        <v>17.999999999999936</v>
      </c>
      <c r="I966">
        <v>3</v>
      </c>
      <c r="J966">
        <v>3.0000000000000693</v>
      </c>
      <c r="K966" s="1" t="e">
        <f>INDEX($P$4:$AM$15,MATCH(MONTH($E966),$O$4:$O$15,0),MATCH(HOUR($F966),$P$3:$AM$3,0))</f>
        <v>#N/A</v>
      </c>
      <c r="L966" t="s">
        <v>222</v>
      </c>
      <c r="M966" s="111"/>
    </row>
    <row r="967" spans="1:13" x14ac:dyDescent="0.25">
      <c r="A967">
        <v>966</v>
      </c>
      <c r="B967">
        <v>30061188</v>
      </c>
      <c r="C967">
        <v>3</v>
      </c>
      <c r="E967" s="110">
        <v>42605</v>
      </c>
      <c r="F967" s="111" t="s">
        <v>552</v>
      </c>
      <c r="G967">
        <v>5.907</v>
      </c>
      <c r="H967">
        <v>4.9999999999999822</v>
      </c>
      <c r="I967">
        <v>3</v>
      </c>
      <c r="J967">
        <v>4.9999999999999822</v>
      </c>
      <c r="K967" s="1" t="e">
        <f>INDEX($P$4:$AM$15,MATCH(MONTH($E967),$O$4:$O$15,0),MATCH(HOUR($F967),$P$3:$AM$3,0))</f>
        <v>#N/A</v>
      </c>
      <c r="L967" t="s">
        <v>222</v>
      </c>
      <c r="M967" s="111"/>
    </row>
    <row r="968" spans="1:13" x14ac:dyDescent="0.25">
      <c r="A968">
        <v>967</v>
      </c>
      <c r="B968">
        <v>30061188</v>
      </c>
      <c r="C968">
        <v>4</v>
      </c>
      <c r="E968" s="110">
        <v>42605</v>
      </c>
      <c r="F968" s="111" t="s">
        <v>553</v>
      </c>
      <c r="G968">
        <v>0.67600000000000005</v>
      </c>
      <c r="H968">
        <v>10.999999999999961</v>
      </c>
      <c r="I968">
        <v>3</v>
      </c>
      <c r="J968">
        <v>311.00000000000011</v>
      </c>
      <c r="K968" s="1" t="e">
        <f>INDEX($P$4:$AM$15,MATCH(MONTH($E968),$O$4:$O$15,0),MATCH(HOUR($F968),$P$3:$AM$3,0))</f>
        <v>#N/A</v>
      </c>
      <c r="L968" t="s">
        <v>222</v>
      </c>
      <c r="M968" s="111"/>
    </row>
    <row r="969" spans="1:13" x14ac:dyDescent="0.25">
      <c r="A969">
        <v>968</v>
      </c>
      <c r="B969">
        <v>30061188</v>
      </c>
      <c r="C969">
        <v>5</v>
      </c>
      <c r="E969" s="110">
        <v>42605</v>
      </c>
      <c r="F969" s="111" t="s">
        <v>235</v>
      </c>
      <c r="G969">
        <v>4.9580000000000002</v>
      </c>
      <c r="H969">
        <v>6.9999999999999751</v>
      </c>
      <c r="I969">
        <v>3</v>
      </c>
      <c r="J969">
        <v>30.99999999999989</v>
      </c>
      <c r="K969" s="1" t="e">
        <f>INDEX($P$4:$AM$15,MATCH(MONTH($E969),$O$4:$O$15,0),MATCH(HOUR($F969),$P$3:$AM$3,0))</f>
        <v>#N/A</v>
      </c>
      <c r="L969" t="s">
        <v>222</v>
      </c>
      <c r="M969" s="111"/>
    </row>
    <row r="970" spans="1:13" x14ac:dyDescent="0.25">
      <c r="A970">
        <v>969</v>
      </c>
      <c r="B970">
        <v>30061188</v>
      </c>
      <c r="C970">
        <v>6</v>
      </c>
      <c r="E970" s="110">
        <v>42605</v>
      </c>
      <c r="F970" s="111" t="s">
        <v>554</v>
      </c>
      <c r="G970">
        <v>38.027999999999999</v>
      </c>
      <c r="H970">
        <v>48.000000000000149</v>
      </c>
      <c r="I970">
        <v>3</v>
      </c>
      <c r="J970">
        <v>724</v>
      </c>
      <c r="K970" s="1" t="e">
        <f>INDEX($P$4:$AM$15,MATCH(MONTH($E970),$O$4:$O$15,0),MATCH(HOUR($F970),$P$3:$AM$3,0))</f>
        <v>#N/A</v>
      </c>
      <c r="L970" t="s">
        <v>222</v>
      </c>
      <c r="M970" s="111"/>
    </row>
    <row r="971" spans="1:13" x14ac:dyDescent="0.25">
      <c r="A971">
        <v>970</v>
      </c>
      <c r="B971">
        <v>30067327</v>
      </c>
      <c r="C971">
        <v>1</v>
      </c>
      <c r="E971" s="110">
        <v>42606</v>
      </c>
      <c r="F971" s="111" t="s">
        <v>414</v>
      </c>
      <c r="G971">
        <v>18.597000000000001</v>
      </c>
      <c r="H971">
        <v>45</v>
      </c>
      <c r="I971">
        <v>6</v>
      </c>
      <c r="J971">
        <v>720</v>
      </c>
      <c r="K971" s="1" t="e">
        <f>INDEX($P$4:$AM$15,MATCH(MONTH($E971),$O$4:$O$15,0),MATCH(HOUR($F971),$P$3:$AM$3,0))</f>
        <v>#N/A</v>
      </c>
      <c r="L971" t="s">
        <v>222</v>
      </c>
      <c r="M971" s="111"/>
    </row>
    <row r="972" spans="1:13" x14ac:dyDescent="0.25">
      <c r="A972">
        <v>971</v>
      </c>
      <c r="B972">
        <v>30067327</v>
      </c>
      <c r="C972">
        <v>2</v>
      </c>
      <c r="E972" s="110">
        <v>42606</v>
      </c>
      <c r="F972" s="111" t="s">
        <v>281</v>
      </c>
      <c r="G972">
        <v>18.387</v>
      </c>
      <c r="H972">
        <v>44</v>
      </c>
      <c r="I972">
        <v>6</v>
      </c>
      <c r="J972">
        <v>0.99999999999999645</v>
      </c>
      <c r="K972" s="1" t="e">
        <f>INDEX($P$4:$AM$15,MATCH(MONTH($E972),$O$4:$O$15,0),MATCH(HOUR($F972),$P$3:$AM$3,0))</f>
        <v>#N/A</v>
      </c>
      <c r="L972" t="s">
        <v>222</v>
      </c>
      <c r="M972" s="111"/>
    </row>
    <row r="973" spans="1:13" x14ac:dyDescent="0.25">
      <c r="A973">
        <v>972</v>
      </c>
      <c r="B973">
        <v>30067327</v>
      </c>
      <c r="C973">
        <v>3</v>
      </c>
      <c r="E973" s="110">
        <v>42606</v>
      </c>
      <c r="F973" s="111" t="s">
        <v>300</v>
      </c>
      <c r="G973">
        <v>7.8220000000000001</v>
      </c>
      <c r="H973">
        <v>14.999999999999947</v>
      </c>
      <c r="I973">
        <v>3</v>
      </c>
      <c r="J973">
        <v>30.000000000000053</v>
      </c>
      <c r="K973" s="1" t="e">
        <f>INDEX($P$4:$AM$15,MATCH(MONTH($E973),$O$4:$O$15,0),MATCH(HOUR($F973),$P$3:$AM$3,0))</f>
        <v>#N/A</v>
      </c>
      <c r="L973" t="s">
        <v>222</v>
      </c>
      <c r="M973" s="111"/>
    </row>
    <row r="974" spans="1:13" x14ac:dyDescent="0.25">
      <c r="A974">
        <v>973</v>
      </c>
      <c r="B974">
        <v>30067327</v>
      </c>
      <c r="C974">
        <v>4</v>
      </c>
      <c r="E974" s="110">
        <v>42606</v>
      </c>
      <c r="F974" s="111" t="s">
        <v>415</v>
      </c>
      <c r="G974">
        <v>3.544</v>
      </c>
      <c r="H974">
        <v>14.999999999999947</v>
      </c>
      <c r="I974">
        <v>3</v>
      </c>
      <c r="J974">
        <v>30.000000000000053</v>
      </c>
      <c r="K974" s="1" t="e">
        <f>INDEX($P$4:$AM$15,MATCH(MONTH($E974),$O$4:$O$15,0),MATCH(HOUR($F974),$P$3:$AM$3,0))</f>
        <v>#N/A</v>
      </c>
      <c r="L974" t="s">
        <v>222</v>
      </c>
      <c r="M974" s="111"/>
    </row>
    <row r="975" spans="1:13" x14ac:dyDescent="0.25">
      <c r="A975">
        <v>974</v>
      </c>
      <c r="B975">
        <v>30067327</v>
      </c>
      <c r="C975">
        <v>5</v>
      </c>
      <c r="E975" s="110">
        <v>42606</v>
      </c>
      <c r="F975" s="111" t="s">
        <v>319</v>
      </c>
      <c r="G975">
        <v>8.2850000000000001</v>
      </c>
      <c r="H975">
        <v>14.999999999999947</v>
      </c>
      <c r="I975">
        <v>3</v>
      </c>
      <c r="J975">
        <v>585</v>
      </c>
      <c r="K975" s="1" t="e">
        <f>INDEX($P$4:$AM$15,MATCH(MONTH($E975),$O$4:$O$15,0),MATCH(HOUR($F975),$P$3:$AM$3,0))</f>
        <v>#N/A</v>
      </c>
      <c r="L975" t="s">
        <v>222</v>
      </c>
      <c r="M975" s="111"/>
    </row>
    <row r="976" spans="1:13" x14ac:dyDescent="0.25">
      <c r="A976">
        <v>975</v>
      </c>
      <c r="B976">
        <v>30067327</v>
      </c>
      <c r="C976">
        <v>1</v>
      </c>
      <c r="E976" s="110">
        <v>42607</v>
      </c>
      <c r="F976" s="111" t="s">
        <v>248</v>
      </c>
      <c r="G976">
        <v>6.234</v>
      </c>
      <c r="H976">
        <v>15.000000000000027</v>
      </c>
      <c r="I976">
        <v>3</v>
      </c>
      <c r="J976">
        <v>4.9999999999999822</v>
      </c>
      <c r="K976" s="1" t="e">
        <f>INDEX($P$4:$AM$15,MATCH(MONTH($E976),$O$4:$O$15,0),MATCH(HOUR($F976),$P$3:$AM$3,0))</f>
        <v>#N/A</v>
      </c>
      <c r="L976" t="s">
        <v>222</v>
      </c>
      <c r="M976" s="111"/>
    </row>
    <row r="977" spans="1:13" x14ac:dyDescent="0.25">
      <c r="A977">
        <v>976</v>
      </c>
      <c r="B977">
        <v>30067327</v>
      </c>
      <c r="C977">
        <v>2</v>
      </c>
      <c r="E977" s="110">
        <v>42607</v>
      </c>
      <c r="F977" s="111" t="s">
        <v>275</v>
      </c>
      <c r="G977">
        <v>2.0430000000000001</v>
      </c>
      <c r="H977">
        <v>9.9999999999999645</v>
      </c>
      <c r="I977">
        <v>3</v>
      </c>
      <c r="J977">
        <v>263</v>
      </c>
      <c r="K977" s="1" t="e">
        <f>INDEX($P$4:$AM$15,MATCH(MONTH($E977),$O$4:$O$15,0),MATCH(HOUR($F977),$P$3:$AM$3,0))</f>
        <v>#N/A</v>
      </c>
      <c r="L977" t="s">
        <v>222</v>
      </c>
      <c r="M977" s="111"/>
    </row>
    <row r="978" spans="1:13" x14ac:dyDescent="0.25">
      <c r="A978">
        <v>977</v>
      </c>
      <c r="B978">
        <v>30067327</v>
      </c>
      <c r="C978">
        <v>3</v>
      </c>
      <c r="E978" s="110">
        <v>42607</v>
      </c>
      <c r="F978" s="111" t="s">
        <v>555</v>
      </c>
      <c r="G978">
        <v>8.3190000000000008</v>
      </c>
      <c r="H978">
        <v>22</v>
      </c>
      <c r="I978">
        <v>3</v>
      </c>
      <c r="J978">
        <v>20.000000000000007</v>
      </c>
      <c r="K978" s="1" t="e">
        <f>INDEX($P$4:$AM$15,MATCH(MONTH($E978),$O$4:$O$15,0),MATCH(HOUR($F978),$P$3:$AM$3,0))</f>
        <v>#N/A</v>
      </c>
      <c r="L978" t="s">
        <v>222</v>
      </c>
      <c r="M978" s="111"/>
    </row>
    <row r="979" spans="1:13" x14ac:dyDescent="0.25">
      <c r="A979">
        <v>978</v>
      </c>
      <c r="B979">
        <v>30067327</v>
      </c>
      <c r="C979">
        <v>4</v>
      </c>
      <c r="E979" s="110">
        <v>42607</v>
      </c>
      <c r="F979" s="111" t="s">
        <v>478</v>
      </c>
      <c r="G979">
        <v>8.2029999999999994</v>
      </c>
      <c r="H979">
        <v>24.999999999999993</v>
      </c>
      <c r="I979">
        <v>3</v>
      </c>
      <c r="J979">
        <v>302.00000000000006</v>
      </c>
      <c r="K979" s="1" t="e">
        <f>INDEX($P$4:$AM$15,MATCH(MONTH($E979),$O$4:$O$15,0),MATCH(HOUR($F979),$P$3:$AM$3,0))</f>
        <v>#N/A</v>
      </c>
      <c r="L979" t="s">
        <v>222</v>
      </c>
      <c r="M979" s="111"/>
    </row>
    <row r="980" spans="1:13" x14ac:dyDescent="0.25">
      <c r="A980">
        <v>979</v>
      </c>
      <c r="B980">
        <v>30067327</v>
      </c>
      <c r="C980">
        <v>5</v>
      </c>
      <c r="E980" s="110">
        <v>42607</v>
      </c>
      <c r="F980" s="111" t="s">
        <v>556</v>
      </c>
      <c r="G980">
        <v>2.097</v>
      </c>
      <c r="H980">
        <v>12.999999999999954</v>
      </c>
      <c r="I980">
        <v>3</v>
      </c>
      <c r="J980">
        <v>10.000000000000124</v>
      </c>
      <c r="K980" s="1" t="e">
        <f>INDEX($P$4:$AM$15,MATCH(MONTH($E980),$O$4:$O$15,0),MATCH(HOUR($F980),$P$3:$AM$3,0))</f>
        <v>#N/A</v>
      </c>
      <c r="L980" t="s">
        <v>222</v>
      </c>
      <c r="M980" s="111"/>
    </row>
    <row r="981" spans="1:13" x14ac:dyDescent="0.25">
      <c r="A981">
        <v>980</v>
      </c>
      <c r="B981">
        <v>30067327</v>
      </c>
      <c r="C981">
        <v>6</v>
      </c>
      <c r="E981" s="110">
        <v>42607</v>
      </c>
      <c r="F981" s="111" t="s">
        <v>383</v>
      </c>
      <c r="G981">
        <v>7.556</v>
      </c>
      <c r="H981">
        <v>14.999999999999947</v>
      </c>
      <c r="I981">
        <v>3</v>
      </c>
      <c r="J981">
        <v>754.99999999999989</v>
      </c>
      <c r="K981" s="1" t="e">
        <f>INDEX($P$4:$AM$15,MATCH(MONTH($E981),$O$4:$O$15,0),MATCH(HOUR($F981),$P$3:$AM$3,0))</f>
        <v>#N/A</v>
      </c>
      <c r="L981" t="s">
        <v>222</v>
      </c>
      <c r="M981" s="111"/>
    </row>
    <row r="982" spans="1:13" x14ac:dyDescent="0.25">
      <c r="A982">
        <v>981</v>
      </c>
      <c r="B982">
        <v>30067327</v>
      </c>
      <c r="C982">
        <v>1</v>
      </c>
      <c r="E982" s="110">
        <v>42608</v>
      </c>
      <c r="F982" s="111" t="s">
        <v>367</v>
      </c>
      <c r="G982">
        <v>7.5819999999999999</v>
      </c>
      <c r="H982">
        <v>14.999999999999947</v>
      </c>
      <c r="I982">
        <v>4</v>
      </c>
      <c r="J982">
        <v>540.00000000000011</v>
      </c>
      <c r="K982" s="1" t="e">
        <f>INDEX($P$4:$AM$15,MATCH(MONTH($E982),$O$4:$O$15,0),MATCH(HOUR($F982),$P$3:$AM$3,0))</f>
        <v>#N/A</v>
      </c>
      <c r="L982" t="s">
        <v>222</v>
      </c>
      <c r="M982" s="111"/>
    </row>
    <row r="983" spans="1:13" x14ac:dyDescent="0.25">
      <c r="A983">
        <v>982</v>
      </c>
      <c r="B983">
        <v>30067327</v>
      </c>
      <c r="C983">
        <v>2</v>
      </c>
      <c r="E983" s="110">
        <v>42608</v>
      </c>
      <c r="F983" s="111" t="s">
        <v>235</v>
      </c>
      <c r="G983">
        <v>7.5819999999999999</v>
      </c>
      <c r="H983">
        <v>14.999999999999947</v>
      </c>
      <c r="I983">
        <v>4</v>
      </c>
      <c r="J983">
        <v>1370</v>
      </c>
      <c r="K983" s="1" t="e">
        <f>INDEX($P$4:$AM$15,MATCH(MONTH($E983),$O$4:$O$15,0),MATCH(HOUR($F983),$P$3:$AM$3,0))</f>
        <v>#N/A</v>
      </c>
      <c r="L983" t="s">
        <v>222</v>
      </c>
      <c r="M983" s="111"/>
    </row>
    <row r="984" spans="1:13" x14ac:dyDescent="0.25">
      <c r="A984">
        <v>983</v>
      </c>
      <c r="B984">
        <v>30067999</v>
      </c>
      <c r="C984">
        <v>1</v>
      </c>
      <c r="E984" s="110">
        <v>42609</v>
      </c>
      <c r="F984" s="111" t="s">
        <v>220</v>
      </c>
      <c r="G984">
        <v>2.7370000000000001</v>
      </c>
      <c r="H984">
        <v>9.9999999999999645</v>
      </c>
      <c r="I984">
        <v>4</v>
      </c>
      <c r="J984">
        <v>24.999999999999911</v>
      </c>
      <c r="K984" s="1" t="e">
        <f>INDEX($P$4:$AM$15,MATCH(MONTH($E984),$O$4:$O$15,0),MATCH(HOUR($F984),$P$3:$AM$3,0))</f>
        <v>#N/A</v>
      </c>
      <c r="L984" t="s">
        <v>231</v>
      </c>
      <c r="M984" s="111"/>
    </row>
    <row r="985" spans="1:13" x14ac:dyDescent="0.25">
      <c r="A985">
        <v>984</v>
      </c>
      <c r="B985">
        <v>30067999</v>
      </c>
      <c r="C985">
        <v>2</v>
      </c>
      <c r="E985" s="110">
        <v>42609</v>
      </c>
      <c r="F985" s="111" t="s">
        <v>460</v>
      </c>
      <c r="G985">
        <v>0.90500000000000003</v>
      </c>
      <c r="H985">
        <v>10.000000000000124</v>
      </c>
      <c r="I985">
        <v>4</v>
      </c>
      <c r="J985">
        <v>44.999999999999844</v>
      </c>
      <c r="K985" s="1" t="e">
        <f>INDEX($P$4:$AM$15,MATCH(MONTH($E985),$O$4:$O$15,0),MATCH(HOUR($F985),$P$3:$AM$3,0))</f>
        <v>#N/A</v>
      </c>
      <c r="L985" t="s">
        <v>231</v>
      </c>
      <c r="M985" s="111"/>
    </row>
    <row r="986" spans="1:13" x14ac:dyDescent="0.25">
      <c r="A986">
        <v>985</v>
      </c>
      <c r="B986">
        <v>30067999</v>
      </c>
      <c r="C986">
        <v>3</v>
      </c>
      <c r="E986" s="110">
        <v>42609</v>
      </c>
      <c r="F986" s="111" t="s">
        <v>348</v>
      </c>
      <c r="G986">
        <v>2.976</v>
      </c>
      <c r="H986">
        <v>5.0000000000001421</v>
      </c>
      <c r="I986">
        <v>4</v>
      </c>
      <c r="J986">
        <v>14.999999999999947</v>
      </c>
      <c r="K986" s="1" t="e">
        <f>INDEX($P$4:$AM$15,MATCH(MONTH($E986),$O$4:$O$15,0),MATCH(HOUR($F986),$P$3:$AM$3,0))</f>
        <v>#N/A</v>
      </c>
      <c r="L986" t="s">
        <v>231</v>
      </c>
      <c r="M986" s="111"/>
    </row>
    <row r="987" spans="1:13" x14ac:dyDescent="0.25">
      <c r="A987">
        <v>986</v>
      </c>
      <c r="B987">
        <v>30067999</v>
      </c>
      <c r="C987">
        <v>4</v>
      </c>
      <c r="E987" s="110">
        <v>42609</v>
      </c>
      <c r="F987" s="111" t="s">
        <v>349</v>
      </c>
      <c r="G987">
        <v>0.71499999999999997</v>
      </c>
      <c r="H987">
        <v>4.9999999999999822</v>
      </c>
      <c r="I987">
        <v>4</v>
      </c>
      <c r="J987">
        <v>1025</v>
      </c>
      <c r="K987" s="1" t="e">
        <f>INDEX($P$4:$AM$15,MATCH(MONTH($E987),$O$4:$O$15,0),MATCH(HOUR($F987),$P$3:$AM$3,0))</f>
        <v>#N/A</v>
      </c>
      <c r="L987" t="s">
        <v>231</v>
      </c>
      <c r="M987" s="111"/>
    </row>
    <row r="988" spans="1:13" x14ac:dyDescent="0.25">
      <c r="A988">
        <v>987</v>
      </c>
      <c r="B988">
        <v>30067999</v>
      </c>
      <c r="C988">
        <v>1</v>
      </c>
      <c r="E988" s="110">
        <v>42610</v>
      </c>
      <c r="F988" s="111" t="s">
        <v>339</v>
      </c>
      <c r="G988">
        <v>17.373000000000001</v>
      </c>
      <c r="H988">
        <v>24.999999999999993</v>
      </c>
      <c r="I988">
        <v>4</v>
      </c>
      <c r="J988">
        <v>480</v>
      </c>
      <c r="K988" s="1" t="e">
        <f>INDEX($P$4:$AM$15,MATCH(MONTH($E988),$O$4:$O$15,0),MATCH(HOUR($F988),$P$3:$AM$3,0))</f>
        <v>#N/A</v>
      </c>
      <c r="L988" t="s">
        <v>231</v>
      </c>
      <c r="M988" s="111"/>
    </row>
    <row r="989" spans="1:13" x14ac:dyDescent="0.25">
      <c r="A989">
        <v>988</v>
      </c>
      <c r="B989">
        <v>30067999</v>
      </c>
      <c r="C989">
        <v>2</v>
      </c>
      <c r="E989" s="110">
        <v>42610</v>
      </c>
      <c r="F989" s="111" t="s">
        <v>253</v>
      </c>
      <c r="G989">
        <v>18.152000000000001</v>
      </c>
      <c r="H989">
        <v>25.000000000000071</v>
      </c>
      <c r="I989">
        <v>4</v>
      </c>
      <c r="J989">
        <v>844.99999999999989</v>
      </c>
      <c r="K989" s="1" t="e">
        <f>INDEX($P$4:$AM$15,MATCH(MONTH($E989),$O$4:$O$15,0),MATCH(HOUR($F989),$P$3:$AM$3,0))</f>
        <v>#N/A</v>
      </c>
      <c r="L989" t="s">
        <v>231</v>
      </c>
      <c r="M989" s="111"/>
    </row>
    <row r="990" spans="1:13" x14ac:dyDescent="0.25">
      <c r="A990">
        <v>989</v>
      </c>
      <c r="B990">
        <v>30068462</v>
      </c>
      <c r="C990">
        <v>1</v>
      </c>
      <c r="E990" s="110">
        <v>42611</v>
      </c>
      <c r="F990" s="111" t="s">
        <v>286</v>
      </c>
      <c r="G990">
        <v>14.606</v>
      </c>
      <c r="H990">
        <v>29.999999999999972</v>
      </c>
      <c r="I990">
        <v>3</v>
      </c>
      <c r="J990">
        <v>9.9999999999999645</v>
      </c>
      <c r="K990" s="1" t="e">
        <f>INDEX($P$4:$AM$15,MATCH(MONTH($E990),$O$4:$O$15,0),MATCH(HOUR($F990),$P$3:$AM$3,0))</f>
        <v>#N/A</v>
      </c>
      <c r="L990" t="s">
        <v>257</v>
      </c>
      <c r="M990" s="111"/>
    </row>
    <row r="991" spans="1:13" x14ac:dyDescent="0.25">
      <c r="A991">
        <v>990</v>
      </c>
      <c r="B991">
        <v>30068462</v>
      </c>
      <c r="C991">
        <v>2</v>
      </c>
      <c r="E991" s="110">
        <v>42611</v>
      </c>
      <c r="F991" s="111" t="s">
        <v>354</v>
      </c>
      <c r="G991">
        <v>4.3780000000000001</v>
      </c>
      <c r="H991">
        <v>35.000000000000036</v>
      </c>
      <c r="I991">
        <v>3</v>
      </c>
      <c r="J991">
        <v>15.000000000000027</v>
      </c>
      <c r="K991" s="1" t="e">
        <f>INDEX($P$4:$AM$15,MATCH(MONTH($E991),$O$4:$O$15,0),MATCH(HOUR($F991),$P$3:$AM$3,0))</f>
        <v>#N/A</v>
      </c>
      <c r="L991" t="s">
        <v>257</v>
      </c>
      <c r="M991" s="111"/>
    </row>
    <row r="992" spans="1:13" x14ac:dyDescent="0.25">
      <c r="A992">
        <v>991</v>
      </c>
      <c r="B992">
        <v>30068462</v>
      </c>
      <c r="C992">
        <v>3</v>
      </c>
      <c r="E992" s="110">
        <v>42611</v>
      </c>
      <c r="F992" s="111" t="s">
        <v>283</v>
      </c>
      <c r="G992">
        <v>314.02699999999999</v>
      </c>
      <c r="H992">
        <v>300</v>
      </c>
      <c r="I992">
        <v>3</v>
      </c>
      <c r="J992">
        <v>20.000000000000089</v>
      </c>
      <c r="K992" s="1" t="e">
        <f>INDEX($P$4:$AM$15,MATCH(MONTH($E992),$O$4:$O$15,0),MATCH(HOUR($F992),$P$3:$AM$3,0))</f>
        <v>#N/A</v>
      </c>
      <c r="L992" t="s">
        <v>257</v>
      </c>
      <c r="M992" s="111"/>
    </row>
    <row r="993" spans="1:13" x14ac:dyDescent="0.25">
      <c r="A993">
        <v>992</v>
      </c>
      <c r="B993">
        <v>30068462</v>
      </c>
      <c r="C993">
        <v>4</v>
      </c>
      <c r="E993" s="110">
        <v>42611</v>
      </c>
      <c r="F993" s="111" t="s">
        <v>472</v>
      </c>
      <c r="G993">
        <v>144.80600000000001</v>
      </c>
      <c r="H993">
        <v>249.99999999999991</v>
      </c>
      <c r="I993">
        <v>3</v>
      </c>
      <c r="J993">
        <v>790</v>
      </c>
      <c r="K993" s="1" t="e">
        <f>INDEX($P$4:$AM$15,MATCH(MONTH($E993),$O$4:$O$15,0),MATCH(HOUR($F993),$P$3:$AM$3,0))</f>
        <v>#N/A</v>
      </c>
      <c r="L993" t="s">
        <v>257</v>
      </c>
      <c r="M993" s="111"/>
    </row>
    <row r="994" spans="1:13" x14ac:dyDescent="0.25">
      <c r="A994">
        <v>993</v>
      </c>
      <c r="B994">
        <v>30072908</v>
      </c>
      <c r="C994">
        <v>1</v>
      </c>
      <c r="E994" s="110">
        <v>42612</v>
      </c>
      <c r="F994" s="111" t="s">
        <v>496</v>
      </c>
      <c r="G994">
        <v>2.82</v>
      </c>
      <c r="H994">
        <v>20.000000000000007</v>
      </c>
      <c r="I994">
        <v>5</v>
      </c>
      <c r="J994">
        <v>5.0000000000000622</v>
      </c>
      <c r="K994" s="1" t="e">
        <f>INDEX($P$4:$AM$15,MATCH(MONTH($E994),$O$4:$O$15,0),MATCH(HOUR($F994),$P$3:$AM$3,0))</f>
        <v>#N/A</v>
      </c>
      <c r="L994" t="s">
        <v>231</v>
      </c>
      <c r="M994" s="111"/>
    </row>
    <row r="995" spans="1:13" x14ac:dyDescent="0.25">
      <c r="A995">
        <v>994</v>
      </c>
      <c r="B995">
        <v>30072908</v>
      </c>
      <c r="C995">
        <v>2</v>
      </c>
      <c r="E995" s="110">
        <v>42612</v>
      </c>
      <c r="F995" s="111" t="s">
        <v>400</v>
      </c>
      <c r="G995">
        <v>4.093</v>
      </c>
      <c r="H995">
        <v>4.9999999999999023</v>
      </c>
      <c r="I995">
        <v>5</v>
      </c>
      <c r="J995">
        <v>329.99999999999994</v>
      </c>
      <c r="K995" s="1" t="e">
        <f>INDEX($P$4:$AM$15,MATCH(MONTH($E995),$O$4:$O$15,0),MATCH(HOUR($F995),$P$3:$AM$3,0))</f>
        <v>#N/A</v>
      </c>
      <c r="L995" t="s">
        <v>231</v>
      </c>
      <c r="M995" s="111"/>
    </row>
    <row r="996" spans="1:13" x14ac:dyDescent="0.25">
      <c r="A996">
        <v>995</v>
      </c>
      <c r="B996">
        <v>30072908</v>
      </c>
      <c r="C996">
        <v>3</v>
      </c>
      <c r="E996" s="110">
        <v>42612</v>
      </c>
      <c r="F996" s="111" t="s">
        <v>450</v>
      </c>
      <c r="G996">
        <v>3.57</v>
      </c>
      <c r="H996">
        <v>10.000000000000124</v>
      </c>
      <c r="I996">
        <v>5</v>
      </c>
      <c r="J996">
        <v>24.999999999999911</v>
      </c>
      <c r="K996" s="1" t="e">
        <f>INDEX($P$4:$AM$15,MATCH(MONTH($E996),$O$4:$O$15,0),MATCH(HOUR($F996),$P$3:$AM$3,0))</f>
        <v>#N/A</v>
      </c>
      <c r="L996" t="s">
        <v>231</v>
      </c>
      <c r="M996" s="111"/>
    </row>
    <row r="997" spans="1:13" x14ac:dyDescent="0.25">
      <c r="A997">
        <v>996</v>
      </c>
      <c r="B997">
        <v>30072908</v>
      </c>
      <c r="C997">
        <v>4</v>
      </c>
      <c r="E997" s="110">
        <v>42612</v>
      </c>
      <c r="F997" s="111" t="s">
        <v>268</v>
      </c>
      <c r="G997">
        <v>4.093</v>
      </c>
      <c r="H997">
        <v>9.9999999999999645</v>
      </c>
      <c r="I997">
        <v>5</v>
      </c>
      <c r="J997">
        <v>50.000000000000142</v>
      </c>
      <c r="K997" s="1" t="e">
        <f>INDEX($P$4:$AM$15,MATCH(MONTH($E997),$O$4:$O$15,0),MATCH(HOUR($F997),$P$3:$AM$3,0))</f>
        <v>#N/A</v>
      </c>
      <c r="L997" t="s">
        <v>231</v>
      </c>
      <c r="M997" s="111"/>
    </row>
    <row r="998" spans="1:13" x14ac:dyDescent="0.25">
      <c r="A998">
        <v>997</v>
      </c>
      <c r="B998">
        <v>30072908</v>
      </c>
      <c r="C998">
        <v>5</v>
      </c>
      <c r="E998" s="110">
        <v>42612</v>
      </c>
      <c r="F998" s="111" t="s">
        <v>274</v>
      </c>
      <c r="G998">
        <v>4.1360000000000001</v>
      </c>
      <c r="H998">
        <v>14.999999999999947</v>
      </c>
      <c r="I998">
        <v>5</v>
      </c>
      <c r="J998">
        <v>1320</v>
      </c>
      <c r="K998" s="1" t="e">
        <f>INDEX($P$4:$AM$15,MATCH(MONTH($E998),$O$4:$O$15,0),MATCH(HOUR($F998),$P$3:$AM$3,0))</f>
        <v>#N/A</v>
      </c>
      <c r="L998" t="s">
        <v>231</v>
      </c>
      <c r="M998" s="111"/>
    </row>
    <row r="999" spans="1:13" x14ac:dyDescent="0.25">
      <c r="A999">
        <v>998</v>
      </c>
      <c r="B999">
        <v>30072908</v>
      </c>
      <c r="C999">
        <v>1</v>
      </c>
      <c r="E999" s="110">
        <v>42613</v>
      </c>
      <c r="F999" s="111" t="s">
        <v>294</v>
      </c>
      <c r="G999">
        <v>2.82</v>
      </c>
      <c r="H999">
        <v>9.9999999999999645</v>
      </c>
      <c r="I999">
        <v>3</v>
      </c>
      <c r="J999">
        <v>35.000000000000036</v>
      </c>
      <c r="K999" s="1" t="e">
        <f>INDEX($P$4:$AM$15,MATCH(MONTH($E999),$O$4:$O$15,0),MATCH(HOUR($F999),$P$3:$AM$3,0))</f>
        <v>#N/A</v>
      </c>
      <c r="L999" t="s">
        <v>231</v>
      </c>
      <c r="M999" s="111"/>
    </row>
    <row r="1000" spans="1:13" x14ac:dyDescent="0.25">
      <c r="A1000">
        <v>999</v>
      </c>
      <c r="B1000">
        <v>30072908</v>
      </c>
      <c r="C1000">
        <v>2</v>
      </c>
      <c r="E1000" s="110">
        <v>42613</v>
      </c>
      <c r="F1000" s="111" t="s">
        <v>268</v>
      </c>
      <c r="G1000">
        <v>2.82</v>
      </c>
      <c r="H1000">
        <v>9.9999999999999645</v>
      </c>
      <c r="I1000">
        <v>3</v>
      </c>
      <c r="J1000">
        <v>1145</v>
      </c>
      <c r="K1000" s="1" t="e">
        <f>INDEX($P$4:$AM$15,MATCH(MONTH($E1000),$O$4:$O$15,0),MATCH(HOUR($F1000),$P$3:$AM$3,0))</f>
        <v>#N/A</v>
      </c>
      <c r="L1000" t="s">
        <v>231</v>
      </c>
      <c r="M1000" s="111"/>
    </row>
    <row r="1001" spans="1:13" x14ac:dyDescent="0.25">
      <c r="A1001">
        <v>1000</v>
      </c>
      <c r="B1001">
        <v>30000492</v>
      </c>
      <c r="C1001">
        <v>1</v>
      </c>
      <c r="E1001" s="110">
        <v>42614</v>
      </c>
      <c r="F1001" s="111" t="s">
        <v>388</v>
      </c>
      <c r="G1001">
        <v>37.384</v>
      </c>
      <c r="H1001">
        <v>45</v>
      </c>
      <c r="I1001">
        <v>4</v>
      </c>
      <c r="J1001">
        <v>60.000000000000028</v>
      </c>
      <c r="K1001" s="1" t="e">
        <f>INDEX($P$4:$AM$15,MATCH(MONTH($E1001),$O$4:$O$15,0),MATCH(HOUR($F1001),$P$3:$AM$3,0))</f>
        <v>#N/A</v>
      </c>
      <c r="L1001" t="s">
        <v>222</v>
      </c>
      <c r="M1001" s="111"/>
    </row>
    <row r="1002" spans="1:13" x14ac:dyDescent="0.25">
      <c r="A1002">
        <v>1001</v>
      </c>
      <c r="B1002">
        <v>30000492</v>
      </c>
      <c r="C1002">
        <v>2</v>
      </c>
      <c r="E1002" s="110">
        <v>42614</v>
      </c>
      <c r="F1002" s="111" t="s">
        <v>314</v>
      </c>
      <c r="G1002">
        <v>3.891</v>
      </c>
      <c r="H1002">
        <v>29.999999999999893</v>
      </c>
      <c r="I1002">
        <v>4</v>
      </c>
      <c r="J1002">
        <v>30.000000000000053</v>
      </c>
      <c r="K1002" s="1" t="e">
        <f>INDEX($P$4:$AM$15,MATCH(MONTH($E1002),$O$4:$O$15,0),MATCH(HOUR($F1002),$P$3:$AM$3,0))</f>
        <v>#N/A</v>
      </c>
      <c r="L1002" t="s">
        <v>222</v>
      </c>
      <c r="M1002" s="111"/>
    </row>
    <row r="1003" spans="1:13" x14ac:dyDescent="0.25">
      <c r="A1003">
        <v>1002</v>
      </c>
      <c r="B1003">
        <v>30000492</v>
      </c>
      <c r="C1003">
        <v>3</v>
      </c>
      <c r="E1003" s="110">
        <v>42614</v>
      </c>
      <c r="F1003" s="111" t="s">
        <v>240</v>
      </c>
      <c r="G1003">
        <v>1.1120000000000001</v>
      </c>
      <c r="H1003">
        <v>5.9999999999999787</v>
      </c>
      <c r="I1003">
        <v>4</v>
      </c>
      <c r="J1003">
        <v>69.000000000000071</v>
      </c>
      <c r="K1003" s="1" t="e">
        <f>INDEX($P$4:$AM$15,MATCH(MONTH($E1003),$O$4:$O$15,0),MATCH(HOUR($F1003),$P$3:$AM$3,0))</f>
        <v>#N/A</v>
      </c>
      <c r="L1003" t="s">
        <v>222</v>
      </c>
      <c r="M1003" s="111"/>
    </row>
    <row r="1004" spans="1:13" x14ac:dyDescent="0.25">
      <c r="A1004">
        <v>1003</v>
      </c>
      <c r="B1004">
        <v>30000492</v>
      </c>
      <c r="C1004">
        <v>4</v>
      </c>
      <c r="E1004" s="110">
        <v>42614</v>
      </c>
      <c r="F1004" s="111" t="s">
        <v>342</v>
      </c>
      <c r="G1004">
        <v>33.889000000000003</v>
      </c>
      <c r="H1004">
        <v>54.999999999999964</v>
      </c>
      <c r="I1004">
        <v>4</v>
      </c>
      <c r="J1004">
        <v>859.99999999999989</v>
      </c>
      <c r="K1004" s="1" t="e">
        <f>INDEX($P$4:$AM$15,MATCH(MONTH($E1004),$O$4:$O$15,0),MATCH(HOUR($F1004),$P$3:$AM$3,0))</f>
        <v>#N/A</v>
      </c>
      <c r="L1004" t="s">
        <v>222</v>
      </c>
      <c r="M1004" s="111"/>
    </row>
    <row r="1005" spans="1:13" x14ac:dyDescent="0.25">
      <c r="A1005">
        <v>1004</v>
      </c>
      <c r="B1005">
        <v>30003680</v>
      </c>
      <c r="C1005">
        <v>1</v>
      </c>
      <c r="E1005" s="110">
        <v>42615</v>
      </c>
      <c r="F1005" s="111" t="s">
        <v>248</v>
      </c>
      <c r="G1005">
        <v>8.1620000000000008</v>
      </c>
      <c r="H1005">
        <v>15.000000000000027</v>
      </c>
      <c r="I1005">
        <v>6</v>
      </c>
      <c r="J1005">
        <v>0.99999999999999645</v>
      </c>
      <c r="K1005" s="1" t="e">
        <f>INDEX($P$4:$AM$15,MATCH(MONTH($E1005),$O$4:$O$15,0),MATCH(HOUR($F1005),$P$3:$AM$3,0))</f>
        <v>#N/A</v>
      </c>
      <c r="L1005" t="s">
        <v>249</v>
      </c>
      <c r="M1005" s="111"/>
    </row>
    <row r="1006" spans="1:13" x14ac:dyDescent="0.25">
      <c r="A1006">
        <v>1005</v>
      </c>
      <c r="B1006">
        <v>30003680</v>
      </c>
      <c r="C1006">
        <v>2</v>
      </c>
      <c r="E1006" s="110">
        <v>42615</v>
      </c>
      <c r="F1006" s="111" t="s">
        <v>557</v>
      </c>
      <c r="G1006">
        <v>7.3360000000000003</v>
      </c>
      <c r="H1006">
        <v>13.99999999999995</v>
      </c>
      <c r="I1006">
        <v>6</v>
      </c>
      <c r="J1006">
        <v>155.00000000000009</v>
      </c>
      <c r="K1006" s="1" t="e">
        <f>INDEX($P$4:$AM$15,MATCH(MONTH($E1006),$O$4:$O$15,0),MATCH(HOUR($F1006),$P$3:$AM$3,0))</f>
        <v>#N/A</v>
      </c>
      <c r="L1006" t="s">
        <v>249</v>
      </c>
      <c r="M1006" s="111"/>
    </row>
    <row r="1007" spans="1:13" x14ac:dyDescent="0.25">
      <c r="A1007">
        <v>1006</v>
      </c>
      <c r="B1007">
        <v>30003680</v>
      </c>
      <c r="C1007">
        <v>3</v>
      </c>
      <c r="E1007" s="110">
        <v>42615</v>
      </c>
      <c r="F1007" s="111" t="s">
        <v>400</v>
      </c>
      <c r="G1007">
        <v>29.849</v>
      </c>
      <c r="H1007">
        <v>41.000000000000014</v>
      </c>
      <c r="I1007">
        <v>6</v>
      </c>
      <c r="J1007">
        <v>23.999999999999915</v>
      </c>
      <c r="K1007" s="1" t="e">
        <f>INDEX($P$4:$AM$15,MATCH(MONTH($E1007),$O$4:$O$15,0),MATCH(HOUR($F1007),$P$3:$AM$3,0))</f>
        <v>#N/A</v>
      </c>
      <c r="L1007" t="s">
        <v>249</v>
      </c>
      <c r="M1007" s="111"/>
    </row>
    <row r="1008" spans="1:13" x14ac:dyDescent="0.25">
      <c r="A1008">
        <v>1007</v>
      </c>
      <c r="B1008">
        <v>30003680</v>
      </c>
      <c r="C1008">
        <v>4</v>
      </c>
      <c r="E1008" s="110">
        <v>42615</v>
      </c>
      <c r="F1008" s="111" t="s">
        <v>297</v>
      </c>
      <c r="G1008">
        <v>10.503</v>
      </c>
      <c r="H1008">
        <v>20.000000000000007</v>
      </c>
      <c r="I1008">
        <v>6</v>
      </c>
      <c r="J1008">
        <v>455</v>
      </c>
      <c r="K1008" s="1" t="e">
        <f>INDEX($P$4:$AM$15,MATCH(MONTH($E1008),$O$4:$O$15,0),MATCH(HOUR($F1008),$P$3:$AM$3,0))</f>
        <v>#N/A</v>
      </c>
      <c r="L1008" t="s">
        <v>249</v>
      </c>
      <c r="M1008" s="111"/>
    </row>
    <row r="1009" spans="1:13" x14ac:dyDescent="0.25">
      <c r="A1009">
        <v>1008</v>
      </c>
      <c r="B1009">
        <v>30003680</v>
      </c>
      <c r="C1009">
        <v>5</v>
      </c>
      <c r="E1009" s="110">
        <v>42615</v>
      </c>
      <c r="F1009" s="111" t="s">
        <v>413</v>
      </c>
      <c r="G1009">
        <v>7.4859999999999998</v>
      </c>
      <c r="H1009">
        <v>17.999999999999936</v>
      </c>
      <c r="I1009">
        <v>6</v>
      </c>
      <c r="J1009">
        <v>30.000000000000053</v>
      </c>
      <c r="K1009" s="1" t="e">
        <f>INDEX($P$4:$AM$15,MATCH(MONTH($E1009),$O$4:$O$15,0),MATCH(HOUR($F1009),$P$3:$AM$3,0))</f>
        <v>#N/A</v>
      </c>
      <c r="L1009" t="s">
        <v>249</v>
      </c>
      <c r="M1009" s="111"/>
    </row>
    <row r="1010" spans="1:13" x14ac:dyDescent="0.25">
      <c r="A1010">
        <v>1009</v>
      </c>
      <c r="B1010">
        <v>30003680</v>
      </c>
      <c r="C1010">
        <v>6</v>
      </c>
      <c r="E1010" s="110">
        <v>42615</v>
      </c>
      <c r="F1010" s="111" t="s">
        <v>558</v>
      </c>
      <c r="G1010">
        <v>9.5329999999999995</v>
      </c>
      <c r="H1010">
        <v>24.000000000000075</v>
      </c>
      <c r="I1010">
        <v>6</v>
      </c>
      <c r="J1010">
        <v>743</v>
      </c>
      <c r="K1010" s="1" t="e">
        <f>INDEX($P$4:$AM$15,MATCH(MONTH($E1010),$O$4:$O$15,0),MATCH(HOUR($F1010),$P$3:$AM$3,0))</f>
        <v>#N/A</v>
      </c>
      <c r="L1010" t="s">
        <v>249</v>
      </c>
      <c r="M1010" s="111"/>
    </row>
    <row r="1011" spans="1:13" x14ac:dyDescent="0.25">
      <c r="A1011">
        <v>1010</v>
      </c>
      <c r="B1011">
        <v>30003680</v>
      </c>
      <c r="C1011">
        <v>1</v>
      </c>
      <c r="E1011" s="110">
        <v>42616</v>
      </c>
      <c r="F1011" s="111" t="s">
        <v>246</v>
      </c>
      <c r="G1011">
        <v>7.75</v>
      </c>
      <c r="H1011">
        <v>17.999999999999936</v>
      </c>
      <c r="I1011">
        <v>4</v>
      </c>
      <c r="J1011">
        <v>62.000000000000021</v>
      </c>
      <c r="K1011" s="1" t="e">
        <f>INDEX($P$4:$AM$15,MATCH(MONTH($E1011),$O$4:$O$15,0),MATCH(HOUR($F1011),$P$3:$AM$3,0))</f>
        <v>#N/A</v>
      </c>
      <c r="L1011" t="s">
        <v>249</v>
      </c>
      <c r="M1011" s="111"/>
    </row>
    <row r="1012" spans="1:13" x14ac:dyDescent="0.25">
      <c r="A1012">
        <v>1011</v>
      </c>
      <c r="B1012">
        <v>30003680</v>
      </c>
      <c r="C1012">
        <v>2</v>
      </c>
      <c r="E1012" s="110">
        <v>42616</v>
      </c>
      <c r="F1012" s="111" t="s">
        <v>295</v>
      </c>
      <c r="G1012">
        <v>6.9889999999999999</v>
      </c>
      <c r="H1012">
        <v>18.000000000000014</v>
      </c>
      <c r="I1012">
        <v>4</v>
      </c>
      <c r="J1012">
        <v>1.9999999999999929</v>
      </c>
      <c r="K1012" s="1" t="e">
        <f>INDEX($P$4:$AM$15,MATCH(MONTH($E1012),$O$4:$O$15,0),MATCH(HOUR($F1012),$P$3:$AM$3,0))</f>
        <v>#N/A</v>
      </c>
      <c r="L1012" t="s">
        <v>249</v>
      </c>
      <c r="M1012" s="111"/>
    </row>
    <row r="1013" spans="1:13" x14ac:dyDescent="0.25">
      <c r="A1013">
        <v>1012</v>
      </c>
      <c r="B1013">
        <v>30003680</v>
      </c>
      <c r="C1013">
        <v>3</v>
      </c>
      <c r="E1013" s="110">
        <v>42616</v>
      </c>
      <c r="F1013" s="111" t="s">
        <v>296</v>
      </c>
      <c r="G1013">
        <v>5.3999999999999999E-2</v>
      </c>
      <c r="H1013">
        <v>0.99999999999999645</v>
      </c>
      <c r="I1013">
        <v>4</v>
      </c>
      <c r="J1013">
        <v>3.9999999999999858</v>
      </c>
      <c r="K1013" s="1" t="e">
        <f>INDEX($P$4:$AM$15,MATCH(MONTH($E1013),$O$4:$O$15,0),MATCH(HOUR($F1013),$P$3:$AM$3,0))</f>
        <v>#N/A</v>
      </c>
      <c r="L1013" t="s">
        <v>249</v>
      </c>
      <c r="M1013" s="111"/>
    </row>
    <row r="1014" spans="1:13" x14ac:dyDescent="0.25">
      <c r="A1014">
        <v>1013</v>
      </c>
      <c r="B1014">
        <v>30003680</v>
      </c>
      <c r="C1014">
        <v>4</v>
      </c>
      <c r="E1014" s="110">
        <v>42616</v>
      </c>
      <c r="F1014" s="111" t="s">
        <v>467</v>
      </c>
      <c r="G1014">
        <v>1.5089999999999999</v>
      </c>
      <c r="H1014">
        <v>4.9999999999999822</v>
      </c>
      <c r="I1014">
        <v>4</v>
      </c>
      <c r="J1014">
        <v>435</v>
      </c>
      <c r="K1014" s="1" t="e">
        <f>INDEX($P$4:$AM$15,MATCH(MONTH($E1014),$O$4:$O$15,0),MATCH(HOUR($F1014),$P$3:$AM$3,0))</f>
        <v>#N/A</v>
      </c>
      <c r="L1014" t="s">
        <v>249</v>
      </c>
      <c r="M1014" s="111"/>
    </row>
    <row r="1015" spans="1:13" x14ac:dyDescent="0.25">
      <c r="A1015">
        <v>1014</v>
      </c>
      <c r="B1015">
        <v>30003680</v>
      </c>
      <c r="C1015">
        <v>5</v>
      </c>
      <c r="E1015" s="110">
        <v>42616</v>
      </c>
      <c r="F1015" s="111" t="s">
        <v>317</v>
      </c>
      <c r="G1015">
        <v>0.876</v>
      </c>
      <c r="H1015">
        <v>4.9999999999999822</v>
      </c>
      <c r="I1015">
        <v>4</v>
      </c>
      <c r="J1015">
        <v>5.0000000000001421</v>
      </c>
      <c r="K1015" s="1" t="e">
        <f>INDEX($P$4:$AM$15,MATCH(MONTH($E1015),$O$4:$O$15,0),MATCH(HOUR($F1015),$P$3:$AM$3,0))</f>
        <v>#N/A</v>
      </c>
      <c r="L1015" t="s">
        <v>249</v>
      </c>
      <c r="M1015" s="111"/>
    </row>
    <row r="1016" spans="1:13" x14ac:dyDescent="0.25">
      <c r="A1016">
        <v>1015</v>
      </c>
      <c r="B1016">
        <v>30003680</v>
      </c>
      <c r="C1016">
        <v>6</v>
      </c>
      <c r="E1016" s="110">
        <v>42616</v>
      </c>
      <c r="F1016" s="111" t="s">
        <v>271</v>
      </c>
      <c r="G1016">
        <v>5.1260000000000003</v>
      </c>
      <c r="H1016">
        <v>14.999999999999947</v>
      </c>
      <c r="I1016">
        <v>4</v>
      </c>
      <c r="J1016">
        <v>991</v>
      </c>
      <c r="K1016" s="1" t="e">
        <f>INDEX($P$4:$AM$15,MATCH(MONTH($E1016),$O$4:$O$15,0),MATCH(HOUR($F1016),$P$3:$AM$3,0))</f>
        <v>#N/A</v>
      </c>
      <c r="L1016" t="s">
        <v>249</v>
      </c>
      <c r="M1016" s="111"/>
    </row>
    <row r="1017" spans="1:13" x14ac:dyDescent="0.25">
      <c r="A1017">
        <v>1016</v>
      </c>
      <c r="B1017">
        <v>30007605</v>
      </c>
      <c r="C1017">
        <v>1</v>
      </c>
      <c r="E1017" s="110">
        <v>42617</v>
      </c>
      <c r="F1017" s="111" t="s">
        <v>559</v>
      </c>
      <c r="G1017">
        <v>13.827</v>
      </c>
      <c r="H1017">
        <v>29.999999999999972</v>
      </c>
      <c r="I1017">
        <v>6</v>
      </c>
      <c r="J1017">
        <v>577.00000000000011</v>
      </c>
      <c r="K1017" s="1" t="e">
        <f>INDEX($P$4:$AM$15,MATCH(MONTH($E1017),$O$4:$O$15,0),MATCH(HOUR($F1017),$P$3:$AM$3,0))</f>
        <v>#N/A</v>
      </c>
      <c r="L1017" t="s">
        <v>218</v>
      </c>
      <c r="M1017" s="111"/>
    </row>
    <row r="1018" spans="1:13" x14ac:dyDescent="0.25">
      <c r="A1018">
        <v>1017</v>
      </c>
      <c r="B1018">
        <v>30007605</v>
      </c>
      <c r="C1018">
        <v>2</v>
      </c>
      <c r="E1018" s="110">
        <v>42617</v>
      </c>
      <c r="F1018" s="111" t="s">
        <v>560</v>
      </c>
      <c r="G1018">
        <v>12.085000000000001</v>
      </c>
      <c r="H1018">
        <v>29.999999999999893</v>
      </c>
      <c r="I1018">
        <v>6</v>
      </c>
      <c r="J1018">
        <v>677</v>
      </c>
      <c r="K1018" s="1" t="e">
        <f>INDEX($P$4:$AM$15,MATCH(MONTH($E1018),$O$4:$O$15,0),MATCH(HOUR($F1018),$P$3:$AM$3,0))</f>
        <v>#N/A</v>
      </c>
      <c r="L1018" t="s">
        <v>218</v>
      </c>
      <c r="M1018" s="111"/>
    </row>
    <row r="1019" spans="1:13" x14ac:dyDescent="0.25">
      <c r="A1019">
        <v>1018</v>
      </c>
      <c r="B1019">
        <v>30007605</v>
      </c>
      <c r="C1019">
        <v>1</v>
      </c>
      <c r="E1019" s="110">
        <v>42618</v>
      </c>
      <c r="F1019" s="111" t="s">
        <v>561</v>
      </c>
      <c r="G1019">
        <v>12.428000000000001</v>
      </c>
      <c r="H1019">
        <v>45.000000000000078</v>
      </c>
      <c r="I1019">
        <v>3</v>
      </c>
      <c r="J1019">
        <v>549.99999999999989</v>
      </c>
      <c r="K1019" s="1" t="e">
        <f>INDEX($P$4:$AM$15,MATCH(MONTH($E1019),$O$4:$O$15,0),MATCH(HOUR($F1019),$P$3:$AM$3,0))</f>
        <v>#N/A</v>
      </c>
      <c r="L1019" t="s">
        <v>218</v>
      </c>
      <c r="M1019" s="111"/>
    </row>
    <row r="1020" spans="1:13" x14ac:dyDescent="0.25">
      <c r="A1020">
        <v>1019</v>
      </c>
      <c r="B1020">
        <v>30007605</v>
      </c>
      <c r="C1020">
        <v>2</v>
      </c>
      <c r="E1020" s="110">
        <v>42618</v>
      </c>
      <c r="F1020" s="111" t="s">
        <v>258</v>
      </c>
      <c r="G1020">
        <v>12.393000000000001</v>
      </c>
      <c r="H1020">
        <v>42.000000000000014</v>
      </c>
      <c r="I1020">
        <v>3</v>
      </c>
      <c r="J1020">
        <v>1233</v>
      </c>
      <c r="K1020" s="1" t="e">
        <f>INDEX($P$4:$AM$15,MATCH(MONTH($E1020),$O$4:$O$15,0),MATCH(HOUR($F1020),$P$3:$AM$3,0))</f>
        <v>#N/A</v>
      </c>
      <c r="L1020" t="s">
        <v>218</v>
      </c>
      <c r="M1020" s="111"/>
    </row>
    <row r="1021" spans="1:13" x14ac:dyDescent="0.25">
      <c r="A1021">
        <v>1020</v>
      </c>
      <c r="B1021">
        <v>30008169</v>
      </c>
      <c r="C1021">
        <v>1</v>
      </c>
      <c r="E1021" s="110">
        <v>42619</v>
      </c>
      <c r="F1021" s="111" t="s">
        <v>342</v>
      </c>
      <c r="G1021">
        <v>2.585</v>
      </c>
      <c r="H1021">
        <v>11.999999999999957</v>
      </c>
      <c r="I1021">
        <v>3</v>
      </c>
      <c r="J1021">
        <v>23.000000000000078</v>
      </c>
      <c r="K1021" s="1" t="e">
        <f>INDEX($P$4:$AM$15,MATCH(MONTH($E1021),$O$4:$O$15,0),MATCH(HOUR($F1021),$P$3:$AM$3,0))</f>
        <v>#N/A</v>
      </c>
      <c r="L1021" t="s">
        <v>218</v>
      </c>
      <c r="M1021" s="111"/>
    </row>
    <row r="1022" spans="1:13" x14ac:dyDescent="0.25">
      <c r="A1022">
        <v>1021</v>
      </c>
      <c r="B1022">
        <v>30008169</v>
      </c>
      <c r="C1022">
        <v>2</v>
      </c>
      <c r="E1022" s="110">
        <v>42619</v>
      </c>
      <c r="F1022" s="111" t="s">
        <v>472</v>
      </c>
      <c r="G1022">
        <v>0.83899999999999997</v>
      </c>
      <c r="H1022">
        <v>14.999999999999947</v>
      </c>
      <c r="I1022">
        <v>3</v>
      </c>
      <c r="J1022">
        <v>24.999999999999911</v>
      </c>
      <c r="K1022" s="1" t="e">
        <f>INDEX($P$4:$AM$15,MATCH(MONTH($E1022),$O$4:$O$15,0),MATCH(HOUR($F1022),$P$3:$AM$3,0))</f>
        <v>#N/A</v>
      </c>
      <c r="L1022" t="s">
        <v>218</v>
      </c>
      <c r="M1022" s="111"/>
    </row>
    <row r="1023" spans="1:13" x14ac:dyDescent="0.25">
      <c r="A1023">
        <v>1022</v>
      </c>
      <c r="B1023">
        <v>30008169</v>
      </c>
      <c r="C1023">
        <v>3</v>
      </c>
      <c r="E1023" s="110">
        <v>42619</v>
      </c>
      <c r="F1023" s="111" t="s">
        <v>252</v>
      </c>
      <c r="G1023">
        <v>1.9039999999999999</v>
      </c>
      <c r="H1023">
        <v>15.000000000000107</v>
      </c>
      <c r="I1023">
        <v>3</v>
      </c>
      <c r="J1023">
        <v>1075</v>
      </c>
      <c r="K1023" s="1" t="e">
        <f>INDEX($P$4:$AM$15,MATCH(MONTH($E1023),$O$4:$O$15,0),MATCH(HOUR($F1023),$P$3:$AM$3,0))</f>
        <v>#N/A</v>
      </c>
      <c r="L1023" t="s">
        <v>218</v>
      </c>
      <c r="M1023" s="111"/>
    </row>
    <row r="1024" spans="1:13" x14ac:dyDescent="0.25">
      <c r="A1024">
        <v>1023</v>
      </c>
      <c r="B1024">
        <v>30016588</v>
      </c>
      <c r="C1024">
        <v>1</v>
      </c>
      <c r="E1024" s="110">
        <v>42620</v>
      </c>
      <c r="F1024" s="111" t="s">
        <v>297</v>
      </c>
      <c r="G1024">
        <v>1.6839999999999999</v>
      </c>
      <c r="H1024">
        <v>10.000000000000044</v>
      </c>
      <c r="I1024">
        <v>4</v>
      </c>
      <c r="J1024">
        <v>24.999999999999993</v>
      </c>
      <c r="K1024" s="1" t="e">
        <f>INDEX($P$4:$AM$15,MATCH(MONTH($E1024),$O$4:$O$15,0),MATCH(HOUR($F1024),$P$3:$AM$3,0))</f>
        <v>#N/A</v>
      </c>
      <c r="L1024" t="s">
        <v>222</v>
      </c>
      <c r="M1024" s="111"/>
    </row>
    <row r="1025" spans="1:13" x14ac:dyDescent="0.25">
      <c r="A1025">
        <v>1024</v>
      </c>
      <c r="B1025">
        <v>30016588</v>
      </c>
      <c r="C1025">
        <v>2</v>
      </c>
      <c r="E1025" s="110">
        <v>42620</v>
      </c>
      <c r="F1025" s="111" t="s">
        <v>388</v>
      </c>
      <c r="G1025">
        <v>1.587</v>
      </c>
      <c r="H1025">
        <v>14.999999999999947</v>
      </c>
      <c r="I1025">
        <v>4</v>
      </c>
      <c r="J1025">
        <v>1225</v>
      </c>
      <c r="K1025" s="1" t="e">
        <f>INDEX($P$4:$AM$15,MATCH(MONTH($E1025),$O$4:$O$15,0),MATCH(HOUR($F1025),$P$3:$AM$3,0))</f>
        <v>#N/A</v>
      </c>
      <c r="L1025" t="s">
        <v>222</v>
      </c>
      <c r="M1025" s="111"/>
    </row>
    <row r="1026" spans="1:13" x14ac:dyDescent="0.25">
      <c r="A1026">
        <v>1025</v>
      </c>
      <c r="B1026">
        <v>30016855</v>
      </c>
      <c r="C1026">
        <v>1</v>
      </c>
      <c r="E1026" s="110">
        <v>42621</v>
      </c>
      <c r="F1026" s="111" t="s">
        <v>492</v>
      </c>
      <c r="G1026">
        <v>2.1360000000000001</v>
      </c>
      <c r="H1026">
        <v>20.000000000000007</v>
      </c>
      <c r="I1026">
        <v>3</v>
      </c>
      <c r="J1026">
        <v>0.99999999999999645</v>
      </c>
      <c r="K1026" s="1" t="e">
        <f>INDEX($P$4:$AM$15,MATCH(MONTH($E1026),$O$4:$O$15,0),MATCH(HOUR($F1026),$P$3:$AM$3,0))</f>
        <v>#N/A</v>
      </c>
      <c r="L1026" t="s">
        <v>218</v>
      </c>
      <c r="M1026" s="111"/>
    </row>
    <row r="1027" spans="1:13" x14ac:dyDescent="0.25">
      <c r="A1027">
        <v>1026</v>
      </c>
      <c r="B1027">
        <v>30016855</v>
      </c>
      <c r="C1027">
        <v>2</v>
      </c>
      <c r="E1027" s="110">
        <v>42621</v>
      </c>
      <c r="F1027" s="111" t="s">
        <v>562</v>
      </c>
      <c r="G1027">
        <v>12.545999999999999</v>
      </c>
      <c r="H1027">
        <v>28.999999999999979</v>
      </c>
      <c r="I1027">
        <v>3</v>
      </c>
      <c r="J1027">
        <v>480</v>
      </c>
      <c r="K1027" s="1" t="e">
        <f>INDEX($P$4:$AM$15,MATCH(MONTH($E1027),$O$4:$O$15,0),MATCH(HOUR($F1027),$P$3:$AM$3,0))</f>
        <v>#N/A</v>
      </c>
      <c r="L1027" t="s">
        <v>218</v>
      </c>
      <c r="M1027" s="111"/>
    </row>
    <row r="1028" spans="1:13" x14ac:dyDescent="0.25">
      <c r="A1028">
        <v>1027</v>
      </c>
      <c r="B1028">
        <v>30016855</v>
      </c>
      <c r="C1028">
        <v>3</v>
      </c>
      <c r="E1028" s="110">
        <v>42621</v>
      </c>
      <c r="F1028" s="111" t="s">
        <v>274</v>
      </c>
      <c r="G1028">
        <v>12.606999999999999</v>
      </c>
      <c r="H1028">
        <v>45</v>
      </c>
      <c r="I1028">
        <v>3</v>
      </c>
      <c r="J1028">
        <v>4.9999999999998224</v>
      </c>
      <c r="K1028" s="1" t="e">
        <f>INDEX($P$4:$AM$15,MATCH(MONTH($E1028),$O$4:$O$15,0),MATCH(HOUR($F1028),$P$3:$AM$3,0))</f>
        <v>#N/A</v>
      </c>
      <c r="L1028" t="s">
        <v>218</v>
      </c>
      <c r="M1028" s="111"/>
    </row>
    <row r="1029" spans="1:13" x14ac:dyDescent="0.25">
      <c r="A1029">
        <v>1028</v>
      </c>
      <c r="B1029">
        <v>30016855</v>
      </c>
      <c r="C1029">
        <v>4</v>
      </c>
      <c r="E1029" s="110">
        <v>42621</v>
      </c>
      <c r="F1029" s="111" t="s">
        <v>380</v>
      </c>
      <c r="G1029">
        <v>1.9</v>
      </c>
      <c r="H1029">
        <v>5.0000000000001421</v>
      </c>
      <c r="I1029">
        <v>3</v>
      </c>
      <c r="J1029">
        <v>94.999999999999986</v>
      </c>
      <c r="K1029" s="1" t="e">
        <f>INDEX($P$4:$AM$15,MATCH(MONTH($E1029),$O$4:$O$15,0),MATCH(HOUR($F1029),$P$3:$AM$3,0))</f>
        <v>#N/A</v>
      </c>
      <c r="L1029" t="s">
        <v>218</v>
      </c>
      <c r="M1029" s="111"/>
    </row>
    <row r="1030" spans="1:13" x14ac:dyDescent="0.25">
      <c r="A1030">
        <v>1029</v>
      </c>
      <c r="B1030">
        <v>30016855</v>
      </c>
      <c r="C1030">
        <v>5</v>
      </c>
      <c r="E1030" s="110">
        <v>42621</v>
      </c>
      <c r="F1030" s="111" t="s">
        <v>259</v>
      </c>
      <c r="G1030">
        <v>2.99</v>
      </c>
      <c r="H1030">
        <v>14.999999999999947</v>
      </c>
      <c r="I1030">
        <v>3</v>
      </c>
      <c r="J1030">
        <v>2.0000000000001528</v>
      </c>
      <c r="K1030" s="1" t="e">
        <f>INDEX($P$4:$AM$15,MATCH(MONTH($E1030),$O$4:$O$15,0),MATCH(HOUR($F1030),$P$3:$AM$3,0))</f>
        <v>#N/A</v>
      </c>
      <c r="L1030" t="s">
        <v>218</v>
      </c>
      <c r="M1030" s="111"/>
    </row>
    <row r="1031" spans="1:13" x14ac:dyDescent="0.25">
      <c r="A1031">
        <v>1030</v>
      </c>
      <c r="B1031">
        <v>30016855</v>
      </c>
      <c r="C1031">
        <v>6</v>
      </c>
      <c r="E1031" s="110">
        <v>42621</v>
      </c>
      <c r="F1031" s="111" t="s">
        <v>563</v>
      </c>
      <c r="G1031">
        <v>1.988</v>
      </c>
      <c r="H1031">
        <v>2.9999999999998295</v>
      </c>
      <c r="I1031">
        <v>3</v>
      </c>
      <c r="J1031">
        <v>30.000000000000053</v>
      </c>
      <c r="K1031" s="1" t="e">
        <f>INDEX($P$4:$AM$15,MATCH(MONTH($E1031),$O$4:$O$15,0),MATCH(HOUR($F1031),$P$3:$AM$3,0))</f>
        <v>#N/A</v>
      </c>
      <c r="L1031" t="s">
        <v>218</v>
      </c>
      <c r="M1031" s="111"/>
    </row>
    <row r="1032" spans="1:13" x14ac:dyDescent="0.25">
      <c r="A1032">
        <v>1031</v>
      </c>
      <c r="B1032">
        <v>30016855</v>
      </c>
      <c r="C1032">
        <v>7</v>
      </c>
      <c r="E1032" s="110">
        <v>42621</v>
      </c>
      <c r="F1032" s="111" t="s">
        <v>395</v>
      </c>
      <c r="G1032">
        <v>2.0099999999999998</v>
      </c>
      <c r="H1032">
        <v>5.0000000000001421</v>
      </c>
      <c r="I1032">
        <v>3</v>
      </c>
      <c r="J1032">
        <v>4.9999999999998224</v>
      </c>
      <c r="K1032" s="1" t="e">
        <f>INDEX($P$4:$AM$15,MATCH(MONTH($E1032),$O$4:$O$15,0),MATCH(HOUR($F1032),$P$3:$AM$3,0))</f>
        <v>#N/A</v>
      </c>
      <c r="L1032" t="s">
        <v>218</v>
      </c>
      <c r="M1032" s="111"/>
    </row>
    <row r="1033" spans="1:13" x14ac:dyDescent="0.25">
      <c r="A1033">
        <v>1032</v>
      </c>
      <c r="B1033">
        <v>30016855</v>
      </c>
      <c r="C1033">
        <v>8</v>
      </c>
      <c r="E1033" s="110">
        <v>42621</v>
      </c>
      <c r="F1033" s="111" t="s">
        <v>486</v>
      </c>
      <c r="G1033">
        <v>1.6579999999999999</v>
      </c>
      <c r="H1033">
        <v>3.0000000000001492</v>
      </c>
      <c r="I1033">
        <v>3</v>
      </c>
      <c r="J1033">
        <v>11.999999999999957</v>
      </c>
      <c r="K1033" s="1" t="e">
        <f>INDEX($P$4:$AM$15,MATCH(MONTH($E1033),$O$4:$O$15,0),MATCH(HOUR($F1033),$P$3:$AM$3,0))</f>
        <v>#N/A</v>
      </c>
      <c r="L1033" t="s">
        <v>218</v>
      </c>
      <c r="M1033" s="111"/>
    </row>
    <row r="1034" spans="1:13" x14ac:dyDescent="0.25">
      <c r="A1034">
        <v>1033</v>
      </c>
      <c r="B1034">
        <v>30016855</v>
      </c>
      <c r="C1034">
        <v>9</v>
      </c>
      <c r="E1034" s="110">
        <v>42621</v>
      </c>
      <c r="F1034" s="111" t="s">
        <v>319</v>
      </c>
      <c r="G1034">
        <v>1.42</v>
      </c>
      <c r="H1034">
        <v>4.9999999999998224</v>
      </c>
      <c r="I1034">
        <v>3</v>
      </c>
      <c r="J1034">
        <v>865.00000000000011</v>
      </c>
      <c r="K1034" s="1" t="e">
        <f>INDEX($P$4:$AM$15,MATCH(MONTH($E1034),$O$4:$O$15,0),MATCH(HOUR($F1034),$P$3:$AM$3,0))</f>
        <v>#N/A</v>
      </c>
      <c r="L1034" t="s">
        <v>218</v>
      </c>
      <c r="M1034" s="111"/>
    </row>
    <row r="1035" spans="1:13" x14ac:dyDescent="0.25">
      <c r="A1035">
        <v>1034</v>
      </c>
      <c r="B1035">
        <v>30018642</v>
      </c>
      <c r="C1035">
        <v>1</v>
      </c>
      <c r="E1035" s="110">
        <v>42622</v>
      </c>
      <c r="F1035" s="111" t="s">
        <v>217</v>
      </c>
      <c r="G1035">
        <v>0.61099999999999999</v>
      </c>
      <c r="H1035">
        <v>1.9999999999999929</v>
      </c>
      <c r="I1035">
        <v>6</v>
      </c>
      <c r="J1035">
        <v>3.0000000000000693</v>
      </c>
      <c r="K1035" s="1" t="e">
        <f>INDEX($P$4:$AM$15,MATCH(MONTH($E1035),$O$4:$O$15,0),MATCH(HOUR($F1035),$P$3:$AM$3,0))</f>
        <v>#N/A</v>
      </c>
      <c r="L1035" t="s">
        <v>231</v>
      </c>
      <c r="M1035" s="111"/>
    </row>
    <row r="1036" spans="1:13" x14ac:dyDescent="0.25">
      <c r="A1036">
        <v>1035</v>
      </c>
      <c r="B1036">
        <v>30018642</v>
      </c>
      <c r="C1036">
        <v>2</v>
      </c>
      <c r="E1036" s="110">
        <v>42622</v>
      </c>
      <c r="F1036" s="111" t="s">
        <v>386</v>
      </c>
      <c r="G1036">
        <v>0.61099999999999999</v>
      </c>
      <c r="H1036">
        <v>1.9999999999999929</v>
      </c>
      <c r="I1036">
        <v>6</v>
      </c>
      <c r="J1036">
        <v>82.999999999999943</v>
      </c>
      <c r="K1036" s="1" t="e">
        <f>INDEX($P$4:$AM$15,MATCH(MONTH($E1036),$O$4:$O$15,0),MATCH(HOUR($F1036),$P$3:$AM$3,0))</f>
        <v>#N/A</v>
      </c>
      <c r="L1036" t="s">
        <v>231</v>
      </c>
      <c r="M1036" s="111"/>
    </row>
    <row r="1037" spans="1:13" x14ac:dyDescent="0.25">
      <c r="A1037">
        <v>1036</v>
      </c>
      <c r="B1037">
        <v>30018642</v>
      </c>
      <c r="C1037">
        <v>3</v>
      </c>
      <c r="E1037" s="110">
        <v>42622</v>
      </c>
      <c r="F1037" s="111" t="s">
        <v>318</v>
      </c>
      <c r="G1037">
        <v>27.347000000000001</v>
      </c>
      <c r="H1037">
        <v>45</v>
      </c>
      <c r="I1037">
        <v>6</v>
      </c>
      <c r="J1037">
        <v>45</v>
      </c>
      <c r="K1037" s="1" t="e">
        <f>INDEX($P$4:$AM$15,MATCH(MONTH($E1037),$O$4:$O$15,0),MATCH(HOUR($F1037),$P$3:$AM$3,0))</f>
        <v>#N/A</v>
      </c>
      <c r="L1037" t="s">
        <v>231</v>
      </c>
      <c r="M1037" s="111"/>
    </row>
    <row r="1038" spans="1:13" x14ac:dyDescent="0.25">
      <c r="A1038">
        <v>1037</v>
      </c>
      <c r="B1038">
        <v>30018642</v>
      </c>
      <c r="C1038">
        <v>4</v>
      </c>
      <c r="E1038" s="110">
        <v>42622</v>
      </c>
      <c r="F1038" s="111" t="s">
        <v>240</v>
      </c>
      <c r="G1038">
        <v>27.379000000000001</v>
      </c>
      <c r="H1038">
        <v>59.999999999999943</v>
      </c>
      <c r="I1038">
        <v>6</v>
      </c>
      <c r="J1038">
        <v>990.00000000000011</v>
      </c>
      <c r="K1038" s="1" t="e">
        <f>INDEX($P$4:$AM$15,MATCH(MONTH($E1038),$O$4:$O$15,0),MATCH(HOUR($F1038),$P$3:$AM$3,0))</f>
        <v>#N/A</v>
      </c>
      <c r="L1038" t="s">
        <v>231</v>
      </c>
      <c r="M1038" s="111"/>
    </row>
    <row r="1039" spans="1:13" x14ac:dyDescent="0.25">
      <c r="A1039">
        <v>1038</v>
      </c>
      <c r="B1039">
        <v>30019531</v>
      </c>
      <c r="C1039">
        <v>1</v>
      </c>
      <c r="E1039" s="110">
        <v>42623</v>
      </c>
      <c r="F1039" s="111" t="s">
        <v>305</v>
      </c>
      <c r="G1039">
        <v>7.2939999999999996</v>
      </c>
      <c r="H1039">
        <v>59.999999999999943</v>
      </c>
      <c r="I1039">
        <v>3</v>
      </c>
      <c r="J1039">
        <v>540.00000000000011</v>
      </c>
      <c r="K1039" s="1" t="e">
        <f>INDEX($P$4:$AM$15,MATCH(MONTH($E1039),$O$4:$O$15,0),MATCH(HOUR($F1039),$P$3:$AM$3,0))</f>
        <v>#N/A</v>
      </c>
      <c r="L1039" t="s">
        <v>231</v>
      </c>
      <c r="M1039" s="111"/>
    </row>
    <row r="1040" spans="1:13" x14ac:dyDescent="0.25">
      <c r="A1040">
        <v>1039</v>
      </c>
      <c r="B1040">
        <v>30019531</v>
      </c>
      <c r="C1040">
        <v>2</v>
      </c>
      <c r="E1040" s="110">
        <v>42623</v>
      </c>
      <c r="F1040" s="111" t="s">
        <v>229</v>
      </c>
      <c r="G1040">
        <v>6.835</v>
      </c>
      <c r="H1040">
        <v>59.999999999999943</v>
      </c>
      <c r="I1040">
        <v>3</v>
      </c>
      <c r="J1040">
        <v>120.00000000000006</v>
      </c>
      <c r="K1040" s="1" t="e">
        <f>INDEX($P$4:$AM$15,MATCH(MONTH($E1040),$O$4:$O$15,0),MATCH(HOUR($F1040),$P$3:$AM$3,0))</f>
        <v>#N/A</v>
      </c>
      <c r="L1040" t="s">
        <v>231</v>
      </c>
      <c r="M1040" s="111"/>
    </row>
    <row r="1041" spans="1:13" x14ac:dyDescent="0.25">
      <c r="A1041">
        <v>1040</v>
      </c>
      <c r="B1041">
        <v>30019531</v>
      </c>
      <c r="C1041">
        <v>3</v>
      </c>
      <c r="E1041" s="110">
        <v>42623</v>
      </c>
      <c r="F1041" s="111" t="s">
        <v>319</v>
      </c>
      <c r="G1041">
        <v>1.651</v>
      </c>
      <c r="H1041">
        <v>17.999999999999936</v>
      </c>
      <c r="I1041">
        <v>3</v>
      </c>
      <c r="J1041">
        <v>756.99999999999989</v>
      </c>
      <c r="K1041" s="1" t="e">
        <f>INDEX($P$4:$AM$15,MATCH(MONTH($E1041),$O$4:$O$15,0),MATCH(HOUR($F1041),$P$3:$AM$3,0))</f>
        <v>#N/A</v>
      </c>
      <c r="L1041" t="s">
        <v>231</v>
      </c>
      <c r="M1041" s="111"/>
    </row>
    <row r="1042" spans="1:13" x14ac:dyDescent="0.25">
      <c r="A1042">
        <v>1041</v>
      </c>
      <c r="B1042">
        <v>30021012</v>
      </c>
      <c r="C1042">
        <v>1</v>
      </c>
      <c r="E1042" s="110">
        <v>42624</v>
      </c>
      <c r="F1042" s="111" t="s">
        <v>329</v>
      </c>
      <c r="G1042">
        <v>2.4660000000000002</v>
      </c>
      <c r="H1042">
        <v>6.0000000000001386</v>
      </c>
      <c r="I1042">
        <v>3</v>
      </c>
      <c r="J1042">
        <v>358.99999999999994</v>
      </c>
      <c r="K1042" s="1" t="e">
        <f>INDEX($P$4:$AM$15,MATCH(MONTH($E1042),$O$4:$O$15,0),MATCH(HOUR($F1042),$P$3:$AM$3,0))</f>
        <v>#N/A</v>
      </c>
      <c r="L1042" t="s">
        <v>218</v>
      </c>
      <c r="M1042" s="111"/>
    </row>
    <row r="1043" spans="1:13" x14ac:dyDescent="0.25">
      <c r="A1043">
        <v>1042</v>
      </c>
      <c r="B1043">
        <v>30021012</v>
      </c>
      <c r="C1043">
        <v>2</v>
      </c>
      <c r="E1043" s="110">
        <v>42624</v>
      </c>
      <c r="F1043" s="111" t="s">
        <v>227</v>
      </c>
      <c r="G1043">
        <v>0.41299999999999998</v>
      </c>
      <c r="H1043">
        <v>2.9999999999999893</v>
      </c>
      <c r="I1043">
        <v>3</v>
      </c>
      <c r="J1043">
        <v>0.99999999999999645</v>
      </c>
      <c r="K1043" s="1" t="e">
        <f>INDEX($P$4:$AM$15,MATCH(MONTH($E1043),$O$4:$O$15,0),MATCH(HOUR($F1043),$P$3:$AM$3,0))</f>
        <v>#N/A</v>
      </c>
      <c r="L1043" t="s">
        <v>218</v>
      </c>
      <c r="M1043" s="111"/>
    </row>
    <row r="1044" spans="1:13" x14ac:dyDescent="0.25">
      <c r="A1044">
        <v>1043</v>
      </c>
      <c r="B1044">
        <v>30021012</v>
      </c>
      <c r="C1044">
        <v>3</v>
      </c>
      <c r="E1044" s="110">
        <v>42624</v>
      </c>
      <c r="F1044" s="111" t="s">
        <v>564</v>
      </c>
      <c r="G1044">
        <v>2.6320000000000001</v>
      </c>
      <c r="H1044">
        <v>10.999999999999961</v>
      </c>
      <c r="I1044">
        <v>3</v>
      </c>
      <c r="J1044">
        <v>900.00000000000011</v>
      </c>
      <c r="K1044" s="1" t="e">
        <f>INDEX($P$4:$AM$15,MATCH(MONTH($E1044),$O$4:$O$15,0),MATCH(HOUR($F1044),$P$3:$AM$3,0))</f>
        <v>#N/A</v>
      </c>
      <c r="L1044" t="s">
        <v>218</v>
      </c>
      <c r="M1044" s="111"/>
    </row>
    <row r="1045" spans="1:13" x14ac:dyDescent="0.25">
      <c r="A1045">
        <v>1044</v>
      </c>
      <c r="B1045">
        <v>30021012</v>
      </c>
      <c r="C1045">
        <v>1</v>
      </c>
      <c r="E1045" s="110">
        <v>42625</v>
      </c>
      <c r="F1045" s="111" t="s">
        <v>367</v>
      </c>
      <c r="G1045">
        <v>8.7140000000000004</v>
      </c>
      <c r="H1045">
        <v>17.999999999999936</v>
      </c>
      <c r="I1045">
        <v>3</v>
      </c>
      <c r="J1045">
        <v>317.00000000000011</v>
      </c>
      <c r="K1045" s="1" t="e">
        <f>INDEX($P$4:$AM$15,MATCH(MONTH($E1045),$O$4:$O$15,0),MATCH(HOUR($F1045),$P$3:$AM$3,0))</f>
        <v>#N/A</v>
      </c>
      <c r="L1045" t="s">
        <v>218</v>
      </c>
      <c r="M1045" s="111"/>
    </row>
    <row r="1046" spans="1:13" x14ac:dyDescent="0.25">
      <c r="A1046">
        <v>1045</v>
      </c>
      <c r="B1046">
        <v>30021012</v>
      </c>
      <c r="C1046">
        <v>2</v>
      </c>
      <c r="E1046" s="110">
        <v>42625</v>
      </c>
      <c r="F1046" s="111" t="s">
        <v>298</v>
      </c>
      <c r="G1046">
        <v>8.7989999999999995</v>
      </c>
      <c r="H1046">
        <v>10.999999999999961</v>
      </c>
      <c r="I1046">
        <v>3</v>
      </c>
      <c r="J1046">
        <v>8.999999999999968</v>
      </c>
      <c r="K1046" s="1" t="e">
        <f>INDEX($P$4:$AM$15,MATCH(MONTH($E1046),$O$4:$O$15,0),MATCH(HOUR($F1046),$P$3:$AM$3,0))</f>
        <v>#N/A</v>
      </c>
      <c r="L1046" t="s">
        <v>218</v>
      </c>
      <c r="M1046" s="111"/>
    </row>
    <row r="1047" spans="1:13" x14ac:dyDescent="0.25">
      <c r="A1047">
        <v>1046</v>
      </c>
      <c r="B1047">
        <v>30021012</v>
      </c>
      <c r="C1047">
        <v>3</v>
      </c>
      <c r="E1047" s="110">
        <v>42625</v>
      </c>
      <c r="F1047" s="111" t="s">
        <v>224</v>
      </c>
      <c r="G1047">
        <v>8.7140000000000004</v>
      </c>
      <c r="H1047">
        <v>12.000000000000117</v>
      </c>
      <c r="I1047">
        <v>3</v>
      </c>
      <c r="J1047">
        <v>157.99999999999991</v>
      </c>
      <c r="K1047" s="1" t="e">
        <f>INDEX($P$4:$AM$15,MATCH(MONTH($E1047),$O$4:$O$15,0),MATCH(HOUR($F1047),$P$3:$AM$3,0))</f>
        <v>#N/A</v>
      </c>
      <c r="L1047" t="s">
        <v>218</v>
      </c>
      <c r="M1047" s="111"/>
    </row>
    <row r="1048" spans="1:13" x14ac:dyDescent="0.25">
      <c r="A1048">
        <v>1047</v>
      </c>
      <c r="B1048">
        <v>30021012</v>
      </c>
      <c r="C1048">
        <v>4</v>
      </c>
      <c r="E1048" s="110">
        <v>42625</v>
      </c>
      <c r="F1048" s="111" t="s">
        <v>227</v>
      </c>
      <c r="G1048">
        <v>8.7989999999999995</v>
      </c>
      <c r="H1048">
        <v>16.99999999999994</v>
      </c>
      <c r="I1048">
        <v>3</v>
      </c>
      <c r="J1048">
        <v>208.00000000000006</v>
      </c>
      <c r="K1048" s="1" t="e">
        <f>INDEX($P$4:$AM$15,MATCH(MONTH($E1048),$O$4:$O$15,0),MATCH(HOUR($F1048),$P$3:$AM$3,0))</f>
        <v>#N/A</v>
      </c>
      <c r="L1048" t="s">
        <v>218</v>
      </c>
      <c r="M1048" s="111"/>
    </row>
    <row r="1049" spans="1:13" x14ac:dyDescent="0.25">
      <c r="A1049">
        <v>1048</v>
      </c>
      <c r="B1049">
        <v>30021012</v>
      </c>
      <c r="C1049">
        <v>5</v>
      </c>
      <c r="E1049" s="110">
        <v>42625</v>
      </c>
      <c r="F1049" s="111" t="s">
        <v>259</v>
      </c>
      <c r="G1049">
        <v>4.6109999999999998</v>
      </c>
      <c r="H1049">
        <v>11.999999999999957</v>
      </c>
      <c r="I1049">
        <v>3</v>
      </c>
      <c r="J1049">
        <v>33.000000000000043</v>
      </c>
      <c r="K1049" s="1" t="e">
        <f>INDEX($P$4:$AM$15,MATCH(MONTH($E1049),$O$4:$O$15,0),MATCH(HOUR($F1049),$P$3:$AM$3,0))</f>
        <v>#N/A</v>
      </c>
      <c r="L1049" t="s">
        <v>218</v>
      </c>
      <c r="M1049" s="111"/>
    </row>
    <row r="1050" spans="1:13" x14ac:dyDescent="0.25">
      <c r="A1050">
        <v>1049</v>
      </c>
      <c r="B1050">
        <v>30021012</v>
      </c>
      <c r="C1050">
        <v>6</v>
      </c>
      <c r="E1050" s="110">
        <v>42625</v>
      </c>
      <c r="F1050" s="111" t="s">
        <v>374</v>
      </c>
      <c r="G1050">
        <v>4.6459999999999999</v>
      </c>
      <c r="H1050">
        <v>8.999999999999968</v>
      </c>
      <c r="I1050">
        <v>3</v>
      </c>
      <c r="J1050">
        <v>1071</v>
      </c>
      <c r="K1050" s="1" t="e">
        <f>INDEX($P$4:$AM$15,MATCH(MONTH($E1050),$O$4:$O$15,0),MATCH(HOUR($F1050),$P$3:$AM$3,0))</f>
        <v>#N/A</v>
      </c>
      <c r="L1050" t="s">
        <v>218</v>
      </c>
      <c r="M1050" s="111"/>
    </row>
    <row r="1051" spans="1:13" x14ac:dyDescent="0.25">
      <c r="A1051">
        <v>1050</v>
      </c>
      <c r="B1051">
        <v>30027904</v>
      </c>
      <c r="C1051">
        <v>1</v>
      </c>
      <c r="E1051" s="110">
        <v>42626</v>
      </c>
      <c r="F1051" s="111" t="s">
        <v>240</v>
      </c>
      <c r="G1051">
        <v>3.7610000000000001</v>
      </c>
      <c r="H1051">
        <v>14.999999999999947</v>
      </c>
      <c r="I1051">
        <v>3</v>
      </c>
      <c r="J1051">
        <v>15.000000000000107</v>
      </c>
      <c r="K1051" s="1" t="e">
        <f>INDEX($P$4:$AM$15,MATCH(MONTH($E1051),$O$4:$O$15,0),MATCH(HOUR($F1051),$P$3:$AM$3,0))</f>
        <v>#N/A</v>
      </c>
      <c r="L1051" t="s">
        <v>249</v>
      </c>
      <c r="M1051" s="111"/>
    </row>
    <row r="1052" spans="1:13" x14ac:dyDescent="0.25">
      <c r="A1052">
        <v>1051</v>
      </c>
      <c r="B1052">
        <v>30027904</v>
      </c>
      <c r="C1052">
        <v>2</v>
      </c>
      <c r="E1052" s="110">
        <v>42626</v>
      </c>
      <c r="F1052" s="111" t="s">
        <v>250</v>
      </c>
      <c r="G1052">
        <v>2.3450000000000002</v>
      </c>
      <c r="H1052">
        <v>14.999999999999947</v>
      </c>
      <c r="I1052">
        <v>3</v>
      </c>
      <c r="J1052">
        <v>24.999999999999911</v>
      </c>
      <c r="K1052" s="1" t="e">
        <f>INDEX($P$4:$AM$15,MATCH(MONTH($E1052),$O$4:$O$15,0),MATCH(HOUR($F1052),$P$3:$AM$3,0))</f>
        <v>#N/A</v>
      </c>
      <c r="L1052" t="s">
        <v>249</v>
      </c>
      <c r="M1052" s="111"/>
    </row>
    <row r="1053" spans="1:13" x14ac:dyDescent="0.25">
      <c r="A1053">
        <v>1052</v>
      </c>
      <c r="B1053">
        <v>30027904</v>
      </c>
      <c r="C1053">
        <v>3</v>
      </c>
      <c r="E1053" s="110">
        <v>42626</v>
      </c>
      <c r="F1053" s="111" t="s">
        <v>450</v>
      </c>
      <c r="G1053">
        <v>3.7549999999999999</v>
      </c>
      <c r="H1053">
        <v>10.000000000000124</v>
      </c>
      <c r="I1053">
        <v>3</v>
      </c>
      <c r="J1053">
        <v>24.999999999999911</v>
      </c>
      <c r="K1053" s="1" t="e">
        <f>INDEX($P$4:$AM$15,MATCH(MONTH($E1053),$O$4:$O$15,0),MATCH(HOUR($F1053),$P$3:$AM$3,0))</f>
        <v>#N/A</v>
      </c>
      <c r="L1053" t="s">
        <v>249</v>
      </c>
      <c r="M1053" s="111"/>
    </row>
    <row r="1054" spans="1:13" x14ac:dyDescent="0.25">
      <c r="A1054">
        <v>1053</v>
      </c>
      <c r="B1054">
        <v>30027904</v>
      </c>
      <c r="C1054">
        <v>4</v>
      </c>
      <c r="E1054" s="110">
        <v>42626</v>
      </c>
      <c r="F1054" s="111" t="s">
        <v>268</v>
      </c>
      <c r="G1054">
        <v>1.3620000000000001</v>
      </c>
      <c r="H1054">
        <v>5.0000000000001421</v>
      </c>
      <c r="I1054">
        <v>3</v>
      </c>
      <c r="J1054">
        <v>1030</v>
      </c>
      <c r="K1054" s="1" t="e">
        <f>INDEX($P$4:$AM$15,MATCH(MONTH($E1054),$O$4:$O$15,0),MATCH(HOUR($F1054),$P$3:$AM$3,0))</f>
        <v>#N/A</v>
      </c>
      <c r="L1054" t="s">
        <v>249</v>
      </c>
      <c r="M1054" s="111"/>
    </row>
    <row r="1055" spans="1:13" x14ac:dyDescent="0.25">
      <c r="A1055">
        <v>1054</v>
      </c>
      <c r="B1055">
        <v>30030063</v>
      </c>
      <c r="C1055">
        <v>1</v>
      </c>
      <c r="E1055" s="110">
        <v>42627</v>
      </c>
      <c r="F1055" s="111" t="s">
        <v>286</v>
      </c>
      <c r="G1055">
        <v>4.0039999999999996</v>
      </c>
      <c r="H1055">
        <v>9.9999999999999645</v>
      </c>
      <c r="I1055">
        <v>4</v>
      </c>
      <c r="J1055">
        <v>190.00000000000006</v>
      </c>
      <c r="K1055" s="1" t="e">
        <f>INDEX($P$4:$AM$15,MATCH(MONTH($E1055),$O$4:$O$15,0),MATCH(HOUR($F1055),$P$3:$AM$3,0))</f>
        <v>#N/A</v>
      </c>
      <c r="L1055" t="s">
        <v>249</v>
      </c>
      <c r="M1055" s="111"/>
    </row>
    <row r="1056" spans="1:13" x14ac:dyDescent="0.25">
      <c r="A1056">
        <v>1055</v>
      </c>
      <c r="B1056">
        <v>30030063</v>
      </c>
      <c r="C1056">
        <v>2</v>
      </c>
      <c r="E1056" s="110">
        <v>42627</v>
      </c>
      <c r="F1056" s="111" t="s">
        <v>298</v>
      </c>
      <c r="G1056">
        <v>2.2170000000000001</v>
      </c>
      <c r="H1056">
        <v>14.999999999999947</v>
      </c>
      <c r="I1056">
        <v>4</v>
      </c>
      <c r="J1056">
        <v>85.000000000000014</v>
      </c>
      <c r="K1056" s="1" t="e">
        <f>INDEX($P$4:$AM$15,MATCH(MONTH($E1056),$O$4:$O$15,0),MATCH(HOUR($F1056),$P$3:$AM$3,0))</f>
        <v>#N/A</v>
      </c>
      <c r="L1056" t="s">
        <v>249</v>
      </c>
      <c r="M1056" s="111"/>
    </row>
    <row r="1057" spans="1:13" x14ac:dyDescent="0.25">
      <c r="A1057">
        <v>1056</v>
      </c>
      <c r="B1057">
        <v>30030063</v>
      </c>
      <c r="C1057">
        <v>3</v>
      </c>
      <c r="E1057" s="110">
        <v>42627</v>
      </c>
      <c r="F1057" s="111" t="s">
        <v>240</v>
      </c>
      <c r="G1057">
        <v>2.4239999999999999</v>
      </c>
      <c r="H1057">
        <v>9.9999999999999645</v>
      </c>
      <c r="I1057">
        <v>4</v>
      </c>
      <c r="J1057">
        <v>229.99999999999997</v>
      </c>
      <c r="K1057" s="1" t="e">
        <f>INDEX($P$4:$AM$15,MATCH(MONTH($E1057),$O$4:$O$15,0),MATCH(HOUR($F1057),$P$3:$AM$3,0))</f>
        <v>#N/A</v>
      </c>
      <c r="L1057" t="s">
        <v>249</v>
      </c>
      <c r="M1057" s="111"/>
    </row>
    <row r="1058" spans="1:13" x14ac:dyDescent="0.25">
      <c r="A1058">
        <v>1057</v>
      </c>
      <c r="B1058">
        <v>30030063</v>
      </c>
      <c r="C1058">
        <v>4</v>
      </c>
      <c r="E1058" s="110">
        <v>42627</v>
      </c>
      <c r="F1058" s="111" t="s">
        <v>258</v>
      </c>
      <c r="G1058">
        <v>3.427</v>
      </c>
      <c r="H1058">
        <v>10.000000000000124</v>
      </c>
      <c r="I1058">
        <v>4</v>
      </c>
      <c r="J1058">
        <v>1092</v>
      </c>
      <c r="K1058" s="1" t="e">
        <f>INDEX($P$4:$AM$15,MATCH(MONTH($E1058),$O$4:$O$15,0),MATCH(HOUR($F1058),$P$3:$AM$3,0))</f>
        <v>#N/A</v>
      </c>
      <c r="L1058" t="s">
        <v>249</v>
      </c>
      <c r="M1058" s="111"/>
    </row>
    <row r="1059" spans="1:13" x14ac:dyDescent="0.25">
      <c r="A1059">
        <v>1058</v>
      </c>
      <c r="B1059">
        <v>30030063</v>
      </c>
      <c r="C1059">
        <v>1</v>
      </c>
      <c r="E1059" s="110">
        <v>42628</v>
      </c>
      <c r="F1059" s="111" t="s">
        <v>565</v>
      </c>
      <c r="G1059">
        <v>3.2109999999999999</v>
      </c>
      <c r="H1059">
        <v>13.99999999999995</v>
      </c>
      <c r="I1059">
        <v>3</v>
      </c>
      <c r="J1059">
        <v>180</v>
      </c>
      <c r="K1059" s="1" t="e">
        <f>INDEX($P$4:$AM$15,MATCH(MONTH($E1059),$O$4:$O$15,0),MATCH(HOUR($F1059),$P$3:$AM$3,0))</f>
        <v>#N/A</v>
      </c>
      <c r="L1059" t="s">
        <v>249</v>
      </c>
      <c r="M1059" s="111"/>
    </row>
    <row r="1060" spans="1:13" x14ac:dyDescent="0.25">
      <c r="A1060">
        <v>1059</v>
      </c>
      <c r="B1060">
        <v>30030063</v>
      </c>
      <c r="C1060">
        <v>2</v>
      </c>
      <c r="E1060" s="110">
        <v>42628</v>
      </c>
      <c r="F1060" s="111" t="s">
        <v>566</v>
      </c>
      <c r="G1060">
        <v>0.72799999999999998</v>
      </c>
      <c r="H1060">
        <v>5.9999999999999787</v>
      </c>
      <c r="I1060">
        <v>3</v>
      </c>
      <c r="J1060">
        <v>8.0000000000001315</v>
      </c>
      <c r="K1060" s="1" t="e">
        <f>INDEX($P$4:$AM$15,MATCH(MONTH($E1060),$O$4:$O$15,0),MATCH(HOUR($F1060),$P$3:$AM$3,0))</f>
        <v>#N/A</v>
      </c>
      <c r="L1060" t="s">
        <v>249</v>
      </c>
      <c r="M1060" s="111"/>
    </row>
    <row r="1061" spans="1:13" x14ac:dyDescent="0.25">
      <c r="A1061">
        <v>1060</v>
      </c>
      <c r="B1061">
        <v>30030063</v>
      </c>
      <c r="C1061">
        <v>3</v>
      </c>
      <c r="E1061" s="110">
        <v>42628</v>
      </c>
      <c r="F1061" s="111" t="s">
        <v>472</v>
      </c>
      <c r="G1061">
        <v>4.867</v>
      </c>
      <c r="H1061">
        <v>10.999999999999961</v>
      </c>
      <c r="I1061">
        <v>3</v>
      </c>
      <c r="J1061">
        <v>1049</v>
      </c>
      <c r="K1061" s="1" t="e">
        <f>INDEX($P$4:$AM$15,MATCH(MONTH($E1061),$O$4:$O$15,0),MATCH(HOUR($F1061),$P$3:$AM$3,0))</f>
        <v>#N/A</v>
      </c>
      <c r="L1061" t="s">
        <v>249</v>
      </c>
      <c r="M1061" s="111"/>
    </row>
    <row r="1062" spans="1:13" x14ac:dyDescent="0.25">
      <c r="A1062">
        <v>1061</v>
      </c>
      <c r="B1062">
        <v>30032413</v>
      </c>
      <c r="C1062">
        <v>1</v>
      </c>
      <c r="E1062" s="110">
        <v>42629</v>
      </c>
      <c r="F1062" s="111" t="s">
        <v>295</v>
      </c>
      <c r="G1062">
        <v>3.2690000000000001</v>
      </c>
      <c r="H1062">
        <v>9.9999999999999645</v>
      </c>
      <c r="I1062">
        <v>4</v>
      </c>
      <c r="J1062">
        <v>5.0000000000000622</v>
      </c>
      <c r="K1062" s="1" t="e">
        <f>INDEX($P$4:$AM$15,MATCH(MONTH($E1062),$O$4:$O$15,0),MATCH(HOUR($F1062),$P$3:$AM$3,0))</f>
        <v>#N/A</v>
      </c>
      <c r="L1062" t="s">
        <v>218</v>
      </c>
      <c r="M1062" s="111"/>
    </row>
    <row r="1063" spans="1:13" x14ac:dyDescent="0.25">
      <c r="A1063">
        <v>1062</v>
      </c>
      <c r="B1063">
        <v>30032413</v>
      </c>
      <c r="C1063">
        <v>2</v>
      </c>
      <c r="E1063" s="110">
        <v>42629</v>
      </c>
      <c r="F1063" s="111" t="s">
        <v>287</v>
      </c>
      <c r="G1063">
        <v>3.2210000000000001</v>
      </c>
      <c r="H1063">
        <v>9.9999999999999645</v>
      </c>
      <c r="I1063">
        <v>4</v>
      </c>
      <c r="J1063">
        <v>185.00000000000006</v>
      </c>
      <c r="K1063" s="1" t="e">
        <f>INDEX($P$4:$AM$15,MATCH(MONTH($E1063),$O$4:$O$15,0),MATCH(HOUR($F1063),$P$3:$AM$3,0))</f>
        <v>#N/A</v>
      </c>
      <c r="L1063" t="s">
        <v>218</v>
      </c>
      <c r="M1063" s="111"/>
    </row>
    <row r="1064" spans="1:13" x14ac:dyDescent="0.25">
      <c r="A1064">
        <v>1063</v>
      </c>
      <c r="B1064">
        <v>30034422</v>
      </c>
      <c r="C1064">
        <v>3</v>
      </c>
      <c r="E1064" s="110">
        <v>42629</v>
      </c>
      <c r="F1064" s="111" t="s">
        <v>314</v>
      </c>
      <c r="G1064">
        <v>17.122</v>
      </c>
      <c r="H1064">
        <v>29.999999999999893</v>
      </c>
      <c r="I1064">
        <v>3</v>
      </c>
      <c r="J1064">
        <v>90</v>
      </c>
      <c r="K1064" s="1" t="e">
        <f>INDEX($P$4:$AM$15,MATCH(MONTH($E1064),$O$4:$O$15,0),MATCH(HOUR($F1064),$P$3:$AM$3,0))</f>
        <v>#N/A</v>
      </c>
      <c r="L1064" t="s">
        <v>231</v>
      </c>
      <c r="M1064" s="111"/>
    </row>
    <row r="1065" spans="1:13" x14ac:dyDescent="0.25">
      <c r="A1065">
        <v>1064</v>
      </c>
      <c r="B1065">
        <v>30034422</v>
      </c>
      <c r="C1065">
        <v>4</v>
      </c>
      <c r="E1065" s="110">
        <v>42629</v>
      </c>
      <c r="F1065" s="111" t="s">
        <v>294</v>
      </c>
      <c r="G1065">
        <v>20.125</v>
      </c>
      <c r="H1065">
        <v>30.000000000000053</v>
      </c>
      <c r="I1065">
        <v>3</v>
      </c>
      <c r="J1065">
        <v>1.9999999999999929</v>
      </c>
      <c r="K1065" s="1" t="e">
        <f>INDEX($P$4:$AM$15,MATCH(MONTH($E1065),$O$4:$O$15,0),MATCH(HOUR($F1065),$P$3:$AM$3,0))</f>
        <v>#N/A</v>
      </c>
      <c r="L1065" t="s">
        <v>231</v>
      </c>
      <c r="M1065" s="111"/>
    </row>
    <row r="1066" spans="1:13" x14ac:dyDescent="0.25">
      <c r="A1066">
        <v>1065</v>
      </c>
      <c r="B1066">
        <v>30034422</v>
      </c>
      <c r="C1066">
        <v>5</v>
      </c>
      <c r="E1066" s="110">
        <v>42629</v>
      </c>
      <c r="F1066" s="111" t="s">
        <v>567</v>
      </c>
      <c r="G1066">
        <v>6.194</v>
      </c>
      <c r="H1066">
        <v>38.000000000000028</v>
      </c>
      <c r="I1066">
        <v>3</v>
      </c>
      <c r="J1066">
        <v>1000</v>
      </c>
      <c r="K1066" s="1" t="e">
        <f>INDEX($P$4:$AM$15,MATCH(MONTH($E1066),$O$4:$O$15,0),MATCH(HOUR($F1066),$P$3:$AM$3,0))</f>
        <v>#N/A</v>
      </c>
      <c r="L1066" t="s">
        <v>231</v>
      </c>
      <c r="M1066" s="111"/>
    </row>
    <row r="1067" spans="1:13" x14ac:dyDescent="0.25">
      <c r="A1067">
        <v>1066</v>
      </c>
      <c r="B1067">
        <v>30035966</v>
      </c>
      <c r="C1067">
        <v>1</v>
      </c>
      <c r="E1067" s="110">
        <v>42630</v>
      </c>
      <c r="F1067" s="111" t="s">
        <v>441</v>
      </c>
      <c r="G1067">
        <v>2.5999999999999999E-2</v>
      </c>
      <c r="H1067">
        <v>4.9999999999999023</v>
      </c>
      <c r="I1067">
        <v>3</v>
      </c>
      <c r="J1067">
        <v>10.000000000000044</v>
      </c>
      <c r="K1067" s="1" t="e">
        <f>INDEX($P$4:$AM$15,MATCH(MONTH($E1067),$O$4:$O$15,0),MATCH(HOUR($F1067),$P$3:$AM$3,0))</f>
        <v>#N/A</v>
      </c>
      <c r="L1067" t="s">
        <v>222</v>
      </c>
      <c r="M1067" s="111"/>
    </row>
    <row r="1068" spans="1:13" x14ac:dyDescent="0.25">
      <c r="A1068">
        <v>1067</v>
      </c>
      <c r="B1068">
        <v>30035966</v>
      </c>
      <c r="C1068">
        <v>2</v>
      </c>
      <c r="E1068" s="110">
        <v>42630</v>
      </c>
      <c r="F1068" s="111" t="s">
        <v>384</v>
      </c>
      <c r="G1068">
        <v>10.936</v>
      </c>
      <c r="H1068">
        <v>40.000000000000014</v>
      </c>
      <c r="I1068">
        <v>3</v>
      </c>
      <c r="J1068">
        <v>29.999999999999972</v>
      </c>
      <c r="K1068" s="1" t="e">
        <f>INDEX($P$4:$AM$15,MATCH(MONTH($E1068),$O$4:$O$15,0),MATCH(HOUR($F1068),$P$3:$AM$3,0))</f>
        <v>#N/A</v>
      </c>
      <c r="L1068" t="s">
        <v>222</v>
      </c>
      <c r="M1068" s="111"/>
    </row>
    <row r="1069" spans="1:13" x14ac:dyDescent="0.25">
      <c r="A1069">
        <v>1068</v>
      </c>
      <c r="B1069">
        <v>30035966</v>
      </c>
      <c r="C1069">
        <v>3</v>
      </c>
      <c r="E1069" s="110">
        <v>42630</v>
      </c>
      <c r="F1069" s="111" t="s">
        <v>311</v>
      </c>
      <c r="G1069">
        <v>7.5730000000000004</v>
      </c>
      <c r="H1069">
        <v>9.9999999999999645</v>
      </c>
      <c r="I1069">
        <v>3</v>
      </c>
      <c r="J1069">
        <v>1.0000000000000764</v>
      </c>
      <c r="K1069" s="1" t="e">
        <f>INDEX($P$4:$AM$15,MATCH(MONTH($E1069),$O$4:$O$15,0),MATCH(HOUR($F1069),$P$3:$AM$3,0))</f>
        <v>#N/A</v>
      </c>
      <c r="L1069" t="s">
        <v>222</v>
      </c>
      <c r="M1069" s="111"/>
    </row>
    <row r="1070" spans="1:13" x14ac:dyDescent="0.25">
      <c r="A1070">
        <v>1069</v>
      </c>
      <c r="B1070">
        <v>30035966</v>
      </c>
      <c r="C1070">
        <v>4</v>
      </c>
      <c r="E1070" s="110">
        <v>42630</v>
      </c>
      <c r="F1070" s="111" t="s">
        <v>312</v>
      </c>
      <c r="G1070">
        <v>17.861999999999998</v>
      </c>
      <c r="H1070">
        <v>20.000000000000007</v>
      </c>
      <c r="I1070">
        <v>3</v>
      </c>
      <c r="J1070">
        <v>1154</v>
      </c>
      <c r="K1070" s="1" t="e">
        <f>INDEX($P$4:$AM$15,MATCH(MONTH($E1070),$O$4:$O$15,0),MATCH(HOUR($F1070),$P$3:$AM$3,0))</f>
        <v>#N/A</v>
      </c>
      <c r="L1070" t="s">
        <v>222</v>
      </c>
      <c r="M1070" s="111"/>
    </row>
    <row r="1071" spans="1:13" x14ac:dyDescent="0.25">
      <c r="A1071">
        <v>1070</v>
      </c>
      <c r="B1071">
        <v>30036839</v>
      </c>
      <c r="C1071">
        <v>1</v>
      </c>
      <c r="E1071" s="110">
        <v>42631</v>
      </c>
      <c r="F1071" s="111" t="s">
        <v>293</v>
      </c>
      <c r="G1071">
        <v>1.5409999999999999</v>
      </c>
      <c r="H1071">
        <v>10.000000000000044</v>
      </c>
      <c r="I1071">
        <v>3</v>
      </c>
      <c r="J1071">
        <v>64.999999999999972</v>
      </c>
      <c r="K1071" s="1" t="e">
        <f>INDEX($P$4:$AM$15,MATCH(MONTH($E1071),$O$4:$O$15,0),MATCH(HOUR($F1071),$P$3:$AM$3,0))</f>
        <v>#N/A</v>
      </c>
      <c r="L1071" t="s">
        <v>218</v>
      </c>
      <c r="M1071" s="111"/>
    </row>
    <row r="1072" spans="1:13" x14ac:dyDescent="0.25">
      <c r="A1072">
        <v>1071</v>
      </c>
      <c r="B1072">
        <v>30036839</v>
      </c>
      <c r="C1072">
        <v>2</v>
      </c>
      <c r="E1072" s="110">
        <v>42631</v>
      </c>
      <c r="F1072" s="111" t="s">
        <v>368</v>
      </c>
      <c r="G1072">
        <v>1.5409999999999999</v>
      </c>
      <c r="H1072">
        <v>4.9999999999999822</v>
      </c>
      <c r="I1072">
        <v>3</v>
      </c>
      <c r="J1072">
        <v>130.00000000000003</v>
      </c>
      <c r="K1072" s="1" t="e">
        <f>INDEX($P$4:$AM$15,MATCH(MONTH($E1072),$O$4:$O$15,0),MATCH(HOUR($F1072),$P$3:$AM$3,0))</f>
        <v>#N/A</v>
      </c>
      <c r="L1072" t="s">
        <v>218</v>
      </c>
      <c r="M1072" s="111"/>
    </row>
    <row r="1073" spans="1:13" x14ac:dyDescent="0.25">
      <c r="A1073">
        <v>1072</v>
      </c>
      <c r="B1073">
        <v>30036839</v>
      </c>
      <c r="C1073">
        <v>3</v>
      </c>
      <c r="E1073" s="110">
        <v>42631</v>
      </c>
      <c r="F1073" s="111" t="s">
        <v>295</v>
      </c>
      <c r="G1073">
        <v>13.166</v>
      </c>
      <c r="H1073">
        <v>60.000000000000028</v>
      </c>
      <c r="I1073">
        <v>3</v>
      </c>
      <c r="J1073">
        <v>359.99999999999989</v>
      </c>
      <c r="K1073" s="1" t="e">
        <f>INDEX($P$4:$AM$15,MATCH(MONTH($E1073),$O$4:$O$15,0),MATCH(HOUR($F1073),$P$3:$AM$3,0))</f>
        <v>#N/A</v>
      </c>
      <c r="L1073" t="s">
        <v>218</v>
      </c>
      <c r="M1073" s="111"/>
    </row>
    <row r="1074" spans="1:13" x14ac:dyDescent="0.25">
      <c r="A1074">
        <v>1073</v>
      </c>
      <c r="B1074">
        <v>30036839</v>
      </c>
      <c r="C1074">
        <v>4</v>
      </c>
      <c r="E1074" s="110">
        <v>42631</v>
      </c>
      <c r="F1074" s="111" t="s">
        <v>252</v>
      </c>
      <c r="G1074">
        <v>13.781000000000001</v>
      </c>
      <c r="H1074">
        <v>49.999999999999986</v>
      </c>
      <c r="I1074">
        <v>3</v>
      </c>
      <c r="J1074">
        <v>1000</v>
      </c>
      <c r="K1074" s="1" t="e">
        <f>INDEX($P$4:$AM$15,MATCH(MONTH($E1074),$O$4:$O$15,0),MATCH(HOUR($F1074),$P$3:$AM$3,0))</f>
        <v>#N/A</v>
      </c>
      <c r="L1074" t="s">
        <v>218</v>
      </c>
      <c r="M1074" s="111"/>
    </row>
    <row r="1075" spans="1:13" x14ac:dyDescent="0.25">
      <c r="A1075">
        <v>1074</v>
      </c>
      <c r="B1075">
        <v>30036839</v>
      </c>
      <c r="C1075">
        <v>1</v>
      </c>
      <c r="E1075" s="110">
        <v>42632</v>
      </c>
      <c r="F1075" s="111" t="s">
        <v>326</v>
      </c>
      <c r="G1075">
        <v>11.542</v>
      </c>
      <c r="H1075">
        <v>30.000000000000053</v>
      </c>
      <c r="I1075">
        <v>4</v>
      </c>
      <c r="J1075">
        <v>390</v>
      </c>
      <c r="K1075" s="1" t="e">
        <f>INDEX($P$4:$AM$15,MATCH(MONTH($E1075),$O$4:$O$15,0),MATCH(HOUR($F1075),$P$3:$AM$3,0))</f>
        <v>#N/A</v>
      </c>
      <c r="L1075" t="s">
        <v>218</v>
      </c>
      <c r="M1075" s="111"/>
    </row>
    <row r="1076" spans="1:13" x14ac:dyDescent="0.25">
      <c r="A1076">
        <v>1075</v>
      </c>
      <c r="B1076">
        <v>30036839</v>
      </c>
      <c r="C1076">
        <v>2</v>
      </c>
      <c r="E1076" s="110">
        <v>42632</v>
      </c>
      <c r="F1076" s="111" t="s">
        <v>247</v>
      </c>
      <c r="G1076">
        <v>11.361000000000001</v>
      </c>
      <c r="H1076">
        <v>30.000000000000053</v>
      </c>
      <c r="I1076">
        <v>4</v>
      </c>
      <c r="J1076">
        <v>45</v>
      </c>
      <c r="K1076" s="1" t="e">
        <f>INDEX($P$4:$AM$15,MATCH(MONTH($E1076),$O$4:$O$15,0),MATCH(HOUR($F1076),$P$3:$AM$3,0))</f>
        <v>#N/A</v>
      </c>
      <c r="L1076" t="s">
        <v>218</v>
      </c>
      <c r="M1076" s="111"/>
    </row>
    <row r="1077" spans="1:13" x14ac:dyDescent="0.25">
      <c r="A1077">
        <v>1076</v>
      </c>
      <c r="B1077">
        <v>30036839</v>
      </c>
      <c r="C1077">
        <v>3</v>
      </c>
      <c r="E1077" s="110">
        <v>42632</v>
      </c>
      <c r="F1077" s="111" t="s">
        <v>281</v>
      </c>
      <c r="G1077">
        <v>2.2839999999999998</v>
      </c>
      <c r="H1077">
        <v>14.999999999999947</v>
      </c>
      <c r="I1077">
        <v>4</v>
      </c>
      <c r="J1077">
        <v>120.00000000000006</v>
      </c>
      <c r="K1077" s="1" t="e">
        <f>INDEX($P$4:$AM$15,MATCH(MONTH($E1077),$O$4:$O$15,0),MATCH(HOUR($F1077),$P$3:$AM$3,0))</f>
        <v>#N/A</v>
      </c>
      <c r="L1077" t="s">
        <v>218</v>
      </c>
      <c r="M1077" s="111"/>
    </row>
    <row r="1078" spans="1:13" x14ac:dyDescent="0.25">
      <c r="A1078">
        <v>1077</v>
      </c>
      <c r="B1078">
        <v>30036839</v>
      </c>
      <c r="C1078">
        <v>4</v>
      </c>
      <c r="E1078" s="110">
        <v>42632</v>
      </c>
      <c r="F1078" s="111" t="s">
        <v>319</v>
      </c>
      <c r="G1078">
        <v>2.0910000000000002</v>
      </c>
      <c r="H1078">
        <v>14.999999999999947</v>
      </c>
      <c r="I1078">
        <v>4</v>
      </c>
      <c r="J1078">
        <v>570</v>
      </c>
      <c r="K1078" s="1" t="e">
        <f>INDEX($P$4:$AM$15,MATCH(MONTH($E1078),$O$4:$O$15,0),MATCH(HOUR($F1078),$P$3:$AM$3,0))</f>
        <v>#N/A</v>
      </c>
      <c r="L1078" t="s">
        <v>218</v>
      </c>
      <c r="M1078" s="111"/>
    </row>
    <row r="1079" spans="1:13" x14ac:dyDescent="0.25">
      <c r="A1079">
        <v>1078</v>
      </c>
      <c r="B1079">
        <v>30043408</v>
      </c>
      <c r="C1079">
        <v>1</v>
      </c>
      <c r="E1079" s="110">
        <v>42633</v>
      </c>
      <c r="F1079" s="111" t="s">
        <v>568</v>
      </c>
      <c r="G1079">
        <v>6.6369999999999996</v>
      </c>
      <c r="H1079">
        <v>10.000000000000004</v>
      </c>
      <c r="I1079">
        <v>4</v>
      </c>
      <c r="J1079">
        <v>712</v>
      </c>
      <c r="K1079" s="1" t="e">
        <f>INDEX($P$4:$AM$15,MATCH(MONTH($E1079),$O$4:$O$15,0),MATCH(HOUR($F1079),$P$3:$AM$3,0))</f>
        <v>#N/A</v>
      </c>
      <c r="L1079" t="s">
        <v>249</v>
      </c>
      <c r="M1079" s="111"/>
    </row>
    <row r="1080" spans="1:13" x14ac:dyDescent="0.25">
      <c r="A1080">
        <v>1079</v>
      </c>
      <c r="B1080">
        <v>30043408</v>
      </c>
      <c r="C1080">
        <v>2</v>
      </c>
      <c r="E1080" s="110">
        <v>42633</v>
      </c>
      <c r="F1080" s="111" t="s">
        <v>569</v>
      </c>
      <c r="G1080">
        <v>7.0540000000000003</v>
      </c>
      <c r="H1080">
        <v>9.9999999999999645</v>
      </c>
      <c r="I1080">
        <v>4</v>
      </c>
      <c r="J1080">
        <v>43.000000000000007</v>
      </c>
      <c r="K1080" s="1" t="e">
        <f>INDEX($P$4:$AM$15,MATCH(MONTH($E1080),$O$4:$O$15,0),MATCH(HOUR($F1080),$P$3:$AM$3,0))</f>
        <v>#N/A</v>
      </c>
      <c r="L1080" t="s">
        <v>249</v>
      </c>
      <c r="M1080" s="111"/>
    </row>
    <row r="1081" spans="1:13" x14ac:dyDescent="0.25">
      <c r="A1081">
        <v>1080</v>
      </c>
      <c r="B1081">
        <v>30043408</v>
      </c>
      <c r="C1081">
        <v>3</v>
      </c>
      <c r="E1081" s="110">
        <v>42633</v>
      </c>
      <c r="F1081" s="111" t="s">
        <v>409</v>
      </c>
      <c r="G1081">
        <v>11.579000000000001</v>
      </c>
      <c r="H1081">
        <v>30.000000000000053</v>
      </c>
      <c r="I1081">
        <v>4</v>
      </c>
      <c r="J1081">
        <v>90</v>
      </c>
      <c r="K1081" s="1" t="e">
        <f>INDEX($P$4:$AM$15,MATCH(MONTH($E1081),$O$4:$O$15,0),MATCH(HOUR($F1081),$P$3:$AM$3,0))</f>
        <v>#N/A</v>
      </c>
      <c r="L1081" t="s">
        <v>249</v>
      </c>
      <c r="M1081" s="111"/>
    </row>
    <row r="1082" spans="1:13" x14ac:dyDescent="0.25">
      <c r="A1082">
        <v>1081</v>
      </c>
      <c r="B1082">
        <v>30043408</v>
      </c>
      <c r="C1082">
        <v>4</v>
      </c>
      <c r="E1082" s="110">
        <v>42633</v>
      </c>
      <c r="F1082" s="111" t="s">
        <v>265</v>
      </c>
      <c r="G1082">
        <v>11.784000000000001</v>
      </c>
      <c r="H1082">
        <v>34.999999999999872</v>
      </c>
      <c r="I1082">
        <v>4</v>
      </c>
      <c r="J1082">
        <v>635.00000000000011</v>
      </c>
      <c r="K1082" s="1" t="e">
        <f>INDEX($P$4:$AM$15,MATCH(MONTH($E1082),$O$4:$O$15,0),MATCH(HOUR($F1082),$P$3:$AM$3,0))</f>
        <v>#N/A</v>
      </c>
      <c r="L1082" t="s">
        <v>249</v>
      </c>
      <c r="M1082" s="111"/>
    </row>
    <row r="1083" spans="1:13" x14ac:dyDescent="0.25">
      <c r="A1083">
        <v>1082</v>
      </c>
      <c r="B1083">
        <v>30043408</v>
      </c>
      <c r="C1083">
        <v>1</v>
      </c>
      <c r="E1083" s="110">
        <v>42634</v>
      </c>
      <c r="F1083" s="111" t="s">
        <v>320</v>
      </c>
      <c r="G1083">
        <v>22.297000000000001</v>
      </c>
      <c r="H1083">
        <v>24.999999999999993</v>
      </c>
      <c r="I1083">
        <v>4</v>
      </c>
      <c r="J1083">
        <v>529.99999999999989</v>
      </c>
      <c r="K1083" s="1" t="e">
        <f>INDEX($P$4:$AM$15,MATCH(MONTH($E1083),$O$4:$O$15,0),MATCH(HOUR($F1083),$P$3:$AM$3,0))</f>
        <v>#N/A</v>
      </c>
      <c r="L1083" t="s">
        <v>249</v>
      </c>
      <c r="M1083" s="111"/>
    </row>
    <row r="1084" spans="1:13" x14ac:dyDescent="0.25">
      <c r="A1084">
        <v>1083</v>
      </c>
      <c r="B1084">
        <v>30043408</v>
      </c>
      <c r="C1084">
        <v>2</v>
      </c>
      <c r="E1084" s="110">
        <v>42634</v>
      </c>
      <c r="F1084" s="111" t="s">
        <v>380</v>
      </c>
      <c r="G1084">
        <v>22.027999999999999</v>
      </c>
      <c r="H1084">
        <v>25.000000000000071</v>
      </c>
      <c r="I1084">
        <v>4</v>
      </c>
      <c r="J1084">
        <v>1400</v>
      </c>
      <c r="K1084" s="1" t="e">
        <f>INDEX($P$4:$AM$15,MATCH(MONTH($E1084),$O$4:$O$15,0),MATCH(HOUR($F1084),$P$3:$AM$3,0))</f>
        <v>#N/A</v>
      </c>
      <c r="L1084" t="s">
        <v>249</v>
      </c>
      <c r="M1084" s="111"/>
    </row>
    <row r="1085" spans="1:13" x14ac:dyDescent="0.25">
      <c r="A1085">
        <v>1084</v>
      </c>
      <c r="B1085">
        <v>30043408</v>
      </c>
      <c r="C1085">
        <v>1</v>
      </c>
      <c r="E1085" s="110">
        <v>42635</v>
      </c>
      <c r="F1085" s="111" t="s">
        <v>570</v>
      </c>
      <c r="G1085">
        <v>15.507</v>
      </c>
      <c r="H1085">
        <v>18.000000000000096</v>
      </c>
      <c r="I1085">
        <v>4</v>
      </c>
      <c r="J1085">
        <v>206.99999999999991</v>
      </c>
      <c r="K1085" s="1" t="e">
        <f>INDEX($P$4:$AM$15,MATCH(MONTH($E1085),$O$4:$O$15,0),MATCH(HOUR($F1085),$P$3:$AM$3,0))</f>
        <v>#N/A</v>
      </c>
      <c r="L1085" t="s">
        <v>249</v>
      </c>
      <c r="M1085" s="111"/>
    </row>
    <row r="1086" spans="1:13" x14ac:dyDescent="0.25">
      <c r="A1086">
        <v>1085</v>
      </c>
      <c r="B1086">
        <v>30043408</v>
      </c>
      <c r="C1086">
        <v>2</v>
      </c>
      <c r="E1086" s="110">
        <v>42635</v>
      </c>
      <c r="F1086" s="111" t="s">
        <v>411</v>
      </c>
      <c r="G1086">
        <v>15.496</v>
      </c>
      <c r="H1086">
        <v>20.000000000000089</v>
      </c>
      <c r="I1086">
        <v>4</v>
      </c>
      <c r="J1086">
        <v>1120</v>
      </c>
      <c r="K1086" s="1" t="e">
        <f>INDEX($P$4:$AM$15,MATCH(MONTH($E1086),$O$4:$O$15,0),MATCH(HOUR($F1086),$P$3:$AM$3,0))</f>
        <v>#N/A</v>
      </c>
      <c r="L1086" t="s">
        <v>249</v>
      </c>
      <c r="M1086" s="111"/>
    </row>
    <row r="1087" spans="1:13" x14ac:dyDescent="0.25">
      <c r="A1087">
        <v>1086</v>
      </c>
      <c r="B1087">
        <v>30043408</v>
      </c>
      <c r="C1087">
        <v>1</v>
      </c>
      <c r="E1087" s="110">
        <v>42636</v>
      </c>
      <c r="F1087" s="111" t="s">
        <v>429</v>
      </c>
      <c r="G1087">
        <v>1.1679999999999999</v>
      </c>
      <c r="H1087">
        <v>4.9999999999999822</v>
      </c>
      <c r="I1087">
        <v>4</v>
      </c>
      <c r="J1087">
        <v>7.9999999999999716</v>
      </c>
      <c r="K1087" s="1" t="e">
        <f>INDEX($P$4:$AM$15,MATCH(MONTH($E1087),$O$4:$O$15,0),MATCH(HOUR($F1087),$P$3:$AM$3,0))</f>
        <v>#N/A</v>
      </c>
      <c r="L1087" t="s">
        <v>249</v>
      </c>
      <c r="M1087" s="111"/>
    </row>
    <row r="1088" spans="1:13" x14ac:dyDescent="0.25">
      <c r="A1088">
        <v>1087</v>
      </c>
      <c r="B1088">
        <v>30043408</v>
      </c>
      <c r="C1088">
        <v>2</v>
      </c>
      <c r="E1088" s="110">
        <v>42636</v>
      </c>
      <c r="F1088" s="111" t="s">
        <v>571</v>
      </c>
      <c r="G1088">
        <v>1.1719999999999999</v>
      </c>
      <c r="H1088">
        <v>4.9999999999999822</v>
      </c>
      <c r="I1088">
        <v>4</v>
      </c>
      <c r="J1088">
        <v>37.000000000000028</v>
      </c>
      <c r="K1088" s="1" t="e">
        <f>INDEX($P$4:$AM$15,MATCH(MONTH($E1088),$O$4:$O$15,0),MATCH(HOUR($F1088),$P$3:$AM$3,0))</f>
        <v>#N/A</v>
      </c>
      <c r="L1088" t="s">
        <v>249</v>
      </c>
      <c r="M1088" s="111"/>
    </row>
    <row r="1089" spans="1:13" x14ac:dyDescent="0.25">
      <c r="A1089">
        <v>1088</v>
      </c>
      <c r="B1089">
        <v>30043408</v>
      </c>
      <c r="C1089">
        <v>3</v>
      </c>
      <c r="E1089" s="110">
        <v>42636</v>
      </c>
      <c r="F1089" s="111" t="s">
        <v>247</v>
      </c>
      <c r="G1089">
        <v>20.640999999999998</v>
      </c>
      <c r="H1089">
        <v>30.000000000000053</v>
      </c>
      <c r="I1089">
        <v>4</v>
      </c>
      <c r="J1089">
        <v>180</v>
      </c>
      <c r="K1089" s="1" t="e">
        <f>INDEX($P$4:$AM$15,MATCH(MONTH($E1089),$O$4:$O$15,0),MATCH(HOUR($F1089),$P$3:$AM$3,0))</f>
        <v>#N/A</v>
      </c>
      <c r="L1089" t="s">
        <v>249</v>
      </c>
      <c r="M1089" s="111"/>
    </row>
    <row r="1090" spans="1:13" x14ac:dyDescent="0.25">
      <c r="A1090">
        <v>1089</v>
      </c>
      <c r="B1090">
        <v>30043408</v>
      </c>
      <c r="C1090">
        <v>4</v>
      </c>
      <c r="E1090" s="110">
        <v>42636</v>
      </c>
      <c r="F1090" s="111" t="s">
        <v>319</v>
      </c>
      <c r="G1090">
        <v>20.542000000000002</v>
      </c>
      <c r="H1090">
        <v>25.000000000000071</v>
      </c>
      <c r="I1090">
        <v>4</v>
      </c>
      <c r="J1090">
        <v>709.99999999999989</v>
      </c>
      <c r="K1090" s="1" t="e">
        <f>INDEX($P$4:$AM$15,MATCH(MONTH($E1090),$O$4:$O$15,0),MATCH(HOUR($F1090),$P$3:$AM$3,0))</f>
        <v>#N/A</v>
      </c>
      <c r="L1090" t="s">
        <v>249</v>
      </c>
      <c r="M1090" s="111"/>
    </row>
    <row r="1091" spans="1:13" x14ac:dyDescent="0.25">
      <c r="A1091">
        <v>1090</v>
      </c>
      <c r="B1091">
        <v>30047960</v>
      </c>
      <c r="C1091">
        <v>1</v>
      </c>
      <c r="E1091" s="110">
        <v>42637</v>
      </c>
      <c r="F1091" s="111" t="s">
        <v>389</v>
      </c>
      <c r="G1091">
        <v>13.407</v>
      </c>
      <c r="H1091">
        <v>25.999999999999986</v>
      </c>
      <c r="I1091">
        <v>5</v>
      </c>
      <c r="J1091">
        <v>539</v>
      </c>
      <c r="K1091" s="1" t="e">
        <f>INDEX($P$4:$AM$15,MATCH(MONTH($E1091),$O$4:$O$15,0),MATCH(HOUR($F1091),$P$3:$AM$3,0))</f>
        <v>#N/A</v>
      </c>
      <c r="L1091" t="s">
        <v>222</v>
      </c>
      <c r="M1091" s="111"/>
    </row>
    <row r="1092" spans="1:13" x14ac:dyDescent="0.25">
      <c r="A1092">
        <v>1091</v>
      </c>
      <c r="B1092">
        <v>30047960</v>
      </c>
      <c r="C1092">
        <v>2</v>
      </c>
      <c r="E1092" s="110">
        <v>42637</v>
      </c>
      <c r="F1092" s="111" t="s">
        <v>572</v>
      </c>
      <c r="G1092">
        <v>13.331</v>
      </c>
      <c r="H1092">
        <v>26.999999999999904</v>
      </c>
      <c r="I1092">
        <v>5</v>
      </c>
      <c r="J1092">
        <v>738</v>
      </c>
      <c r="K1092" s="1" t="e">
        <f>INDEX($P$4:$AM$15,MATCH(MONTH($E1092),$O$4:$O$15,0),MATCH(HOUR($F1092),$P$3:$AM$3,0))</f>
        <v>#N/A</v>
      </c>
      <c r="L1092" t="s">
        <v>222</v>
      </c>
      <c r="M1092" s="111"/>
    </row>
    <row r="1093" spans="1:13" x14ac:dyDescent="0.25">
      <c r="A1093">
        <v>1092</v>
      </c>
      <c r="B1093">
        <v>30047960</v>
      </c>
      <c r="C1093">
        <v>1</v>
      </c>
      <c r="E1093" s="110">
        <v>42638</v>
      </c>
      <c r="F1093" s="111" t="s">
        <v>573</v>
      </c>
      <c r="G1093">
        <v>14.941000000000001</v>
      </c>
      <c r="H1093">
        <v>20.000000000000007</v>
      </c>
      <c r="I1093">
        <v>3</v>
      </c>
      <c r="J1093">
        <v>694.99999999999989</v>
      </c>
      <c r="K1093" s="1" t="e">
        <f>INDEX($P$4:$AM$15,MATCH(MONTH($E1093),$O$4:$O$15,0),MATCH(HOUR($F1093),$P$3:$AM$3,0))</f>
        <v>#N/A</v>
      </c>
      <c r="L1093" t="s">
        <v>222</v>
      </c>
      <c r="M1093" s="111"/>
    </row>
    <row r="1094" spans="1:13" x14ac:dyDescent="0.25">
      <c r="A1094">
        <v>1093</v>
      </c>
      <c r="B1094">
        <v>30047960</v>
      </c>
      <c r="C1094">
        <v>2</v>
      </c>
      <c r="E1094" s="110">
        <v>42638</v>
      </c>
      <c r="F1094" s="111" t="s">
        <v>280</v>
      </c>
      <c r="G1094">
        <v>14.519</v>
      </c>
      <c r="H1094">
        <v>27.000000000000224</v>
      </c>
      <c r="I1094">
        <v>3</v>
      </c>
      <c r="J1094">
        <v>942.99999999999989</v>
      </c>
      <c r="K1094" s="1" t="e">
        <f>INDEX($P$4:$AM$15,MATCH(MONTH($E1094),$O$4:$O$15,0),MATCH(HOUR($F1094),$P$3:$AM$3,0))</f>
        <v>#N/A</v>
      </c>
      <c r="L1094" t="s">
        <v>222</v>
      </c>
      <c r="M1094" s="111"/>
    </row>
    <row r="1095" spans="1:13" x14ac:dyDescent="0.25">
      <c r="A1095">
        <v>1094</v>
      </c>
      <c r="B1095">
        <v>30059567</v>
      </c>
      <c r="C1095">
        <v>1</v>
      </c>
      <c r="E1095" s="110">
        <v>42639</v>
      </c>
      <c r="F1095" s="111" t="s">
        <v>217</v>
      </c>
      <c r="G1095">
        <v>0.83899999999999997</v>
      </c>
      <c r="H1095">
        <v>5.0000000000000622</v>
      </c>
      <c r="I1095">
        <v>4</v>
      </c>
      <c r="J1095">
        <v>24.999999999999911</v>
      </c>
      <c r="K1095" s="1" t="e">
        <f>INDEX($P$4:$AM$15,MATCH(MONTH($E1095),$O$4:$O$15,0),MATCH(HOUR($F1095),$P$3:$AM$3,0))</f>
        <v>#N/A</v>
      </c>
      <c r="L1095" t="s">
        <v>231</v>
      </c>
      <c r="M1095" s="111"/>
    </row>
    <row r="1096" spans="1:13" x14ac:dyDescent="0.25">
      <c r="A1096">
        <v>1095</v>
      </c>
      <c r="B1096">
        <v>30059567</v>
      </c>
      <c r="C1096">
        <v>2</v>
      </c>
      <c r="E1096" s="110">
        <v>42639</v>
      </c>
      <c r="F1096" s="111" t="s">
        <v>221</v>
      </c>
      <c r="G1096">
        <v>0.83899999999999997</v>
      </c>
      <c r="H1096">
        <v>5.0000000000000622</v>
      </c>
      <c r="I1096">
        <v>4</v>
      </c>
      <c r="J1096">
        <v>1375</v>
      </c>
      <c r="K1096" s="1" t="e">
        <f>INDEX($P$4:$AM$15,MATCH(MONTH($E1096),$O$4:$O$15,0),MATCH(HOUR($F1096),$P$3:$AM$3,0))</f>
        <v>#N/A</v>
      </c>
      <c r="L1096" t="s">
        <v>231</v>
      </c>
      <c r="M1096" s="111"/>
    </row>
    <row r="1097" spans="1:13" x14ac:dyDescent="0.25">
      <c r="A1097">
        <v>1096</v>
      </c>
      <c r="B1097">
        <v>30077342</v>
      </c>
      <c r="C1097">
        <v>1</v>
      </c>
      <c r="E1097" s="110">
        <v>42640</v>
      </c>
      <c r="F1097" s="111" t="s">
        <v>283</v>
      </c>
      <c r="G1097">
        <v>1.272</v>
      </c>
      <c r="H1097">
        <v>4.9999999999999822</v>
      </c>
      <c r="I1097">
        <v>4</v>
      </c>
      <c r="J1097">
        <v>4.9999999999999822</v>
      </c>
      <c r="K1097" s="1" t="e">
        <f>INDEX($P$4:$AM$15,MATCH(MONTH($E1097),$O$4:$O$15,0),MATCH(HOUR($F1097),$P$3:$AM$3,0))</f>
        <v>#N/A</v>
      </c>
      <c r="L1097" t="s">
        <v>302</v>
      </c>
      <c r="M1097" s="111"/>
    </row>
    <row r="1098" spans="1:13" x14ac:dyDescent="0.25">
      <c r="A1098">
        <v>1097</v>
      </c>
      <c r="B1098">
        <v>30077342</v>
      </c>
      <c r="C1098">
        <v>2</v>
      </c>
      <c r="E1098" s="110">
        <v>42640</v>
      </c>
      <c r="F1098" s="111" t="s">
        <v>297</v>
      </c>
      <c r="G1098">
        <v>1.272</v>
      </c>
      <c r="H1098">
        <v>4.9999999999999822</v>
      </c>
      <c r="I1098">
        <v>4</v>
      </c>
      <c r="J1098">
        <v>135.00000000000009</v>
      </c>
      <c r="K1098" s="1" t="e">
        <f>INDEX($P$4:$AM$15,MATCH(MONTH($E1098),$O$4:$O$15,0),MATCH(HOUR($F1098),$P$3:$AM$3,0))</f>
        <v>#N/A</v>
      </c>
      <c r="L1098" t="s">
        <v>302</v>
      </c>
      <c r="M1098" s="111"/>
    </row>
    <row r="1099" spans="1:13" x14ac:dyDescent="0.25">
      <c r="A1099">
        <v>1098</v>
      </c>
      <c r="B1099">
        <v>30077342</v>
      </c>
      <c r="C1099">
        <v>3</v>
      </c>
      <c r="E1099" s="110">
        <v>42640</v>
      </c>
      <c r="F1099" s="111" t="s">
        <v>314</v>
      </c>
      <c r="G1099">
        <v>21.113</v>
      </c>
      <c r="H1099">
        <v>29.999999999999893</v>
      </c>
      <c r="I1099">
        <v>4</v>
      </c>
      <c r="J1099">
        <v>30.000000000000053</v>
      </c>
      <c r="K1099" s="1" t="e">
        <f>INDEX($P$4:$AM$15,MATCH(MONTH($E1099),$O$4:$O$15,0),MATCH(HOUR($F1099),$P$3:$AM$3,0))</f>
        <v>#N/A</v>
      </c>
      <c r="L1099" t="s">
        <v>302</v>
      </c>
      <c r="M1099" s="111"/>
    </row>
    <row r="1100" spans="1:13" x14ac:dyDescent="0.25">
      <c r="A1100">
        <v>1099</v>
      </c>
      <c r="B1100">
        <v>30077342</v>
      </c>
      <c r="C1100">
        <v>4</v>
      </c>
      <c r="E1100" s="110">
        <v>42640</v>
      </c>
      <c r="F1100" s="111" t="s">
        <v>240</v>
      </c>
      <c r="G1100">
        <v>21.120999999999999</v>
      </c>
      <c r="H1100">
        <v>30.000000000000053</v>
      </c>
      <c r="I1100">
        <v>4</v>
      </c>
      <c r="J1100">
        <v>90</v>
      </c>
      <c r="K1100" s="1" t="e">
        <f>INDEX($P$4:$AM$15,MATCH(MONTH($E1100),$O$4:$O$15,0),MATCH(HOUR($F1100),$P$3:$AM$3,0))</f>
        <v>#N/A</v>
      </c>
      <c r="L1100" t="s">
        <v>302</v>
      </c>
      <c r="M1100" s="111"/>
    </row>
    <row r="1101" spans="1:13" x14ac:dyDescent="0.25">
      <c r="A1101">
        <v>1100</v>
      </c>
      <c r="B1101">
        <v>30077342</v>
      </c>
      <c r="C1101">
        <v>5</v>
      </c>
      <c r="E1101" s="110">
        <v>42640</v>
      </c>
      <c r="F1101" s="111" t="s">
        <v>235</v>
      </c>
      <c r="G1101">
        <v>21.113</v>
      </c>
      <c r="H1101">
        <v>29.999999999999893</v>
      </c>
      <c r="I1101">
        <v>4</v>
      </c>
      <c r="J1101">
        <v>60.000000000000107</v>
      </c>
      <c r="K1101" s="1" t="e">
        <f>INDEX($P$4:$AM$15,MATCH(MONTH($E1101),$O$4:$O$15,0),MATCH(HOUR($F1101),$P$3:$AM$3,0))</f>
        <v>#N/A</v>
      </c>
      <c r="L1101" t="s">
        <v>302</v>
      </c>
      <c r="M1101" s="111"/>
    </row>
    <row r="1102" spans="1:13" x14ac:dyDescent="0.25">
      <c r="A1102">
        <v>1101</v>
      </c>
      <c r="B1102">
        <v>30077342</v>
      </c>
      <c r="C1102">
        <v>6</v>
      </c>
      <c r="E1102" s="110">
        <v>42640</v>
      </c>
      <c r="F1102" s="111" t="s">
        <v>229</v>
      </c>
      <c r="G1102">
        <v>21.120999999999999</v>
      </c>
      <c r="H1102">
        <v>29.999999999999893</v>
      </c>
      <c r="I1102">
        <v>4</v>
      </c>
      <c r="J1102">
        <v>1080</v>
      </c>
      <c r="K1102" s="1" t="e">
        <f>INDEX($P$4:$AM$15,MATCH(MONTH($E1102),$O$4:$O$15,0),MATCH(HOUR($F1102),$P$3:$AM$3,0))</f>
        <v>#N/A</v>
      </c>
      <c r="L1102" t="s">
        <v>302</v>
      </c>
      <c r="M1102" s="111"/>
    </row>
    <row r="1103" spans="1:13" x14ac:dyDescent="0.25">
      <c r="A1103">
        <v>1102</v>
      </c>
      <c r="B1103">
        <v>30077342</v>
      </c>
      <c r="C1103">
        <v>1</v>
      </c>
      <c r="E1103" s="110">
        <v>42641</v>
      </c>
      <c r="F1103" s="111" t="s">
        <v>262</v>
      </c>
      <c r="G1103">
        <v>21.113</v>
      </c>
      <c r="H1103">
        <v>29.999999999999972</v>
      </c>
      <c r="I1103">
        <v>3</v>
      </c>
      <c r="J1103">
        <v>300.00000000000006</v>
      </c>
      <c r="K1103" s="1" t="e">
        <f>INDEX($P$4:$AM$15,MATCH(MONTH($E1103),$O$4:$O$15,0),MATCH(HOUR($F1103),$P$3:$AM$3,0))</f>
        <v>#N/A</v>
      </c>
      <c r="L1103" t="s">
        <v>302</v>
      </c>
      <c r="M1103" s="111"/>
    </row>
    <row r="1104" spans="1:13" x14ac:dyDescent="0.25">
      <c r="A1104">
        <v>1103</v>
      </c>
      <c r="B1104">
        <v>30077342</v>
      </c>
      <c r="C1104">
        <v>2</v>
      </c>
      <c r="E1104" s="110">
        <v>42641</v>
      </c>
      <c r="F1104" s="111" t="s">
        <v>229</v>
      </c>
      <c r="G1104">
        <v>21.120999999999999</v>
      </c>
      <c r="H1104">
        <v>29.999999999999893</v>
      </c>
      <c r="I1104">
        <v>3</v>
      </c>
      <c r="J1104">
        <v>1155</v>
      </c>
      <c r="K1104" s="1" t="e">
        <f>INDEX($P$4:$AM$15,MATCH(MONTH($E1104),$O$4:$O$15,0),MATCH(HOUR($F1104),$P$3:$AM$3,0))</f>
        <v>#N/A</v>
      </c>
      <c r="L1104" t="s">
        <v>302</v>
      </c>
      <c r="M1104" s="111"/>
    </row>
    <row r="1105" spans="1:13" x14ac:dyDescent="0.25">
      <c r="A1105">
        <v>1104</v>
      </c>
      <c r="B1105">
        <v>30077342</v>
      </c>
      <c r="C1105">
        <v>1</v>
      </c>
      <c r="E1105" s="110">
        <v>42642</v>
      </c>
      <c r="F1105" s="111" t="s">
        <v>225</v>
      </c>
      <c r="G1105">
        <v>6.6950000000000003</v>
      </c>
      <c r="H1105">
        <v>14.999999999999947</v>
      </c>
      <c r="I1105">
        <v>4</v>
      </c>
      <c r="J1105">
        <v>15.000000000000107</v>
      </c>
      <c r="K1105" s="1" t="e">
        <f>INDEX($P$4:$AM$15,MATCH(MONTH($E1105),$O$4:$O$15,0),MATCH(HOUR($F1105),$P$3:$AM$3,0))</f>
        <v>#N/A</v>
      </c>
      <c r="L1105" t="s">
        <v>302</v>
      </c>
      <c r="M1105" s="111"/>
    </row>
    <row r="1106" spans="1:13" x14ac:dyDescent="0.25">
      <c r="A1106">
        <v>1105</v>
      </c>
      <c r="B1106">
        <v>30077342</v>
      </c>
      <c r="C1106">
        <v>2</v>
      </c>
      <c r="E1106" s="110">
        <v>42642</v>
      </c>
      <c r="F1106" s="111" t="s">
        <v>369</v>
      </c>
      <c r="G1106">
        <v>6.6950000000000003</v>
      </c>
      <c r="H1106">
        <v>19.999999999999929</v>
      </c>
      <c r="I1106">
        <v>4</v>
      </c>
      <c r="J1106">
        <v>1225</v>
      </c>
      <c r="K1106" s="1" t="e">
        <f>INDEX($P$4:$AM$15,MATCH(MONTH($E1106),$O$4:$O$15,0),MATCH(HOUR($F1106),$P$3:$AM$3,0))</f>
        <v>#N/A</v>
      </c>
      <c r="L1106" t="s">
        <v>302</v>
      </c>
      <c r="M1106" s="111"/>
    </row>
    <row r="1107" spans="1:13" x14ac:dyDescent="0.25">
      <c r="A1107">
        <v>1106</v>
      </c>
      <c r="B1107">
        <v>30077342</v>
      </c>
      <c r="C1107">
        <v>1</v>
      </c>
      <c r="E1107" s="110">
        <v>42643</v>
      </c>
      <c r="F1107" s="111" t="s">
        <v>283</v>
      </c>
      <c r="G1107">
        <v>21.113</v>
      </c>
      <c r="H1107">
        <v>39.999999999999936</v>
      </c>
      <c r="I1107">
        <v>4</v>
      </c>
      <c r="J1107">
        <v>1385</v>
      </c>
      <c r="K1107" s="1" t="e">
        <f>INDEX($P$4:$AM$15,MATCH(MONTH($E1107),$O$4:$O$15,0),MATCH(HOUR($F1107),$P$3:$AM$3,0))</f>
        <v>#N/A</v>
      </c>
      <c r="L1107" t="s">
        <v>302</v>
      </c>
      <c r="M1107" s="111"/>
    </row>
    <row r="1108" spans="1:13" x14ac:dyDescent="0.25">
      <c r="A1108">
        <v>1107</v>
      </c>
      <c r="B1108">
        <v>30005490</v>
      </c>
      <c r="C1108">
        <v>1</v>
      </c>
      <c r="E1108" s="110">
        <v>42644</v>
      </c>
      <c r="F1108" s="111" t="s">
        <v>221</v>
      </c>
      <c r="G1108">
        <v>0.56699999999999995</v>
      </c>
      <c r="H1108">
        <v>5.0000000000000622</v>
      </c>
      <c r="I1108">
        <v>3</v>
      </c>
      <c r="J1108">
        <v>9.9999999999999645</v>
      </c>
      <c r="K1108" s="1" t="e">
        <f>INDEX($P$4:$AM$15,MATCH(MONTH($E1108),$O$4:$O$15,0),MATCH(HOUR($F1108),$P$3:$AM$3,0))</f>
        <v>#N/A</v>
      </c>
      <c r="L1108" t="s">
        <v>218</v>
      </c>
      <c r="M1108" s="111"/>
    </row>
    <row r="1109" spans="1:13" x14ac:dyDescent="0.25">
      <c r="A1109">
        <v>1108</v>
      </c>
      <c r="B1109">
        <v>30005490</v>
      </c>
      <c r="C1109">
        <v>2</v>
      </c>
      <c r="E1109" s="110">
        <v>42644</v>
      </c>
      <c r="F1109" s="111" t="s">
        <v>327</v>
      </c>
      <c r="G1109">
        <v>2.109</v>
      </c>
      <c r="H1109">
        <v>9.9999999999999645</v>
      </c>
      <c r="I1109">
        <v>3</v>
      </c>
      <c r="J1109">
        <v>20.000000000000007</v>
      </c>
      <c r="K1109" s="1" t="e">
        <f>INDEX($P$4:$AM$15,MATCH(MONTH($E1109),$O$4:$O$15,0),MATCH(HOUR($F1109),$P$3:$AM$3,0))</f>
        <v>#N/A</v>
      </c>
      <c r="L1109" t="s">
        <v>218</v>
      </c>
      <c r="M1109" s="111"/>
    </row>
    <row r="1110" spans="1:13" x14ac:dyDescent="0.25">
      <c r="A1110">
        <v>1109</v>
      </c>
      <c r="B1110">
        <v>30005490</v>
      </c>
      <c r="C1110">
        <v>3</v>
      </c>
      <c r="E1110" s="110">
        <v>42644</v>
      </c>
      <c r="F1110" s="111" t="s">
        <v>223</v>
      </c>
      <c r="G1110">
        <v>15.973000000000001</v>
      </c>
      <c r="H1110">
        <v>39.999999999999936</v>
      </c>
      <c r="I1110">
        <v>3</v>
      </c>
      <c r="J1110">
        <v>185.00000000000014</v>
      </c>
      <c r="K1110" s="1" t="e">
        <f>INDEX($P$4:$AM$15,MATCH(MONTH($E1110),$O$4:$O$15,0),MATCH(HOUR($F1110),$P$3:$AM$3,0))</f>
        <v>#N/A</v>
      </c>
      <c r="L1110" t="s">
        <v>218</v>
      </c>
      <c r="M1110" s="111"/>
    </row>
    <row r="1111" spans="1:13" x14ac:dyDescent="0.25">
      <c r="A1111">
        <v>1110</v>
      </c>
      <c r="B1111">
        <v>30005490</v>
      </c>
      <c r="C1111">
        <v>4</v>
      </c>
      <c r="E1111" s="110">
        <v>42644</v>
      </c>
      <c r="F1111" s="111" t="s">
        <v>235</v>
      </c>
      <c r="G1111">
        <v>16.661000000000001</v>
      </c>
      <c r="H1111">
        <v>45</v>
      </c>
      <c r="I1111">
        <v>3</v>
      </c>
      <c r="J1111">
        <v>144.99999999999997</v>
      </c>
      <c r="K1111" s="1" t="e">
        <f>INDEX($P$4:$AM$15,MATCH(MONTH($E1111),$O$4:$O$15,0),MATCH(HOUR($F1111),$P$3:$AM$3,0))</f>
        <v>#N/A</v>
      </c>
      <c r="L1111" t="s">
        <v>218</v>
      </c>
      <c r="M1111" s="111"/>
    </row>
    <row r="1112" spans="1:13" x14ac:dyDescent="0.25">
      <c r="A1112">
        <v>1111</v>
      </c>
      <c r="B1112">
        <v>30005490</v>
      </c>
      <c r="C1112">
        <v>5</v>
      </c>
      <c r="E1112" s="110">
        <v>42644</v>
      </c>
      <c r="F1112" s="111" t="s">
        <v>409</v>
      </c>
      <c r="G1112">
        <v>0.19700000000000001</v>
      </c>
      <c r="H1112">
        <v>7.000000000000135</v>
      </c>
      <c r="I1112">
        <v>3</v>
      </c>
      <c r="J1112">
        <v>152.99999999999977</v>
      </c>
      <c r="K1112" s="1" t="e">
        <f>INDEX($P$4:$AM$15,MATCH(MONTH($E1112),$O$4:$O$15,0),MATCH(HOUR($F1112),$P$3:$AM$3,0))</f>
        <v>#N/A</v>
      </c>
      <c r="L1112" t="s">
        <v>218</v>
      </c>
      <c r="M1112" s="111"/>
    </row>
    <row r="1113" spans="1:13" x14ac:dyDescent="0.25">
      <c r="A1113">
        <v>1112</v>
      </c>
      <c r="B1113">
        <v>30005490</v>
      </c>
      <c r="C1113">
        <v>6</v>
      </c>
      <c r="E1113" s="110">
        <v>42644</v>
      </c>
      <c r="F1113" s="111" t="s">
        <v>574</v>
      </c>
      <c r="G1113">
        <v>0.63300000000000001</v>
      </c>
      <c r="H1113">
        <v>10.000000000000124</v>
      </c>
      <c r="I1113">
        <v>3</v>
      </c>
      <c r="J1113">
        <v>620</v>
      </c>
      <c r="K1113" s="1" t="e">
        <f>INDEX($P$4:$AM$15,MATCH(MONTH($E1113),$O$4:$O$15,0),MATCH(HOUR($F1113),$P$3:$AM$3,0))</f>
        <v>#N/A</v>
      </c>
      <c r="L1113" t="s">
        <v>218</v>
      </c>
      <c r="M1113" s="111"/>
    </row>
    <row r="1114" spans="1:13" x14ac:dyDescent="0.25">
      <c r="A1114">
        <v>1113</v>
      </c>
      <c r="B1114">
        <v>30019001</v>
      </c>
      <c r="C1114">
        <v>1</v>
      </c>
      <c r="E1114" s="110">
        <v>42645</v>
      </c>
      <c r="F1114" s="111" t="s">
        <v>320</v>
      </c>
      <c r="G1114">
        <v>10.365</v>
      </c>
      <c r="H1114">
        <v>24.999999999999993</v>
      </c>
      <c r="I1114">
        <v>4</v>
      </c>
      <c r="J1114">
        <v>615</v>
      </c>
      <c r="K1114" s="1" t="e">
        <f>INDEX($P$4:$AM$15,MATCH(MONTH($E1114),$O$4:$O$15,0),MATCH(HOUR($F1114),$P$3:$AM$3,0))</f>
        <v>#N/A</v>
      </c>
      <c r="L1114" t="s">
        <v>249</v>
      </c>
      <c r="M1114" s="111"/>
    </row>
    <row r="1115" spans="1:13" x14ac:dyDescent="0.25">
      <c r="A1115">
        <v>1114</v>
      </c>
      <c r="B1115">
        <v>30019001</v>
      </c>
      <c r="C1115">
        <v>2</v>
      </c>
      <c r="E1115" s="110">
        <v>42645</v>
      </c>
      <c r="F1115" s="111" t="s">
        <v>300</v>
      </c>
      <c r="G1115">
        <v>10.364000000000001</v>
      </c>
      <c r="H1115">
        <v>14.999999999999947</v>
      </c>
      <c r="I1115">
        <v>4</v>
      </c>
      <c r="J1115">
        <v>765</v>
      </c>
      <c r="K1115" s="1" t="e">
        <f>INDEX($P$4:$AM$15,MATCH(MONTH($E1115),$O$4:$O$15,0),MATCH(HOUR($F1115),$P$3:$AM$3,0))</f>
        <v>#N/A</v>
      </c>
      <c r="L1115" t="s">
        <v>249</v>
      </c>
      <c r="M1115" s="111"/>
    </row>
    <row r="1116" spans="1:13" x14ac:dyDescent="0.25">
      <c r="A1116">
        <v>1115</v>
      </c>
      <c r="B1116">
        <v>30019001</v>
      </c>
      <c r="C1116">
        <v>1</v>
      </c>
      <c r="E1116" s="110">
        <v>42646</v>
      </c>
      <c r="F1116" s="111" t="s">
        <v>251</v>
      </c>
      <c r="G1116">
        <v>6.8220000000000001</v>
      </c>
      <c r="H1116">
        <v>20.000000000000007</v>
      </c>
      <c r="I1116">
        <v>4</v>
      </c>
      <c r="J1116">
        <v>0.99999999999999645</v>
      </c>
      <c r="K1116" s="1" t="e">
        <f>INDEX($P$4:$AM$15,MATCH(MONTH($E1116),$O$4:$O$15,0),MATCH(HOUR($F1116),$P$3:$AM$3,0))</f>
        <v>#N/A</v>
      </c>
      <c r="L1116" t="s">
        <v>249</v>
      </c>
      <c r="M1116" s="111"/>
    </row>
    <row r="1117" spans="1:13" x14ac:dyDescent="0.25">
      <c r="A1117">
        <v>1116</v>
      </c>
      <c r="B1117">
        <v>30019001</v>
      </c>
      <c r="C1117">
        <v>2</v>
      </c>
      <c r="E1117" s="110">
        <v>42646</v>
      </c>
      <c r="F1117" s="111" t="s">
        <v>575</v>
      </c>
      <c r="G1117">
        <v>6.8120000000000003</v>
      </c>
      <c r="H1117">
        <v>23.999999999999993</v>
      </c>
      <c r="I1117">
        <v>4</v>
      </c>
      <c r="J1117">
        <v>355</v>
      </c>
      <c r="K1117" s="1" t="e">
        <f>INDEX($P$4:$AM$15,MATCH(MONTH($E1117),$O$4:$O$15,0),MATCH(HOUR($F1117),$P$3:$AM$3,0))</f>
        <v>#N/A</v>
      </c>
      <c r="L1117" t="s">
        <v>249</v>
      </c>
      <c r="M1117" s="111"/>
    </row>
    <row r="1118" spans="1:13" x14ac:dyDescent="0.25">
      <c r="A1118">
        <v>1117</v>
      </c>
      <c r="B1118">
        <v>30019001</v>
      </c>
      <c r="C1118">
        <v>3</v>
      </c>
      <c r="E1118" s="110">
        <v>42646</v>
      </c>
      <c r="F1118" s="111" t="s">
        <v>363</v>
      </c>
      <c r="G1118">
        <v>6.8220000000000001</v>
      </c>
      <c r="H1118">
        <v>14.999999999999947</v>
      </c>
      <c r="I1118">
        <v>4</v>
      </c>
      <c r="J1118">
        <v>14.999999999999947</v>
      </c>
      <c r="K1118" s="1" t="e">
        <f>INDEX($P$4:$AM$15,MATCH(MONTH($E1118),$O$4:$O$15,0),MATCH(HOUR($F1118),$P$3:$AM$3,0))</f>
        <v>#N/A</v>
      </c>
      <c r="L1118" t="s">
        <v>249</v>
      </c>
      <c r="M1118" s="111"/>
    </row>
    <row r="1119" spans="1:13" x14ac:dyDescent="0.25">
      <c r="A1119">
        <v>1118</v>
      </c>
      <c r="B1119">
        <v>30019001</v>
      </c>
      <c r="C1119">
        <v>4</v>
      </c>
      <c r="E1119" s="110">
        <v>42646</v>
      </c>
      <c r="F1119" s="111" t="s">
        <v>450</v>
      </c>
      <c r="G1119">
        <v>1.7509999999999999</v>
      </c>
      <c r="H1119">
        <v>10.000000000000124</v>
      </c>
      <c r="I1119">
        <v>4</v>
      </c>
      <c r="J1119">
        <v>9.9999999999999645</v>
      </c>
      <c r="K1119" s="1" t="e">
        <f>INDEX($P$4:$AM$15,MATCH(MONTH($E1119),$O$4:$O$15,0),MATCH(HOUR($F1119),$P$3:$AM$3,0))</f>
        <v>#N/A</v>
      </c>
      <c r="L1119" t="s">
        <v>249</v>
      </c>
      <c r="M1119" s="111"/>
    </row>
    <row r="1120" spans="1:13" x14ac:dyDescent="0.25">
      <c r="A1120">
        <v>1119</v>
      </c>
      <c r="B1120">
        <v>30019001</v>
      </c>
      <c r="C1120">
        <v>5</v>
      </c>
      <c r="E1120" s="110">
        <v>42646</v>
      </c>
      <c r="F1120" s="111" t="s">
        <v>227</v>
      </c>
      <c r="G1120">
        <v>10.670999999999999</v>
      </c>
      <c r="H1120">
        <v>14.999999999999947</v>
      </c>
      <c r="I1120">
        <v>4</v>
      </c>
      <c r="J1120">
        <v>225</v>
      </c>
      <c r="K1120" s="1" t="e">
        <f>INDEX($P$4:$AM$15,MATCH(MONTH($E1120),$O$4:$O$15,0),MATCH(HOUR($F1120),$P$3:$AM$3,0))</f>
        <v>#N/A</v>
      </c>
      <c r="L1120" t="s">
        <v>249</v>
      </c>
      <c r="M1120" s="111"/>
    </row>
    <row r="1121" spans="1:13" x14ac:dyDescent="0.25">
      <c r="A1121">
        <v>1120</v>
      </c>
      <c r="B1121">
        <v>30019001</v>
      </c>
      <c r="C1121">
        <v>6</v>
      </c>
      <c r="E1121" s="110">
        <v>42646</v>
      </c>
      <c r="F1121" s="111" t="s">
        <v>245</v>
      </c>
      <c r="G1121">
        <v>11.28</v>
      </c>
      <c r="H1121">
        <v>15.000000000000107</v>
      </c>
      <c r="I1121">
        <v>4</v>
      </c>
      <c r="J1121">
        <v>14.999999999999947</v>
      </c>
      <c r="K1121" s="1" t="e">
        <f>INDEX($P$4:$AM$15,MATCH(MONTH($E1121),$O$4:$O$15,0),MATCH(HOUR($F1121),$P$3:$AM$3,0))</f>
        <v>#N/A</v>
      </c>
      <c r="L1121" t="s">
        <v>249</v>
      </c>
      <c r="M1121" s="111"/>
    </row>
    <row r="1122" spans="1:13" x14ac:dyDescent="0.25">
      <c r="A1122">
        <v>1121</v>
      </c>
      <c r="B1122">
        <v>30019001</v>
      </c>
      <c r="C1122">
        <v>7</v>
      </c>
      <c r="E1122" s="110">
        <v>42646</v>
      </c>
      <c r="F1122" s="111" t="s">
        <v>374</v>
      </c>
      <c r="G1122">
        <v>10.670999999999999</v>
      </c>
      <c r="H1122">
        <v>14.999999999999947</v>
      </c>
      <c r="I1122">
        <v>4</v>
      </c>
      <c r="J1122">
        <v>855.00000000000011</v>
      </c>
      <c r="K1122" s="1" t="e">
        <f>INDEX($P$4:$AM$15,MATCH(MONTH($E1122),$O$4:$O$15,0),MATCH(HOUR($F1122),$P$3:$AM$3,0))</f>
        <v>#N/A</v>
      </c>
      <c r="L1122" t="s">
        <v>249</v>
      </c>
      <c r="M1122" s="111"/>
    </row>
    <row r="1123" spans="1:13" x14ac:dyDescent="0.25">
      <c r="A1123">
        <v>1122</v>
      </c>
      <c r="B1123">
        <v>30021967</v>
      </c>
      <c r="C1123">
        <v>1</v>
      </c>
      <c r="E1123" s="110">
        <v>42647</v>
      </c>
      <c r="F1123" s="111" t="s">
        <v>283</v>
      </c>
      <c r="G1123">
        <v>1.607</v>
      </c>
      <c r="H1123">
        <v>9.9999999999999645</v>
      </c>
      <c r="I1123">
        <v>4</v>
      </c>
      <c r="J1123">
        <v>29.999999999999972</v>
      </c>
      <c r="K1123" s="1" t="e">
        <f>INDEX($P$4:$AM$15,MATCH(MONTH($E1123),$O$4:$O$15,0),MATCH(HOUR($F1123),$P$3:$AM$3,0))</f>
        <v>#N/A</v>
      </c>
      <c r="L1123" t="s">
        <v>218</v>
      </c>
      <c r="M1123" s="111"/>
    </row>
    <row r="1124" spans="1:13" x14ac:dyDescent="0.25">
      <c r="A1124">
        <v>1123</v>
      </c>
      <c r="B1124">
        <v>30021967</v>
      </c>
      <c r="C1124">
        <v>2</v>
      </c>
      <c r="E1124" s="110">
        <v>42647</v>
      </c>
      <c r="F1124" s="111" t="s">
        <v>379</v>
      </c>
      <c r="G1124">
        <v>0.73199999999999998</v>
      </c>
      <c r="H1124">
        <v>5.0000000000000622</v>
      </c>
      <c r="I1124">
        <v>4</v>
      </c>
      <c r="J1124">
        <v>45</v>
      </c>
      <c r="K1124" s="1" t="e">
        <f>INDEX($P$4:$AM$15,MATCH(MONTH($E1124),$O$4:$O$15,0),MATCH(HOUR($F1124),$P$3:$AM$3,0))</f>
        <v>#N/A</v>
      </c>
      <c r="L1124" t="s">
        <v>218</v>
      </c>
      <c r="M1124" s="111"/>
    </row>
    <row r="1125" spans="1:13" x14ac:dyDescent="0.25">
      <c r="A1125">
        <v>1124</v>
      </c>
      <c r="B1125">
        <v>30021967</v>
      </c>
      <c r="C1125">
        <v>3</v>
      </c>
      <c r="E1125" s="110">
        <v>42647</v>
      </c>
      <c r="F1125" s="111" t="s">
        <v>262</v>
      </c>
      <c r="G1125">
        <v>1.2549999999999999</v>
      </c>
      <c r="H1125">
        <v>9.9999999999999645</v>
      </c>
      <c r="I1125">
        <v>4</v>
      </c>
      <c r="J1125">
        <v>1190</v>
      </c>
      <c r="K1125" s="1" t="e">
        <f>INDEX($P$4:$AM$15,MATCH(MONTH($E1125),$O$4:$O$15,0),MATCH(HOUR($F1125),$P$3:$AM$3,0))</f>
        <v>#N/A</v>
      </c>
      <c r="L1125" t="s">
        <v>218</v>
      </c>
      <c r="M1125" s="111"/>
    </row>
    <row r="1126" spans="1:13" x14ac:dyDescent="0.25">
      <c r="A1126">
        <v>1125</v>
      </c>
      <c r="B1126">
        <v>30028813</v>
      </c>
      <c r="C1126">
        <v>1</v>
      </c>
      <c r="E1126" s="110">
        <v>42648</v>
      </c>
      <c r="F1126" s="111" t="s">
        <v>251</v>
      </c>
      <c r="G1126">
        <v>18.629000000000001</v>
      </c>
      <c r="H1126">
        <v>29.999999999999972</v>
      </c>
      <c r="I1126">
        <v>3</v>
      </c>
      <c r="J1126">
        <v>60.000000000000028</v>
      </c>
      <c r="K1126" s="1" t="e">
        <f>INDEX($P$4:$AM$15,MATCH(MONTH($E1126),$O$4:$O$15,0),MATCH(HOUR($F1126),$P$3:$AM$3,0))</f>
        <v>#N/A</v>
      </c>
      <c r="L1126" t="s">
        <v>218</v>
      </c>
      <c r="M1126" s="111"/>
    </row>
    <row r="1127" spans="1:13" x14ac:dyDescent="0.25">
      <c r="A1127">
        <v>1126</v>
      </c>
      <c r="B1127">
        <v>30028813</v>
      </c>
      <c r="C1127">
        <v>2</v>
      </c>
      <c r="E1127" s="110">
        <v>42648</v>
      </c>
      <c r="F1127" s="111" t="s">
        <v>295</v>
      </c>
      <c r="G1127">
        <v>0.20699999999999999</v>
      </c>
      <c r="H1127">
        <v>5.0000000000000622</v>
      </c>
      <c r="I1127">
        <v>3</v>
      </c>
      <c r="J1127">
        <v>39.999999999999936</v>
      </c>
      <c r="K1127" s="1" t="e">
        <f>INDEX($P$4:$AM$15,MATCH(MONTH($E1127),$O$4:$O$15,0),MATCH(HOUR($F1127),$P$3:$AM$3,0))</f>
        <v>#N/A</v>
      </c>
      <c r="L1127" t="s">
        <v>218</v>
      </c>
      <c r="M1127" s="111"/>
    </row>
    <row r="1128" spans="1:13" x14ac:dyDescent="0.25">
      <c r="A1128">
        <v>1127</v>
      </c>
      <c r="B1128">
        <v>30028813</v>
      </c>
      <c r="C1128">
        <v>3</v>
      </c>
      <c r="E1128" s="110">
        <v>42648</v>
      </c>
      <c r="F1128" s="111" t="s">
        <v>311</v>
      </c>
      <c r="G1128">
        <v>0.68600000000000005</v>
      </c>
      <c r="H1128">
        <v>5.0000000000000622</v>
      </c>
      <c r="I1128">
        <v>3</v>
      </c>
      <c r="J1128">
        <v>39.999999999999936</v>
      </c>
      <c r="K1128" s="1" t="e">
        <f>INDEX($P$4:$AM$15,MATCH(MONTH($E1128),$O$4:$O$15,0),MATCH(HOUR($F1128),$P$3:$AM$3,0))</f>
        <v>#N/A</v>
      </c>
      <c r="L1128" t="s">
        <v>218</v>
      </c>
      <c r="M1128" s="111"/>
    </row>
    <row r="1129" spans="1:13" x14ac:dyDescent="0.25">
      <c r="A1129">
        <v>1128</v>
      </c>
      <c r="B1129">
        <v>30028813</v>
      </c>
      <c r="C1129">
        <v>4</v>
      </c>
      <c r="E1129" s="110">
        <v>42648</v>
      </c>
      <c r="F1129" s="111" t="s">
        <v>217</v>
      </c>
      <c r="G1129">
        <v>15.337999999999999</v>
      </c>
      <c r="H1129">
        <v>20.000000000000007</v>
      </c>
      <c r="I1129">
        <v>3</v>
      </c>
      <c r="J1129">
        <v>9.9999999999999645</v>
      </c>
      <c r="K1129" s="1" t="e">
        <f>INDEX($P$4:$AM$15,MATCH(MONTH($E1129),$O$4:$O$15,0),MATCH(HOUR($F1129),$P$3:$AM$3,0))</f>
        <v>#N/A</v>
      </c>
      <c r="L1129" t="s">
        <v>218</v>
      </c>
      <c r="M1129" s="111"/>
    </row>
    <row r="1130" spans="1:13" x14ac:dyDescent="0.25">
      <c r="A1130">
        <v>1129</v>
      </c>
      <c r="B1130">
        <v>30028813</v>
      </c>
      <c r="C1130">
        <v>5</v>
      </c>
      <c r="E1130" s="110">
        <v>42648</v>
      </c>
      <c r="F1130" s="111" t="s">
        <v>221</v>
      </c>
      <c r="G1130">
        <v>3.1589999999999998</v>
      </c>
      <c r="H1130">
        <v>15.000000000000027</v>
      </c>
      <c r="I1130">
        <v>3</v>
      </c>
      <c r="J1130">
        <v>1200</v>
      </c>
      <c r="K1130" s="1" t="e">
        <f>INDEX($P$4:$AM$15,MATCH(MONTH($E1130),$O$4:$O$15,0),MATCH(HOUR($F1130),$P$3:$AM$3,0))</f>
        <v>#N/A</v>
      </c>
      <c r="L1130" t="s">
        <v>218</v>
      </c>
      <c r="M1130" s="111"/>
    </row>
    <row r="1131" spans="1:13" x14ac:dyDescent="0.25">
      <c r="A1131">
        <v>1130</v>
      </c>
      <c r="B1131">
        <v>30028813</v>
      </c>
      <c r="C1131">
        <v>1</v>
      </c>
      <c r="E1131" s="110">
        <v>42649</v>
      </c>
      <c r="F1131" s="111" t="s">
        <v>254</v>
      </c>
      <c r="G1131">
        <v>26.460999999999999</v>
      </c>
      <c r="H1131">
        <v>35.000000000000036</v>
      </c>
      <c r="I1131">
        <v>3</v>
      </c>
      <c r="J1131">
        <v>640.00000000000011</v>
      </c>
      <c r="K1131" s="1" t="e">
        <f>INDEX($P$4:$AM$15,MATCH(MONTH($E1131),$O$4:$O$15,0),MATCH(HOUR($F1131),$P$3:$AM$3,0))</f>
        <v>#N/A</v>
      </c>
      <c r="L1131" t="s">
        <v>218</v>
      </c>
      <c r="M1131" s="111"/>
    </row>
    <row r="1132" spans="1:13" x14ac:dyDescent="0.25">
      <c r="A1132">
        <v>1131</v>
      </c>
      <c r="B1132">
        <v>30028813</v>
      </c>
      <c r="C1132">
        <v>2</v>
      </c>
      <c r="E1132" s="110">
        <v>42649</v>
      </c>
      <c r="F1132" s="111" t="s">
        <v>300</v>
      </c>
      <c r="G1132">
        <v>1.4730000000000001</v>
      </c>
      <c r="H1132">
        <v>9.9999999999999645</v>
      </c>
      <c r="I1132">
        <v>3</v>
      </c>
      <c r="J1132">
        <v>19.999999999999929</v>
      </c>
      <c r="K1132" s="1" t="e">
        <f>INDEX($P$4:$AM$15,MATCH(MONTH($E1132),$O$4:$O$15,0),MATCH(HOUR($F1132),$P$3:$AM$3,0))</f>
        <v>#N/A</v>
      </c>
      <c r="L1132" t="s">
        <v>218</v>
      </c>
    </row>
    <row r="1133" spans="1:13" x14ac:dyDescent="0.25">
      <c r="A1133">
        <v>1132</v>
      </c>
      <c r="B1133">
        <v>30028813</v>
      </c>
      <c r="C1133">
        <v>3</v>
      </c>
      <c r="E1133" s="110">
        <v>42649</v>
      </c>
      <c r="F1133" s="111" t="s">
        <v>245</v>
      </c>
      <c r="G1133">
        <v>18.759</v>
      </c>
      <c r="H1133">
        <v>30.000000000000053</v>
      </c>
      <c r="I1133">
        <v>3</v>
      </c>
      <c r="J1133">
        <v>875</v>
      </c>
      <c r="K1133" s="1" t="e">
        <f>INDEX($P$4:$AM$15,MATCH(MONTH($E1133),$O$4:$O$15,0),MATCH(HOUR($F1133),$P$3:$AM$3,0))</f>
        <v>#N/A</v>
      </c>
      <c r="L1133" t="s">
        <v>218</v>
      </c>
    </row>
    <row r="1134" spans="1:13" x14ac:dyDescent="0.25">
      <c r="A1134">
        <v>1133</v>
      </c>
      <c r="B1134">
        <v>30032394</v>
      </c>
      <c r="C1134">
        <v>1</v>
      </c>
      <c r="E1134" s="110">
        <v>42650</v>
      </c>
      <c r="F1134" s="111" t="s">
        <v>396</v>
      </c>
      <c r="G1134">
        <v>2.54</v>
      </c>
      <c r="H1134">
        <v>15.000000000000027</v>
      </c>
      <c r="I1134">
        <v>3</v>
      </c>
      <c r="J1134">
        <v>34.999999999999957</v>
      </c>
      <c r="K1134" s="1" t="e">
        <f>INDEX($P$4:$AM$15,MATCH(MONTH($E1134),$O$4:$O$15,0),MATCH(HOUR($F1134),$P$3:$AM$3,0))</f>
        <v>#N/A</v>
      </c>
      <c r="L1134" t="s">
        <v>257</v>
      </c>
    </row>
    <row r="1135" spans="1:13" x14ac:dyDescent="0.25">
      <c r="A1135">
        <v>1134</v>
      </c>
      <c r="B1135">
        <v>30032394</v>
      </c>
      <c r="C1135">
        <v>2</v>
      </c>
      <c r="E1135" s="110">
        <v>42650</v>
      </c>
      <c r="F1135" s="111" t="s">
        <v>290</v>
      </c>
      <c r="G1135">
        <v>2.7109999999999999</v>
      </c>
      <c r="H1135">
        <v>14.999999999999947</v>
      </c>
      <c r="I1135">
        <v>3</v>
      </c>
      <c r="J1135">
        <v>525.00000000000011</v>
      </c>
      <c r="K1135" s="1" t="e">
        <f>INDEX($P$4:$AM$15,MATCH(MONTH($E1135),$O$4:$O$15,0),MATCH(HOUR($F1135),$P$3:$AM$3,0))</f>
        <v>#N/A</v>
      </c>
      <c r="L1135" t="s">
        <v>257</v>
      </c>
    </row>
    <row r="1136" spans="1:13" x14ac:dyDescent="0.25">
      <c r="A1136">
        <v>1135</v>
      </c>
      <c r="B1136">
        <v>30043881</v>
      </c>
      <c r="C1136">
        <v>3</v>
      </c>
      <c r="E1136" s="110">
        <v>42650</v>
      </c>
      <c r="F1136" s="111" t="s">
        <v>576</v>
      </c>
      <c r="G1136">
        <v>5.2830000000000004</v>
      </c>
      <c r="H1136">
        <v>14.999999999999947</v>
      </c>
      <c r="I1136">
        <v>3</v>
      </c>
      <c r="J1136">
        <v>559.99999999999989</v>
      </c>
      <c r="K1136" s="1" t="e">
        <f>INDEX($P$4:$AM$15,MATCH(MONTH($E1136),$O$4:$O$15,0),MATCH(HOUR($F1136),$P$3:$AM$3,0))</f>
        <v>#N/A</v>
      </c>
      <c r="L1136" t="s">
        <v>218</v>
      </c>
    </row>
    <row r="1137" spans="1:12" x14ac:dyDescent="0.25">
      <c r="A1137">
        <v>1136</v>
      </c>
      <c r="B1137">
        <v>30045239</v>
      </c>
      <c r="C1137">
        <v>1</v>
      </c>
      <c r="E1137" s="110">
        <v>42651</v>
      </c>
      <c r="F1137" s="111" t="s">
        <v>293</v>
      </c>
      <c r="G1137">
        <v>130.578</v>
      </c>
      <c r="H1137">
        <v>120</v>
      </c>
      <c r="I1137">
        <v>6</v>
      </c>
      <c r="J1137">
        <v>90</v>
      </c>
      <c r="K1137" s="1" t="e">
        <f>INDEX($P$4:$AM$15,MATCH(MONTH($E1137),$O$4:$O$15,0),MATCH(HOUR($F1137),$P$3:$AM$3,0))</f>
        <v>#N/A</v>
      </c>
      <c r="L1137" t="s">
        <v>249</v>
      </c>
    </row>
    <row r="1138" spans="1:12" x14ac:dyDescent="0.25">
      <c r="A1138">
        <v>1137</v>
      </c>
      <c r="B1138">
        <v>30045239</v>
      </c>
      <c r="C1138">
        <v>2</v>
      </c>
      <c r="E1138" s="110">
        <v>42651</v>
      </c>
      <c r="F1138" s="111" t="s">
        <v>295</v>
      </c>
      <c r="G1138">
        <v>55.261000000000003</v>
      </c>
      <c r="H1138">
        <v>74.999999999999972</v>
      </c>
      <c r="I1138">
        <v>6</v>
      </c>
      <c r="J1138">
        <v>195.00000000000003</v>
      </c>
      <c r="K1138" s="1" t="e">
        <f>INDEX($P$4:$AM$15,MATCH(MONTH($E1138),$O$4:$O$15,0),MATCH(HOUR($F1138),$P$3:$AM$3,0))</f>
        <v>#N/A</v>
      </c>
      <c r="L1138" t="s">
        <v>249</v>
      </c>
    </row>
    <row r="1139" spans="1:12" x14ac:dyDescent="0.25">
      <c r="A1139">
        <v>1138</v>
      </c>
      <c r="B1139">
        <v>30045239</v>
      </c>
      <c r="C1139">
        <v>3</v>
      </c>
      <c r="E1139" s="110">
        <v>42651</v>
      </c>
      <c r="F1139" s="111" t="s">
        <v>240</v>
      </c>
      <c r="G1139">
        <v>36.625</v>
      </c>
      <c r="H1139">
        <v>59.999999999999943</v>
      </c>
      <c r="I1139">
        <v>6</v>
      </c>
      <c r="J1139">
        <v>60.000000000000107</v>
      </c>
      <c r="K1139" s="1" t="e">
        <f>INDEX($P$4:$AM$15,MATCH(MONTH($E1139),$O$4:$O$15,0),MATCH(HOUR($F1139),$P$3:$AM$3,0))</f>
        <v>#N/A</v>
      </c>
      <c r="L1139" t="s">
        <v>249</v>
      </c>
    </row>
    <row r="1140" spans="1:12" x14ac:dyDescent="0.25">
      <c r="A1140">
        <v>1139</v>
      </c>
      <c r="B1140">
        <v>30045239</v>
      </c>
      <c r="C1140">
        <v>4</v>
      </c>
      <c r="E1140" s="110">
        <v>42651</v>
      </c>
      <c r="F1140" s="111" t="s">
        <v>235</v>
      </c>
      <c r="G1140">
        <v>3.9039999999999999</v>
      </c>
      <c r="H1140">
        <v>14.999999999999947</v>
      </c>
      <c r="I1140">
        <v>6</v>
      </c>
      <c r="J1140">
        <v>59.999999999999943</v>
      </c>
      <c r="K1140" s="1" t="e">
        <f>INDEX($P$4:$AM$15,MATCH(MONTH($E1140),$O$4:$O$15,0),MATCH(HOUR($F1140),$P$3:$AM$3,0))</f>
        <v>#N/A</v>
      </c>
      <c r="L1140" t="s">
        <v>249</v>
      </c>
    </row>
    <row r="1141" spans="1:12" x14ac:dyDescent="0.25">
      <c r="A1141">
        <v>1140</v>
      </c>
      <c r="B1141">
        <v>30045239</v>
      </c>
      <c r="C1141">
        <v>5</v>
      </c>
      <c r="E1141" s="110">
        <v>42651</v>
      </c>
      <c r="F1141" s="111" t="s">
        <v>317</v>
      </c>
      <c r="G1141">
        <v>3.919</v>
      </c>
      <c r="H1141">
        <v>15.000000000000107</v>
      </c>
      <c r="I1141">
        <v>6</v>
      </c>
      <c r="J1141">
        <v>1260</v>
      </c>
      <c r="K1141" s="1" t="e">
        <f>INDEX($P$4:$AM$15,MATCH(MONTH($E1141),$O$4:$O$15,0),MATCH(HOUR($F1141),$P$3:$AM$3,0))</f>
        <v>#N/A</v>
      </c>
      <c r="L1141" t="s">
        <v>249</v>
      </c>
    </row>
    <row r="1142" spans="1:12" x14ac:dyDescent="0.25">
      <c r="A1142">
        <v>1141</v>
      </c>
      <c r="B1142">
        <v>30046184</v>
      </c>
      <c r="C1142">
        <v>1</v>
      </c>
      <c r="E1142" s="110">
        <v>42652</v>
      </c>
      <c r="F1142" s="111" t="s">
        <v>250</v>
      </c>
      <c r="G1142">
        <v>11.111000000000001</v>
      </c>
      <c r="H1142">
        <v>29.999999999999893</v>
      </c>
      <c r="I1142">
        <v>3</v>
      </c>
      <c r="J1142">
        <v>30.000000000000053</v>
      </c>
      <c r="K1142" s="1" t="e">
        <f>INDEX($P$4:$AM$15,MATCH(MONTH($E1142),$O$4:$O$15,0),MATCH(HOUR($F1142),$P$3:$AM$3,0))</f>
        <v>#N/A</v>
      </c>
      <c r="L1142" t="s">
        <v>249</v>
      </c>
    </row>
    <row r="1143" spans="1:12" x14ac:dyDescent="0.25">
      <c r="A1143">
        <v>1142</v>
      </c>
      <c r="B1143">
        <v>30046184</v>
      </c>
      <c r="C1143">
        <v>2</v>
      </c>
      <c r="E1143" s="110">
        <v>42652</v>
      </c>
      <c r="F1143" s="111" t="s">
        <v>227</v>
      </c>
      <c r="G1143">
        <v>10.452999999999999</v>
      </c>
      <c r="H1143">
        <v>30.000000000000053</v>
      </c>
      <c r="I1143">
        <v>3</v>
      </c>
      <c r="J1143">
        <v>59.999999999999943</v>
      </c>
      <c r="K1143" s="1" t="e">
        <f>INDEX($P$4:$AM$15,MATCH(MONTH($E1143),$O$4:$O$15,0),MATCH(HOUR($F1143),$P$3:$AM$3,0))</f>
        <v>#N/A</v>
      </c>
      <c r="L1143" t="s">
        <v>249</v>
      </c>
    </row>
    <row r="1144" spans="1:12" x14ac:dyDescent="0.25">
      <c r="A1144">
        <v>1143</v>
      </c>
      <c r="B1144">
        <v>30046184</v>
      </c>
      <c r="C1144">
        <v>3</v>
      </c>
      <c r="E1144" s="110">
        <v>42652</v>
      </c>
      <c r="F1144" s="111" t="s">
        <v>247</v>
      </c>
      <c r="G1144">
        <v>0.53900000000000003</v>
      </c>
      <c r="H1144">
        <v>10.000000000000124</v>
      </c>
      <c r="I1144">
        <v>3</v>
      </c>
      <c r="J1144">
        <v>19.999999999999929</v>
      </c>
      <c r="K1144" s="1" t="e">
        <f>INDEX($P$4:$AM$15,MATCH(MONTH($E1144),$O$4:$O$15,0),MATCH(HOUR($F1144),$P$3:$AM$3,0))</f>
        <v>#N/A</v>
      </c>
      <c r="L1144" t="s">
        <v>249</v>
      </c>
    </row>
    <row r="1145" spans="1:12" x14ac:dyDescent="0.25">
      <c r="A1145">
        <v>1144</v>
      </c>
      <c r="B1145">
        <v>30046184</v>
      </c>
      <c r="C1145">
        <v>4</v>
      </c>
      <c r="E1145" s="110">
        <v>42652</v>
      </c>
      <c r="F1145" s="111" t="s">
        <v>229</v>
      </c>
      <c r="G1145">
        <v>1.3560000000000001</v>
      </c>
      <c r="H1145">
        <v>9.9999999999999645</v>
      </c>
      <c r="I1145">
        <v>3</v>
      </c>
      <c r="J1145">
        <v>875</v>
      </c>
      <c r="K1145" s="1" t="e">
        <f>INDEX($P$4:$AM$15,MATCH(MONTH($E1145),$O$4:$O$15,0),MATCH(HOUR($F1145),$P$3:$AM$3,0))</f>
        <v>#N/A</v>
      </c>
      <c r="L1145" t="s">
        <v>249</v>
      </c>
    </row>
    <row r="1146" spans="1:12" x14ac:dyDescent="0.25">
      <c r="A1146">
        <v>1145</v>
      </c>
      <c r="B1146">
        <v>30048718</v>
      </c>
      <c r="C1146">
        <v>1</v>
      </c>
      <c r="E1146" s="110">
        <v>42653</v>
      </c>
      <c r="F1146" s="111" t="s">
        <v>344</v>
      </c>
      <c r="G1146">
        <v>5.8789999999999996</v>
      </c>
      <c r="H1146">
        <v>24.999999999999911</v>
      </c>
      <c r="I1146">
        <v>3</v>
      </c>
      <c r="J1146">
        <v>8.0000000000001315</v>
      </c>
      <c r="K1146" s="1" t="e">
        <f>INDEX($P$4:$AM$15,MATCH(MONTH($E1146),$O$4:$O$15,0),MATCH(HOUR($F1146),$P$3:$AM$3,0))</f>
        <v>#N/A</v>
      </c>
      <c r="L1146" t="s">
        <v>218</v>
      </c>
    </row>
    <row r="1147" spans="1:12" x14ac:dyDescent="0.25">
      <c r="A1147">
        <v>1146</v>
      </c>
      <c r="B1147">
        <v>30048718</v>
      </c>
      <c r="C1147">
        <v>2</v>
      </c>
      <c r="E1147" s="110">
        <v>42653</v>
      </c>
      <c r="F1147" s="111" t="s">
        <v>577</v>
      </c>
      <c r="G1147">
        <v>6.1130000000000004</v>
      </c>
      <c r="H1147">
        <v>31.999999999999964</v>
      </c>
      <c r="I1147">
        <v>3</v>
      </c>
      <c r="J1147">
        <v>499.99999999999994</v>
      </c>
      <c r="K1147" s="1" t="e">
        <f>INDEX($P$4:$AM$15,MATCH(MONTH($E1147),$O$4:$O$15,0),MATCH(HOUR($F1147),$P$3:$AM$3,0))</f>
        <v>#N/A</v>
      </c>
      <c r="L1147" t="s">
        <v>218</v>
      </c>
    </row>
    <row r="1148" spans="1:12" x14ac:dyDescent="0.25">
      <c r="A1148">
        <v>1147</v>
      </c>
      <c r="B1148">
        <v>30048718</v>
      </c>
      <c r="C1148">
        <v>3</v>
      </c>
      <c r="E1148" s="110">
        <v>42653</v>
      </c>
      <c r="F1148" s="111" t="s">
        <v>279</v>
      </c>
      <c r="G1148">
        <v>5.8789999999999996</v>
      </c>
      <c r="H1148">
        <v>27.999999999999901</v>
      </c>
      <c r="I1148">
        <v>3</v>
      </c>
      <c r="J1148">
        <v>7.000000000000135</v>
      </c>
      <c r="K1148" s="1" t="e">
        <f>INDEX($P$4:$AM$15,MATCH(MONTH($E1148),$O$4:$O$15,0),MATCH(HOUR($F1148),$P$3:$AM$3,0))</f>
        <v>#N/A</v>
      </c>
      <c r="L1148" t="s">
        <v>218</v>
      </c>
    </row>
    <row r="1149" spans="1:12" x14ac:dyDescent="0.25">
      <c r="A1149">
        <v>1148</v>
      </c>
      <c r="B1149">
        <v>30048718</v>
      </c>
      <c r="C1149">
        <v>4</v>
      </c>
      <c r="E1149" s="110">
        <v>42653</v>
      </c>
      <c r="F1149" s="111" t="s">
        <v>281</v>
      </c>
      <c r="G1149">
        <v>6.1130000000000004</v>
      </c>
      <c r="H1149">
        <v>29.999999999999893</v>
      </c>
      <c r="I1149">
        <v>3</v>
      </c>
      <c r="J1149">
        <v>1125</v>
      </c>
      <c r="K1149" s="1" t="e">
        <f>INDEX($P$4:$AM$15,MATCH(MONTH($E1149),$O$4:$O$15,0),MATCH(HOUR($F1149),$P$3:$AM$3,0))</f>
        <v>#N/A</v>
      </c>
      <c r="L1149" t="s">
        <v>218</v>
      </c>
    </row>
    <row r="1150" spans="1:12" x14ac:dyDescent="0.25">
      <c r="A1150">
        <v>1149</v>
      </c>
      <c r="B1150">
        <v>30050007</v>
      </c>
      <c r="C1150">
        <v>1</v>
      </c>
      <c r="E1150" s="110">
        <v>42654</v>
      </c>
      <c r="F1150" s="111" t="s">
        <v>219</v>
      </c>
      <c r="G1150">
        <v>1.7330000000000001</v>
      </c>
      <c r="H1150">
        <v>9.9999999999999645</v>
      </c>
      <c r="I1150">
        <v>3</v>
      </c>
      <c r="J1150">
        <v>30.000000000000053</v>
      </c>
      <c r="K1150" s="1" t="e">
        <f>INDEX($P$4:$AM$15,MATCH(MONTH($E1150),$O$4:$O$15,0),MATCH(HOUR($F1150),$P$3:$AM$3,0))</f>
        <v>#N/A</v>
      </c>
      <c r="L1150" t="s">
        <v>302</v>
      </c>
    </row>
    <row r="1151" spans="1:12" x14ac:dyDescent="0.25">
      <c r="A1151">
        <v>1150</v>
      </c>
      <c r="B1151">
        <v>30050007</v>
      </c>
      <c r="C1151">
        <v>2</v>
      </c>
      <c r="E1151" s="110">
        <v>42654</v>
      </c>
      <c r="F1151" s="111" t="s">
        <v>341</v>
      </c>
      <c r="G1151">
        <v>1.7330000000000001</v>
      </c>
      <c r="H1151">
        <v>10.000000000000124</v>
      </c>
      <c r="I1151">
        <v>3</v>
      </c>
      <c r="J1151">
        <v>1090</v>
      </c>
      <c r="K1151" s="1" t="e">
        <f>INDEX($P$4:$AM$15,MATCH(MONTH($E1151),$O$4:$O$15,0),MATCH(HOUR($F1151),$P$3:$AM$3,0))</f>
        <v>#N/A</v>
      </c>
      <c r="L1151" t="s">
        <v>302</v>
      </c>
    </row>
    <row r="1152" spans="1:12" x14ac:dyDescent="0.25">
      <c r="A1152">
        <v>1151</v>
      </c>
      <c r="B1152">
        <v>30050007</v>
      </c>
      <c r="C1152">
        <v>1</v>
      </c>
      <c r="E1152" s="110">
        <v>42655</v>
      </c>
      <c r="F1152" s="111" t="s">
        <v>273</v>
      </c>
      <c r="G1152">
        <v>1.1850000000000001</v>
      </c>
      <c r="H1152">
        <v>15.000000000000027</v>
      </c>
      <c r="I1152">
        <v>4</v>
      </c>
      <c r="J1152">
        <v>5.0000000000000622</v>
      </c>
      <c r="K1152" s="1" t="e">
        <f>INDEX($P$4:$AM$15,MATCH(MONTH($E1152),$O$4:$O$15,0),MATCH(HOUR($F1152),$P$3:$AM$3,0))</f>
        <v>#N/A</v>
      </c>
      <c r="L1152" t="s">
        <v>302</v>
      </c>
    </row>
    <row r="1153" spans="1:12" x14ac:dyDescent="0.25">
      <c r="A1153">
        <v>1152</v>
      </c>
      <c r="B1153">
        <v>30050007</v>
      </c>
      <c r="C1153">
        <v>2</v>
      </c>
      <c r="E1153" s="110">
        <v>42655</v>
      </c>
      <c r="F1153" s="111" t="s">
        <v>441</v>
      </c>
      <c r="G1153">
        <v>2.1989999999999998</v>
      </c>
      <c r="H1153">
        <v>9.9999999999999645</v>
      </c>
      <c r="I1153">
        <v>4</v>
      </c>
      <c r="J1153">
        <v>9.9999999999999645</v>
      </c>
      <c r="K1153" s="1" t="e">
        <f>INDEX($P$4:$AM$15,MATCH(MONTH($E1153),$O$4:$O$15,0),MATCH(HOUR($F1153),$P$3:$AM$3,0))</f>
        <v>#N/A</v>
      </c>
      <c r="L1153" t="s">
        <v>302</v>
      </c>
    </row>
    <row r="1154" spans="1:12" x14ac:dyDescent="0.25">
      <c r="A1154">
        <v>1153</v>
      </c>
      <c r="B1154">
        <v>30050007</v>
      </c>
      <c r="C1154">
        <v>3</v>
      </c>
      <c r="E1154" s="110">
        <v>42655</v>
      </c>
      <c r="F1154" s="111" t="s">
        <v>496</v>
      </c>
      <c r="G1154">
        <v>18.184000000000001</v>
      </c>
      <c r="H1154">
        <v>65.000000000000014</v>
      </c>
      <c r="I1154">
        <v>4</v>
      </c>
      <c r="J1154">
        <v>74.999999999999972</v>
      </c>
      <c r="K1154" s="1" t="e">
        <f>INDEX($P$4:$AM$15,MATCH(MONTH($E1154),$O$4:$O$15,0),MATCH(HOUR($F1154),$P$3:$AM$3,0))</f>
        <v>#N/A</v>
      </c>
      <c r="L1154" t="s">
        <v>302</v>
      </c>
    </row>
    <row r="1155" spans="1:12" x14ac:dyDescent="0.25">
      <c r="A1155">
        <v>1154</v>
      </c>
      <c r="B1155">
        <v>30050007</v>
      </c>
      <c r="C1155">
        <v>4</v>
      </c>
      <c r="E1155" s="110">
        <v>42655</v>
      </c>
      <c r="F1155" s="111" t="s">
        <v>221</v>
      </c>
      <c r="G1155">
        <v>17.36</v>
      </c>
      <c r="H1155">
        <v>50.000000000000064</v>
      </c>
      <c r="I1155">
        <v>4</v>
      </c>
      <c r="J1155">
        <v>69.999999999999915</v>
      </c>
      <c r="K1155" s="1" t="e">
        <f>INDEX($P$4:$AM$15,MATCH(MONTH($E1155),$O$4:$O$15,0),MATCH(HOUR($F1155),$P$3:$AM$3,0))</f>
        <v>#N/A</v>
      </c>
      <c r="L1155" t="s">
        <v>302</v>
      </c>
    </row>
    <row r="1156" spans="1:12" x14ac:dyDescent="0.25">
      <c r="A1156">
        <v>1155</v>
      </c>
      <c r="B1156">
        <v>30050007</v>
      </c>
      <c r="C1156">
        <v>5</v>
      </c>
      <c r="E1156" s="110">
        <v>42655</v>
      </c>
      <c r="F1156" s="111" t="s">
        <v>219</v>
      </c>
      <c r="G1156">
        <v>10.673999999999999</v>
      </c>
      <c r="H1156">
        <v>30.000000000000053</v>
      </c>
      <c r="I1156">
        <v>4</v>
      </c>
      <c r="J1156">
        <v>149.99999999999994</v>
      </c>
      <c r="K1156" s="1" t="e">
        <f>INDEX($P$4:$AM$15,MATCH(MONTH($E1156),$O$4:$O$15,0),MATCH(HOUR($F1156),$P$3:$AM$3,0))</f>
        <v>#N/A</v>
      </c>
      <c r="L1156" t="s">
        <v>302</v>
      </c>
    </row>
    <row r="1157" spans="1:12" x14ac:dyDescent="0.25">
      <c r="A1157">
        <v>1156</v>
      </c>
      <c r="B1157">
        <v>30050007</v>
      </c>
      <c r="C1157">
        <v>6</v>
      </c>
      <c r="E1157" s="110">
        <v>42655</v>
      </c>
      <c r="F1157" s="111" t="s">
        <v>252</v>
      </c>
      <c r="G1157">
        <v>10.339</v>
      </c>
      <c r="H1157">
        <v>30.000000000000053</v>
      </c>
      <c r="I1157">
        <v>4</v>
      </c>
      <c r="J1157">
        <v>1005</v>
      </c>
      <c r="K1157" s="1" t="e">
        <f>INDEX($P$4:$AM$15,MATCH(MONTH($E1157),$O$4:$O$15,0),MATCH(HOUR($F1157),$P$3:$AM$3,0))</f>
        <v>#N/A</v>
      </c>
      <c r="L1157" t="s">
        <v>302</v>
      </c>
    </row>
    <row r="1158" spans="1:12" x14ac:dyDescent="0.25">
      <c r="A1158">
        <v>1157</v>
      </c>
      <c r="B1158">
        <v>30050007</v>
      </c>
      <c r="C1158">
        <v>1</v>
      </c>
      <c r="E1158" s="110">
        <v>42656</v>
      </c>
      <c r="F1158" s="111" t="s">
        <v>287</v>
      </c>
      <c r="G1158">
        <v>4.3570000000000002</v>
      </c>
      <c r="H1158">
        <v>14.999999999999947</v>
      </c>
      <c r="I1158">
        <v>3</v>
      </c>
      <c r="J1158">
        <v>60.000000000000028</v>
      </c>
      <c r="K1158" s="1" t="e">
        <f>INDEX($P$4:$AM$15,MATCH(MONTH($E1158),$O$4:$O$15,0),MATCH(HOUR($F1158),$P$3:$AM$3,0))</f>
        <v>#N/A</v>
      </c>
      <c r="L1158" t="s">
        <v>302</v>
      </c>
    </row>
    <row r="1159" spans="1:12" x14ac:dyDescent="0.25">
      <c r="A1159">
        <v>1158</v>
      </c>
      <c r="B1159">
        <v>30050007</v>
      </c>
      <c r="C1159">
        <v>2</v>
      </c>
      <c r="E1159" s="110">
        <v>42656</v>
      </c>
      <c r="F1159" s="111" t="s">
        <v>217</v>
      </c>
      <c r="G1159">
        <v>4.3360000000000003</v>
      </c>
      <c r="H1159">
        <v>20.000000000000007</v>
      </c>
      <c r="I1159">
        <v>3</v>
      </c>
      <c r="J1159">
        <v>205</v>
      </c>
      <c r="K1159" s="1" t="e">
        <f>INDEX($P$4:$AM$15,MATCH(MONTH($E1159),$O$4:$O$15,0),MATCH(HOUR($F1159),$P$3:$AM$3,0))</f>
        <v>#N/A</v>
      </c>
      <c r="L1159" t="s">
        <v>302</v>
      </c>
    </row>
    <row r="1160" spans="1:12" x14ac:dyDescent="0.25">
      <c r="A1160">
        <v>1159</v>
      </c>
      <c r="B1160">
        <v>30050007</v>
      </c>
      <c r="C1160">
        <v>3</v>
      </c>
      <c r="E1160" s="110">
        <v>42656</v>
      </c>
      <c r="F1160" s="111" t="s">
        <v>382</v>
      </c>
      <c r="G1160">
        <v>4.7919999999999998</v>
      </c>
      <c r="H1160">
        <v>14.999999999999947</v>
      </c>
      <c r="I1160">
        <v>3</v>
      </c>
      <c r="J1160">
        <v>90</v>
      </c>
      <c r="K1160" s="1" t="e">
        <f>INDEX($P$4:$AM$15,MATCH(MONTH($E1160),$O$4:$O$15,0),MATCH(HOUR($F1160),$P$3:$AM$3,0))</f>
        <v>#N/A</v>
      </c>
      <c r="L1160" t="s">
        <v>302</v>
      </c>
    </row>
    <row r="1161" spans="1:12" x14ac:dyDescent="0.25">
      <c r="A1161">
        <v>1160</v>
      </c>
      <c r="B1161">
        <v>30050007</v>
      </c>
      <c r="C1161">
        <v>4</v>
      </c>
      <c r="E1161" s="110">
        <v>42656</v>
      </c>
      <c r="F1161" s="111" t="s">
        <v>252</v>
      </c>
      <c r="G1161">
        <v>4.9939999999999998</v>
      </c>
      <c r="H1161">
        <v>19.999999999999929</v>
      </c>
      <c r="I1161">
        <v>3</v>
      </c>
      <c r="J1161">
        <v>955</v>
      </c>
      <c r="K1161" s="1" t="e">
        <f>INDEX($P$4:$AM$15,MATCH(MONTH($E1161),$O$4:$O$15,0),MATCH(HOUR($F1161),$P$3:$AM$3,0))</f>
        <v>#N/A</v>
      </c>
      <c r="L1161" t="s">
        <v>302</v>
      </c>
    </row>
    <row r="1162" spans="1:12" x14ac:dyDescent="0.25">
      <c r="A1162">
        <v>1161</v>
      </c>
      <c r="B1162">
        <v>30061701</v>
      </c>
      <c r="C1162">
        <v>1</v>
      </c>
      <c r="E1162" s="110">
        <v>42657</v>
      </c>
      <c r="F1162" s="111" t="s">
        <v>389</v>
      </c>
      <c r="G1162">
        <v>10.101000000000001</v>
      </c>
      <c r="H1162">
        <v>20.000000000000007</v>
      </c>
      <c r="I1162">
        <v>3</v>
      </c>
      <c r="J1162">
        <v>515</v>
      </c>
      <c r="K1162" s="1" t="e">
        <f>INDEX($P$4:$AM$15,MATCH(MONTH($E1162),$O$4:$O$15,0),MATCH(HOUR($F1162),$P$3:$AM$3,0))</f>
        <v>#N/A</v>
      </c>
      <c r="L1162" t="s">
        <v>222</v>
      </c>
    </row>
    <row r="1163" spans="1:12" x14ac:dyDescent="0.25">
      <c r="A1163">
        <v>1162</v>
      </c>
      <c r="B1163">
        <v>30061701</v>
      </c>
      <c r="C1163">
        <v>2</v>
      </c>
      <c r="E1163" s="110">
        <v>42657</v>
      </c>
      <c r="F1163" s="111" t="s">
        <v>279</v>
      </c>
      <c r="G1163">
        <v>11.988</v>
      </c>
      <c r="H1163">
        <v>19.000000000000092</v>
      </c>
      <c r="I1163">
        <v>3</v>
      </c>
      <c r="J1163">
        <v>902.99999999999989</v>
      </c>
      <c r="K1163" s="1" t="e">
        <f>INDEX($P$4:$AM$15,MATCH(MONTH($E1163),$O$4:$O$15,0),MATCH(HOUR($F1163),$P$3:$AM$3,0))</f>
        <v>#N/A</v>
      </c>
      <c r="L1163" t="s">
        <v>222</v>
      </c>
    </row>
    <row r="1164" spans="1:12" x14ac:dyDescent="0.25">
      <c r="A1164">
        <v>1163</v>
      </c>
      <c r="B1164">
        <v>30061701</v>
      </c>
      <c r="C1164">
        <v>1</v>
      </c>
      <c r="E1164" s="110">
        <v>42658</v>
      </c>
      <c r="F1164" s="111" t="s">
        <v>493</v>
      </c>
      <c r="G1164">
        <v>3.5489999999999999</v>
      </c>
      <c r="H1164">
        <v>7.9999999999999716</v>
      </c>
      <c r="I1164">
        <v>3</v>
      </c>
      <c r="J1164">
        <v>170.00000000000003</v>
      </c>
      <c r="K1164" s="1" t="e">
        <f>INDEX($P$4:$AM$15,MATCH(MONTH($E1164),$O$4:$O$15,0),MATCH(HOUR($F1164),$P$3:$AM$3,0))</f>
        <v>#N/A</v>
      </c>
      <c r="L1164" t="s">
        <v>222</v>
      </c>
    </row>
    <row r="1165" spans="1:12" x14ac:dyDescent="0.25">
      <c r="A1165">
        <v>1164</v>
      </c>
      <c r="B1165">
        <v>30061701</v>
      </c>
      <c r="C1165">
        <v>2</v>
      </c>
      <c r="E1165" s="110">
        <v>42658</v>
      </c>
      <c r="F1165" s="111" t="s">
        <v>262</v>
      </c>
      <c r="G1165">
        <v>3.5489999999999999</v>
      </c>
      <c r="H1165">
        <v>9.9999999999999645</v>
      </c>
      <c r="I1165">
        <v>3</v>
      </c>
      <c r="J1165">
        <v>65.000000000000014</v>
      </c>
      <c r="K1165" s="1" t="e">
        <f>INDEX($P$4:$AM$15,MATCH(MONTH($E1165),$O$4:$O$15,0),MATCH(HOUR($F1165),$P$3:$AM$3,0))</f>
        <v>#N/A</v>
      </c>
      <c r="L1165" t="s">
        <v>222</v>
      </c>
    </row>
    <row r="1166" spans="1:12" x14ac:dyDescent="0.25">
      <c r="A1166">
        <v>1165</v>
      </c>
      <c r="B1166">
        <v>30061701</v>
      </c>
      <c r="C1166">
        <v>3</v>
      </c>
      <c r="E1166" s="110">
        <v>42658</v>
      </c>
      <c r="F1166" s="111" t="s">
        <v>225</v>
      </c>
      <c r="G1166">
        <v>3.7879999999999998</v>
      </c>
      <c r="H1166">
        <v>9.9999999999999645</v>
      </c>
      <c r="I1166">
        <v>3</v>
      </c>
      <c r="J1166">
        <v>45</v>
      </c>
      <c r="K1166" s="1" t="e">
        <f>INDEX($P$4:$AM$15,MATCH(MONTH($E1166),$O$4:$O$15,0),MATCH(HOUR($F1166),$P$3:$AM$3,0))</f>
        <v>#N/A</v>
      </c>
      <c r="L1166" t="s">
        <v>222</v>
      </c>
    </row>
    <row r="1167" spans="1:12" x14ac:dyDescent="0.25">
      <c r="A1167">
        <v>1166</v>
      </c>
      <c r="B1167">
        <v>30061701</v>
      </c>
      <c r="C1167">
        <v>4</v>
      </c>
      <c r="E1167" s="110">
        <v>42658</v>
      </c>
      <c r="F1167" s="111" t="s">
        <v>341</v>
      </c>
      <c r="G1167">
        <v>3.7869999999999999</v>
      </c>
      <c r="H1167">
        <v>10.000000000000124</v>
      </c>
      <c r="I1167">
        <v>3</v>
      </c>
      <c r="J1167">
        <v>1050</v>
      </c>
      <c r="K1167" s="1" t="e">
        <f>INDEX($P$4:$AM$15,MATCH(MONTH($E1167),$O$4:$O$15,0),MATCH(HOUR($F1167),$P$3:$AM$3,0))</f>
        <v>#N/A</v>
      </c>
      <c r="L1167" t="s">
        <v>222</v>
      </c>
    </row>
    <row r="1168" spans="1:12" x14ac:dyDescent="0.25">
      <c r="A1168">
        <v>1167</v>
      </c>
      <c r="B1168">
        <v>30061701</v>
      </c>
      <c r="C1168">
        <v>1</v>
      </c>
      <c r="E1168" s="110">
        <v>42659</v>
      </c>
      <c r="F1168" s="111" t="s">
        <v>578</v>
      </c>
      <c r="G1168">
        <v>3.8119999999999998</v>
      </c>
      <c r="H1168">
        <v>30.000000000000053</v>
      </c>
      <c r="I1168">
        <v>3</v>
      </c>
      <c r="J1168">
        <v>394.99999999999994</v>
      </c>
      <c r="K1168" s="1" t="e">
        <f>INDEX($P$4:$AM$15,MATCH(MONTH($E1168),$O$4:$O$15,0),MATCH(HOUR($F1168),$P$3:$AM$3,0))</f>
        <v>#N/A</v>
      </c>
      <c r="L1168" t="s">
        <v>222</v>
      </c>
    </row>
    <row r="1169" spans="1:12" x14ac:dyDescent="0.25">
      <c r="A1169">
        <v>1168</v>
      </c>
      <c r="B1169">
        <v>30061701</v>
      </c>
      <c r="C1169">
        <v>2</v>
      </c>
      <c r="E1169" s="110">
        <v>42659</v>
      </c>
      <c r="F1169" s="111" t="s">
        <v>438</v>
      </c>
      <c r="G1169">
        <v>0.91800000000000004</v>
      </c>
      <c r="H1169">
        <v>4.9999999999999822</v>
      </c>
      <c r="I1169">
        <v>3</v>
      </c>
      <c r="J1169">
        <v>20.000000000000089</v>
      </c>
      <c r="K1169" s="1" t="e">
        <f>INDEX($P$4:$AM$15,MATCH(MONTH($E1169),$O$4:$O$15,0),MATCH(HOUR($F1169),$P$3:$AM$3,0))</f>
        <v>#N/A</v>
      </c>
      <c r="L1169" t="s">
        <v>222</v>
      </c>
    </row>
    <row r="1170" spans="1:12" x14ac:dyDescent="0.25">
      <c r="A1170">
        <v>1169</v>
      </c>
      <c r="B1170">
        <v>30061701</v>
      </c>
      <c r="C1170">
        <v>3</v>
      </c>
      <c r="E1170" s="110">
        <v>42659</v>
      </c>
      <c r="F1170" s="111" t="s">
        <v>328</v>
      </c>
      <c r="G1170">
        <v>3.7850000000000001</v>
      </c>
      <c r="H1170">
        <v>9.9999999999999645</v>
      </c>
      <c r="I1170">
        <v>3</v>
      </c>
      <c r="J1170">
        <v>1000</v>
      </c>
      <c r="K1170" s="1" t="e">
        <f>INDEX($P$4:$AM$15,MATCH(MONTH($E1170),$O$4:$O$15,0),MATCH(HOUR($F1170),$P$3:$AM$3,0))</f>
        <v>#N/A</v>
      </c>
      <c r="L1170" t="s">
        <v>222</v>
      </c>
    </row>
    <row r="1171" spans="1:12" x14ac:dyDescent="0.25">
      <c r="A1171">
        <v>1170</v>
      </c>
      <c r="B1171">
        <v>30063131</v>
      </c>
      <c r="C1171">
        <v>1</v>
      </c>
      <c r="E1171" s="110">
        <v>42660</v>
      </c>
      <c r="F1171" s="111" t="s">
        <v>246</v>
      </c>
      <c r="G1171">
        <v>12.247999999999999</v>
      </c>
      <c r="H1171">
        <v>19.999999999999929</v>
      </c>
      <c r="I1171">
        <v>3</v>
      </c>
      <c r="J1171">
        <v>515</v>
      </c>
      <c r="K1171" s="1" t="e">
        <f>INDEX($P$4:$AM$15,MATCH(MONTH($E1171),$O$4:$O$15,0),MATCH(HOUR($F1171),$P$3:$AM$3,0))</f>
        <v>#N/A</v>
      </c>
      <c r="L1171" t="s">
        <v>218</v>
      </c>
    </row>
    <row r="1172" spans="1:12" x14ac:dyDescent="0.25">
      <c r="A1172">
        <v>1171</v>
      </c>
      <c r="B1172">
        <v>30063131</v>
      </c>
      <c r="C1172">
        <v>2</v>
      </c>
      <c r="E1172" s="110">
        <v>42660</v>
      </c>
      <c r="F1172" s="111" t="s">
        <v>579</v>
      </c>
      <c r="G1172">
        <v>18.934000000000001</v>
      </c>
      <c r="H1172">
        <v>25.000000000000071</v>
      </c>
      <c r="I1172">
        <v>3</v>
      </c>
      <c r="J1172">
        <v>45</v>
      </c>
      <c r="K1172" s="1" t="e">
        <f>INDEX($P$4:$AM$15,MATCH(MONTH($E1172),$O$4:$O$15,0),MATCH(HOUR($F1172),$P$3:$AM$3,0))</f>
        <v>#N/A</v>
      </c>
      <c r="L1172" t="s">
        <v>218</v>
      </c>
    </row>
    <row r="1173" spans="1:12" x14ac:dyDescent="0.25">
      <c r="A1173">
        <v>1172</v>
      </c>
      <c r="B1173">
        <v>30063131</v>
      </c>
      <c r="C1173">
        <v>3</v>
      </c>
      <c r="E1173" s="110">
        <v>42660</v>
      </c>
      <c r="F1173" s="111" t="s">
        <v>281</v>
      </c>
      <c r="G1173">
        <v>6.8159999999999998</v>
      </c>
      <c r="H1173">
        <v>14.999999999999947</v>
      </c>
      <c r="I1173">
        <v>3</v>
      </c>
      <c r="J1173">
        <v>790</v>
      </c>
      <c r="K1173" s="1" t="e">
        <f>INDEX($P$4:$AM$15,MATCH(MONTH($E1173),$O$4:$O$15,0),MATCH(HOUR($F1173),$P$3:$AM$3,0))</f>
        <v>#N/A</v>
      </c>
      <c r="L1173" t="s">
        <v>218</v>
      </c>
    </row>
    <row r="1174" spans="1:12" x14ac:dyDescent="0.25">
      <c r="A1174">
        <v>1173</v>
      </c>
      <c r="B1174">
        <v>30063131</v>
      </c>
      <c r="C1174">
        <v>1</v>
      </c>
      <c r="E1174" s="110">
        <v>42661</v>
      </c>
      <c r="F1174" s="111" t="s">
        <v>234</v>
      </c>
      <c r="G1174">
        <v>25.343</v>
      </c>
      <c r="H1174">
        <v>40.000000000000014</v>
      </c>
      <c r="I1174">
        <v>3</v>
      </c>
      <c r="J1174">
        <v>429.99999999999994</v>
      </c>
      <c r="K1174" s="1" t="e">
        <f>INDEX($P$4:$AM$15,MATCH(MONTH($E1174),$O$4:$O$15,0),MATCH(HOUR($F1174),$P$3:$AM$3,0))</f>
        <v>#N/A</v>
      </c>
      <c r="L1174" t="s">
        <v>218</v>
      </c>
    </row>
    <row r="1175" spans="1:12" x14ac:dyDescent="0.25">
      <c r="A1175">
        <v>1174</v>
      </c>
      <c r="B1175">
        <v>30063131</v>
      </c>
      <c r="C1175">
        <v>2</v>
      </c>
      <c r="E1175" s="110">
        <v>42661</v>
      </c>
      <c r="F1175" s="111" t="s">
        <v>227</v>
      </c>
      <c r="G1175">
        <v>43.844000000000001</v>
      </c>
      <c r="H1175">
        <v>90</v>
      </c>
      <c r="I1175">
        <v>3</v>
      </c>
      <c r="J1175">
        <v>184.99999999999997</v>
      </c>
      <c r="K1175" s="1" t="e">
        <f>INDEX($P$4:$AM$15,MATCH(MONTH($E1175),$O$4:$O$15,0),MATCH(HOUR($F1175),$P$3:$AM$3,0))</f>
        <v>#N/A</v>
      </c>
      <c r="L1175" t="s">
        <v>218</v>
      </c>
    </row>
    <row r="1176" spans="1:12" x14ac:dyDescent="0.25">
      <c r="A1176">
        <v>1175</v>
      </c>
      <c r="B1176">
        <v>30063131</v>
      </c>
      <c r="C1176">
        <v>3</v>
      </c>
      <c r="E1176" s="110">
        <v>42661</v>
      </c>
      <c r="F1176" s="111" t="s">
        <v>395</v>
      </c>
      <c r="G1176">
        <v>55.124000000000002</v>
      </c>
      <c r="H1176">
        <v>35.000000000000036</v>
      </c>
      <c r="I1176">
        <v>3</v>
      </c>
      <c r="J1176">
        <v>1211</v>
      </c>
      <c r="K1176" s="1" t="e">
        <f>INDEX($P$4:$AM$15,MATCH(MONTH($E1176),$O$4:$O$15,0),MATCH(HOUR($F1176),$P$3:$AM$3,0))</f>
        <v>#N/A</v>
      </c>
      <c r="L1176" t="s">
        <v>218</v>
      </c>
    </row>
    <row r="1177" spans="1:12" x14ac:dyDescent="0.25">
      <c r="A1177">
        <v>1176</v>
      </c>
      <c r="B1177">
        <v>30063528</v>
      </c>
      <c r="C1177">
        <v>1</v>
      </c>
      <c r="E1177" s="110">
        <v>42662</v>
      </c>
      <c r="F1177" s="111" t="s">
        <v>278</v>
      </c>
      <c r="G1177">
        <v>0.28799999999999998</v>
      </c>
      <c r="H1177">
        <v>1.9999999999999929</v>
      </c>
      <c r="I1177">
        <v>3</v>
      </c>
      <c r="J1177">
        <v>32.000000000000043</v>
      </c>
      <c r="K1177" s="1" t="e">
        <f>INDEX($P$4:$AM$15,MATCH(MONTH($E1177),$O$4:$O$15,0),MATCH(HOUR($F1177),$P$3:$AM$3,0))</f>
        <v>#N/A</v>
      </c>
      <c r="L1177" t="s">
        <v>302</v>
      </c>
    </row>
    <row r="1178" spans="1:12" x14ac:dyDescent="0.25">
      <c r="A1178">
        <v>1177</v>
      </c>
      <c r="B1178">
        <v>30063528</v>
      </c>
      <c r="C1178">
        <v>2</v>
      </c>
      <c r="E1178" s="110">
        <v>42662</v>
      </c>
      <c r="F1178" s="111" t="s">
        <v>271</v>
      </c>
      <c r="G1178">
        <v>1.1180000000000001</v>
      </c>
      <c r="H1178">
        <v>14.999999999999947</v>
      </c>
      <c r="I1178">
        <v>3</v>
      </c>
      <c r="J1178">
        <v>0.99999999999999645</v>
      </c>
      <c r="K1178" s="1" t="e">
        <f>INDEX($P$4:$AM$15,MATCH(MONTH($E1178),$O$4:$O$15,0),MATCH(HOUR($F1178),$P$3:$AM$3,0))</f>
        <v>#N/A</v>
      </c>
      <c r="L1178" t="s">
        <v>302</v>
      </c>
    </row>
    <row r="1179" spans="1:12" x14ac:dyDescent="0.25">
      <c r="A1179">
        <v>1178</v>
      </c>
      <c r="B1179">
        <v>30063528</v>
      </c>
      <c r="C1179">
        <v>3</v>
      </c>
      <c r="E1179" s="110">
        <v>42662</v>
      </c>
      <c r="F1179" s="111" t="s">
        <v>506</v>
      </c>
      <c r="G1179">
        <v>6.2889999999999997</v>
      </c>
      <c r="H1179">
        <v>3.9999999999999858</v>
      </c>
      <c r="I1179">
        <v>3</v>
      </c>
      <c r="J1179">
        <v>154.99999999999994</v>
      </c>
      <c r="K1179" s="1" t="e">
        <f>INDEX($P$4:$AM$15,MATCH(MONTH($E1179),$O$4:$O$15,0),MATCH(HOUR($F1179),$P$3:$AM$3,0))</f>
        <v>#N/A</v>
      </c>
      <c r="L1179" t="s">
        <v>302</v>
      </c>
    </row>
    <row r="1180" spans="1:12" x14ac:dyDescent="0.25">
      <c r="A1180">
        <v>1179</v>
      </c>
      <c r="B1180">
        <v>30063528</v>
      </c>
      <c r="C1180">
        <v>4</v>
      </c>
      <c r="E1180" s="110">
        <v>42662</v>
      </c>
      <c r="F1180" s="111" t="s">
        <v>495</v>
      </c>
      <c r="G1180">
        <v>2.8140000000000001</v>
      </c>
      <c r="H1180">
        <v>2.0000000000001528</v>
      </c>
      <c r="I1180">
        <v>3</v>
      </c>
      <c r="J1180">
        <v>653</v>
      </c>
      <c r="K1180" s="1" t="e">
        <f>INDEX($P$4:$AM$15,MATCH(MONTH($E1180),$O$4:$O$15,0),MATCH(HOUR($F1180),$P$3:$AM$3,0))</f>
        <v>#N/A</v>
      </c>
      <c r="L1180" t="s">
        <v>302</v>
      </c>
    </row>
    <row r="1181" spans="1:12" x14ac:dyDescent="0.25">
      <c r="A1181">
        <v>1180</v>
      </c>
      <c r="B1181">
        <v>30070662</v>
      </c>
      <c r="C1181">
        <v>1</v>
      </c>
      <c r="E1181" s="110">
        <v>42663</v>
      </c>
      <c r="F1181" s="111" t="s">
        <v>368</v>
      </c>
      <c r="G1181">
        <v>2.9409999999999998</v>
      </c>
      <c r="H1181">
        <v>4.9999999999999822</v>
      </c>
      <c r="I1181">
        <v>6</v>
      </c>
      <c r="J1181">
        <v>69.999999999999986</v>
      </c>
      <c r="K1181" s="1" t="e">
        <f>INDEX($P$4:$AM$15,MATCH(MONTH($E1181),$O$4:$O$15,0),MATCH(HOUR($F1181),$P$3:$AM$3,0))</f>
        <v>#N/A</v>
      </c>
      <c r="L1181" t="s">
        <v>218</v>
      </c>
    </row>
    <row r="1182" spans="1:12" x14ac:dyDescent="0.25">
      <c r="A1182">
        <v>1181</v>
      </c>
      <c r="B1182">
        <v>30070662</v>
      </c>
      <c r="C1182">
        <v>2</v>
      </c>
      <c r="E1182" s="110">
        <v>42663</v>
      </c>
      <c r="F1182" s="111" t="s">
        <v>273</v>
      </c>
      <c r="G1182">
        <v>0.81200000000000006</v>
      </c>
      <c r="H1182">
        <v>5.0000000000000622</v>
      </c>
      <c r="I1182">
        <v>6</v>
      </c>
      <c r="J1182">
        <v>474.99999999999989</v>
      </c>
      <c r="K1182" s="1" t="e">
        <f>INDEX($P$4:$AM$15,MATCH(MONTH($E1182),$O$4:$O$15,0),MATCH(HOUR($F1182),$P$3:$AM$3,0))</f>
        <v>#N/A</v>
      </c>
      <c r="L1182" t="s">
        <v>218</v>
      </c>
    </row>
    <row r="1183" spans="1:12" x14ac:dyDescent="0.25">
      <c r="A1183">
        <v>1182</v>
      </c>
      <c r="B1183">
        <v>30070662</v>
      </c>
      <c r="C1183">
        <v>3</v>
      </c>
      <c r="E1183" s="110">
        <v>42663</v>
      </c>
      <c r="F1183" s="111" t="s">
        <v>252</v>
      </c>
      <c r="G1183">
        <v>2.9750000000000001</v>
      </c>
      <c r="H1183">
        <v>10.000000000000124</v>
      </c>
      <c r="I1183">
        <v>6</v>
      </c>
      <c r="J1183">
        <v>889.99999999999989</v>
      </c>
      <c r="K1183" s="1" t="e">
        <f>INDEX($P$4:$AM$15,MATCH(MONTH($E1183),$O$4:$O$15,0),MATCH(HOUR($F1183),$P$3:$AM$3,0))</f>
        <v>#N/A</v>
      </c>
      <c r="L1183" t="s">
        <v>218</v>
      </c>
    </row>
    <row r="1184" spans="1:12" x14ac:dyDescent="0.25">
      <c r="A1184">
        <v>1183</v>
      </c>
      <c r="B1184">
        <v>30070662</v>
      </c>
      <c r="C1184">
        <v>1</v>
      </c>
      <c r="E1184" s="110">
        <v>42664</v>
      </c>
      <c r="F1184" s="111" t="s">
        <v>305</v>
      </c>
      <c r="G1184">
        <v>4.1029999999999998</v>
      </c>
      <c r="H1184">
        <v>14.999999999999947</v>
      </c>
      <c r="I1184">
        <v>3</v>
      </c>
      <c r="J1184">
        <v>4.9999999999999822</v>
      </c>
      <c r="K1184" s="1" t="e">
        <f>INDEX($P$4:$AM$15,MATCH(MONTH($E1184),$O$4:$O$15,0),MATCH(HOUR($F1184),$P$3:$AM$3,0))</f>
        <v>#N/A</v>
      </c>
      <c r="L1184" t="s">
        <v>218</v>
      </c>
    </row>
    <row r="1185" spans="1:12" x14ac:dyDescent="0.25">
      <c r="A1185">
        <v>1184</v>
      </c>
      <c r="B1185">
        <v>30070662</v>
      </c>
      <c r="C1185">
        <v>2</v>
      </c>
      <c r="E1185" s="110">
        <v>42664</v>
      </c>
      <c r="F1185" s="111" t="s">
        <v>578</v>
      </c>
      <c r="G1185">
        <v>30.335000000000001</v>
      </c>
      <c r="H1185">
        <v>70.000000000000071</v>
      </c>
      <c r="I1185">
        <v>3</v>
      </c>
      <c r="J1185">
        <v>559.99999999999977</v>
      </c>
      <c r="K1185" s="1" t="e">
        <f>INDEX($P$4:$AM$15,MATCH(MONTH($E1185),$O$4:$O$15,0),MATCH(HOUR($F1185),$P$3:$AM$3,0))</f>
        <v>#N/A</v>
      </c>
      <c r="L1185" t="s">
        <v>218</v>
      </c>
    </row>
    <row r="1186" spans="1:12" x14ac:dyDescent="0.25">
      <c r="A1186">
        <v>1185</v>
      </c>
      <c r="B1186">
        <v>30070662</v>
      </c>
      <c r="C1186">
        <v>3</v>
      </c>
      <c r="E1186" s="110">
        <v>42664</v>
      </c>
      <c r="F1186" s="111" t="s">
        <v>549</v>
      </c>
      <c r="G1186">
        <v>35.521999999999998</v>
      </c>
      <c r="H1186">
        <v>90</v>
      </c>
      <c r="I1186">
        <v>3</v>
      </c>
      <c r="J1186">
        <v>525</v>
      </c>
      <c r="K1186" s="1" t="e">
        <f>INDEX($P$4:$AM$15,MATCH(MONTH($E1186),$O$4:$O$15,0),MATCH(HOUR($F1186),$P$3:$AM$3,0))</f>
        <v>#N/A</v>
      </c>
      <c r="L1186" t="s">
        <v>218</v>
      </c>
    </row>
    <row r="1187" spans="1:12" x14ac:dyDescent="0.25">
      <c r="A1187">
        <v>1186</v>
      </c>
      <c r="B1187">
        <v>30074086</v>
      </c>
      <c r="C1187">
        <v>1</v>
      </c>
      <c r="E1187" s="110">
        <v>42665</v>
      </c>
      <c r="F1187" s="111" t="s">
        <v>580</v>
      </c>
      <c r="G1187">
        <v>2.782</v>
      </c>
      <c r="H1187">
        <v>5.0000000000000622</v>
      </c>
      <c r="I1187">
        <v>6</v>
      </c>
      <c r="J1187">
        <v>9.9999999999999645</v>
      </c>
      <c r="K1187" s="1" t="e">
        <f>INDEX($P$4:$AM$15,MATCH(MONTH($E1187),$O$4:$O$15,0),MATCH(HOUR($F1187),$P$3:$AM$3,0))</f>
        <v>#N/A</v>
      </c>
      <c r="L1187" t="s">
        <v>218</v>
      </c>
    </row>
    <row r="1188" spans="1:12" x14ac:dyDescent="0.25">
      <c r="A1188">
        <v>1187</v>
      </c>
      <c r="B1188">
        <v>30074086</v>
      </c>
      <c r="C1188">
        <v>2</v>
      </c>
      <c r="E1188" s="110">
        <v>42665</v>
      </c>
      <c r="F1188" s="111" t="s">
        <v>581</v>
      </c>
      <c r="G1188">
        <v>45.64</v>
      </c>
      <c r="H1188">
        <v>39.000000000000021</v>
      </c>
      <c r="I1188">
        <v>6</v>
      </c>
      <c r="J1188">
        <v>631</v>
      </c>
      <c r="K1188" s="1" t="e">
        <f>INDEX($P$4:$AM$15,MATCH(MONTH($E1188),$O$4:$O$15,0),MATCH(HOUR($F1188),$P$3:$AM$3,0))</f>
        <v>#N/A</v>
      </c>
      <c r="L1188" t="s">
        <v>218</v>
      </c>
    </row>
    <row r="1189" spans="1:12" x14ac:dyDescent="0.25">
      <c r="A1189">
        <v>1188</v>
      </c>
      <c r="B1189">
        <v>30074086</v>
      </c>
      <c r="C1189">
        <v>3</v>
      </c>
      <c r="E1189" s="110">
        <v>42665</v>
      </c>
      <c r="F1189" s="111" t="s">
        <v>235</v>
      </c>
      <c r="G1189">
        <v>24.76</v>
      </c>
      <c r="H1189">
        <v>45</v>
      </c>
      <c r="I1189">
        <v>6</v>
      </c>
      <c r="J1189">
        <v>14.999999999999947</v>
      </c>
      <c r="K1189" s="1" t="e">
        <f>INDEX($P$4:$AM$15,MATCH(MONTH($E1189),$O$4:$O$15,0),MATCH(HOUR($F1189),$P$3:$AM$3,0))</f>
        <v>#N/A</v>
      </c>
      <c r="L1189" t="s">
        <v>218</v>
      </c>
    </row>
    <row r="1190" spans="1:12" x14ac:dyDescent="0.25">
      <c r="A1190">
        <v>1189</v>
      </c>
      <c r="B1190">
        <v>30074086</v>
      </c>
      <c r="C1190">
        <v>4</v>
      </c>
      <c r="E1190" s="110">
        <v>42665</v>
      </c>
      <c r="F1190" s="111" t="s">
        <v>247</v>
      </c>
      <c r="G1190">
        <v>11.831</v>
      </c>
      <c r="H1190">
        <v>30.000000000000053</v>
      </c>
      <c r="I1190">
        <v>6</v>
      </c>
      <c r="J1190">
        <v>45</v>
      </c>
      <c r="K1190" s="1" t="e">
        <f>INDEX($P$4:$AM$15,MATCH(MONTH($E1190),$O$4:$O$15,0),MATCH(HOUR($F1190),$P$3:$AM$3,0))</f>
        <v>#N/A</v>
      </c>
      <c r="L1190" t="s">
        <v>218</v>
      </c>
    </row>
    <row r="1191" spans="1:12" x14ac:dyDescent="0.25">
      <c r="A1191">
        <v>1190</v>
      </c>
      <c r="B1191">
        <v>30074086</v>
      </c>
      <c r="C1191">
        <v>5</v>
      </c>
      <c r="E1191" s="110">
        <v>42665</v>
      </c>
      <c r="F1191" s="111" t="s">
        <v>281</v>
      </c>
      <c r="G1191">
        <v>3.2530000000000001</v>
      </c>
      <c r="H1191">
        <v>9.9999999999999645</v>
      </c>
      <c r="I1191">
        <v>6</v>
      </c>
      <c r="J1191">
        <v>904.99999999999989</v>
      </c>
      <c r="K1191" s="1" t="e">
        <f>INDEX($P$4:$AM$15,MATCH(MONTH($E1191),$O$4:$O$15,0),MATCH(HOUR($F1191),$P$3:$AM$3,0))</f>
        <v>#N/A</v>
      </c>
      <c r="L1191" t="s">
        <v>218</v>
      </c>
    </row>
    <row r="1192" spans="1:12" x14ac:dyDescent="0.25">
      <c r="A1192">
        <v>1191</v>
      </c>
      <c r="B1192">
        <v>30074086</v>
      </c>
      <c r="C1192">
        <v>1</v>
      </c>
      <c r="E1192" s="110">
        <v>42666</v>
      </c>
      <c r="F1192" s="111" t="s">
        <v>295</v>
      </c>
      <c r="G1192">
        <v>2.96</v>
      </c>
      <c r="H1192">
        <v>15.000000000000027</v>
      </c>
      <c r="I1192">
        <v>3</v>
      </c>
      <c r="J1192">
        <v>45</v>
      </c>
      <c r="K1192" s="1" t="e">
        <f>INDEX($P$4:$AM$15,MATCH(MONTH($E1192),$O$4:$O$15,0),MATCH(HOUR($F1192),$P$3:$AM$3,0))</f>
        <v>#N/A</v>
      </c>
      <c r="L1192" t="s">
        <v>218</v>
      </c>
    </row>
    <row r="1193" spans="1:12" x14ac:dyDescent="0.25">
      <c r="A1193">
        <v>1192</v>
      </c>
      <c r="B1193">
        <v>30074086</v>
      </c>
      <c r="C1193">
        <v>2</v>
      </c>
      <c r="E1193" s="110">
        <v>42666</v>
      </c>
      <c r="F1193" s="111" t="s">
        <v>283</v>
      </c>
      <c r="G1193">
        <v>5.7990000000000004</v>
      </c>
      <c r="H1193">
        <v>29.999999999999972</v>
      </c>
      <c r="I1193">
        <v>3</v>
      </c>
      <c r="J1193">
        <v>60.000000000000028</v>
      </c>
      <c r="K1193" s="1" t="e">
        <f>INDEX($P$4:$AM$15,MATCH(MONTH($E1193),$O$4:$O$15,0),MATCH(HOUR($F1193),$P$3:$AM$3,0))</f>
        <v>#N/A</v>
      </c>
      <c r="L1193" t="s">
        <v>218</v>
      </c>
    </row>
    <row r="1194" spans="1:12" x14ac:dyDescent="0.25">
      <c r="A1194">
        <v>1193</v>
      </c>
      <c r="B1194">
        <v>30074086</v>
      </c>
      <c r="C1194">
        <v>3</v>
      </c>
      <c r="E1194" s="110">
        <v>42666</v>
      </c>
      <c r="F1194" s="111" t="s">
        <v>262</v>
      </c>
      <c r="G1194">
        <v>7.218</v>
      </c>
      <c r="H1194">
        <v>29.999999999999972</v>
      </c>
      <c r="I1194">
        <v>3</v>
      </c>
      <c r="J1194">
        <v>1290</v>
      </c>
      <c r="K1194" s="1" t="e">
        <f>INDEX($P$4:$AM$15,MATCH(MONTH($E1194),$O$4:$O$15,0),MATCH(HOUR($F1194),$P$3:$AM$3,0))</f>
        <v>#N/A</v>
      </c>
      <c r="L1194" t="s">
        <v>218</v>
      </c>
    </row>
    <row r="1195" spans="1:12" x14ac:dyDescent="0.25">
      <c r="A1195">
        <v>1194</v>
      </c>
      <c r="B1195">
        <v>30074817</v>
      </c>
      <c r="C1195">
        <v>1</v>
      </c>
      <c r="E1195" s="110">
        <v>42667</v>
      </c>
      <c r="F1195" s="111" t="s">
        <v>326</v>
      </c>
      <c r="G1195">
        <v>16.417000000000002</v>
      </c>
      <c r="H1195">
        <v>30.000000000000053</v>
      </c>
      <c r="I1195">
        <v>3</v>
      </c>
      <c r="J1195">
        <v>4.9999999999999822</v>
      </c>
      <c r="K1195" s="1" t="e">
        <f>INDEX($P$4:$AM$15,MATCH(MONTH($E1195),$O$4:$O$15,0),MATCH(HOUR($F1195),$P$3:$AM$3,0))</f>
        <v>#N/A</v>
      </c>
      <c r="L1195" t="s">
        <v>231</v>
      </c>
    </row>
    <row r="1196" spans="1:12" x14ac:dyDescent="0.25">
      <c r="A1196">
        <v>1195</v>
      </c>
      <c r="B1196">
        <v>30074817</v>
      </c>
      <c r="C1196">
        <v>2</v>
      </c>
      <c r="E1196" s="110">
        <v>42667</v>
      </c>
      <c r="F1196" s="111" t="s">
        <v>396</v>
      </c>
      <c r="G1196">
        <v>7.2489999999999997</v>
      </c>
      <c r="H1196">
        <v>9.9999999999999645</v>
      </c>
      <c r="I1196">
        <v>3</v>
      </c>
      <c r="J1196">
        <v>290.00000000000006</v>
      </c>
      <c r="K1196" s="1" t="e">
        <f>INDEX($P$4:$AM$15,MATCH(MONTH($E1196),$O$4:$O$15,0),MATCH(HOUR($F1196),$P$3:$AM$3,0))</f>
        <v>#N/A</v>
      </c>
      <c r="L1196" t="s">
        <v>231</v>
      </c>
    </row>
    <row r="1197" spans="1:12" x14ac:dyDescent="0.25">
      <c r="A1197">
        <v>1196</v>
      </c>
      <c r="B1197">
        <v>30074817</v>
      </c>
      <c r="C1197">
        <v>3</v>
      </c>
      <c r="E1197" s="110">
        <v>42667</v>
      </c>
      <c r="F1197" s="111" t="s">
        <v>426</v>
      </c>
      <c r="G1197">
        <v>12.006</v>
      </c>
      <c r="H1197">
        <v>54.999999999999964</v>
      </c>
      <c r="I1197">
        <v>3</v>
      </c>
      <c r="J1197">
        <v>1350</v>
      </c>
      <c r="K1197" s="1" t="e">
        <f>INDEX($P$4:$AM$15,MATCH(MONTH($E1197),$O$4:$O$15,0),MATCH(HOUR($F1197),$P$3:$AM$3,0))</f>
        <v>#N/A</v>
      </c>
      <c r="L1197" t="s">
        <v>231</v>
      </c>
    </row>
    <row r="1198" spans="1:12" x14ac:dyDescent="0.25">
      <c r="A1198">
        <v>1197</v>
      </c>
      <c r="B1198">
        <v>30074817</v>
      </c>
      <c r="C1198">
        <v>1</v>
      </c>
      <c r="E1198" s="110">
        <v>42668</v>
      </c>
      <c r="F1198" s="111" t="s">
        <v>294</v>
      </c>
      <c r="G1198">
        <v>7.2489999999999997</v>
      </c>
      <c r="H1198">
        <v>30.000000000000053</v>
      </c>
      <c r="I1198">
        <v>3</v>
      </c>
      <c r="J1198">
        <v>1050</v>
      </c>
      <c r="K1198" s="1" t="e">
        <f>INDEX($P$4:$AM$15,MATCH(MONTH($E1198),$O$4:$O$15,0),MATCH(HOUR($F1198),$P$3:$AM$3,0))</f>
        <v>#N/A</v>
      </c>
      <c r="L1198" t="s">
        <v>231</v>
      </c>
    </row>
    <row r="1199" spans="1:12" x14ac:dyDescent="0.25">
      <c r="A1199">
        <v>1198</v>
      </c>
      <c r="B1199">
        <v>30080408</v>
      </c>
      <c r="C1199">
        <v>1</v>
      </c>
      <c r="E1199" s="110">
        <v>42669</v>
      </c>
      <c r="F1199" s="111" t="s">
        <v>286</v>
      </c>
      <c r="G1199">
        <v>11.672000000000001</v>
      </c>
      <c r="H1199">
        <v>20.000000000000007</v>
      </c>
      <c r="I1199">
        <v>3</v>
      </c>
      <c r="J1199">
        <v>535.00000000000011</v>
      </c>
      <c r="K1199" s="1" t="e">
        <f>INDEX($P$4:$AM$15,MATCH(MONTH($E1199),$O$4:$O$15,0),MATCH(HOUR($F1199),$P$3:$AM$3,0))</f>
        <v>#N/A</v>
      </c>
      <c r="L1199" t="s">
        <v>218</v>
      </c>
    </row>
    <row r="1200" spans="1:12" x14ac:dyDescent="0.25">
      <c r="A1200">
        <v>1199</v>
      </c>
      <c r="B1200">
        <v>30080408</v>
      </c>
      <c r="C1200">
        <v>2</v>
      </c>
      <c r="E1200" s="110">
        <v>42669</v>
      </c>
      <c r="F1200" s="111" t="s">
        <v>281</v>
      </c>
      <c r="G1200">
        <v>11.956</v>
      </c>
      <c r="H1200">
        <v>45</v>
      </c>
      <c r="I1200">
        <v>3</v>
      </c>
      <c r="J1200">
        <v>1088</v>
      </c>
      <c r="K1200" s="1" t="e">
        <f>INDEX($P$4:$AM$15,MATCH(MONTH($E1200),$O$4:$O$15,0),MATCH(HOUR($F1200),$P$3:$AM$3,0))</f>
        <v>#N/A</v>
      </c>
      <c r="L1200" t="s">
        <v>218</v>
      </c>
    </row>
    <row r="1201" spans="1:12" x14ac:dyDescent="0.25">
      <c r="A1201">
        <v>1200</v>
      </c>
      <c r="B1201">
        <v>30082407</v>
      </c>
      <c r="C1201">
        <v>1</v>
      </c>
      <c r="E1201" s="110">
        <v>42670</v>
      </c>
      <c r="F1201" s="111" t="s">
        <v>483</v>
      </c>
      <c r="G1201">
        <v>7.202</v>
      </c>
      <c r="H1201">
        <v>15.999999999999943</v>
      </c>
      <c r="I1201">
        <v>6</v>
      </c>
      <c r="J1201">
        <v>5.9999999999999787</v>
      </c>
      <c r="K1201" s="1" t="e">
        <f>INDEX($P$4:$AM$15,MATCH(MONTH($E1201),$O$4:$O$15,0),MATCH(HOUR($F1201),$P$3:$AM$3,0))</f>
        <v>#N/A</v>
      </c>
      <c r="L1201" t="s">
        <v>222</v>
      </c>
    </row>
    <row r="1202" spans="1:12" x14ac:dyDescent="0.25">
      <c r="A1202">
        <v>1201</v>
      </c>
      <c r="B1202">
        <v>30082407</v>
      </c>
      <c r="C1202">
        <v>2</v>
      </c>
      <c r="E1202" s="110">
        <v>42670</v>
      </c>
      <c r="F1202" s="111" t="s">
        <v>219</v>
      </c>
      <c r="G1202">
        <v>0.996</v>
      </c>
      <c r="H1202">
        <v>5.0000000000001421</v>
      </c>
      <c r="I1202">
        <v>6</v>
      </c>
      <c r="J1202">
        <v>4.9999999999998224</v>
      </c>
      <c r="K1202" s="1" t="e">
        <f>INDEX($P$4:$AM$15,MATCH(MONTH($E1202),$O$4:$O$15,0),MATCH(HOUR($F1202),$P$3:$AM$3,0))</f>
        <v>#N/A</v>
      </c>
      <c r="L1202" t="s">
        <v>222</v>
      </c>
    </row>
    <row r="1203" spans="1:12" x14ac:dyDescent="0.25">
      <c r="A1203">
        <v>1202</v>
      </c>
      <c r="B1203">
        <v>30082407</v>
      </c>
      <c r="C1203">
        <v>3</v>
      </c>
      <c r="E1203" s="110">
        <v>42670</v>
      </c>
      <c r="F1203" s="111" t="s">
        <v>299</v>
      </c>
      <c r="G1203">
        <v>6.625</v>
      </c>
      <c r="H1203">
        <v>12.000000000000117</v>
      </c>
      <c r="I1203">
        <v>6</v>
      </c>
      <c r="J1203">
        <v>1061</v>
      </c>
      <c r="K1203" s="1" t="e">
        <f>INDEX($P$4:$AM$15,MATCH(MONTH($E1203),$O$4:$O$15,0),MATCH(HOUR($F1203),$P$3:$AM$3,0))</f>
        <v>#N/A</v>
      </c>
      <c r="L1203" t="s">
        <v>222</v>
      </c>
    </row>
    <row r="1204" spans="1:12" x14ac:dyDescent="0.25">
      <c r="A1204">
        <v>1203</v>
      </c>
      <c r="B1204">
        <v>30084717</v>
      </c>
      <c r="C1204">
        <v>1</v>
      </c>
      <c r="E1204" s="110">
        <v>42671</v>
      </c>
      <c r="F1204" s="111" t="s">
        <v>582</v>
      </c>
      <c r="G1204">
        <v>14.907</v>
      </c>
      <c r="H1204">
        <v>21.000000000000007</v>
      </c>
      <c r="I1204">
        <v>3</v>
      </c>
      <c r="J1204">
        <v>519.99999999999989</v>
      </c>
      <c r="K1204" s="1" t="e">
        <f>INDEX($P$4:$AM$15,MATCH(MONTH($E1204),$O$4:$O$15,0),MATCH(HOUR($F1204),$P$3:$AM$3,0))</f>
        <v>#N/A</v>
      </c>
      <c r="L1204" t="s">
        <v>231</v>
      </c>
    </row>
    <row r="1205" spans="1:12" x14ac:dyDescent="0.25">
      <c r="A1205">
        <v>1204</v>
      </c>
      <c r="B1205">
        <v>30084717</v>
      </c>
      <c r="C1205">
        <v>2</v>
      </c>
      <c r="E1205" s="110">
        <v>42671</v>
      </c>
      <c r="F1205" s="111" t="s">
        <v>583</v>
      </c>
      <c r="G1205">
        <v>14.645</v>
      </c>
      <c r="H1205">
        <v>27.000000000000064</v>
      </c>
      <c r="I1205">
        <v>3</v>
      </c>
      <c r="J1205">
        <v>1124</v>
      </c>
      <c r="K1205" s="1" t="e">
        <f>INDEX($P$4:$AM$15,MATCH(MONTH($E1205),$O$4:$O$15,0),MATCH(HOUR($F1205),$P$3:$AM$3,0))</f>
        <v>#N/A</v>
      </c>
      <c r="L1205" t="s">
        <v>231</v>
      </c>
    </row>
    <row r="1206" spans="1:12" x14ac:dyDescent="0.25">
      <c r="A1206">
        <v>1205</v>
      </c>
      <c r="B1206">
        <v>30095995</v>
      </c>
      <c r="C1206">
        <v>1</v>
      </c>
      <c r="E1206" s="110">
        <v>42672</v>
      </c>
      <c r="F1206" s="111" t="s">
        <v>327</v>
      </c>
      <c r="G1206">
        <v>2.8090000000000002</v>
      </c>
      <c r="H1206">
        <v>5.9999999999999787</v>
      </c>
      <c r="I1206">
        <v>3</v>
      </c>
      <c r="J1206">
        <v>14.00000000000003</v>
      </c>
      <c r="K1206" s="1" t="e">
        <f>INDEX($P$4:$AM$15,MATCH(MONTH($E1206),$O$4:$O$15,0),MATCH(HOUR($F1206),$P$3:$AM$3,0))</f>
        <v>#N/A</v>
      </c>
      <c r="L1206" t="s">
        <v>218</v>
      </c>
    </row>
    <row r="1207" spans="1:12" x14ac:dyDescent="0.25">
      <c r="A1207">
        <v>1206</v>
      </c>
      <c r="B1207">
        <v>30095995</v>
      </c>
      <c r="C1207">
        <v>2</v>
      </c>
      <c r="E1207" s="110">
        <v>42672</v>
      </c>
      <c r="F1207" s="111" t="s">
        <v>478</v>
      </c>
      <c r="G1207">
        <v>3.008</v>
      </c>
      <c r="H1207">
        <v>8.999999999999968</v>
      </c>
      <c r="I1207">
        <v>3</v>
      </c>
      <c r="J1207">
        <v>81.000000000000114</v>
      </c>
      <c r="K1207" s="1" t="e">
        <f>INDEX($P$4:$AM$15,MATCH(MONTH($E1207),$O$4:$O$15,0),MATCH(HOUR($F1207),$P$3:$AM$3,0))</f>
        <v>#N/A</v>
      </c>
      <c r="L1207" t="s">
        <v>218</v>
      </c>
    </row>
    <row r="1208" spans="1:12" x14ac:dyDescent="0.25">
      <c r="A1208">
        <v>1207</v>
      </c>
      <c r="B1208">
        <v>30095995</v>
      </c>
      <c r="C1208">
        <v>3</v>
      </c>
      <c r="E1208" s="110">
        <v>42672</v>
      </c>
      <c r="F1208" s="111" t="s">
        <v>340</v>
      </c>
      <c r="G1208">
        <v>0.90400000000000003</v>
      </c>
      <c r="H1208">
        <v>4.9999999999998224</v>
      </c>
      <c r="I1208">
        <v>3</v>
      </c>
      <c r="J1208">
        <v>7.000000000000135</v>
      </c>
      <c r="K1208" s="1" t="e">
        <f>INDEX($P$4:$AM$15,MATCH(MONTH($E1208),$O$4:$O$15,0),MATCH(HOUR($F1208),$P$3:$AM$3,0))</f>
        <v>#N/A</v>
      </c>
      <c r="L1208" t="s">
        <v>218</v>
      </c>
    </row>
    <row r="1209" spans="1:12" x14ac:dyDescent="0.25">
      <c r="A1209">
        <v>1208</v>
      </c>
      <c r="B1209">
        <v>30095995</v>
      </c>
      <c r="C1209">
        <v>4</v>
      </c>
      <c r="E1209" s="110">
        <v>42672</v>
      </c>
      <c r="F1209" s="111" t="s">
        <v>584</v>
      </c>
      <c r="G1209">
        <v>0.93700000000000006</v>
      </c>
      <c r="H1209">
        <v>6.9999999999999751</v>
      </c>
      <c r="I1209">
        <v>3</v>
      </c>
      <c r="J1209">
        <v>1431</v>
      </c>
      <c r="K1209" s="1" t="e">
        <f>INDEX($P$4:$AM$15,MATCH(MONTH($E1209),$O$4:$O$15,0),MATCH(HOUR($F1209),$P$3:$AM$3,0))</f>
        <v>#N/A</v>
      </c>
      <c r="L1209" t="s">
        <v>218</v>
      </c>
    </row>
    <row r="1210" spans="1:12" x14ac:dyDescent="0.25">
      <c r="A1210">
        <v>1209</v>
      </c>
      <c r="B1210">
        <v>30098024</v>
      </c>
      <c r="C1210">
        <v>1</v>
      </c>
      <c r="E1210" s="110">
        <v>42673</v>
      </c>
      <c r="F1210" s="111" t="s">
        <v>369</v>
      </c>
      <c r="G1210">
        <v>0.56000000000000005</v>
      </c>
      <c r="H1210">
        <v>1.9999999999999929</v>
      </c>
      <c r="I1210">
        <v>8</v>
      </c>
      <c r="J1210">
        <v>6.9999999999999751</v>
      </c>
      <c r="K1210" s="1" t="e">
        <f>INDEX($P$4:$AM$15,MATCH(MONTH($E1210),$O$4:$O$15,0),MATCH(HOUR($F1210),$P$3:$AM$3,0))</f>
        <v>#N/A</v>
      </c>
      <c r="L1210" t="s">
        <v>231</v>
      </c>
    </row>
    <row r="1211" spans="1:12" x14ac:dyDescent="0.25">
      <c r="A1211">
        <v>1210</v>
      </c>
      <c r="B1211">
        <v>30098024</v>
      </c>
      <c r="C1211">
        <v>2</v>
      </c>
      <c r="E1211" s="110">
        <v>42673</v>
      </c>
      <c r="F1211" s="111" t="s">
        <v>499</v>
      </c>
      <c r="G1211">
        <v>0.56000000000000005</v>
      </c>
      <c r="H1211">
        <v>2.9999999999999893</v>
      </c>
      <c r="I1211">
        <v>8</v>
      </c>
      <c r="J1211">
        <v>307</v>
      </c>
      <c r="K1211" s="1" t="e">
        <f>INDEX($P$4:$AM$15,MATCH(MONTH($E1211),$O$4:$O$15,0),MATCH(HOUR($F1211),$P$3:$AM$3,0))</f>
        <v>#N/A</v>
      </c>
      <c r="L1211" t="s">
        <v>231</v>
      </c>
    </row>
    <row r="1212" spans="1:12" x14ac:dyDescent="0.25">
      <c r="A1212">
        <v>1211</v>
      </c>
      <c r="B1212">
        <v>30098024</v>
      </c>
      <c r="C1212">
        <v>3</v>
      </c>
      <c r="E1212" s="110">
        <v>42673</v>
      </c>
      <c r="F1212" s="111" t="s">
        <v>585</v>
      </c>
      <c r="G1212">
        <v>2.7170000000000001</v>
      </c>
      <c r="H1212">
        <v>8.9999999999998082</v>
      </c>
      <c r="I1212">
        <v>8</v>
      </c>
      <c r="J1212">
        <v>27.000000000000224</v>
      </c>
      <c r="K1212" s="1" t="e">
        <f>INDEX($P$4:$AM$15,MATCH(MONTH($E1212),$O$4:$O$15,0),MATCH(HOUR($F1212),$P$3:$AM$3,0))</f>
        <v>#N/A</v>
      </c>
      <c r="L1212" t="s">
        <v>231</v>
      </c>
    </row>
    <row r="1213" spans="1:12" x14ac:dyDescent="0.25">
      <c r="A1213">
        <v>1212</v>
      </c>
      <c r="B1213">
        <v>30098024</v>
      </c>
      <c r="C1213">
        <v>4</v>
      </c>
      <c r="E1213" s="110">
        <v>42673</v>
      </c>
      <c r="F1213" s="111" t="s">
        <v>243</v>
      </c>
      <c r="G1213">
        <v>2.774</v>
      </c>
      <c r="H1213">
        <v>9.9999999999998046</v>
      </c>
      <c r="I1213">
        <v>8</v>
      </c>
      <c r="J1213">
        <v>760.00000000000011</v>
      </c>
      <c r="K1213" s="1" t="e">
        <f>INDEX($P$4:$AM$15,MATCH(MONTH($E1213),$O$4:$O$15,0),MATCH(HOUR($F1213),$P$3:$AM$3,0))</f>
        <v>#N/A</v>
      </c>
      <c r="L1213" t="s">
        <v>231</v>
      </c>
    </row>
    <row r="1214" spans="1:12" x14ac:dyDescent="0.25">
      <c r="A1214">
        <v>1213</v>
      </c>
      <c r="B1214">
        <v>30098024</v>
      </c>
      <c r="C1214">
        <v>1</v>
      </c>
      <c r="E1214" s="110">
        <v>42674</v>
      </c>
      <c r="F1214" s="111" t="s">
        <v>273</v>
      </c>
      <c r="G1214">
        <v>6.9669999999999996</v>
      </c>
      <c r="H1214">
        <v>22.000000000000082</v>
      </c>
      <c r="I1214">
        <v>3</v>
      </c>
      <c r="J1214">
        <v>77.999999999999886</v>
      </c>
      <c r="K1214" s="1" t="e">
        <f>INDEX($P$4:$AM$15,MATCH(MONTH($E1214),$O$4:$O$15,0),MATCH(HOUR($F1214),$P$3:$AM$3,0))</f>
        <v>#N/A</v>
      </c>
      <c r="L1214" t="s">
        <v>231</v>
      </c>
    </row>
    <row r="1215" spans="1:12" x14ac:dyDescent="0.25">
      <c r="A1215">
        <v>1214</v>
      </c>
      <c r="B1215">
        <v>30098024</v>
      </c>
      <c r="C1215">
        <v>2</v>
      </c>
      <c r="E1215" s="110">
        <v>42674</v>
      </c>
      <c r="F1215" s="111" t="s">
        <v>266</v>
      </c>
      <c r="G1215">
        <v>5.5439999999999996</v>
      </c>
      <c r="H1215">
        <v>12.000000000000117</v>
      </c>
      <c r="I1215">
        <v>3</v>
      </c>
      <c r="J1215">
        <v>14.999999999999947</v>
      </c>
      <c r="K1215" s="1" t="e">
        <f>INDEX($P$4:$AM$15,MATCH(MONTH($E1215),$O$4:$O$15,0),MATCH(HOUR($F1215),$P$3:$AM$3,0))</f>
        <v>#N/A</v>
      </c>
      <c r="L1215" t="s">
        <v>231</v>
      </c>
    </row>
    <row r="1216" spans="1:12" x14ac:dyDescent="0.25">
      <c r="A1216">
        <v>1215</v>
      </c>
      <c r="B1216">
        <v>30098024</v>
      </c>
      <c r="C1216">
        <v>3</v>
      </c>
      <c r="E1216" s="110">
        <v>42674</v>
      </c>
      <c r="F1216" s="111" t="s">
        <v>586</v>
      </c>
      <c r="G1216">
        <v>5.5439999999999996</v>
      </c>
      <c r="H1216">
        <v>15.000000000000027</v>
      </c>
      <c r="I1216">
        <v>3</v>
      </c>
      <c r="J1216">
        <v>323</v>
      </c>
      <c r="K1216" s="1" t="e">
        <f>INDEX($P$4:$AM$15,MATCH(MONTH($E1216),$O$4:$O$15,0),MATCH(HOUR($F1216),$P$3:$AM$3,0))</f>
        <v>#N/A</v>
      </c>
      <c r="L1216" t="s">
        <v>231</v>
      </c>
    </row>
    <row r="1217" spans="1:12" x14ac:dyDescent="0.25">
      <c r="A1217">
        <v>1216</v>
      </c>
      <c r="B1217">
        <v>30098024</v>
      </c>
      <c r="C1217">
        <v>4</v>
      </c>
      <c r="E1217" s="110">
        <v>42674</v>
      </c>
      <c r="F1217" s="111" t="s">
        <v>228</v>
      </c>
      <c r="G1217">
        <v>6.9640000000000004</v>
      </c>
      <c r="H1217">
        <v>17.000000000000099</v>
      </c>
      <c r="I1217">
        <v>3</v>
      </c>
      <c r="J1217">
        <v>1018</v>
      </c>
      <c r="K1217" s="1" t="e">
        <f>INDEX($P$4:$AM$15,MATCH(MONTH($E1217),$O$4:$O$15,0),MATCH(HOUR($F1217),$P$3:$AM$3,0))</f>
        <v>#N/A</v>
      </c>
      <c r="L1217" t="s">
        <v>231</v>
      </c>
    </row>
    <row r="1218" spans="1:12" x14ac:dyDescent="0.25">
      <c r="A1218">
        <v>1217</v>
      </c>
      <c r="B1218">
        <v>30012867</v>
      </c>
      <c r="C1218">
        <v>1</v>
      </c>
      <c r="E1218" s="110">
        <v>42675</v>
      </c>
      <c r="F1218" s="111" t="s">
        <v>464</v>
      </c>
      <c r="G1218">
        <v>2.4510000000000001</v>
      </c>
      <c r="H1218">
        <v>10.000000000000044</v>
      </c>
      <c r="I1218">
        <v>4</v>
      </c>
      <c r="J1218">
        <v>74.999999999999972</v>
      </c>
      <c r="K1218" s="1" t="e">
        <f>INDEX($P$4:$AM$15,MATCH(MONTH($E1218),$O$4:$O$15,0),MATCH(HOUR($F1218),$P$3:$AM$3,0))</f>
        <v>#N/A</v>
      </c>
      <c r="L1218" t="s">
        <v>218</v>
      </c>
    </row>
    <row r="1219" spans="1:12" x14ac:dyDescent="0.25">
      <c r="A1219">
        <v>1218</v>
      </c>
      <c r="B1219">
        <v>30012867</v>
      </c>
      <c r="C1219">
        <v>2</v>
      </c>
      <c r="E1219" s="110">
        <v>42675</v>
      </c>
      <c r="F1219" s="111" t="s">
        <v>389</v>
      </c>
      <c r="G1219">
        <v>0.23</v>
      </c>
      <c r="H1219">
        <v>1.0000000000000764</v>
      </c>
      <c r="I1219">
        <v>4</v>
      </c>
      <c r="J1219">
        <v>3.9999999999999858</v>
      </c>
      <c r="K1219" s="1" t="e">
        <f>INDEX($P$4:$AM$15,MATCH(MONTH($E1219),$O$4:$O$15,0),MATCH(HOUR($F1219),$P$3:$AM$3,0))</f>
        <v>#N/A</v>
      </c>
      <c r="L1219" t="s">
        <v>218</v>
      </c>
    </row>
    <row r="1220" spans="1:12" x14ac:dyDescent="0.25">
      <c r="A1220">
        <v>1219</v>
      </c>
      <c r="B1220">
        <v>30012867</v>
      </c>
      <c r="C1220">
        <v>3</v>
      </c>
      <c r="E1220" s="110">
        <v>42675</v>
      </c>
      <c r="F1220" s="111" t="s">
        <v>441</v>
      </c>
      <c r="G1220">
        <v>40.045999999999999</v>
      </c>
      <c r="H1220">
        <v>45</v>
      </c>
      <c r="I1220">
        <v>4</v>
      </c>
      <c r="J1220">
        <v>1215</v>
      </c>
      <c r="K1220" s="1" t="e">
        <f>INDEX($P$4:$AM$15,MATCH(MONTH($E1220),$O$4:$O$15,0),MATCH(HOUR($F1220),$P$3:$AM$3,0))</f>
        <v>#N/A</v>
      </c>
      <c r="L1220" t="s">
        <v>218</v>
      </c>
    </row>
    <row r="1221" spans="1:12" x14ac:dyDescent="0.25">
      <c r="A1221">
        <v>1220</v>
      </c>
      <c r="B1221">
        <v>30012867</v>
      </c>
      <c r="C1221">
        <v>1</v>
      </c>
      <c r="E1221" s="110">
        <v>42676</v>
      </c>
      <c r="F1221" s="111" t="s">
        <v>587</v>
      </c>
      <c r="G1221">
        <v>2.7410000000000001</v>
      </c>
      <c r="H1221">
        <v>7.0000000000000151</v>
      </c>
      <c r="I1221">
        <v>4</v>
      </c>
      <c r="J1221">
        <v>62.999999999999979</v>
      </c>
      <c r="K1221" s="1" t="e">
        <f>INDEX($P$4:$AM$15,MATCH(MONTH($E1221),$O$4:$O$15,0),MATCH(HOUR($F1221),$P$3:$AM$3,0))</f>
        <v>#N/A</v>
      </c>
      <c r="L1221" t="s">
        <v>218</v>
      </c>
    </row>
    <row r="1222" spans="1:12" x14ac:dyDescent="0.25">
      <c r="A1222">
        <v>1221</v>
      </c>
      <c r="B1222">
        <v>30012867</v>
      </c>
      <c r="C1222">
        <v>2</v>
      </c>
      <c r="E1222" s="110">
        <v>42676</v>
      </c>
      <c r="F1222" s="111" t="s">
        <v>256</v>
      </c>
      <c r="G1222">
        <v>2.7410000000000001</v>
      </c>
      <c r="H1222">
        <v>7.0000000000000551</v>
      </c>
      <c r="I1222">
        <v>4</v>
      </c>
      <c r="J1222">
        <v>23</v>
      </c>
      <c r="K1222" s="1" t="e">
        <f>INDEX($P$4:$AM$15,MATCH(MONTH($E1222),$O$4:$O$15,0),MATCH(HOUR($F1222),$P$3:$AM$3,0))</f>
        <v>#N/A</v>
      </c>
      <c r="L1222" t="s">
        <v>218</v>
      </c>
    </row>
    <row r="1223" spans="1:12" x14ac:dyDescent="0.25">
      <c r="A1223">
        <v>1222</v>
      </c>
      <c r="B1223">
        <v>30012867</v>
      </c>
      <c r="C1223">
        <v>3</v>
      </c>
      <c r="E1223" s="110">
        <v>42676</v>
      </c>
      <c r="F1223" s="111" t="s">
        <v>305</v>
      </c>
      <c r="G1223">
        <v>0.83199999999999996</v>
      </c>
      <c r="H1223">
        <v>2.9999999999999893</v>
      </c>
      <c r="I1223">
        <v>4</v>
      </c>
      <c r="J1223">
        <v>2.9999999999999893</v>
      </c>
      <c r="K1223" s="1" t="e">
        <f>INDEX($P$4:$AM$15,MATCH(MONTH($E1223),$O$4:$O$15,0),MATCH(HOUR($F1223),$P$3:$AM$3,0))</f>
        <v>#N/A</v>
      </c>
      <c r="L1223" t="s">
        <v>218</v>
      </c>
    </row>
    <row r="1224" spans="1:12" x14ac:dyDescent="0.25">
      <c r="A1224">
        <v>1223</v>
      </c>
      <c r="B1224">
        <v>30012867</v>
      </c>
      <c r="C1224">
        <v>4</v>
      </c>
      <c r="E1224" s="110">
        <v>42676</v>
      </c>
      <c r="F1224" s="111" t="s">
        <v>588</v>
      </c>
      <c r="G1224">
        <v>20.658000000000001</v>
      </c>
      <c r="H1224">
        <v>35.000000000000036</v>
      </c>
      <c r="I1224">
        <v>4</v>
      </c>
      <c r="J1224">
        <v>498.99999999999989</v>
      </c>
      <c r="K1224" s="1" t="e">
        <f>INDEX($P$4:$AM$15,MATCH(MONTH($E1224),$O$4:$O$15,0),MATCH(HOUR($F1224),$P$3:$AM$3,0))</f>
        <v>#N/A</v>
      </c>
      <c r="L1224" t="s">
        <v>218</v>
      </c>
    </row>
    <row r="1225" spans="1:12" x14ac:dyDescent="0.25">
      <c r="A1225">
        <v>1224</v>
      </c>
      <c r="B1225">
        <v>30012867</v>
      </c>
      <c r="C1225">
        <v>5</v>
      </c>
      <c r="E1225" s="110">
        <v>42676</v>
      </c>
      <c r="F1225" s="111" t="s">
        <v>252</v>
      </c>
      <c r="G1225">
        <v>19.221</v>
      </c>
      <c r="H1225">
        <v>30.000000000000053</v>
      </c>
      <c r="I1225">
        <v>4</v>
      </c>
      <c r="J1225">
        <v>4.9999999999999822</v>
      </c>
      <c r="K1225" s="1" t="e">
        <f>INDEX($P$4:$AM$15,MATCH(MONTH($E1225),$O$4:$O$15,0),MATCH(HOUR($F1225),$P$3:$AM$3,0))</f>
        <v>#N/A</v>
      </c>
      <c r="L1225" t="s">
        <v>218</v>
      </c>
    </row>
    <row r="1226" spans="1:12" x14ac:dyDescent="0.25">
      <c r="A1226">
        <v>1225</v>
      </c>
      <c r="B1226">
        <v>30012867</v>
      </c>
      <c r="C1226">
        <v>6</v>
      </c>
      <c r="E1226" s="110">
        <v>42676</v>
      </c>
      <c r="F1226" s="111" t="s">
        <v>579</v>
      </c>
      <c r="G1226">
        <v>1.351</v>
      </c>
      <c r="H1226">
        <v>5.0000000000001421</v>
      </c>
      <c r="I1226">
        <v>4</v>
      </c>
      <c r="J1226">
        <v>19.999999999999929</v>
      </c>
      <c r="K1226" s="1" t="e">
        <f>INDEX($P$4:$AM$15,MATCH(MONTH($E1226),$O$4:$O$15,0),MATCH(HOUR($F1226),$P$3:$AM$3,0))</f>
        <v>#N/A</v>
      </c>
      <c r="L1226" t="s">
        <v>218</v>
      </c>
    </row>
    <row r="1227" spans="1:12" x14ac:dyDescent="0.25">
      <c r="A1227">
        <v>1226</v>
      </c>
      <c r="B1227">
        <v>30012867</v>
      </c>
      <c r="C1227">
        <v>7</v>
      </c>
      <c r="E1227" s="110">
        <v>42676</v>
      </c>
      <c r="F1227" s="111" t="s">
        <v>229</v>
      </c>
      <c r="G1227">
        <v>1.462</v>
      </c>
      <c r="H1227">
        <v>4.9999999999998224</v>
      </c>
      <c r="I1227">
        <v>4</v>
      </c>
      <c r="J1227">
        <v>967</v>
      </c>
      <c r="K1227" s="1" t="e">
        <f>INDEX($P$4:$AM$15,MATCH(MONTH($E1227),$O$4:$O$15,0),MATCH(HOUR($F1227),$P$3:$AM$3,0))</f>
        <v>#N/A</v>
      </c>
      <c r="L1227" t="s">
        <v>218</v>
      </c>
    </row>
    <row r="1228" spans="1:12" x14ac:dyDescent="0.25">
      <c r="A1228">
        <v>1227</v>
      </c>
      <c r="B1228">
        <v>30034588</v>
      </c>
      <c r="C1228">
        <v>1</v>
      </c>
      <c r="E1228" s="110">
        <v>42677</v>
      </c>
      <c r="F1228" s="111" t="s">
        <v>589</v>
      </c>
      <c r="G1228">
        <v>12.629</v>
      </c>
      <c r="H1228">
        <v>23.999999999999993</v>
      </c>
      <c r="I1228">
        <v>3</v>
      </c>
      <c r="J1228">
        <v>29.000000000000057</v>
      </c>
      <c r="K1228" s="1" t="e">
        <f>INDEX($P$4:$AM$15,MATCH(MONTH($E1228),$O$4:$O$15,0),MATCH(HOUR($F1228),$P$3:$AM$3,0))</f>
        <v>#N/A</v>
      </c>
      <c r="L1228" t="s">
        <v>222</v>
      </c>
    </row>
    <row r="1229" spans="1:12" x14ac:dyDescent="0.25">
      <c r="A1229">
        <v>1228</v>
      </c>
      <c r="B1229">
        <v>30034588</v>
      </c>
      <c r="C1229">
        <v>2</v>
      </c>
      <c r="E1229" s="110">
        <v>42677</v>
      </c>
      <c r="F1229" s="111" t="s">
        <v>396</v>
      </c>
      <c r="G1229">
        <v>12.65</v>
      </c>
      <c r="H1229">
        <v>24.999999999999993</v>
      </c>
      <c r="I1229">
        <v>3</v>
      </c>
      <c r="J1229">
        <v>1266</v>
      </c>
      <c r="K1229" s="1" t="e">
        <f>INDEX($P$4:$AM$15,MATCH(MONTH($E1229),$O$4:$O$15,0),MATCH(HOUR($F1229),$P$3:$AM$3,0))</f>
        <v>#N/A</v>
      </c>
      <c r="L1229" t="s">
        <v>222</v>
      </c>
    </row>
    <row r="1230" spans="1:12" x14ac:dyDescent="0.25">
      <c r="A1230">
        <v>1229</v>
      </c>
      <c r="B1230">
        <v>30054703</v>
      </c>
      <c r="C1230">
        <v>1</v>
      </c>
      <c r="E1230" s="110">
        <v>42678</v>
      </c>
      <c r="F1230" s="111" t="s">
        <v>393</v>
      </c>
      <c r="G1230">
        <v>3.258</v>
      </c>
      <c r="H1230">
        <v>12.000000000000037</v>
      </c>
      <c r="I1230">
        <v>6</v>
      </c>
      <c r="J1230">
        <v>69.999999999999986</v>
      </c>
      <c r="K1230" s="1" t="e">
        <f>INDEX($P$4:$AM$15,MATCH(MONTH($E1230),$O$4:$O$15,0),MATCH(HOUR($F1230),$P$3:$AM$3,0))</f>
        <v>#N/A</v>
      </c>
      <c r="L1230" t="s">
        <v>257</v>
      </c>
    </row>
    <row r="1231" spans="1:12" x14ac:dyDescent="0.25">
      <c r="A1231">
        <v>1230</v>
      </c>
      <c r="B1231">
        <v>30054703</v>
      </c>
      <c r="C1231">
        <v>2</v>
      </c>
      <c r="E1231" s="110">
        <v>42678</v>
      </c>
      <c r="F1231" s="111" t="s">
        <v>590</v>
      </c>
      <c r="G1231">
        <v>3.8250000000000002</v>
      </c>
      <c r="H1231">
        <v>11.999999999999957</v>
      </c>
      <c r="I1231">
        <v>6</v>
      </c>
      <c r="J1231">
        <v>198.00000000000009</v>
      </c>
      <c r="K1231" s="1" t="e">
        <f>INDEX($P$4:$AM$15,MATCH(MONTH($E1231),$O$4:$O$15,0),MATCH(HOUR($F1231),$P$3:$AM$3,0))</f>
        <v>#N/A</v>
      </c>
      <c r="L1231" t="s">
        <v>257</v>
      </c>
    </row>
    <row r="1232" spans="1:12" x14ac:dyDescent="0.25">
      <c r="A1232">
        <v>1231</v>
      </c>
      <c r="B1232">
        <v>30054703</v>
      </c>
      <c r="C1232">
        <v>3</v>
      </c>
      <c r="E1232" s="110">
        <v>42678</v>
      </c>
      <c r="F1232" s="111" t="s">
        <v>591</v>
      </c>
      <c r="G1232">
        <v>1.724</v>
      </c>
      <c r="H1232">
        <v>6.9999999999999751</v>
      </c>
      <c r="I1232">
        <v>6</v>
      </c>
      <c r="J1232">
        <v>28.00000000000006</v>
      </c>
      <c r="K1232" s="1" t="e">
        <f>INDEX($P$4:$AM$15,MATCH(MONTH($E1232),$O$4:$O$15,0),MATCH(HOUR($F1232),$P$3:$AM$3,0))</f>
        <v>#N/A</v>
      </c>
      <c r="L1232" t="s">
        <v>257</v>
      </c>
    </row>
    <row r="1233" spans="1:12" x14ac:dyDescent="0.25">
      <c r="A1233">
        <v>1232</v>
      </c>
      <c r="B1233">
        <v>30054703</v>
      </c>
      <c r="C1233">
        <v>4</v>
      </c>
      <c r="E1233" s="110">
        <v>42678</v>
      </c>
      <c r="F1233" s="111" t="s">
        <v>489</v>
      </c>
      <c r="G1233">
        <v>11.242000000000001</v>
      </c>
      <c r="H1233">
        <v>16.99999999999994</v>
      </c>
      <c r="I1233">
        <v>6</v>
      </c>
      <c r="J1233">
        <v>24.999999999999911</v>
      </c>
      <c r="K1233" s="1" t="e">
        <f>INDEX($P$4:$AM$15,MATCH(MONTH($E1233),$O$4:$O$15,0),MATCH(HOUR($F1233),$P$3:$AM$3,0))</f>
        <v>#N/A</v>
      </c>
      <c r="L1233" t="s">
        <v>257</v>
      </c>
    </row>
    <row r="1234" spans="1:12" x14ac:dyDescent="0.25">
      <c r="A1234">
        <v>1233</v>
      </c>
      <c r="B1234">
        <v>30054703</v>
      </c>
      <c r="C1234">
        <v>5</v>
      </c>
      <c r="E1234" s="110">
        <v>42678</v>
      </c>
      <c r="F1234" s="111" t="s">
        <v>315</v>
      </c>
      <c r="G1234">
        <v>15.826000000000001</v>
      </c>
      <c r="H1234">
        <v>16.000000000000103</v>
      </c>
      <c r="I1234">
        <v>6</v>
      </c>
      <c r="J1234">
        <v>11.999999999999957</v>
      </c>
      <c r="K1234" s="1" t="e">
        <f>INDEX($P$4:$AM$15,MATCH(MONTH($E1234),$O$4:$O$15,0),MATCH(HOUR($F1234),$P$3:$AM$3,0))</f>
        <v>#N/A</v>
      </c>
      <c r="L1234" t="s">
        <v>257</v>
      </c>
    </row>
    <row r="1235" spans="1:12" x14ac:dyDescent="0.25">
      <c r="A1235">
        <v>1234</v>
      </c>
      <c r="B1235">
        <v>30054703</v>
      </c>
      <c r="C1235">
        <v>6</v>
      </c>
      <c r="E1235" s="110">
        <v>42678</v>
      </c>
      <c r="F1235" s="111" t="s">
        <v>592</v>
      </c>
      <c r="G1235">
        <v>6.7350000000000003</v>
      </c>
      <c r="H1235">
        <v>14.999999999999947</v>
      </c>
      <c r="I1235">
        <v>6</v>
      </c>
      <c r="J1235">
        <v>46.999999999999993</v>
      </c>
      <c r="K1235" s="1" t="e">
        <f>INDEX($P$4:$AM$15,MATCH(MONTH($E1235),$O$4:$O$15,0),MATCH(HOUR($F1235),$P$3:$AM$3,0))</f>
        <v>#N/A</v>
      </c>
      <c r="L1235" t="s">
        <v>257</v>
      </c>
    </row>
    <row r="1236" spans="1:12" x14ac:dyDescent="0.25">
      <c r="A1236">
        <v>1235</v>
      </c>
      <c r="B1236">
        <v>30054703</v>
      </c>
      <c r="C1236">
        <v>7</v>
      </c>
      <c r="E1236" s="110">
        <v>42678</v>
      </c>
      <c r="F1236" s="111" t="s">
        <v>268</v>
      </c>
      <c r="G1236">
        <v>7.0460000000000003</v>
      </c>
      <c r="H1236">
        <v>21.000000000000085</v>
      </c>
      <c r="I1236">
        <v>6</v>
      </c>
      <c r="J1236">
        <v>912</v>
      </c>
      <c r="K1236" s="1" t="e">
        <f>INDEX($P$4:$AM$15,MATCH(MONTH($E1236),$O$4:$O$15,0),MATCH(HOUR($F1236),$P$3:$AM$3,0))</f>
        <v>#N/A</v>
      </c>
      <c r="L1236" t="s">
        <v>257</v>
      </c>
    </row>
    <row r="1237" spans="1:12" x14ac:dyDescent="0.25">
      <c r="A1237">
        <v>1236</v>
      </c>
      <c r="B1237">
        <v>30054703</v>
      </c>
      <c r="C1237">
        <v>1</v>
      </c>
      <c r="E1237" s="110">
        <v>42679</v>
      </c>
      <c r="F1237" s="111" t="s">
        <v>593</v>
      </c>
      <c r="G1237">
        <v>4.1239999999999997</v>
      </c>
      <c r="H1237">
        <v>10.000000000000044</v>
      </c>
      <c r="I1237">
        <v>3</v>
      </c>
      <c r="J1237">
        <v>586.99999999999989</v>
      </c>
      <c r="K1237" s="1" t="e">
        <f>INDEX($P$4:$AM$15,MATCH(MONTH($E1237),$O$4:$O$15,0),MATCH(HOUR($F1237),$P$3:$AM$3,0))</f>
        <v>#N/A</v>
      </c>
      <c r="L1237" t="s">
        <v>257</v>
      </c>
    </row>
    <row r="1238" spans="1:12" x14ac:dyDescent="0.25">
      <c r="A1238">
        <v>1237</v>
      </c>
      <c r="B1238">
        <v>30054703</v>
      </c>
      <c r="C1238">
        <v>2</v>
      </c>
      <c r="E1238" s="110">
        <v>42679</v>
      </c>
      <c r="F1238" s="111" t="s">
        <v>317</v>
      </c>
      <c r="G1238">
        <v>4.0229999999999997</v>
      </c>
      <c r="H1238">
        <v>14.00000000000011</v>
      </c>
      <c r="I1238">
        <v>3</v>
      </c>
      <c r="J1238">
        <v>946</v>
      </c>
      <c r="K1238" s="1" t="e">
        <f>INDEX($P$4:$AM$15,MATCH(MONTH($E1238),$O$4:$O$15,0),MATCH(HOUR($F1238),$P$3:$AM$3,0))</f>
        <v>#N/A</v>
      </c>
      <c r="L1238" t="s">
        <v>257</v>
      </c>
    </row>
    <row r="1239" spans="1:12" x14ac:dyDescent="0.25">
      <c r="A1239">
        <v>1238</v>
      </c>
      <c r="B1239">
        <v>30064756</v>
      </c>
      <c r="C1239">
        <v>1</v>
      </c>
      <c r="E1239" s="110">
        <v>42680</v>
      </c>
      <c r="F1239" s="111" t="s">
        <v>244</v>
      </c>
      <c r="G1239">
        <v>1.3360000000000001</v>
      </c>
      <c r="H1239">
        <v>5.0000000000000622</v>
      </c>
      <c r="I1239">
        <v>3</v>
      </c>
      <c r="J1239">
        <v>39.999999999999936</v>
      </c>
      <c r="K1239" s="1" t="e">
        <f>INDEX($P$4:$AM$15,MATCH(MONTH($E1239),$O$4:$O$15,0),MATCH(HOUR($F1239),$P$3:$AM$3,0))</f>
        <v>#N/A</v>
      </c>
      <c r="L1239" t="s">
        <v>218</v>
      </c>
    </row>
    <row r="1240" spans="1:12" x14ac:dyDescent="0.25">
      <c r="A1240">
        <v>1239</v>
      </c>
      <c r="B1240">
        <v>30064756</v>
      </c>
      <c r="C1240">
        <v>2</v>
      </c>
      <c r="E1240" s="110">
        <v>42680</v>
      </c>
      <c r="F1240" s="111" t="s">
        <v>326</v>
      </c>
      <c r="G1240">
        <v>1.9179999999999999</v>
      </c>
      <c r="H1240">
        <v>9.9999999999999645</v>
      </c>
      <c r="I1240">
        <v>3</v>
      </c>
      <c r="J1240">
        <v>50.000000000000064</v>
      </c>
      <c r="K1240" s="1" t="e">
        <f>INDEX($P$4:$AM$15,MATCH(MONTH($E1240),$O$4:$O$15,0),MATCH(HOUR($F1240),$P$3:$AM$3,0))</f>
        <v>#N/A</v>
      </c>
      <c r="L1240" t="s">
        <v>218</v>
      </c>
    </row>
    <row r="1241" spans="1:12" x14ac:dyDescent="0.25">
      <c r="A1241">
        <v>1240</v>
      </c>
      <c r="B1241">
        <v>30064756</v>
      </c>
      <c r="C1241">
        <v>3</v>
      </c>
      <c r="E1241" s="110">
        <v>42680</v>
      </c>
      <c r="F1241" s="111" t="s">
        <v>217</v>
      </c>
      <c r="G1241">
        <v>2.4929999999999999</v>
      </c>
      <c r="H1241">
        <v>15.000000000000027</v>
      </c>
      <c r="I1241">
        <v>3</v>
      </c>
      <c r="J1241">
        <v>404.99999999999989</v>
      </c>
      <c r="K1241" s="1" t="e">
        <f>INDEX($P$4:$AM$15,MATCH(MONTH($E1241),$O$4:$O$15,0),MATCH(HOUR($F1241),$P$3:$AM$3,0))</f>
        <v>#N/A</v>
      </c>
      <c r="L1241" t="s">
        <v>218</v>
      </c>
    </row>
    <row r="1242" spans="1:12" x14ac:dyDescent="0.25">
      <c r="A1242">
        <v>1241</v>
      </c>
      <c r="B1242">
        <v>30064756</v>
      </c>
      <c r="C1242">
        <v>4</v>
      </c>
      <c r="E1242" s="110">
        <v>42680</v>
      </c>
      <c r="F1242" s="111" t="s">
        <v>258</v>
      </c>
      <c r="G1242">
        <v>1.323</v>
      </c>
      <c r="H1242">
        <v>10.000000000000124</v>
      </c>
      <c r="I1242">
        <v>3</v>
      </c>
      <c r="J1242">
        <v>124.99999999999987</v>
      </c>
      <c r="K1242" s="1" t="e">
        <f>INDEX($P$4:$AM$15,MATCH(MONTH($E1242),$O$4:$O$15,0),MATCH(HOUR($F1242),$P$3:$AM$3,0))</f>
        <v>#N/A</v>
      </c>
      <c r="L1242" t="s">
        <v>218</v>
      </c>
    </row>
    <row r="1243" spans="1:12" x14ac:dyDescent="0.25">
      <c r="A1243">
        <v>1242</v>
      </c>
      <c r="B1243">
        <v>30064756</v>
      </c>
      <c r="C1243">
        <v>5</v>
      </c>
      <c r="E1243" s="110">
        <v>42680</v>
      </c>
      <c r="F1243" s="111" t="s">
        <v>486</v>
      </c>
      <c r="G1243">
        <v>1.3959999999999999</v>
      </c>
      <c r="H1243">
        <v>4.9999999999999822</v>
      </c>
      <c r="I1243">
        <v>3</v>
      </c>
      <c r="J1243">
        <v>790.00000000000011</v>
      </c>
      <c r="K1243" s="1" t="e">
        <f>INDEX($P$4:$AM$15,MATCH(MONTH($E1243),$O$4:$O$15,0),MATCH(HOUR($F1243),$P$3:$AM$3,0))</f>
        <v>#N/A</v>
      </c>
      <c r="L1243" t="s">
        <v>218</v>
      </c>
    </row>
    <row r="1244" spans="1:12" x14ac:dyDescent="0.25">
      <c r="A1244">
        <v>1243</v>
      </c>
      <c r="B1244">
        <v>30064756</v>
      </c>
      <c r="C1244">
        <v>1</v>
      </c>
      <c r="E1244" s="110">
        <v>42681</v>
      </c>
      <c r="F1244" s="111" t="s">
        <v>295</v>
      </c>
      <c r="G1244">
        <v>1.3360000000000001</v>
      </c>
      <c r="H1244">
        <v>9.9999999999999645</v>
      </c>
      <c r="I1244">
        <v>6</v>
      </c>
      <c r="J1244">
        <v>20.000000000000007</v>
      </c>
      <c r="K1244" s="1" t="e">
        <f>INDEX($P$4:$AM$15,MATCH(MONTH($E1244),$O$4:$O$15,0),MATCH(HOUR($F1244),$P$3:$AM$3,0))</f>
        <v>#N/A</v>
      </c>
      <c r="L1244" t="s">
        <v>218</v>
      </c>
    </row>
    <row r="1245" spans="1:12" x14ac:dyDescent="0.25">
      <c r="A1245">
        <v>1244</v>
      </c>
      <c r="B1245">
        <v>30064756</v>
      </c>
      <c r="C1245">
        <v>2</v>
      </c>
      <c r="E1245" s="110">
        <v>42681</v>
      </c>
      <c r="F1245" s="111" t="s">
        <v>326</v>
      </c>
      <c r="G1245">
        <v>1.6639999999999999</v>
      </c>
      <c r="H1245">
        <v>9.9999999999999645</v>
      </c>
      <c r="I1245">
        <v>6</v>
      </c>
      <c r="J1245">
        <v>290.00000000000006</v>
      </c>
      <c r="K1245" s="1" t="e">
        <f>INDEX($P$4:$AM$15,MATCH(MONTH($E1245),$O$4:$O$15,0),MATCH(HOUR($F1245),$P$3:$AM$3,0))</f>
        <v>#N/A</v>
      </c>
      <c r="L1245" t="s">
        <v>218</v>
      </c>
    </row>
    <row r="1246" spans="1:12" x14ac:dyDescent="0.25">
      <c r="A1246">
        <v>1245</v>
      </c>
      <c r="B1246">
        <v>30064756</v>
      </c>
      <c r="C1246">
        <v>3</v>
      </c>
      <c r="E1246" s="110">
        <v>42681</v>
      </c>
      <c r="F1246" s="111" t="s">
        <v>294</v>
      </c>
      <c r="G1246">
        <v>3.7450000000000001</v>
      </c>
      <c r="H1246">
        <v>20.000000000000089</v>
      </c>
      <c r="I1246">
        <v>6</v>
      </c>
      <c r="J1246">
        <v>40.000000000000014</v>
      </c>
      <c r="K1246" s="1" t="e">
        <f>INDEX($P$4:$AM$15,MATCH(MONTH($E1246),$O$4:$O$15,0),MATCH(HOUR($F1246),$P$3:$AM$3,0))</f>
        <v>#N/A</v>
      </c>
      <c r="L1246" t="s">
        <v>218</v>
      </c>
    </row>
    <row r="1247" spans="1:12" x14ac:dyDescent="0.25">
      <c r="A1247">
        <v>1246</v>
      </c>
      <c r="B1247">
        <v>30064756</v>
      </c>
      <c r="C1247">
        <v>4</v>
      </c>
      <c r="E1247" s="110">
        <v>42681</v>
      </c>
      <c r="F1247" s="111" t="s">
        <v>235</v>
      </c>
      <c r="G1247">
        <v>3.746</v>
      </c>
      <c r="H1247">
        <v>14.999999999999947</v>
      </c>
      <c r="I1247">
        <v>6</v>
      </c>
      <c r="J1247">
        <v>985</v>
      </c>
      <c r="K1247" s="1" t="e">
        <f>INDEX($P$4:$AM$15,MATCH(MONTH($E1247),$O$4:$O$15,0),MATCH(HOUR($F1247),$P$3:$AM$3,0))</f>
        <v>#N/A</v>
      </c>
      <c r="L1247" t="s">
        <v>218</v>
      </c>
    </row>
    <row r="1248" spans="1:12" x14ac:dyDescent="0.25">
      <c r="A1248">
        <v>1247</v>
      </c>
      <c r="B1248">
        <v>30065596</v>
      </c>
      <c r="C1248">
        <v>1</v>
      </c>
      <c r="E1248" s="110">
        <v>42682</v>
      </c>
      <c r="F1248" s="111" t="s">
        <v>321</v>
      </c>
      <c r="G1248">
        <v>2.0219999999999998</v>
      </c>
      <c r="H1248">
        <v>5.0000000000000622</v>
      </c>
      <c r="I1248">
        <v>3</v>
      </c>
      <c r="J1248">
        <v>33.000000000000043</v>
      </c>
      <c r="K1248" s="1" t="e">
        <f>INDEX($P$4:$AM$15,MATCH(MONTH($E1248),$O$4:$O$15,0),MATCH(HOUR($F1248),$P$3:$AM$3,0))</f>
        <v>#N/A</v>
      </c>
      <c r="L1248" t="s">
        <v>302</v>
      </c>
    </row>
    <row r="1249" spans="1:12" x14ac:dyDescent="0.25">
      <c r="A1249">
        <v>1248</v>
      </c>
      <c r="B1249">
        <v>30065596</v>
      </c>
      <c r="C1249">
        <v>2</v>
      </c>
      <c r="E1249" s="110">
        <v>42682</v>
      </c>
      <c r="F1249" s="111" t="s">
        <v>353</v>
      </c>
      <c r="G1249">
        <v>0.435</v>
      </c>
      <c r="H1249">
        <v>2.9999999999999094</v>
      </c>
      <c r="I1249">
        <v>3</v>
      </c>
      <c r="J1249">
        <v>12.000000000000117</v>
      </c>
      <c r="K1249" s="1" t="e">
        <f>INDEX($P$4:$AM$15,MATCH(MONTH($E1249),$O$4:$O$15,0),MATCH(HOUR($F1249),$P$3:$AM$3,0))</f>
        <v>#N/A</v>
      </c>
      <c r="L1249" t="s">
        <v>302</v>
      </c>
    </row>
    <row r="1250" spans="1:12" x14ac:dyDescent="0.25">
      <c r="A1250">
        <v>1249</v>
      </c>
      <c r="B1250">
        <v>30065596</v>
      </c>
      <c r="C1250">
        <v>3</v>
      </c>
      <c r="E1250" s="110">
        <v>42682</v>
      </c>
      <c r="F1250" s="111" t="s">
        <v>594</v>
      </c>
      <c r="G1250">
        <v>1.1579999999999999</v>
      </c>
      <c r="H1250">
        <v>8.9999999999998881</v>
      </c>
      <c r="I1250">
        <v>3</v>
      </c>
      <c r="J1250">
        <v>182</v>
      </c>
      <c r="K1250" s="1" t="e">
        <f>INDEX($P$4:$AM$15,MATCH(MONTH($E1250),$O$4:$O$15,0),MATCH(HOUR($F1250),$P$3:$AM$3,0))</f>
        <v>#N/A</v>
      </c>
      <c r="L1250" t="s">
        <v>302</v>
      </c>
    </row>
    <row r="1251" spans="1:12" x14ac:dyDescent="0.25">
      <c r="A1251">
        <v>1250</v>
      </c>
      <c r="B1251">
        <v>30065596</v>
      </c>
      <c r="C1251">
        <v>4</v>
      </c>
      <c r="E1251" s="110">
        <v>42682</v>
      </c>
      <c r="F1251" s="111" t="s">
        <v>595</v>
      </c>
      <c r="G1251">
        <v>2.2959999999999998</v>
      </c>
      <c r="H1251">
        <v>10.999999999999961</v>
      </c>
      <c r="I1251">
        <v>3</v>
      </c>
      <c r="J1251">
        <v>15.000000000000107</v>
      </c>
      <c r="K1251" s="1" t="e">
        <f>INDEX($P$4:$AM$15,MATCH(MONTH($E1251),$O$4:$O$15,0),MATCH(HOUR($F1251),$P$3:$AM$3,0))</f>
        <v>#N/A</v>
      </c>
      <c r="L1251" t="s">
        <v>302</v>
      </c>
    </row>
    <row r="1252" spans="1:12" x14ac:dyDescent="0.25">
      <c r="A1252">
        <v>1251</v>
      </c>
      <c r="B1252">
        <v>30065596</v>
      </c>
      <c r="C1252">
        <v>5</v>
      </c>
      <c r="E1252" s="110">
        <v>42682</v>
      </c>
      <c r="F1252" s="111" t="s">
        <v>238</v>
      </c>
      <c r="G1252">
        <v>1.792</v>
      </c>
      <c r="H1252">
        <v>4.9999999999999822</v>
      </c>
      <c r="I1252">
        <v>3</v>
      </c>
      <c r="J1252">
        <v>0.99999999999999645</v>
      </c>
      <c r="K1252" s="1" t="e">
        <f>INDEX($P$4:$AM$15,MATCH(MONTH($E1252),$O$4:$O$15,0),MATCH(HOUR($F1252),$P$3:$AM$3,0))</f>
        <v>#N/A</v>
      </c>
      <c r="L1252" t="s">
        <v>302</v>
      </c>
    </row>
    <row r="1253" spans="1:12" x14ac:dyDescent="0.25">
      <c r="A1253">
        <v>1252</v>
      </c>
      <c r="B1253">
        <v>30065596</v>
      </c>
      <c r="C1253">
        <v>6</v>
      </c>
      <c r="E1253" s="110">
        <v>42682</v>
      </c>
      <c r="F1253" s="111" t="s">
        <v>239</v>
      </c>
      <c r="G1253">
        <v>1.1579999999999999</v>
      </c>
      <c r="H1253">
        <v>8.999999999999968</v>
      </c>
      <c r="I1253">
        <v>3</v>
      </c>
      <c r="J1253">
        <v>375.00000000000011</v>
      </c>
      <c r="K1253" s="1" t="e">
        <f>INDEX($P$4:$AM$15,MATCH(MONTH($E1253),$O$4:$O$15,0),MATCH(HOUR($F1253),$P$3:$AM$3,0))</f>
        <v>#N/A</v>
      </c>
      <c r="L1253" t="s">
        <v>302</v>
      </c>
    </row>
    <row r="1254" spans="1:12" x14ac:dyDescent="0.25">
      <c r="A1254">
        <v>1253</v>
      </c>
      <c r="B1254">
        <v>30065596</v>
      </c>
      <c r="C1254">
        <v>7</v>
      </c>
      <c r="E1254" s="110">
        <v>42682</v>
      </c>
      <c r="F1254" s="111" t="s">
        <v>243</v>
      </c>
      <c r="G1254">
        <v>2.2959999999999998</v>
      </c>
      <c r="H1254">
        <v>14.999999999999947</v>
      </c>
      <c r="I1254">
        <v>3</v>
      </c>
      <c r="J1254">
        <v>1195</v>
      </c>
      <c r="K1254" s="1" t="e">
        <f>INDEX($P$4:$AM$15,MATCH(MONTH($E1254),$O$4:$O$15,0),MATCH(HOUR($F1254),$P$3:$AM$3,0))</f>
        <v>#N/A</v>
      </c>
      <c r="L1254" t="s">
        <v>302</v>
      </c>
    </row>
    <row r="1255" spans="1:12" x14ac:dyDescent="0.25">
      <c r="A1255">
        <v>1254</v>
      </c>
      <c r="B1255">
        <v>30065596</v>
      </c>
      <c r="C1255">
        <v>1</v>
      </c>
      <c r="E1255" s="110">
        <v>42683</v>
      </c>
      <c r="F1255" s="111" t="s">
        <v>472</v>
      </c>
      <c r="G1255">
        <v>1.9810000000000001</v>
      </c>
      <c r="H1255">
        <v>4.9999999999998224</v>
      </c>
      <c r="I1255">
        <v>5</v>
      </c>
      <c r="J1255">
        <v>99.999999999999972</v>
      </c>
      <c r="K1255" s="1" t="e">
        <f>INDEX($P$4:$AM$15,MATCH(MONTH($E1255),$O$4:$O$15,0),MATCH(HOUR($F1255),$P$3:$AM$3,0))</f>
        <v>#N/A</v>
      </c>
      <c r="L1255" t="s">
        <v>302</v>
      </c>
    </row>
    <row r="1256" spans="1:12" x14ac:dyDescent="0.25">
      <c r="A1256">
        <v>1255</v>
      </c>
      <c r="B1256">
        <v>30065596</v>
      </c>
      <c r="C1256">
        <v>2</v>
      </c>
      <c r="E1256" s="110">
        <v>42683</v>
      </c>
      <c r="F1256" s="111" t="s">
        <v>380</v>
      </c>
      <c r="G1256">
        <v>2.0219999999999998</v>
      </c>
      <c r="H1256">
        <v>5.0000000000001421</v>
      </c>
      <c r="I1256">
        <v>5</v>
      </c>
      <c r="J1256">
        <v>15.000000000000107</v>
      </c>
      <c r="K1256" s="1" t="e">
        <f>INDEX($P$4:$AM$15,MATCH(MONTH($E1256),$O$4:$O$15,0),MATCH(HOUR($F1256),$P$3:$AM$3,0))</f>
        <v>#N/A</v>
      </c>
      <c r="L1256" t="s">
        <v>302</v>
      </c>
    </row>
    <row r="1257" spans="1:12" x14ac:dyDescent="0.25">
      <c r="A1257">
        <v>1256</v>
      </c>
      <c r="B1257">
        <v>30065596</v>
      </c>
      <c r="C1257">
        <v>3</v>
      </c>
      <c r="E1257" s="110">
        <v>42683</v>
      </c>
      <c r="F1257" s="111" t="s">
        <v>383</v>
      </c>
      <c r="G1257">
        <v>2.0219999999999998</v>
      </c>
      <c r="H1257">
        <v>4.9999999999998224</v>
      </c>
      <c r="I1257">
        <v>5</v>
      </c>
      <c r="J1257">
        <v>645.00000000000011</v>
      </c>
      <c r="K1257" s="1" t="e">
        <f>INDEX($P$4:$AM$15,MATCH(MONTH($E1257),$O$4:$O$15,0),MATCH(HOUR($F1257),$P$3:$AM$3,0))</f>
        <v>#N/A</v>
      </c>
      <c r="L1257" t="s">
        <v>302</v>
      </c>
    </row>
    <row r="1258" spans="1:12" x14ac:dyDescent="0.25">
      <c r="A1258">
        <v>1257</v>
      </c>
      <c r="B1258">
        <v>30069492</v>
      </c>
      <c r="C1258">
        <v>1</v>
      </c>
      <c r="E1258" s="110">
        <v>42684</v>
      </c>
      <c r="F1258" s="111" t="s">
        <v>461</v>
      </c>
      <c r="G1258">
        <v>1.522</v>
      </c>
      <c r="H1258">
        <v>5.9999999999999787</v>
      </c>
      <c r="I1258">
        <v>3</v>
      </c>
      <c r="J1258">
        <v>665</v>
      </c>
      <c r="K1258" s="1" t="e">
        <f>INDEX($P$4:$AM$15,MATCH(MONTH($E1258),$O$4:$O$15,0),MATCH(HOUR($F1258),$P$3:$AM$3,0))</f>
        <v>#N/A</v>
      </c>
      <c r="L1258" t="s">
        <v>222</v>
      </c>
    </row>
    <row r="1259" spans="1:12" x14ac:dyDescent="0.25">
      <c r="A1259">
        <v>1258</v>
      </c>
      <c r="B1259">
        <v>30069492</v>
      </c>
      <c r="C1259">
        <v>2</v>
      </c>
      <c r="E1259" s="110">
        <v>42684</v>
      </c>
      <c r="F1259" s="111" t="s">
        <v>316</v>
      </c>
      <c r="G1259">
        <v>1.417</v>
      </c>
      <c r="H1259">
        <v>7.9999999999999716</v>
      </c>
      <c r="I1259">
        <v>3</v>
      </c>
      <c r="J1259">
        <v>94.999999999999829</v>
      </c>
      <c r="K1259" s="1" t="e">
        <f>INDEX($P$4:$AM$15,MATCH(MONTH($E1259),$O$4:$O$15,0),MATCH(HOUR($F1259),$P$3:$AM$3,0))</f>
        <v>#N/A</v>
      </c>
      <c r="L1259" t="s">
        <v>222</v>
      </c>
    </row>
    <row r="1260" spans="1:12" x14ac:dyDescent="0.25">
      <c r="A1260">
        <v>1259</v>
      </c>
      <c r="B1260">
        <v>30069492</v>
      </c>
      <c r="C1260">
        <v>3</v>
      </c>
      <c r="E1260" s="110">
        <v>42684</v>
      </c>
      <c r="F1260" s="111" t="s">
        <v>596</v>
      </c>
      <c r="G1260">
        <v>0.82599999999999996</v>
      </c>
      <c r="H1260">
        <v>7.000000000000135</v>
      </c>
      <c r="I1260">
        <v>3</v>
      </c>
      <c r="J1260">
        <v>17.000000000000099</v>
      </c>
      <c r="K1260" s="1" t="e">
        <f>INDEX($P$4:$AM$15,MATCH(MONTH($E1260),$O$4:$O$15,0),MATCH(HOUR($F1260),$P$3:$AM$3,0))</f>
        <v>#N/A</v>
      </c>
      <c r="L1260" t="s">
        <v>222</v>
      </c>
    </row>
    <row r="1261" spans="1:12" x14ac:dyDescent="0.25">
      <c r="A1261">
        <v>1260</v>
      </c>
      <c r="B1261">
        <v>30069492</v>
      </c>
      <c r="C1261">
        <v>4</v>
      </c>
      <c r="E1261" s="110">
        <v>42684</v>
      </c>
      <c r="F1261" s="111" t="s">
        <v>597</v>
      </c>
      <c r="G1261">
        <v>0.84899999999999998</v>
      </c>
      <c r="H1261">
        <v>12.999999999999794</v>
      </c>
      <c r="I1261">
        <v>3</v>
      </c>
      <c r="J1261">
        <v>26.000000000000068</v>
      </c>
      <c r="K1261" s="1" t="e">
        <f>INDEX($P$4:$AM$15,MATCH(MONTH($E1261),$O$4:$O$15,0),MATCH(HOUR($F1261),$P$3:$AM$3,0))</f>
        <v>#N/A</v>
      </c>
      <c r="L1261" t="s">
        <v>222</v>
      </c>
    </row>
    <row r="1262" spans="1:12" x14ac:dyDescent="0.25">
      <c r="A1262">
        <v>1261</v>
      </c>
      <c r="B1262">
        <v>30069492</v>
      </c>
      <c r="C1262">
        <v>5</v>
      </c>
      <c r="E1262" s="110">
        <v>42684</v>
      </c>
      <c r="F1262" s="111" t="s">
        <v>598</v>
      </c>
      <c r="G1262">
        <v>4.7240000000000002</v>
      </c>
      <c r="H1262">
        <v>7.9999999999999716</v>
      </c>
      <c r="I1262">
        <v>3</v>
      </c>
      <c r="J1262">
        <v>2.9999999999999893</v>
      </c>
      <c r="K1262" s="1" t="e">
        <f>INDEX($P$4:$AM$15,MATCH(MONTH($E1262),$O$4:$O$15,0),MATCH(HOUR($F1262),$P$3:$AM$3,0))</f>
        <v>#N/A</v>
      </c>
      <c r="L1262" t="s">
        <v>222</v>
      </c>
    </row>
    <row r="1263" spans="1:12" x14ac:dyDescent="0.25">
      <c r="A1263">
        <v>1262</v>
      </c>
      <c r="B1263">
        <v>30069492</v>
      </c>
      <c r="C1263">
        <v>6</v>
      </c>
      <c r="E1263" s="110">
        <v>42684</v>
      </c>
      <c r="F1263" s="111" t="s">
        <v>599</v>
      </c>
      <c r="G1263">
        <v>1.337</v>
      </c>
      <c r="H1263">
        <v>3.9999999999999858</v>
      </c>
      <c r="I1263">
        <v>3</v>
      </c>
      <c r="J1263">
        <v>963.00000000000011</v>
      </c>
      <c r="K1263" s="1" t="e">
        <f>INDEX($P$4:$AM$15,MATCH(MONTH($E1263),$O$4:$O$15,0),MATCH(HOUR($F1263),$P$3:$AM$3,0))</f>
        <v>#N/A</v>
      </c>
      <c r="L1263" t="s">
        <v>222</v>
      </c>
    </row>
    <row r="1264" spans="1:12" x14ac:dyDescent="0.25">
      <c r="A1264">
        <v>1263</v>
      </c>
      <c r="B1264">
        <v>30074721</v>
      </c>
      <c r="C1264">
        <v>1</v>
      </c>
      <c r="E1264" s="110">
        <v>42685</v>
      </c>
      <c r="F1264" s="111" t="s">
        <v>217</v>
      </c>
      <c r="G1264">
        <v>0.58799999999999997</v>
      </c>
      <c r="H1264">
        <v>5.0000000000000622</v>
      </c>
      <c r="I1264">
        <v>6</v>
      </c>
      <c r="J1264">
        <v>9.9999999999999645</v>
      </c>
      <c r="K1264" s="1" t="e">
        <f>INDEX($P$4:$AM$15,MATCH(MONTH($E1264),$O$4:$O$15,0),MATCH(HOUR($F1264),$P$3:$AM$3,0))</f>
        <v>#N/A</v>
      </c>
      <c r="L1264" t="s">
        <v>249</v>
      </c>
    </row>
    <row r="1265" spans="1:12" x14ac:dyDescent="0.25">
      <c r="A1265">
        <v>1264</v>
      </c>
      <c r="B1265">
        <v>30074721</v>
      </c>
      <c r="C1265">
        <v>2</v>
      </c>
      <c r="E1265" s="110">
        <v>42685</v>
      </c>
      <c r="F1265" s="111" t="s">
        <v>388</v>
      </c>
      <c r="G1265">
        <v>14.038</v>
      </c>
      <c r="H1265">
        <v>14.999999999999947</v>
      </c>
      <c r="I1265">
        <v>6</v>
      </c>
      <c r="J1265">
        <v>30.000000000000053</v>
      </c>
      <c r="K1265" s="1" t="e">
        <f>INDEX($P$4:$AM$15,MATCH(MONTH($E1265),$O$4:$O$15,0),MATCH(HOUR($F1265),$P$3:$AM$3,0))</f>
        <v>#N/A</v>
      </c>
      <c r="L1265" t="s">
        <v>249</v>
      </c>
    </row>
    <row r="1266" spans="1:12" x14ac:dyDescent="0.25">
      <c r="A1266">
        <v>1265</v>
      </c>
      <c r="B1266">
        <v>30074721</v>
      </c>
      <c r="C1266">
        <v>3</v>
      </c>
      <c r="E1266" s="110">
        <v>42685</v>
      </c>
      <c r="F1266" s="111" t="s">
        <v>262</v>
      </c>
      <c r="G1266">
        <v>6.6550000000000002</v>
      </c>
      <c r="H1266">
        <v>29.999999999999972</v>
      </c>
      <c r="I1266">
        <v>6</v>
      </c>
      <c r="J1266">
        <v>180</v>
      </c>
      <c r="K1266" s="1" t="e">
        <f>INDEX($P$4:$AM$15,MATCH(MONTH($E1266),$O$4:$O$15,0),MATCH(HOUR($F1266),$P$3:$AM$3,0))</f>
        <v>#N/A</v>
      </c>
      <c r="L1266" t="s">
        <v>249</v>
      </c>
    </row>
    <row r="1267" spans="1:12" x14ac:dyDescent="0.25">
      <c r="A1267">
        <v>1266</v>
      </c>
      <c r="B1267">
        <v>30074721</v>
      </c>
      <c r="C1267">
        <v>4</v>
      </c>
      <c r="E1267" s="110">
        <v>42685</v>
      </c>
      <c r="F1267" s="111" t="s">
        <v>227</v>
      </c>
      <c r="G1267">
        <v>8.4309999999999992</v>
      </c>
      <c r="H1267">
        <v>30.000000000000053</v>
      </c>
      <c r="I1267">
        <v>6</v>
      </c>
      <c r="J1267">
        <v>29.999999999999893</v>
      </c>
      <c r="K1267" s="1" t="e">
        <f>INDEX($P$4:$AM$15,MATCH(MONTH($E1267),$O$4:$O$15,0),MATCH(HOUR($F1267),$P$3:$AM$3,0))</f>
        <v>#N/A</v>
      </c>
      <c r="L1267" t="s">
        <v>249</v>
      </c>
    </row>
    <row r="1268" spans="1:12" x14ac:dyDescent="0.25">
      <c r="A1268">
        <v>1267</v>
      </c>
      <c r="B1268">
        <v>30074721</v>
      </c>
      <c r="C1268">
        <v>5</v>
      </c>
      <c r="E1268" s="110">
        <v>42685</v>
      </c>
      <c r="F1268" s="111" t="s">
        <v>252</v>
      </c>
      <c r="G1268">
        <v>9.6110000000000007</v>
      </c>
      <c r="H1268">
        <v>30.000000000000053</v>
      </c>
      <c r="I1268">
        <v>6</v>
      </c>
      <c r="J1268">
        <v>90</v>
      </c>
      <c r="K1268" s="1" t="e">
        <f>INDEX($P$4:$AM$15,MATCH(MONTH($E1268),$O$4:$O$15,0),MATCH(HOUR($F1268),$P$3:$AM$3,0))</f>
        <v>#N/A</v>
      </c>
      <c r="L1268" t="s">
        <v>249</v>
      </c>
    </row>
    <row r="1269" spans="1:12" x14ac:dyDescent="0.25">
      <c r="A1269">
        <v>1268</v>
      </c>
      <c r="B1269">
        <v>30074721</v>
      </c>
      <c r="C1269">
        <v>6</v>
      </c>
      <c r="E1269" s="110">
        <v>42685</v>
      </c>
      <c r="F1269" s="111" t="s">
        <v>253</v>
      </c>
      <c r="G1269">
        <v>4.8220000000000001</v>
      </c>
      <c r="H1269">
        <v>14.999999999999947</v>
      </c>
      <c r="I1269">
        <v>6</v>
      </c>
      <c r="J1269">
        <v>45</v>
      </c>
      <c r="K1269" s="1" t="e">
        <f>INDEX($P$4:$AM$15,MATCH(MONTH($E1269),$O$4:$O$15,0),MATCH(HOUR($F1269),$P$3:$AM$3,0))</f>
        <v>#N/A</v>
      </c>
      <c r="L1269" t="s">
        <v>249</v>
      </c>
    </row>
    <row r="1270" spans="1:12" x14ac:dyDescent="0.25">
      <c r="A1270">
        <v>1269</v>
      </c>
      <c r="B1270">
        <v>30074721</v>
      </c>
      <c r="C1270">
        <v>7</v>
      </c>
      <c r="E1270" s="110">
        <v>42685</v>
      </c>
      <c r="F1270" s="111" t="s">
        <v>245</v>
      </c>
      <c r="G1270">
        <v>1.02</v>
      </c>
      <c r="H1270">
        <v>15.000000000000107</v>
      </c>
      <c r="I1270">
        <v>6</v>
      </c>
      <c r="J1270">
        <v>14.999999999999947</v>
      </c>
      <c r="K1270" s="1" t="e">
        <f>INDEX($P$4:$AM$15,MATCH(MONTH($E1270),$O$4:$O$15,0),MATCH(HOUR($F1270),$P$3:$AM$3,0))</f>
        <v>#N/A</v>
      </c>
      <c r="L1270" t="s">
        <v>249</v>
      </c>
    </row>
    <row r="1271" spans="1:12" x14ac:dyDescent="0.25">
      <c r="A1271">
        <v>1270</v>
      </c>
      <c r="B1271">
        <v>30074721</v>
      </c>
      <c r="C1271">
        <v>8</v>
      </c>
      <c r="E1271" s="110">
        <v>42685</v>
      </c>
      <c r="F1271" s="111" t="s">
        <v>374</v>
      </c>
      <c r="G1271">
        <v>1.02</v>
      </c>
      <c r="H1271">
        <v>14.999999999999947</v>
      </c>
      <c r="I1271">
        <v>6</v>
      </c>
      <c r="J1271">
        <v>825</v>
      </c>
      <c r="K1271" s="1" t="e">
        <f>INDEX($P$4:$AM$15,MATCH(MONTH($E1271),$O$4:$O$15,0),MATCH(HOUR($F1271),$P$3:$AM$3,0))</f>
        <v>#N/A</v>
      </c>
      <c r="L1271" t="s">
        <v>249</v>
      </c>
    </row>
    <row r="1272" spans="1:12" x14ac:dyDescent="0.25">
      <c r="A1272">
        <v>1271</v>
      </c>
      <c r="B1272">
        <v>30091311</v>
      </c>
      <c r="C1272">
        <v>1</v>
      </c>
      <c r="E1272" s="110">
        <v>42686</v>
      </c>
      <c r="F1272" s="111" t="s">
        <v>326</v>
      </c>
      <c r="G1272">
        <v>1.4079999999999999</v>
      </c>
      <c r="H1272">
        <v>7.0000000000000551</v>
      </c>
      <c r="I1272">
        <v>3</v>
      </c>
      <c r="J1272">
        <v>273</v>
      </c>
      <c r="K1272" s="1" t="e">
        <f>INDEX($P$4:$AM$15,MATCH(MONTH($E1272),$O$4:$O$15,0),MATCH(HOUR($F1272),$P$3:$AM$3,0))</f>
        <v>#N/A</v>
      </c>
      <c r="L1272" t="s">
        <v>302</v>
      </c>
    </row>
    <row r="1273" spans="1:12" x14ac:dyDescent="0.25">
      <c r="A1273">
        <v>1272</v>
      </c>
      <c r="B1273">
        <v>30091311</v>
      </c>
      <c r="C1273">
        <v>2</v>
      </c>
      <c r="E1273" s="110">
        <v>42686</v>
      </c>
      <c r="F1273" s="111" t="s">
        <v>363</v>
      </c>
      <c r="G1273">
        <v>1.4079999999999999</v>
      </c>
      <c r="H1273">
        <v>8.999999999999968</v>
      </c>
      <c r="I1273">
        <v>3</v>
      </c>
      <c r="J1273">
        <v>55.999999999999957</v>
      </c>
      <c r="K1273" s="1" t="e">
        <f>INDEX($P$4:$AM$15,MATCH(MONTH($E1273),$O$4:$O$15,0),MATCH(HOUR($F1273),$P$3:$AM$3,0))</f>
        <v>#N/A</v>
      </c>
      <c r="L1273" t="s">
        <v>302</v>
      </c>
    </row>
    <row r="1274" spans="1:12" x14ac:dyDescent="0.25">
      <c r="A1274">
        <v>1273</v>
      </c>
      <c r="B1274">
        <v>30091311</v>
      </c>
      <c r="C1274">
        <v>3</v>
      </c>
      <c r="E1274" s="110">
        <v>42686</v>
      </c>
      <c r="F1274" s="111" t="s">
        <v>268</v>
      </c>
      <c r="G1274">
        <v>6.1449999999999996</v>
      </c>
      <c r="H1274">
        <v>11.999999999999957</v>
      </c>
      <c r="I1274">
        <v>5</v>
      </c>
      <c r="J1274">
        <v>48.000000000000149</v>
      </c>
      <c r="K1274" s="1" t="e">
        <f>INDEX($P$4:$AM$15,MATCH(MONTH($E1274),$O$4:$O$15,0),MATCH(HOUR($F1274),$P$3:$AM$3,0))</f>
        <v>#N/A</v>
      </c>
      <c r="L1274" t="s">
        <v>302</v>
      </c>
    </row>
    <row r="1275" spans="1:12" x14ac:dyDescent="0.25">
      <c r="A1275">
        <v>1274</v>
      </c>
      <c r="B1275">
        <v>30091311</v>
      </c>
      <c r="C1275">
        <v>4</v>
      </c>
      <c r="E1275" s="110">
        <v>42686</v>
      </c>
      <c r="F1275" s="111" t="s">
        <v>274</v>
      </c>
      <c r="G1275">
        <v>5.415</v>
      </c>
      <c r="H1275">
        <v>13.99999999999995</v>
      </c>
      <c r="I1275">
        <v>5</v>
      </c>
      <c r="J1275">
        <v>766</v>
      </c>
      <c r="K1275" s="1" t="e">
        <f>INDEX($P$4:$AM$15,MATCH(MONTH($E1275),$O$4:$O$15,0),MATCH(HOUR($F1275),$P$3:$AM$3,0))</f>
        <v>#N/A</v>
      </c>
      <c r="L1275" t="s">
        <v>302</v>
      </c>
    </row>
    <row r="1276" spans="1:12" x14ac:dyDescent="0.25">
      <c r="A1276">
        <v>1275</v>
      </c>
      <c r="B1276">
        <v>30093916</v>
      </c>
      <c r="C1276">
        <v>1</v>
      </c>
      <c r="E1276" s="110">
        <v>42687</v>
      </c>
      <c r="F1276" s="111" t="s">
        <v>548</v>
      </c>
      <c r="G1276">
        <v>5.5949999999999998</v>
      </c>
      <c r="H1276">
        <v>14.999999999999986</v>
      </c>
      <c r="I1276">
        <v>3</v>
      </c>
      <c r="J1276">
        <v>595</v>
      </c>
      <c r="K1276" s="1" t="e">
        <f>INDEX($P$4:$AM$15,MATCH(MONTH($E1276),$O$4:$O$15,0),MATCH(HOUR($F1276),$P$3:$AM$3,0))</f>
        <v>#N/A</v>
      </c>
      <c r="L1276" t="s">
        <v>218</v>
      </c>
    </row>
    <row r="1277" spans="1:12" x14ac:dyDescent="0.25">
      <c r="A1277">
        <v>1276</v>
      </c>
      <c r="B1277">
        <v>30093916</v>
      </c>
      <c r="C1277">
        <v>2</v>
      </c>
      <c r="E1277" s="110">
        <v>42687</v>
      </c>
      <c r="F1277" s="111" t="s">
        <v>457</v>
      </c>
      <c r="G1277">
        <v>2.7440000000000002</v>
      </c>
      <c r="H1277">
        <v>10.000000000000124</v>
      </c>
      <c r="I1277">
        <v>3</v>
      </c>
      <c r="J1277">
        <v>9.9999999999999645</v>
      </c>
      <c r="K1277" s="1" t="e">
        <f>INDEX($P$4:$AM$15,MATCH(MONTH($E1277),$O$4:$O$15,0),MATCH(HOUR($F1277),$P$3:$AM$3,0))</f>
        <v>#N/A</v>
      </c>
      <c r="L1277" t="s">
        <v>218</v>
      </c>
    </row>
    <row r="1278" spans="1:12" x14ac:dyDescent="0.25">
      <c r="A1278">
        <v>1277</v>
      </c>
      <c r="B1278">
        <v>30093916</v>
      </c>
      <c r="C1278">
        <v>3</v>
      </c>
      <c r="E1278" s="110">
        <v>42687</v>
      </c>
      <c r="F1278" s="111" t="s">
        <v>228</v>
      </c>
      <c r="G1278">
        <v>3.9929999999999999</v>
      </c>
      <c r="H1278">
        <v>19.999999999999929</v>
      </c>
      <c r="I1278">
        <v>3</v>
      </c>
      <c r="J1278">
        <v>805.00000000000011</v>
      </c>
      <c r="K1278" s="1" t="e">
        <f>INDEX($P$4:$AM$15,MATCH(MONTH($E1278),$O$4:$O$15,0),MATCH(HOUR($F1278),$P$3:$AM$3,0))</f>
        <v>#N/A</v>
      </c>
      <c r="L1278" t="s">
        <v>218</v>
      </c>
    </row>
    <row r="1279" spans="1:12" x14ac:dyDescent="0.25">
      <c r="A1279">
        <v>1278</v>
      </c>
      <c r="B1279">
        <v>30110169</v>
      </c>
      <c r="C1279">
        <v>1</v>
      </c>
      <c r="E1279" s="110">
        <v>42688</v>
      </c>
      <c r="F1279" s="111" t="s">
        <v>293</v>
      </c>
      <c r="G1279">
        <v>7.3470000000000004</v>
      </c>
      <c r="H1279">
        <v>30.000000000000014</v>
      </c>
      <c r="I1279">
        <v>3</v>
      </c>
      <c r="J1279">
        <v>600</v>
      </c>
      <c r="K1279" s="1" t="e">
        <f>INDEX($P$4:$AM$15,MATCH(MONTH($E1279),$O$4:$O$15,0),MATCH(HOUR($F1279),$P$3:$AM$3,0))</f>
        <v>#N/A</v>
      </c>
      <c r="L1279" t="s">
        <v>231</v>
      </c>
    </row>
    <row r="1280" spans="1:12" x14ac:dyDescent="0.25">
      <c r="A1280">
        <v>1279</v>
      </c>
      <c r="B1280">
        <v>30110169</v>
      </c>
      <c r="C1280">
        <v>2</v>
      </c>
      <c r="E1280" s="110">
        <v>42688</v>
      </c>
      <c r="F1280" s="111" t="s">
        <v>252</v>
      </c>
      <c r="G1280">
        <v>7.3460000000000001</v>
      </c>
      <c r="H1280">
        <v>15.000000000000107</v>
      </c>
      <c r="I1280">
        <v>3</v>
      </c>
      <c r="J1280">
        <v>794.99999999999989</v>
      </c>
      <c r="K1280" s="1" t="e">
        <f>INDEX($P$4:$AM$15,MATCH(MONTH($E1280),$O$4:$O$15,0),MATCH(HOUR($F1280),$P$3:$AM$3,0))</f>
        <v>#N/A</v>
      </c>
      <c r="L1280" t="s">
        <v>231</v>
      </c>
    </row>
    <row r="1281" spans="1:12" x14ac:dyDescent="0.25">
      <c r="A1281">
        <v>1280</v>
      </c>
      <c r="B1281">
        <v>30147490</v>
      </c>
      <c r="C1281">
        <v>1</v>
      </c>
      <c r="E1281" s="110">
        <v>42689</v>
      </c>
      <c r="F1281" s="111" t="s">
        <v>293</v>
      </c>
      <c r="G1281">
        <v>5.9630000000000001</v>
      </c>
      <c r="H1281">
        <v>1.9999999999999929</v>
      </c>
      <c r="I1281">
        <v>3</v>
      </c>
      <c r="J1281">
        <v>118.00000000000001</v>
      </c>
      <c r="K1281" s="1" t="e">
        <f>INDEX($P$4:$AM$15,MATCH(MONTH($E1281),$O$4:$O$15,0),MATCH(HOUR($F1281),$P$3:$AM$3,0))</f>
        <v>#N/A</v>
      </c>
      <c r="L1281" t="s">
        <v>302</v>
      </c>
    </row>
    <row r="1282" spans="1:12" x14ac:dyDescent="0.25">
      <c r="A1282">
        <v>1281</v>
      </c>
      <c r="B1282">
        <v>30147490</v>
      </c>
      <c r="C1282">
        <v>2</v>
      </c>
      <c r="E1282" s="110">
        <v>42689</v>
      </c>
      <c r="F1282" s="111" t="s">
        <v>251</v>
      </c>
      <c r="G1282">
        <v>3.11</v>
      </c>
      <c r="H1282">
        <v>10.000000000000044</v>
      </c>
      <c r="I1282">
        <v>3</v>
      </c>
      <c r="J1282">
        <v>40.000000000000014</v>
      </c>
      <c r="K1282" s="1" t="e">
        <f>INDEX($P$4:$AM$15,MATCH(MONTH($E1282),$O$4:$O$15,0),MATCH(HOUR($F1282),$P$3:$AM$3,0))</f>
        <v>#N/A</v>
      </c>
      <c r="L1282" t="s">
        <v>302</v>
      </c>
    </row>
    <row r="1283" spans="1:12" x14ac:dyDescent="0.25">
      <c r="A1283">
        <v>1282</v>
      </c>
      <c r="B1283">
        <v>30147490</v>
      </c>
      <c r="C1283">
        <v>3</v>
      </c>
      <c r="E1283" s="110">
        <v>42689</v>
      </c>
      <c r="F1283" s="111" t="s">
        <v>441</v>
      </c>
      <c r="G1283">
        <v>3.1110000000000002</v>
      </c>
      <c r="H1283">
        <v>9.9999999999999645</v>
      </c>
      <c r="I1283">
        <v>3</v>
      </c>
      <c r="J1283">
        <v>209.99999999999997</v>
      </c>
      <c r="K1283" s="1" t="e">
        <f>INDEX($P$4:$AM$15,MATCH(MONTH($E1283),$O$4:$O$15,0),MATCH(HOUR($F1283),$P$3:$AM$3,0))</f>
        <v>#N/A</v>
      </c>
      <c r="L1283" t="s">
        <v>302</v>
      </c>
    </row>
    <row r="1284" spans="1:12" x14ac:dyDescent="0.25">
      <c r="A1284">
        <v>1283</v>
      </c>
      <c r="B1284">
        <v>30147490</v>
      </c>
      <c r="C1284">
        <v>4</v>
      </c>
      <c r="E1284" s="110">
        <v>42689</v>
      </c>
      <c r="F1284" s="111" t="s">
        <v>318</v>
      </c>
      <c r="G1284">
        <v>3.14</v>
      </c>
      <c r="H1284">
        <v>9.9999999999999645</v>
      </c>
      <c r="I1284">
        <v>3</v>
      </c>
      <c r="J1284">
        <v>139.99999999999997</v>
      </c>
      <c r="K1284" s="1" t="e">
        <f>INDEX($P$4:$AM$15,MATCH(MONTH($E1284),$O$4:$O$15,0),MATCH(HOUR($F1284),$P$3:$AM$3,0))</f>
        <v>#N/A</v>
      </c>
      <c r="L1284" t="s">
        <v>302</v>
      </c>
    </row>
    <row r="1285" spans="1:12" x14ac:dyDescent="0.25">
      <c r="A1285">
        <v>1284</v>
      </c>
      <c r="B1285">
        <v>30147490</v>
      </c>
      <c r="C1285">
        <v>5</v>
      </c>
      <c r="E1285" s="110">
        <v>42689</v>
      </c>
      <c r="F1285" s="111" t="s">
        <v>294</v>
      </c>
      <c r="G1285">
        <v>3.14</v>
      </c>
      <c r="H1285">
        <v>9.9999999999999645</v>
      </c>
      <c r="I1285">
        <v>3</v>
      </c>
      <c r="J1285">
        <v>1280</v>
      </c>
      <c r="K1285" s="1" t="e">
        <f>INDEX($P$4:$AM$15,MATCH(MONTH($E1285),$O$4:$O$15,0),MATCH(HOUR($F1285),$P$3:$AM$3,0))</f>
        <v>#N/A</v>
      </c>
      <c r="L1285" t="s">
        <v>302</v>
      </c>
    </row>
    <row r="1286" spans="1:12" x14ac:dyDescent="0.25">
      <c r="A1286">
        <v>1285</v>
      </c>
      <c r="B1286">
        <v>30147490</v>
      </c>
      <c r="C1286">
        <v>1</v>
      </c>
      <c r="E1286" s="110">
        <v>42690</v>
      </c>
      <c r="F1286" s="111" t="s">
        <v>318</v>
      </c>
      <c r="G1286">
        <v>14.004</v>
      </c>
      <c r="H1286">
        <v>40.000000000000014</v>
      </c>
      <c r="I1286">
        <v>3</v>
      </c>
      <c r="J1286">
        <v>229.99999999999997</v>
      </c>
      <c r="K1286" s="1" t="e">
        <f>INDEX($P$4:$AM$15,MATCH(MONTH($E1286),$O$4:$O$15,0),MATCH(HOUR($F1286),$P$3:$AM$3,0))</f>
        <v>#N/A</v>
      </c>
      <c r="L1286" t="s">
        <v>302</v>
      </c>
    </row>
    <row r="1287" spans="1:12" x14ac:dyDescent="0.25">
      <c r="A1287">
        <v>1286</v>
      </c>
      <c r="B1287">
        <v>30147490</v>
      </c>
      <c r="C1287">
        <v>2</v>
      </c>
      <c r="E1287" s="110">
        <v>42690</v>
      </c>
      <c r="F1287" s="111" t="s">
        <v>247</v>
      </c>
      <c r="G1287">
        <v>13.942</v>
      </c>
      <c r="H1287">
        <v>40.000000000000014</v>
      </c>
      <c r="I1287">
        <v>3</v>
      </c>
      <c r="J1287">
        <v>49.999999999999986</v>
      </c>
      <c r="K1287" s="1" t="e">
        <f>INDEX($P$4:$AM$15,MATCH(MONTH($E1287),$O$4:$O$15,0),MATCH(HOUR($F1287),$P$3:$AM$3,0))</f>
        <v>#N/A</v>
      </c>
      <c r="L1287" t="s">
        <v>302</v>
      </c>
    </row>
    <row r="1288" spans="1:12" x14ac:dyDescent="0.25">
      <c r="A1288">
        <v>1287</v>
      </c>
      <c r="B1288">
        <v>30147490</v>
      </c>
      <c r="C1288">
        <v>3</v>
      </c>
      <c r="E1288" s="110">
        <v>42690</v>
      </c>
      <c r="F1288" s="111" t="s">
        <v>253</v>
      </c>
      <c r="G1288">
        <v>2.6549999999999998</v>
      </c>
      <c r="H1288">
        <v>10.000000000000124</v>
      </c>
      <c r="I1288">
        <v>3</v>
      </c>
      <c r="J1288">
        <v>49.999999999999822</v>
      </c>
      <c r="K1288" s="1" t="e">
        <f>INDEX($P$4:$AM$15,MATCH(MONTH($E1288),$O$4:$O$15,0),MATCH(HOUR($F1288),$P$3:$AM$3,0))</f>
        <v>#N/A</v>
      </c>
      <c r="L1288" t="s">
        <v>302</v>
      </c>
    </row>
    <row r="1289" spans="1:12" x14ac:dyDescent="0.25">
      <c r="A1289">
        <v>1288</v>
      </c>
      <c r="B1289">
        <v>30147490</v>
      </c>
      <c r="C1289">
        <v>4</v>
      </c>
      <c r="E1289" s="110">
        <v>42690</v>
      </c>
      <c r="F1289" s="111" t="s">
        <v>245</v>
      </c>
      <c r="G1289">
        <v>2.5990000000000002</v>
      </c>
      <c r="H1289">
        <v>10.000000000000124</v>
      </c>
      <c r="I1289">
        <v>3</v>
      </c>
      <c r="J1289">
        <v>49.999999999999986</v>
      </c>
      <c r="K1289" s="1" t="e">
        <f>INDEX($P$4:$AM$15,MATCH(MONTH($E1289),$O$4:$O$15,0),MATCH(HOUR($F1289),$P$3:$AM$3,0))</f>
        <v>#N/A</v>
      </c>
      <c r="L1289" t="s">
        <v>302</v>
      </c>
    </row>
    <row r="1290" spans="1:12" x14ac:dyDescent="0.25">
      <c r="A1290">
        <v>1289</v>
      </c>
      <c r="B1290">
        <v>30147490</v>
      </c>
      <c r="C1290">
        <v>5</v>
      </c>
      <c r="E1290" s="110">
        <v>42690</v>
      </c>
      <c r="F1290" s="111" t="s">
        <v>319</v>
      </c>
      <c r="G1290">
        <v>0.85299999999999998</v>
      </c>
      <c r="H1290">
        <v>4.9999999999998224</v>
      </c>
      <c r="I1290">
        <v>3</v>
      </c>
      <c r="J1290">
        <v>320.00000000000023</v>
      </c>
      <c r="K1290" s="1" t="e">
        <f>INDEX($P$4:$AM$15,MATCH(MONTH($E1290),$O$4:$O$15,0),MATCH(HOUR($F1290),$P$3:$AM$3,0))</f>
        <v>#N/A</v>
      </c>
      <c r="L1290" t="s">
        <v>302</v>
      </c>
    </row>
    <row r="1291" spans="1:12" x14ac:dyDescent="0.25">
      <c r="A1291">
        <v>1290</v>
      </c>
      <c r="B1291">
        <v>30147490</v>
      </c>
      <c r="C1291">
        <v>1</v>
      </c>
      <c r="E1291" s="110">
        <v>42691</v>
      </c>
      <c r="F1291" s="111" t="s">
        <v>600</v>
      </c>
      <c r="G1291">
        <v>0.85399999999999998</v>
      </c>
      <c r="H1291">
        <v>4.999999999999992</v>
      </c>
      <c r="I1291">
        <v>3</v>
      </c>
      <c r="J1291">
        <v>325.00000000000006</v>
      </c>
      <c r="K1291" s="1" t="e">
        <f>INDEX($P$4:$AM$15,MATCH(MONTH($E1291),$O$4:$O$15,0),MATCH(HOUR($F1291),$P$3:$AM$3,0))</f>
        <v>#N/A</v>
      </c>
      <c r="L1291" t="s">
        <v>302</v>
      </c>
    </row>
    <row r="1292" spans="1:12" x14ac:dyDescent="0.25">
      <c r="A1292">
        <v>1291</v>
      </c>
      <c r="B1292">
        <v>30153860</v>
      </c>
      <c r="C1292">
        <v>2</v>
      </c>
      <c r="E1292" s="110">
        <v>42691</v>
      </c>
      <c r="F1292" s="111" t="s">
        <v>601</v>
      </c>
      <c r="G1292">
        <v>17.616</v>
      </c>
      <c r="H1292">
        <v>24.999999999999911</v>
      </c>
      <c r="I1292">
        <v>4</v>
      </c>
      <c r="J1292">
        <v>610</v>
      </c>
      <c r="K1292" s="1" t="e">
        <f>INDEX($P$4:$AM$15,MATCH(MONTH($E1292),$O$4:$O$15,0),MATCH(HOUR($F1292),$P$3:$AM$3,0))</f>
        <v>#N/A</v>
      </c>
      <c r="L1292" t="s">
        <v>231</v>
      </c>
    </row>
    <row r="1293" spans="1:12" x14ac:dyDescent="0.25">
      <c r="A1293">
        <v>1292</v>
      </c>
      <c r="B1293">
        <v>30153860</v>
      </c>
      <c r="C1293">
        <v>3</v>
      </c>
      <c r="E1293" s="110">
        <v>42691</v>
      </c>
      <c r="F1293" s="111" t="s">
        <v>258</v>
      </c>
      <c r="G1293">
        <v>17.690999999999999</v>
      </c>
      <c r="H1293">
        <v>30.000000000000053</v>
      </c>
      <c r="I1293">
        <v>4</v>
      </c>
      <c r="J1293">
        <v>960</v>
      </c>
      <c r="K1293" s="1" t="e">
        <f>INDEX($P$4:$AM$15,MATCH(MONTH($E1293),$O$4:$O$15,0),MATCH(HOUR($F1293),$P$3:$AM$3,0))</f>
        <v>#N/A</v>
      </c>
      <c r="L1293" t="s">
        <v>231</v>
      </c>
    </row>
    <row r="1294" spans="1:12" x14ac:dyDescent="0.25">
      <c r="A1294">
        <v>1293</v>
      </c>
      <c r="B1294">
        <v>30170210</v>
      </c>
      <c r="C1294">
        <v>1</v>
      </c>
      <c r="E1294" s="110">
        <v>42692</v>
      </c>
      <c r="F1294" s="111" t="s">
        <v>283</v>
      </c>
      <c r="G1294">
        <v>1552.7850000000001</v>
      </c>
      <c r="H1294">
        <v>9.9999999999999645</v>
      </c>
      <c r="I1294">
        <v>3</v>
      </c>
      <c r="J1294">
        <v>20.000000000000007</v>
      </c>
      <c r="K1294" s="1" t="e">
        <f>INDEX($P$4:$AM$15,MATCH(MONTH($E1294),$O$4:$O$15,0),MATCH(HOUR($F1294),$P$3:$AM$3,0))</f>
        <v>#N/A</v>
      </c>
      <c r="L1294" t="s">
        <v>231</v>
      </c>
    </row>
    <row r="1295" spans="1:12" x14ac:dyDescent="0.25">
      <c r="A1295">
        <v>1294</v>
      </c>
      <c r="B1295">
        <v>30170210</v>
      </c>
      <c r="C1295">
        <v>2</v>
      </c>
      <c r="E1295" s="110">
        <v>42692</v>
      </c>
      <c r="F1295" s="111" t="s">
        <v>217</v>
      </c>
      <c r="G1295">
        <v>3.8460000000000001</v>
      </c>
      <c r="H1295">
        <v>9.9999999999999645</v>
      </c>
      <c r="I1295">
        <v>3</v>
      </c>
      <c r="J1295">
        <v>10.000000000000044</v>
      </c>
      <c r="K1295" s="1" t="e">
        <f>INDEX($P$4:$AM$15,MATCH(MONTH($E1295),$O$4:$O$15,0),MATCH(HOUR($F1295),$P$3:$AM$3,0))</f>
        <v>#N/A</v>
      </c>
      <c r="L1295" t="s">
        <v>231</v>
      </c>
    </row>
    <row r="1296" spans="1:12" x14ac:dyDescent="0.25">
      <c r="A1296">
        <v>1295</v>
      </c>
      <c r="B1296">
        <v>30170210</v>
      </c>
      <c r="C1296">
        <v>3</v>
      </c>
      <c r="E1296" s="110">
        <v>42692</v>
      </c>
      <c r="F1296" s="111" t="s">
        <v>417</v>
      </c>
      <c r="G1296">
        <v>1552.3009999999999</v>
      </c>
      <c r="H1296">
        <v>9.9999999999999645</v>
      </c>
      <c r="I1296">
        <v>3</v>
      </c>
      <c r="J1296">
        <v>240</v>
      </c>
      <c r="K1296" s="1" t="e">
        <f>INDEX($P$4:$AM$15,MATCH(MONTH($E1296),$O$4:$O$15,0),MATCH(HOUR($F1296),$P$3:$AM$3,0))</f>
        <v>#N/A</v>
      </c>
      <c r="L1296" t="s">
        <v>231</v>
      </c>
    </row>
    <row r="1297" spans="1:12" x14ac:dyDescent="0.25">
      <c r="A1297">
        <v>1296</v>
      </c>
      <c r="B1297">
        <v>30170210</v>
      </c>
      <c r="C1297">
        <v>4</v>
      </c>
      <c r="E1297" s="110">
        <v>42692</v>
      </c>
      <c r="F1297" s="111" t="s">
        <v>227</v>
      </c>
      <c r="G1297">
        <v>1544.441</v>
      </c>
      <c r="H1297">
        <v>20.000000000000089</v>
      </c>
      <c r="I1297">
        <v>3</v>
      </c>
      <c r="J1297">
        <v>59.999999999999787</v>
      </c>
      <c r="K1297" s="1" t="e">
        <f>INDEX($P$4:$AM$15,MATCH(MONTH($E1297),$O$4:$O$15,0),MATCH(HOUR($F1297),$P$3:$AM$3,0))</f>
        <v>#N/A</v>
      </c>
      <c r="L1297" t="s">
        <v>231</v>
      </c>
    </row>
    <row r="1298" spans="1:12" x14ac:dyDescent="0.25">
      <c r="A1298">
        <v>1297</v>
      </c>
      <c r="B1298">
        <v>30170210</v>
      </c>
      <c r="C1298">
        <v>5</v>
      </c>
      <c r="E1298" s="110">
        <v>42692</v>
      </c>
      <c r="F1298" s="111" t="s">
        <v>371</v>
      </c>
      <c r="G1298">
        <v>1543.9839999999999</v>
      </c>
      <c r="H1298">
        <v>20.000000000000249</v>
      </c>
      <c r="I1298">
        <v>3</v>
      </c>
      <c r="J1298">
        <v>1354.9999999999998</v>
      </c>
      <c r="K1298" s="1" t="e">
        <f>INDEX($P$4:$AM$15,MATCH(MONTH($E1298),$O$4:$O$15,0),MATCH(HOUR($F1298),$P$3:$AM$3,0))</f>
        <v>#N/A</v>
      </c>
      <c r="L1298" t="s">
        <v>231</v>
      </c>
    </row>
    <row r="1299" spans="1:12" x14ac:dyDescent="0.25">
      <c r="A1299">
        <v>1298</v>
      </c>
      <c r="B1299">
        <v>30176381</v>
      </c>
      <c r="C1299">
        <v>1</v>
      </c>
      <c r="E1299" s="110">
        <v>42693</v>
      </c>
      <c r="F1299" s="111" t="s">
        <v>268</v>
      </c>
      <c r="G1299">
        <v>22.687999999999999</v>
      </c>
      <c r="H1299">
        <v>45</v>
      </c>
      <c r="I1299">
        <v>3</v>
      </c>
      <c r="J1299">
        <v>60.000000000000107</v>
      </c>
      <c r="K1299" s="1" t="e">
        <f>INDEX($P$4:$AM$15,MATCH(MONTH($E1299),$O$4:$O$15,0),MATCH(HOUR($F1299),$P$3:$AM$3,0))</f>
        <v>#N/A</v>
      </c>
      <c r="L1299" t="s">
        <v>218</v>
      </c>
    </row>
    <row r="1300" spans="1:12" x14ac:dyDescent="0.25">
      <c r="A1300">
        <v>1299</v>
      </c>
      <c r="B1300">
        <v>30176381</v>
      </c>
      <c r="C1300">
        <v>2</v>
      </c>
      <c r="E1300" s="110">
        <v>42693</v>
      </c>
      <c r="F1300" s="111" t="s">
        <v>229</v>
      </c>
      <c r="G1300">
        <v>22.891999999999999</v>
      </c>
      <c r="H1300">
        <v>45</v>
      </c>
      <c r="I1300">
        <v>3</v>
      </c>
      <c r="J1300">
        <v>795</v>
      </c>
      <c r="K1300" s="1" t="e">
        <f>INDEX($P$4:$AM$15,MATCH(MONTH($E1300),$O$4:$O$15,0),MATCH(HOUR($F1300),$P$3:$AM$3,0))</f>
        <v>#N/A</v>
      </c>
      <c r="L1300" t="s">
        <v>218</v>
      </c>
    </row>
    <row r="1301" spans="1:12" x14ac:dyDescent="0.25">
      <c r="A1301">
        <v>1300</v>
      </c>
      <c r="B1301">
        <v>30185271</v>
      </c>
      <c r="C1301">
        <v>1</v>
      </c>
      <c r="E1301" s="110">
        <v>42694</v>
      </c>
      <c r="F1301" s="111" t="s">
        <v>305</v>
      </c>
      <c r="G1301">
        <v>2.1669999999999998</v>
      </c>
      <c r="H1301">
        <v>9.9999999999999645</v>
      </c>
      <c r="I1301">
        <v>3</v>
      </c>
      <c r="J1301">
        <v>349.99999999999994</v>
      </c>
      <c r="K1301" s="1" t="e">
        <f>INDEX($P$4:$AM$15,MATCH(MONTH($E1301),$O$4:$O$15,0),MATCH(HOUR($F1301),$P$3:$AM$3,0))</f>
        <v>#N/A</v>
      </c>
      <c r="L1301" t="s">
        <v>218</v>
      </c>
    </row>
    <row r="1302" spans="1:12" x14ac:dyDescent="0.25">
      <c r="A1302">
        <v>1301</v>
      </c>
      <c r="B1302">
        <v>30185271</v>
      </c>
      <c r="C1302">
        <v>2</v>
      </c>
      <c r="E1302" s="110">
        <v>42694</v>
      </c>
      <c r="F1302" s="111" t="s">
        <v>219</v>
      </c>
      <c r="G1302">
        <v>15.414999999999999</v>
      </c>
      <c r="H1302">
        <v>20.000000000000089</v>
      </c>
      <c r="I1302">
        <v>3</v>
      </c>
      <c r="J1302">
        <v>75.000000000000057</v>
      </c>
      <c r="K1302" s="1" t="e">
        <f>INDEX($P$4:$AM$15,MATCH(MONTH($E1302),$O$4:$O$15,0),MATCH(HOUR($F1302),$P$3:$AM$3,0))</f>
        <v>#N/A</v>
      </c>
      <c r="L1302" t="s">
        <v>218</v>
      </c>
    </row>
    <row r="1303" spans="1:12" x14ac:dyDescent="0.25">
      <c r="A1303">
        <v>1302</v>
      </c>
      <c r="B1303">
        <v>30185271</v>
      </c>
      <c r="C1303">
        <v>3</v>
      </c>
      <c r="E1303" s="110">
        <v>42694</v>
      </c>
      <c r="F1303" s="111" t="s">
        <v>220</v>
      </c>
      <c r="G1303">
        <v>16.260000000000002</v>
      </c>
      <c r="H1303">
        <v>29.999999999999893</v>
      </c>
      <c r="I1303">
        <v>3</v>
      </c>
      <c r="J1303">
        <v>74.999999999999886</v>
      </c>
      <c r="K1303" s="1" t="e">
        <f>INDEX($P$4:$AM$15,MATCH(MONTH($E1303),$O$4:$O$15,0),MATCH(HOUR($F1303),$P$3:$AM$3,0))</f>
        <v>#N/A</v>
      </c>
      <c r="L1303" t="s">
        <v>218</v>
      </c>
    </row>
    <row r="1304" spans="1:12" x14ac:dyDescent="0.25">
      <c r="A1304">
        <v>1303</v>
      </c>
      <c r="B1304">
        <v>30185271</v>
      </c>
      <c r="C1304">
        <v>4</v>
      </c>
      <c r="E1304" s="110">
        <v>42694</v>
      </c>
      <c r="F1304" s="111" t="s">
        <v>371</v>
      </c>
      <c r="G1304">
        <v>1.5980000000000001</v>
      </c>
      <c r="H1304">
        <v>10.000000000000124</v>
      </c>
      <c r="I1304">
        <v>3</v>
      </c>
      <c r="J1304">
        <v>25.000000000000071</v>
      </c>
      <c r="K1304" s="1" t="e">
        <f>INDEX($P$4:$AM$15,MATCH(MONTH($E1304),$O$4:$O$15,0),MATCH(HOUR($F1304),$P$3:$AM$3,0))</f>
        <v>#N/A</v>
      </c>
      <c r="L1304" t="s">
        <v>218</v>
      </c>
    </row>
    <row r="1305" spans="1:12" x14ac:dyDescent="0.25">
      <c r="A1305">
        <v>1304</v>
      </c>
      <c r="B1305">
        <v>30185271</v>
      </c>
      <c r="C1305">
        <v>5</v>
      </c>
      <c r="E1305" s="110">
        <v>42694</v>
      </c>
      <c r="F1305" s="111" t="s">
        <v>271</v>
      </c>
      <c r="G1305">
        <v>1.5980000000000001</v>
      </c>
      <c r="H1305">
        <v>9.9999999999998046</v>
      </c>
      <c r="I1305">
        <v>3</v>
      </c>
      <c r="J1305">
        <v>350.00000000000017</v>
      </c>
      <c r="K1305" s="1" t="e">
        <f>INDEX($P$4:$AM$15,MATCH(MONTH($E1305),$O$4:$O$15,0),MATCH(HOUR($F1305),$P$3:$AM$3,0))</f>
        <v>#N/A</v>
      </c>
      <c r="L1305" t="s">
        <v>218</v>
      </c>
    </row>
    <row r="1306" spans="1:12" x14ac:dyDescent="0.25">
      <c r="A1306">
        <v>1305</v>
      </c>
      <c r="B1306">
        <v>30185271</v>
      </c>
      <c r="C1306">
        <v>6</v>
      </c>
      <c r="E1306" s="110">
        <v>42694</v>
      </c>
      <c r="F1306" s="111" t="s">
        <v>602</v>
      </c>
      <c r="G1306">
        <v>1.98</v>
      </c>
      <c r="H1306">
        <v>3.9999999999999858</v>
      </c>
      <c r="I1306">
        <v>3</v>
      </c>
      <c r="J1306">
        <v>481</v>
      </c>
      <c r="K1306" s="1" t="e">
        <f>INDEX($P$4:$AM$15,MATCH(MONTH($E1306),$O$4:$O$15,0),MATCH(HOUR($F1306),$P$3:$AM$3,0))</f>
        <v>#N/A</v>
      </c>
      <c r="L1306" t="s">
        <v>218</v>
      </c>
    </row>
    <row r="1307" spans="1:12" x14ac:dyDescent="0.25">
      <c r="A1307">
        <v>1306</v>
      </c>
      <c r="B1307">
        <v>30185271</v>
      </c>
      <c r="C1307">
        <v>1</v>
      </c>
      <c r="E1307" s="110">
        <v>42695</v>
      </c>
      <c r="F1307" s="111" t="s">
        <v>305</v>
      </c>
      <c r="G1307">
        <v>10.313000000000001</v>
      </c>
      <c r="H1307">
        <v>24.999999999999993</v>
      </c>
      <c r="I1307">
        <v>3</v>
      </c>
      <c r="J1307">
        <v>620</v>
      </c>
      <c r="K1307" s="1" t="e">
        <f>INDEX($P$4:$AM$15,MATCH(MONTH($E1307),$O$4:$O$15,0),MATCH(HOUR($F1307),$P$3:$AM$3,0))</f>
        <v>#N/A</v>
      </c>
      <c r="L1307" t="s">
        <v>218</v>
      </c>
    </row>
    <row r="1308" spans="1:12" x14ac:dyDescent="0.25">
      <c r="A1308">
        <v>1307</v>
      </c>
      <c r="B1308">
        <v>30185271</v>
      </c>
      <c r="C1308">
        <v>2</v>
      </c>
      <c r="E1308" s="110">
        <v>42695</v>
      </c>
      <c r="F1308" s="111" t="s">
        <v>281</v>
      </c>
      <c r="G1308">
        <v>1.5860000000000001</v>
      </c>
      <c r="H1308">
        <v>9.9999999999999645</v>
      </c>
      <c r="I1308">
        <v>3</v>
      </c>
      <c r="J1308">
        <v>15.000000000000107</v>
      </c>
      <c r="K1308" s="1" t="e">
        <f>INDEX($P$4:$AM$15,MATCH(MONTH($E1308),$O$4:$O$15,0),MATCH(HOUR($F1308),$P$3:$AM$3,0))</f>
        <v>#N/A</v>
      </c>
      <c r="L1308" t="s">
        <v>218</v>
      </c>
    </row>
    <row r="1309" spans="1:12" x14ac:dyDescent="0.25">
      <c r="A1309">
        <v>1308</v>
      </c>
      <c r="B1309">
        <v>30185271</v>
      </c>
      <c r="C1309">
        <v>3</v>
      </c>
      <c r="E1309" s="110">
        <v>42695</v>
      </c>
      <c r="F1309" s="111" t="s">
        <v>309</v>
      </c>
      <c r="G1309">
        <v>1.587</v>
      </c>
      <c r="H1309">
        <v>9.9999999999998046</v>
      </c>
      <c r="I1309">
        <v>3</v>
      </c>
      <c r="J1309">
        <v>265</v>
      </c>
      <c r="K1309" s="1" t="e">
        <f>INDEX($P$4:$AM$15,MATCH(MONTH($E1309),$O$4:$O$15,0),MATCH(HOUR($F1309),$P$3:$AM$3,0))</f>
        <v>#N/A</v>
      </c>
      <c r="L1309" t="s">
        <v>218</v>
      </c>
    </row>
    <row r="1310" spans="1:12" x14ac:dyDescent="0.25">
      <c r="A1310">
        <v>1309</v>
      </c>
      <c r="B1310">
        <v>30185271</v>
      </c>
      <c r="C1310">
        <v>4</v>
      </c>
      <c r="E1310" s="110">
        <v>42695</v>
      </c>
      <c r="F1310" s="111" t="s">
        <v>381</v>
      </c>
      <c r="G1310">
        <v>7.7789999999999999</v>
      </c>
      <c r="H1310">
        <v>15.000000000000107</v>
      </c>
      <c r="I1310">
        <v>3</v>
      </c>
      <c r="J1310">
        <v>720</v>
      </c>
      <c r="K1310" s="1" t="e">
        <f>INDEX($P$4:$AM$15,MATCH(MONTH($E1310),$O$4:$O$15,0),MATCH(HOUR($F1310),$P$3:$AM$3,0))</f>
        <v>#N/A</v>
      </c>
      <c r="L1310" t="s">
        <v>218</v>
      </c>
    </row>
    <row r="1311" spans="1:12" x14ac:dyDescent="0.25">
      <c r="A1311">
        <v>1310</v>
      </c>
      <c r="B1311">
        <v>30193139</v>
      </c>
      <c r="C1311">
        <v>1</v>
      </c>
      <c r="E1311" s="110">
        <v>42696</v>
      </c>
      <c r="F1311" s="111" t="s">
        <v>221</v>
      </c>
      <c r="G1311">
        <v>0.68600000000000005</v>
      </c>
      <c r="H1311">
        <v>5.0000000000000622</v>
      </c>
      <c r="I1311">
        <v>4</v>
      </c>
      <c r="J1311">
        <v>90</v>
      </c>
      <c r="K1311" s="1" t="e">
        <f>INDEX($P$4:$AM$15,MATCH(MONTH($E1311),$O$4:$O$15,0),MATCH(HOUR($F1311),$P$3:$AM$3,0))</f>
        <v>#N/A</v>
      </c>
      <c r="L1311" t="s">
        <v>231</v>
      </c>
    </row>
    <row r="1312" spans="1:12" x14ac:dyDescent="0.25">
      <c r="A1312">
        <v>1311</v>
      </c>
      <c r="B1312">
        <v>30193139</v>
      </c>
      <c r="C1312">
        <v>2</v>
      </c>
      <c r="E1312" s="110">
        <v>42696</v>
      </c>
      <c r="F1312" s="111" t="s">
        <v>282</v>
      </c>
      <c r="G1312">
        <v>0.68700000000000006</v>
      </c>
      <c r="H1312">
        <v>4.9999999999999822</v>
      </c>
      <c r="I1312">
        <v>4</v>
      </c>
      <c r="J1312">
        <v>9.9999999999999645</v>
      </c>
      <c r="K1312" s="1" t="e">
        <f>INDEX($P$4:$AM$15,MATCH(MONTH($E1312),$O$4:$O$15,0),MATCH(HOUR($F1312),$P$3:$AM$3,0))</f>
        <v>#N/A</v>
      </c>
      <c r="L1312" t="s">
        <v>231</v>
      </c>
    </row>
    <row r="1313" spans="1:12" x14ac:dyDescent="0.25">
      <c r="A1313">
        <v>1312</v>
      </c>
      <c r="B1313">
        <v>30193139</v>
      </c>
      <c r="C1313">
        <v>3</v>
      </c>
      <c r="E1313" s="110">
        <v>42696</v>
      </c>
      <c r="F1313" s="111" t="s">
        <v>397</v>
      </c>
      <c r="G1313">
        <v>3.6850000000000001</v>
      </c>
      <c r="H1313">
        <v>9.9999999999999645</v>
      </c>
      <c r="I1313">
        <v>4</v>
      </c>
      <c r="J1313">
        <v>120.00000000000006</v>
      </c>
      <c r="K1313" s="1" t="e">
        <f>INDEX($P$4:$AM$15,MATCH(MONTH($E1313),$O$4:$O$15,0),MATCH(HOUR($F1313),$P$3:$AM$3,0))</f>
        <v>#N/A</v>
      </c>
      <c r="L1313" t="s">
        <v>231</v>
      </c>
    </row>
    <row r="1314" spans="1:12" x14ac:dyDescent="0.25">
      <c r="A1314">
        <v>1313</v>
      </c>
      <c r="B1314">
        <v>30193139</v>
      </c>
      <c r="C1314">
        <v>4</v>
      </c>
      <c r="E1314" s="110">
        <v>42696</v>
      </c>
      <c r="F1314" s="111" t="s">
        <v>227</v>
      </c>
      <c r="G1314">
        <v>3.8540000000000001</v>
      </c>
      <c r="H1314">
        <v>9.9999999999999645</v>
      </c>
      <c r="I1314">
        <v>4</v>
      </c>
      <c r="J1314">
        <v>80.000000000000028</v>
      </c>
      <c r="K1314" s="1" t="e">
        <f>INDEX($P$4:$AM$15,MATCH(MONTH($E1314),$O$4:$O$15,0),MATCH(HOUR($F1314),$P$3:$AM$3,0))</f>
        <v>#N/A</v>
      </c>
      <c r="L1314" t="s">
        <v>231</v>
      </c>
    </row>
    <row r="1315" spans="1:12" x14ac:dyDescent="0.25">
      <c r="A1315">
        <v>1314</v>
      </c>
      <c r="B1315">
        <v>30193139</v>
      </c>
      <c r="C1315">
        <v>5</v>
      </c>
      <c r="E1315" s="110">
        <v>42696</v>
      </c>
      <c r="F1315" s="111" t="s">
        <v>247</v>
      </c>
      <c r="G1315">
        <v>3.8439999999999999</v>
      </c>
      <c r="H1315">
        <v>10.000000000000124</v>
      </c>
      <c r="I1315">
        <v>4</v>
      </c>
      <c r="J1315">
        <v>935</v>
      </c>
      <c r="K1315" s="1" t="e">
        <f>INDEX($P$4:$AM$15,MATCH(MONTH($E1315),$O$4:$O$15,0),MATCH(HOUR($F1315),$P$3:$AM$3,0))</f>
        <v>#N/A</v>
      </c>
      <c r="L1315" t="s">
        <v>231</v>
      </c>
    </row>
    <row r="1316" spans="1:12" x14ac:dyDescent="0.25">
      <c r="A1316">
        <v>1315</v>
      </c>
      <c r="B1316">
        <v>30223397</v>
      </c>
      <c r="C1316">
        <v>1</v>
      </c>
      <c r="E1316" s="110">
        <v>42697</v>
      </c>
      <c r="F1316" s="111" t="s">
        <v>389</v>
      </c>
      <c r="G1316">
        <v>11.714</v>
      </c>
      <c r="H1316">
        <v>9.9999999999999645</v>
      </c>
      <c r="I1316">
        <v>3</v>
      </c>
      <c r="J1316">
        <v>15.000000000000027</v>
      </c>
      <c r="K1316" s="1" t="e">
        <f>INDEX($P$4:$AM$15,MATCH(MONTH($E1316),$O$4:$O$15,0),MATCH(HOUR($F1316),$P$3:$AM$3,0))</f>
        <v>#N/A</v>
      </c>
      <c r="L1316" t="s">
        <v>302</v>
      </c>
    </row>
    <row r="1317" spans="1:12" x14ac:dyDescent="0.25">
      <c r="A1317">
        <v>1316</v>
      </c>
      <c r="B1317">
        <v>30223397</v>
      </c>
      <c r="C1317">
        <v>2</v>
      </c>
      <c r="E1317" s="110">
        <v>42697</v>
      </c>
      <c r="F1317" s="111" t="s">
        <v>496</v>
      </c>
      <c r="G1317">
        <v>1.728</v>
      </c>
      <c r="H1317">
        <v>10.000000000000044</v>
      </c>
      <c r="I1317">
        <v>3</v>
      </c>
      <c r="J1317">
        <v>109.99999999999993</v>
      </c>
      <c r="K1317" s="1" t="e">
        <f>INDEX($P$4:$AM$15,MATCH(MONTH($E1317),$O$4:$O$15,0),MATCH(HOUR($F1317),$P$3:$AM$3,0))</f>
        <v>#N/A</v>
      </c>
      <c r="L1317" t="s">
        <v>302</v>
      </c>
    </row>
    <row r="1318" spans="1:12" x14ac:dyDescent="0.25">
      <c r="A1318">
        <v>1317</v>
      </c>
      <c r="B1318">
        <v>30223397</v>
      </c>
      <c r="C1318">
        <v>3</v>
      </c>
      <c r="E1318" s="110">
        <v>42697</v>
      </c>
      <c r="F1318" s="111" t="s">
        <v>379</v>
      </c>
      <c r="G1318">
        <v>1.766</v>
      </c>
      <c r="H1318">
        <v>10.000000000000044</v>
      </c>
      <c r="I1318">
        <v>3</v>
      </c>
      <c r="J1318">
        <v>9.9999999999999645</v>
      </c>
      <c r="K1318" s="1" t="e">
        <f>INDEX($P$4:$AM$15,MATCH(MONTH($E1318),$O$4:$O$15,0),MATCH(HOUR($F1318),$P$3:$AM$3,0))</f>
        <v>#N/A</v>
      </c>
      <c r="L1318" t="s">
        <v>302</v>
      </c>
    </row>
    <row r="1319" spans="1:12" x14ac:dyDescent="0.25">
      <c r="A1319">
        <v>1318</v>
      </c>
      <c r="B1319">
        <v>30223397</v>
      </c>
      <c r="C1319">
        <v>4</v>
      </c>
      <c r="E1319" s="110">
        <v>42697</v>
      </c>
      <c r="F1319" s="111" t="s">
        <v>221</v>
      </c>
      <c r="G1319">
        <v>5.9550000000000001</v>
      </c>
      <c r="H1319">
        <v>9.9999999999999645</v>
      </c>
      <c r="I1319">
        <v>3</v>
      </c>
      <c r="J1319">
        <v>119.99999999999997</v>
      </c>
      <c r="K1319" s="1" t="e">
        <f>INDEX($P$4:$AM$15,MATCH(MONTH($E1319),$O$4:$O$15,0),MATCH(HOUR($F1319),$P$3:$AM$3,0))</f>
        <v>#N/A</v>
      </c>
      <c r="L1319" t="s">
        <v>302</v>
      </c>
    </row>
    <row r="1320" spans="1:12" x14ac:dyDescent="0.25">
      <c r="A1320">
        <v>1319</v>
      </c>
      <c r="B1320">
        <v>30223397</v>
      </c>
      <c r="C1320">
        <v>5</v>
      </c>
      <c r="E1320" s="110">
        <v>42697</v>
      </c>
      <c r="F1320" s="111" t="s">
        <v>299</v>
      </c>
      <c r="G1320">
        <v>18.747</v>
      </c>
      <c r="H1320">
        <v>25.000000000000071</v>
      </c>
      <c r="I1320">
        <v>3</v>
      </c>
      <c r="J1320">
        <v>64.999999999999929</v>
      </c>
      <c r="K1320" s="1" t="e">
        <f>INDEX($P$4:$AM$15,MATCH(MONTH($E1320),$O$4:$O$15,0),MATCH(HOUR($F1320),$P$3:$AM$3,0))</f>
        <v>#N/A</v>
      </c>
      <c r="L1320" t="s">
        <v>302</v>
      </c>
    </row>
    <row r="1321" spans="1:12" x14ac:dyDescent="0.25">
      <c r="A1321">
        <v>1320</v>
      </c>
      <c r="B1321">
        <v>30223397</v>
      </c>
      <c r="C1321">
        <v>6</v>
      </c>
      <c r="E1321" s="110">
        <v>42697</v>
      </c>
      <c r="F1321" s="111" t="s">
        <v>450</v>
      </c>
      <c r="G1321">
        <v>15.786</v>
      </c>
      <c r="H1321">
        <v>42.000000000000171</v>
      </c>
      <c r="I1321">
        <v>3</v>
      </c>
      <c r="J1321">
        <v>3.9999999999999858</v>
      </c>
      <c r="K1321" s="1" t="e">
        <f>INDEX($P$4:$AM$15,MATCH(MONTH($E1321),$O$4:$O$15,0),MATCH(HOUR($F1321),$P$3:$AM$3,0))</f>
        <v>#N/A</v>
      </c>
      <c r="L1321" t="s">
        <v>302</v>
      </c>
    </row>
    <row r="1322" spans="1:12" x14ac:dyDescent="0.25">
      <c r="A1322">
        <v>1321</v>
      </c>
      <c r="B1322">
        <v>30223397</v>
      </c>
      <c r="C1322">
        <v>7</v>
      </c>
      <c r="E1322" s="110">
        <v>42697</v>
      </c>
      <c r="F1322" s="111" t="s">
        <v>316</v>
      </c>
      <c r="G1322">
        <v>3.95</v>
      </c>
      <c r="H1322">
        <v>8.999999999999968</v>
      </c>
      <c r="I1322">
        <v>3</v>
      </c>
      <c r="J1322">
        <v>65.000000000000085</v>
      </c>
      <c r="K1322" s="1" t="e">
        <f>INDEX($P$4:$AM$15,MATCH(MONTH($E1322),$O$4:$O$15,0),MATCH(HOUR($F1322),$P$3:$AM$3,0))</f>
        <v>#N/A</v>
      </c>
      <c r="L1322" t="s">
        <v>302</v>
      </c>
    </row>
    <row r="1323" spans="1:12" x14ac:dyDescent="0.25">
      <c r="A1323">
        <v>1322</v>
      </c>
      <c r="B1323">
        <v>30223397</v>
      </c>
      <c r="C1323">
        <v>8</v>
      </c>
      <c r="E1323" s="110">
        <v>42697</v>
      </c>
      <c r="F1323" s="111" t="s">
        <v>270</v>
      </c>
      <c r="G1323">
        <v>0.95199999999999996</v>
      </c>
      <c r="H1323">
        <v>2.9999999999998295</v>
      </c>
      <c r="I1323">
        <v>3</v>
      </c>
      <c r="J1323">
        <v>21.999999999999922</v>
      </c>
      <c r="K1323" s="1" t="e">
        <f>INDEX($P$4:$AM$15,MATCH(MONTH($E1323),$O$4:$O$15,0),MATCH(HOUR($F1323),$P$3:$AM$3,0))</f>
        <v>#N/A</v>
      </c>
      <c r="L1323" t="s">
        <v>302</v>
      </c>
    </row>
    <row r="1324" spans="1:12" x14ac:dyDescent="0.25">
      <c r="A1324">
        <v>1323</v>
      </c>
      <c r="B1324">
        <v>30223397</v>
      </c>
      <c r="C1324">
        <v>9</v>
      </c>
      <c r="E1324" s="110">
        <v>42697</v>
      </c>
      <c r="F1324" s="111" t="s">
        <v>380</v>
      </c>
      <c r="G1324">
        <v>1.1339999999999999</v>
      </c>
      <c r="H1324">
        <v>3.0000000000001492</v>
      </c>
      <c r="I1324">
        <v>3</v>
      </c>
      <c r="J1324">
        <v>11.999999999999957</v>
      </c>
      <c r="K1324" s="1" t="e">
        <f>INDEX($P$4:$AM$15,MATCH(MONTH($E1324),$O$4:$O$15,0),MATCH(HOUR($F1324),$P$3:$AM$3,0))</f>
        <v>#N/A</v>
      </c>
      <c r="L1324" t="s">
        <v>302</v>
      </c>
    </row>
    <row r="1325" spans="1:12" x14ac:dyDescent="0.25">
      <c r="A1325">
        <v>1324</v>
      </c>
      <c r="B1325">
        <v>30223397</v>
      </c>
      <c r="C1325">
        <v>10</v>
      </c>
      <c r="E1325" s="110">
        <v>42697</v>
      </c>
      <c r="F1325" s="111" t="s">
        <v>408</v>
      </c>
      <c r="G1325">
        <v>3.677</v>
      </c>
      <c r="H1325">
        <v>9.9999999999999645</v>
      </c>
      <c r="I1325">
        <v>3</v>
      </c>
      <c r="J1325">
        <v>27.000000000000064</v>
      </c>
      <c r="K1325" s="1" t="e">
        <f>INDEX($P$4:$AM$15,MATCH(MONTH($E1325),$O$4:$O$15,0),MATCH(HOUR($F1325),$P$3:$AM$3,0))</f>
        <v>#N/A</v>
      </c>
      <c r="L1325" t="s">
        <v>302</v>
      </c>
    </row>
    <row r="1326" spans="1:12" x14ac:dyDescent="0.25">
      <c r="A1326">
        <v>1325</v>
      </c>
      <c r="B1326">
        <v>30223397</v>
      </c>
      <c r="C1326">
        <v>11</v>
      </c>
      <c r="E1326" s="110">
        <v>42697</v>
      </c>
      <c r="F1326" s="111" t="s">
        <v>603</v>
      </c>
      <c r="G1326">
        <v>6.2240000000000002</v>
      </c>
      <c r="H1326">
        <v>13.000000000000114</v>
      </c>
      <c r="I1326">
        <v>3</v>
      </c>
      <c r="J1326">
        <v>249.99999999999974</v>
      </c>
      <c r="K1326" s="1" t="e">
        <f>INDEX($P$4:$AM$15,MATCH(MONTH($E1326),$O$4:$O$15,0),MATCH(HOUR($F1326),$P$3:$AM$3,0))</f>
        <v>#N/A</v>
      </c>
      <c r="L1326" t="s">
        <v>302</v>
      </c>
    </row>
    <row r="1327" spans="1:12" x14ac:dyDescent="0.25">
      <c r="A1327">
        <v>1326</v>
      </c>
      <c r="B1327">
        <v>30223397</v>
      </c>
      <c r="C1327">
        <v>12</v>
      </c>
      <c r="E1327" s="110">
        <v>42697</v>
      </c>
      <c r="F1327" s="111" t="s">
        <v>482</v>
      </c>
      <c r="G1327">
        <v>7.4909999999999997</v>
      </c>
      <c r="H1327">
        <v>15.000000000000107</v>
      </c>
      <c r="I1327">
        <v>3</v>
      </c>
      <c r="J1327">
        <v>535.00000000000011</v>
      </c>
      <c r="K1327" s="1" t="e">
        <f>INDEX($P$4:$AM$15,MATCH(MONTH($E1327),$O$4:$O$15,0),MATCH(HOUR($F1327),$P$3:$AM$3,0))</f>
        <v>#N/A</v>
      </c>
      <c r="L1327" t="s">
        <v>302</v>
      </c>
    </row>
    <row r="1328" spans="1:12" x14ac:dyDescent="0.25">
      <c r="A1328">
        <v>1327</v>
      </c>
      <c r="B1328">
        <v>30251886</v>
      </c>
      <c r="C1328">
        <v>1</v>
      </c>
      <c r="E1328" s="110">
        <v>42698</v>
      </c>
      <c r="F1328" s="111" t="s">
        <v>251</v>
      </c>
      <c r="G1328">
        <v>9.5779999999999994</v>
      </c>
      <c r="H1328">
        <v>29.999999999999972</v>
      </c>
      <c r="I1328">
        <v>4</v>
      </c>
      <c r="J1328">
        <v>1410</v>
      </c>
      <c r="K1328" s="1" t="e">
        <f>INDEX($P$4:$AM$15,MATCH(MONTH($E1328),$O$4:$O$15,0),MATCH(HOUR($F1328),$P$3:$AM$3,0))</f>
        <v>#N/A</v>
      </c>
      <c r="L1328" t="s">
        <v>218</v>
      </c>
    </row>
    <row r="1329" spans="1:12" x14ac:dyDescent="0.25">
      <c r="A1329">
        <v>1328</v>
      </c>
      <c r="B1329">
        <v>30251886</v>
      </c>
      <c r="C1329">
        <v>1</v>
      </c>
      <c r="E1329" s="110">
        <v>42699</v>
      </c>
      <c r="F1329" s="111" t="s">
        <v>251</v>
      </c>
      <c r="G1329">
        <v>7.0000000000000001E-3</v>
      </c>
      <c r="H1329">
        <v>29.999999999999972</v>
      </c>
      <c r="I1329">
        <v>6</v>
      </c>
      <c r="J1329">
        <v>420</v>
      </c>
      <c r="K1329" s="1" t="e">
        <f>INDEX($P$4:$AM$15,MATCH(MONTH($E1329),$O$4:$O$15,0),MATCH(HOUR($F1329),$P$3:$AM$3,0))</f>
        <v>#N/A</v>
      </c>
      <c r="L1329" t="s">
        <v>218</v>
      </c>
    </row>
    <row r="1330" spans="1:12" x14ac:dyDescent="0.25">
      <c r="A1330">
        <v>1329</v>
      </c>
      <c r="B1330">
        <v>30251886</v>
      </c>
      <c r="C1330">
        <v>2</v>
      </c>
      <c r="E1330" s="110">
        <v>42699</v>
      </c>
      <c r="F1330" s="111" t="s">
        <v>227</v>
      </c>
      <c r="G1330">
        <v>6.0000000000000001E-3</v>
      </c>
      <c r="H1330">
        <v>30.000000000000053</v>
      </c>
      <c r="I1330">
        <v>6</v>
      </c>
      <c r="J1330">
        <v>1055</v>
      </c>
      <c r="K1330" s="1" t="e">
        <f>INDEX($P$4:$AM$15,MATCH(MONTH($E1330),$O$4:$O$15,0),MATCH(HOUR($F1330),$P$3:$AM$3,0))</f>
        <v>#N/A</v>
      </c>
      <c r="L1330" t="s">
        <v>218</v>
      </c>
    </row>
    <row r="1331" spans="1:12" x14ac:dyDescent="0.25">
      <c r="A1331">
        <v>1330</v>
      </c>
      <c r="B1331">
        <v>30288661</v>
      </c>
      <c r="C1331">
        <v>1</v>
      </c>
      <c r="E1331" s="110">
        <v>42700</v>
      </c>
      <c r="F1331" s="111" t="s">
        <v>400</v>
      </c>
      <c r="G1331">
        <v>52.915999999999997</v>
      </c>
      <c r="H1331">
        <v>77.999999999999886</v>
      </c>
      <c r="I1331">
        <v>6</v>
      </c>
      <c r="J1331">
        <v>132.00000000000009</v>
      </c>
      <c r="K1331" s="1" t="e">
        <f>INDEX($P$4:$AM$15,MATCH(MONTH($E1331),$O$4:$O$15,0),MATCH(HOUR($F1331),$P$3:$AM$3,0))</f>
        <v>#N/A</v>
      </c>
      <c r="L1331" t="s">
        <v>222</v>
      </c>
    </row>
    <row r="1332" spans="1:12" x14ac:dyDescent="0.25">
      <c r="A1332">
        <v>1331</v>
      </c>
      <c r="B1332">
        <v>30288661</v>
      </c>
      <c r="C1332">
        <v>2</v>
      </c>
      <c r="E1332" s="110">
        <v>42700</v>
      </c>
      <c r="F1332" s="111" t="s">
        <v>282</v>
      </c>
      <c r="G1332">
        <v>2.181</v>
      </c>
      <c r="H1332">
        <v>12.999999999999954</v>
      </c>
      <c r="I1332">
        <v>6</v>
      </c>
      <c r="J1332">
        <v>4.9999999999999822</v>
      </c>
      <c r="K1332" s="1" t="e">
        <f>INDEX($P$4:$AM$15,MATCH(MONTH($E1332),$O$4:$O$15,0),MATCH(HOUR($F1332),$P$3:$AM$3,0))</f>
        <v>#N/A</v>
      </c>
      <c r="L1332" t="s">
        <v>222</v>
      </c>
    </row>
    <row r="1333" spans="1:12" x14ac:dyDescent="0.25">
      <c r="A1333">
        <v>1332</v>
      </c>
      <c r="B1333">
        <v>30288661</v>
      </c>
      <c r="C1333">
        <v>3</v>
      </c>
      <c r="E1333" s="110">
        <v>42700</v>
      </c>
      <c r="F1333" s="111" t="s">
        <v>604</v>
      </c>
      <c r="G1333">
        <v>54.237000000000002</v>
      </c>
      <c r="H1333">
        <v>84.000000000000028</v>
      </c>
      <c r="I1333">
        <v>6</v>
      </c>
      <c r="J1333">
        <v>173.00000000000003</v>
      </c>
      <c r="K1333" s="1" t="e">
        <f>INDEX($P$4:$AM$15,MATCH(MONTH($E1333),$O$4:$O$15,0),MATCH(HOUR($F1333),$P$3:$AM$3,0))</f>
        <v>#N/A</v>
      </c>
      <c r="L1333" t="s">
        <v>222</v>
      </c>
    </row>
    <row r="1334" spans="1:12" x14ac:dyDescent="0.25">
      <c r="A1334">
        <v>1333</v>
      </c>
      <c r="B1334">
        <v>30288661</v>
      </c>
      <c r="C1334">
        <v>4</v>
      </c>
      <c r="E1334" s="110">
        <v>42700</v>
      </c>
      <c r="F1334" s="111" t="s">
        <v>279</v>
      </c>
      <c r="G1334">
        <v>0.48199999999999998</v>
      </c>
      <c r="H1334">
        <v>7.000000000000135</v>
      </c>
      <c r="I1334">
        <v>6</v>
      </c>
      <c r="J1334">
        <v>30.99999999999989</v>
      </c>
      <c r="K1334" s="1" t="e">
        <f>INDEX($P$4:$AM$15,MATCH(MONTH($E1334),$O$4:$O$15,0),MATCH(HOUR($F1334),$P$3:$AM$3,0))</f>
        <v>#N/A</v>
      </c>
      <c r="L1334" t="s">
        <v>222</v>
      </c>
    </row>
    <row r="1335" spans="1:12" x14ac:dyDescent="0.25">
      <c r="A1335">
        <v>1334</v>
      </c>
      <c r="B1335">
        <v>30288661</v>
      </c>
      <c r="C1335">
        <v>5</v>
      </c>
      <c r="E1335" s="110">
        <v>42700</v>
      </c>
      <c r="F1335" s="111" t="s">
        <v>605</v>
      </c>
      <c r="G1335">
        <v>0.48199999999999998</v>
      </c>
      <c r="H1335">
        <v>7.9999999999999716</v>
      </c>
      <c r="I1335">
        <v>6</v>
      </c>
      <c r="J1335">
        <v>764</v>
      </c>
      <c r="K1335" s="1" t="e">
        <f>INDEX($P$4:$AM$15,MATCH(MONTH($E1335),$O$4:$O$15,0),MATCH(HOUR($F1335),$P$3:$AM$3,0))</f>
        <v>#N/A</v>
      </c>
      <c r="L1335" t="s">
        <v>222</v>
      </c>
    </row>
    <row r="1336" spans="1:12" x14ac:dyDescent="0.25">
      <c r="A1336">
        <v>1335</v>
      </c>
      <c r="B1336">
        <v>30288661</v>
      </c>
      <c r="C1336">
        <v>1</v>
      </c>
      <c r="E1336" s="110">
        <v>42701</v>
      </c>
      <c r="F1336" s="111" t="s">
        <v>425</v>
      </c>
      <c r="G1336">
        <v>0.71499999999999997</v>
      </c>
      <c r="H1336">
        <v>4.9999999999999822</v>
      </c>
      <c r="I1336">
        <v>4</v>
      </c>
      <c r="J1336">
        <v>483.00000000000006</v>
      </c>
      <c r="K1336" s="1" t="e">
        <f>INDEX($P$4:$AM$15,MATCH(MONTH($E1336),$O$4:$O$15,0),MATCH(HOUR($F1336),$P$3:$AM$3,0))</f>
        <v>#N/A</v>
      </c>
      <c r="L1336" t="s">
        <v>222</v>
      </c>
    </row>
    <row r="1337" spans="1:12" x14ac:dyDescent="0.25">
      <c r="A1337">
        <v>1336</v>
      </c>
      <c r="B1337">
        <v>30288661</v>
      </c>
      <c r="C1337">
        <v>2</v>
      </c>
      <c r="E1337" s="110">
        <v>42701</v>
      </c>
      <c r="F1337" s="111" t="s">
        <v>606</v>
      </c>
      <c r="G1337">
        <v>1.8879999999999999</v>
      </c>
      <c r="H1337">
        <v>13.99999999999995</v>
      </c>
      <c r="I1337">
        <v>4</v>
      </c>
      <c r="J1337">
        <v>65.999999999999929</v>
      </c>
      <c r="K1337" s="1" t="e">
        <f>INDEX($P$4:$AM$15,MATCH(MONTH($E1337),$O$4:$O$15,0),MATCH(HOUR($F1337),$P$3:$AM$3,0))</f>
        <v>#N/A</v>
      </c>
      <c r="L1337" t="s">
        <v>222</v>
      </c>
    </row>
    <row r="1338" spans="1:12" x14ac:dyDescent="0.25">
      <c r="A1338">
        <v>1337</v>
      </c>
      <c r="B1338">
        <v>30288661</v>
      </c>
      <c r="C1338">
        <v>3</v>
      </c>
      <c r="E1338" s="110">
        <v>42701</v>
      </c>
      <c r="F1338" s="111" t="s">
        <v>554</v>
      </c>
      <c r="G1338">
        <v>1.7969999999999999</v>
      </c>
      <c r="H1338">
        <v>7.000000000000135</v>
      </c>
      <c r="I1338">
        <v>4</v>
      </c>
      <c r="J1338">
        <v>45.999999999999837</v>
      </c>
      <c r="K1338" s="1" t="e">
        <f>INDEX($P$4:$AM$15,MATCH(MONTH($E1338),$O$4:$O$15,0),MATCH(HOUR($F1338),$P$3:$AM$3,0))</f>
        <v>#N/A</v>
      </c>
      <c r="L1338" t="s">
        <v>222</v>
      </c>
    </row>
    <row r="1339" spans="1:12" x14ac:dyDescent="0.25">
      <c r="A1339">
        <v>1338</v>
      </c>
      <c r="B1339">
        <v>30288661</v>
      </c>
      <c r="C1339">
        <v>4</v>
      </c>
      <c r="E1339" s="110">
        <v>42701</v>
      </c>
      <c r="F1339" s="111" t="s">
        <v>607</v>
      </c>
      <c r="G1339">
        <v>1.2669999999999999</v>
      </c>
      <c r="H1339">
        <v>9.0000000000001279</v>
      </c>
      <c r="I1339">
        <v>4</v>
      </c>
      <c r="J1339">
        <v>54.999999999999964</v>
      </c>
      <c r="K1339" s="1" t="e">
        <f>INDEX($P$4:$AM$15,MATCH(MONTH($E1339),$O$4:$O$15,0),MATCH(HOUR($F1339),$P$3:$AM$3,0))</f>
        <v>#N/A</v>
      </c>
      <c r="L1339" t="s">
        <v>222</v>
      </c>
    </row>
    <row r="1340" spans="1:12" x14ac:dyDescent="0.25">
      <c r="A1340">
        <v>1339</v>
      </c>
      <c r="B1340">
        <v>30288661</v>
      </c>
      <c r="C1340">
        <v>5</v>
      </c>
      <c r="E1340" s="110">
        <v>42701</v>
      </c>
      <c r="F1340" s="111" t="s">
        <v>413</v>
      </c>
      <c r="G1340">
        <v>1.2669999999999999</v>
      </c>
      <c r="H1340">
        <v>9.0000000000001279</v>
      </c>
      <c r="I1340">
        <v>4</v>
      </c>
      <c r="J1340">
        <v>755.99999999999989</v>
      </c>
      <c r="K1340" s="1" t="e">
        <f>INDEX($P$4:$AM$15,MATCH(MONTH($E1340),$O$4:$O$15,0),MATCH(HOUR($F1340),$P$3:$AM$3,0))</f>
        <v>#N/A</v>
      </c>
      <c r="L1340" t="s">
        <v>222</v>
      </c>
    </row>
    <row r="1341" spans="1:12" x14ac:dyDescent="0.25">
      <c r="A1341">
        <v>1340</v>
      </c>
      <c r="B1341">
        <v>30291053</v>
      </c>
      <c r="C1341">
        <v>1</v>
      </c>
      <c r="E1341" s="110">
        <v>42702</v>
      </c>
      <c r="F1341" s="111" t="s">
        <v>464</v>
      </c>
      <c r="G1341">
        <v>1.746</v>
      </c>
      <c r="H1341">
        <v>5.0000000000000622</v>
      </c>
      <c r="I1341">
        <v>4</v>
      </c>
      <c r="J1341">
        <v>45</v>
      </c>
      <c r="K1341" s="1" t="e">
        <f>INDEX($P$4:$AM$15,MATCH(MONTH($E1341),$O$4:$O$15,0),MATCH(HOUR($F1341),$P$3:$AM$3,0))</f>
        <v>#N/A</v>
      </c>
      <c r="L1341" t="s">
        <v>218</v>
      </c>
    </row>
    <row r="1342" spans="1:12" x14ac:dyDescent="0.25">
      <c r="A1342">
        <v>1341</v>
      </c>
      <c r="B1342">
        <v>30291053</v>
      </c>
      <c r="C1342">
        <v>2</v>
      </c>
      <c r="E1342" s="110">
        <v>42702</v>
      </c>
      <c r="F1342" s="111" t="s">
        <v>246</v>
      </c>
      <c r="G1342">
        <v>1.74</v>
      </c>
      <c r="H1342">
        <v>4.9999999999999822</v>
      </c>
      <c r="I1342">
        <v>4</v>
      </c>
      <c r="J1342">
        <v>14.999999999999947</v>
      </c>
      <c r="K1342" s="1" t="e">
        <f>INDEX($P$4:$AM$15,MATCH(MONTH($E1342),$O$4:$O$15,0),MATCH(HOUR($F1342),$P$3:$AM$3,0))</f>
        <v>#N/A</v>
      </c>
      <c r="L1342" t="s">
        <v>218</v>
      </c>
    </row>
    <row r="1343" spans="1:12" x14ac:dyDescent="0.25">
      <c r="A1343">
        <v>1342</v>
      </c>
      <c r="B1343">
        <v>30291053</v>
      </c>
      <c r="C1343">
        <v>3</v>
      </c>
      <c r="E1343" s="110">
        <v>42702</v>
      </c>
      <c r="F1343" s="111" t="s">
        <v>273</v>
      </c>
      <c r="G1343">
        <v>1.4490000000000001</v>
      </c>
      <c r="H1343">
        <v>5.0000000000000622</v>
      </c>
      <c r="I1343">
        <v>4</v>
      </c>
      <c r="J1343">
        <v>2.9999999999999094</v>
      </c>
      <c r="K1343" s="1" t="e">
        <f>INDEX($P$4:$AM$15,MATCH(MONTH($E1343),$O$4:$O$15,0),MATCH(HOUR($F1343),$P$3:$AM$3,0))</f>
        <v>#N/A</v>
      </c>
      <c r="L1343" t="s">
        <v>218</v>
      </c>
    </row>
    <row r="1344" spans="1:12" x14ac:dyDescent="0.25">
      <c r="A1344">
        <v>1343</v>
      </c>
      <c r="B1344">
        <v>30291053</v>
      </c>
      <c r="C1344">
        <v>4</v>
      </c>
      <c r="E1344" s="110">
        <v>42702</v>
      </c>
      <c r="F1344" s="111" t="s">
        <v>608</v>
      </c>
      <c r="G1344">
        <v>1.4490000000000001</v>
      </c>
      <c r="H1344">
        <v>5.0000000000000622</v>
      </c>
      <c r="I1344">
        <v>4</v>
      </c>
      <c r="J1344">
        <v>7.0000000000000551</v>
      </c>
      <c r="K1344" s="1" t="e">
        <f>INDEX($P$4:$AM$15,MATCH(MONTH($E1344),$O$4:$O$15,0),MATCH(HOUR($F1344),$P$3:$AM$3,0))</f>
        <v>#N/A</v>
      </c>
      <c r="L1344" t="s">
        <v>218</v>
      </c>
    </row>
    <row r="1345" spans="1:12" x14ac:dyDescent="0.25">
      <c r="A1345">
        <v>1344</v>
      </c>
      <c r="B1345">
        <v>30291053</v>
      </c>
      <c r="C1345">
        <v>5</v>
      </c>
      <c r="E1345" s="110">
        <v>42702</v>
      </c>
      <c r="F1345" s="111" t="s">
        <v>441</v>
      </c>
      <c r="G1345">
        <v>4.2249999999999996</v>
      </c>
      <c r="H1345">
        <v>19.999999999999929</v>
      </c>
      <c r="I1345">
        <v>4</v>
      </c>
      <c r="J1345">
        <v>29.999999999999972</v>
      </c>
      <c r="K1345" s="1" t="e">
        <f>INDEX($P$4:$AM$15,MATCH(MONTH($E1345),$O$4:$O$15,0),MATCH(HOUR($F1345),$P$3:$AM$3,0))</f>
        <v>#N/A</v>
      </c>
      <c r="L1345" t="s">
        <v>218</v>
      </c>
    </row>
    <row r="1346" spans="1:12" x14ac:dyDescent="0.25">
      <c r="A1346">
        <v>1345</v>
      </c>
      <c r="B1346">
        <v>30291053</v>
      </c>
      <c r="C1346">
        <v>6</v>
      </c>
      <c r="E1346" s="110">
        <v>42702</v>
      </c>
      <c r="F1346" s="111" t="s">
        <v>354</v>
      </c>
      <c r="G1346">
        <v>4.2249999999999996</v>
      </c>
      <c r="H1346">
        <v>10.000000000000044</v>
      </c>
      <c r="I1346">
        <v>4</v>
      </c>
      <c r="J1346">
        <v>40.000000000000014</v>
      </c>
      <c r="K1346" s="1" t="e">
        <f>INDEX($P$4:$AM$15,MATCH(MONTH($E1346),$O$4:$O$15,0),MATCH(HOUR($F1346),$P$3:$AM$3,0))</f>
        <v>#N/A</v>
      </c>
      <c r="L1346" t="s">
        <v>218</v>
      </c>
    </row>
    <row r="1347" spans="1:12" x14ac:dyDescent="0.25">
      <c r="A1347">
        <v>1346</v>
      </c>
      <c r="B1347">
        <v>30291053</v>
      </c>
      <c r="C1347">
        <v>7</v>
      </c>
      <c r="E1347" s="110">
        <v>42702</v>
      </c>
      <c r="F1347" s="111" t="s">
        <v>283</v>
      </c>
      <c r="G1347">
        <v>4.6230000000000002</v>
      </c>
      <c r="H1347">
        <v>14.999999999999947</v>
      </c>
      <c r="I1347">
        <v>4</v>
      </c>
      <c r="J1347">
        <v>75.000000000000057</v>
      </c>
      <c r="K1347" s="1" t="e">
        <f>INDEX($P$4:$AM$15,MATCH(MONTH($E1347),$O$4:$O$15,0),MATCH(HOUR($F1347),$P$3:$AM$3,0))</f>
        <v>#N/A</v>
      </c>
      <c r="L1347" t="s">
        <v>218</v>
      </c>
    </row>
    <row r="1348" spans="1:12" x14ac:dyDescent="0.25">
      <c r="A1348">
        <v>1347</v>
      </c>
      <c r="B1348">
        <v>30291053</v>
      </c>
      <c r="C1348">
        <v>8</v>
      </c>
      <c r="E1348" s="110">
        <v>42702</v>
      </c>
      <c r="F1348" s="111" t="s">
        <v>262</v>
      </c>
      <c r="G1348">
        <v>4.6239999999999997</v>
      </c>
      <c r="H1348">
        <v>14.999999999999947</v>
      </c>
      <c r="I1348">
        <v>4</v>
      </c>
      <c r="J1348">
        <v>205</v>
      </c>
      <c r="K1348" s="1" t="e">
        <f>INDEX($P$4:$AM$15,MATCH(MONTH($E1348),$O$4:$O$15,0),MATCH(HOUR($F1348),$P$3:$AM$3,0))</f>
        <v>#N/A</v>
      </c>
      <c r="L1348" t="s">
        <v>218</v>
      </c>
    </row>
    <row r="1349" spans="1:12" x14ac:dyDescent="0.25">
      <c r="A1349">
        <v>1348</v>
      </c>
      <c r="B1349">
        <v>30291053</v>
      </c>
      <c r="C1349">
        <v>9</v>
      </c>
      <c r="E1349" s="110">
        <v>42702</v>
      </c>
      <c r="F1349" s="111" t="s">
        <v>460</v>
      </c>
      <c r="G1349">
        <v>3.1669999999999998</v>
      </c>
      <c r="H1349">
        <v>4.9999999999999822</v>
      </c>
      <c r="I1349">
        <v>4</v>
      </c>
      <c r="J1349">
        <v>60.000000000000107</v>
      </c>
      <c r="K1349" s="1" t="e">
        <f>INDEX($P$4:$AM$15,MATCH(MONTH($E1349),$O$4:$O$15,0),MATCH(HOUR($F1349),$P$3:$AM$3,0))</f>
        <v>#N/A</v>
      </c>
      <c r="L1349" t="s">
        <v>218</v>
      </c>
    </row>
    <row r="1350" spans="1:12" x14ac:dyDescent="0.25">
      <c r="A1350">
        <v>1349</v>
      </c>
      <c r="B1350">
        <v>30291053</v>
      </c>
      <c r="C1350">
        <v>10</v>
      </c>
      <c r="E1350" s="110">
        <v>42702</v>
      </c>
      <c r="F1350" s="111" t="s">
        <v>274</v>
      </c>
      <c r="G1350">
        <v>3.1680000000000001</v>
      </c>
      <c r="H1350">
        <v>4.9999999999998224</v>
      </c>
      <c r="I1350">
        <v>4</v>
      </c>
      <c r="J1350">
        <v>85.000000000000171</v>
      </c>
      <c r="K1350" s="1" t="e">
        <f>INDEX($P$4:$AM$15,MATCH(MONTH($E1350),$O$4:$O$15,0),MATCH(HOUR($F1350),$P$3:$AM$3,0))</f>
        <v>#N/A</v>
      </c>
      <c r="L1350" t="s">
        <v>218</v>
      </c>
    </row>
    <row r="1351" spans="1:12" x14ac:dyDescent="0.25">
      <c r="A1351">
        <v>1350</v>
      </c>
      <c r="B1351">
        <v>30291053</v>
      </c>
      <c r="C1351">
        <v>11</v>
      </c>
      <c r="E1351" s="110">
        <v>42702</v>
      </c>
      <c r="F1351" s="111" t="s">
        <v>281</v>
      </c>
      <c r="G1351">
        <v>7.0670000000000002</v>
      </c>
      <c r="H1351">
        <v>14.999999999999947</v>
      </c>
      <c r="I1351">
        <v>4</v>
      </c>
      <c r="J1351">
        <v>14.999999999999947</v>
      </c>
      <c r="K1351" s="1" t="e">
        <f>INDEX($P$4:$AM$15,MATCH(MONTH($E1351),$O$4:$O$15,0),MATCH(HOUR($F1351),$P$3:$AM$3,0))</f>
        <v>#N/A</v>
      </c>
      <c r="L1351" t="s">
        <v>218</v>
      </c>
    </row>
    <row r="1352" spans="1:12" x14ac:dyDescent="0.25">
      <c r="A1352">
        <v>1351</v>
      </c>
      <c r="B1352">
        <v>30291053</v>
      </c>
      <c r="C1352">
        <v>12</v>
      </c>
      <c r="E1352" s="110">
        <v>42702</v>
      </c>
      <c r="F1352" s="111" t="s">
        <v>358</v>
      </c>
      <c r="G1352">
        <v>6.8390000000000004</v>
      </c>
      <c r="H1352">
        <v>15.000000000000107</v>
      </c>
      <c r="I1352">
        <v>4</v>
      </c>
      <c r="J1352">
        <v>74.999999999999886</v>
      </c>
      <c r="K1352" s="1" t="e">
        <f>INDEX($P$4:$AM$15,MATCH(MONTH($E1352),$O$4:$O$15,0),MATCH(HOUR($F1352),$P$3:$AM$3,0))</f>
        <v>#N/A</v>
      </c>
      <c r="L1352" t="s">
        <v>218</v>
      </c>
    </row>
    <row r="1353" spans="1:12" x14ac:dyDescent="0.25">
      <c r="A1353">
        <v>1352</v>
      </c>
      <c r="B1353">
        <v>30291053</v>
      </c>
      <c r="C1353">
        <v>13</v>
      </c>
      <c r="E1353" s="110">
        <v>42702</v>
      </c>
      <c r="F1353" s="111" t="s">
        <v>486</v>
      </c>
      <c r="G1353">
        <v>7.0670000000000002</v>
      </c>
      <c r="H1353">
        <v>15.000000000000107</v>
      </c>
      <c r="I1353">
        <v>4</v>
      </c>
      <c r="J1353">
        <v>4.9999999999998224</v>
      </c>
      <c r="K1353" s="1" t="e">
        <f>INDEX($P$4:$AM$15,MATCH(MONTH($E1353),$O$4:$O$15,0),MATCH(HOUR($F1353),$P$3:$AM$3,0))</f>
        <v>#N/A</v>
      </c>
      <c r="L1353" t="s">
        <v>218</v>
      </c>
    </row>
    <row r="1354" spans="1:12" x14ac:dyDescent="0.25">
      <c r="A1354">
        <v>1353</v>
      </c>
      <c r="B1354">
        <v>30291053</v>
      </c>
      <c r="C1354">
        <v>14</v>
      </c>
      <c r="E1354" s="110">
        <v>42702</v>
      </c>
      <c r="F1354" s="111" t="s">
        <v>331</v>
      </c>
      <c r="G1354">
        <v>6.8380000000000001</v>
      </c>
      <c r="H1354">
        <v>15.000000000000107</v>
      </c>
      <c r="I1354">
        <v>4</v>
      </c>
      <c r="J1354">
        <v>614.99999999999989</v>
      </c>
      <c r="K1354" s="1" t="e">
        <f>INDEX($P$4:$AM$15,MATCH(MONTH($E1354),$O$4:$O$15,0),MATCH(HOUR($F1354),$P$3:$AM$3,0))</f>
        <v>#N/A</v>
      </c>
      <c r="L1354" t="s">
        <v>218</v>
      </c>
    </row>
    <row r="1355" spans="1:12" x14ac:dyDescent="0.25">
      <c r="A1355">
        <v>1354</v>
      </c>
      <c r="B1355">
        <v>30302468</v>
      </c>
      <c r="C1355">
        <v>1</v>
      </c>
      <c r="E1355" s="110">
        <v>42703</v>
      </c>
      <c r="F1355" s="111" t="s">
        <v>609</v>
      </c>
      <c r="G1355">
        <v>11.739000000000001</v>
      </c>
      <c r="H1355">
        <v>26.000000000000068</v>
      </c>
      <c r="I1355">
        <v>3</v>
      </c>
      <c r="J1355">
        <v>388.99999999999994</v>
      </c>
      <c r="K1355" s="1" t="e">
        <f>INDEX($P$4:$AM$15,MATCH(MONTH($E1355),$O$4:$O$15,0),MATCH(HOUR($F1355),$P$3:$AM$3,0))</f>
        <v>#N/A</v>
      </c>
      <c r="L1355" t="s">
        <v>222</v>
      </c>
    </row>
    <row r="1356" spans="1:12" x14ac:dyDescent="0.25">
      <c r="A1356">
        <v>1355</v>
      </c>
      <c r="B1356">
        <v>30302468</v>
      </c>
      <c r="C1356">
        <v>2</v>
      </c>
      <c r="E1356" s="110">
        <v>42703</v>
      </c>
      <c r="F1356" s="111" t="s">
        <v>240</v>
      </c>
      <c r="G1356">
        <v>2.605</v>
      </c>
      <c r="H1356">
        <v>11.999999999999957</v>
      </c>
      <c r="I1356">
        <v>3</v>
      </c>
      <c r="J1356">
        <v>28.00000000000006</v>
      </c>
      <c r="K1356" s="1" t="e">
        <f>INDEX($P$4:$AM$15,MATCH(MONTH($E1356),$O$4:$O$15,0),MATCH(HOUR($F1356),$P$3:$AM$3,0))</f>
        <v>#N/A</v>
      </c>
      <c r="L1356" t="s">
        <v>222</v>
      </c>
    </row>
    <row r="1357" spans="1:12" x14ac:dyDescent="0.25">
      <c r="A1357">
        <v>1356</v>
      </c>
      <c r="B1357">
        <v>30302468</v>
      </c>
      <c r="C1357">
        <v>3</v>
      </c>
      <c r="E1357" s="110">
        <v>42703</v>
      </c>
      <c r="F1357" s="111" t="s">
        <v>363</v>
      </c>
      <c r="G1357">
        <v>11.273999999999999</v>
      </c>
      <c r="H1357">
        <v>17.999999999999936</v>
      </c>
      <c r="I1357">
        <v>3</v>
      </c>
      <c r="J1357">
        <v>962</v>
      </c>
      <c r="K1357" s="1" t="e">
        <f>INDEX($P$4:$AM$15,MATCH(MONTH($E1357),$O$4:$O$15,0),MATCH(HOUR($F1357),$P$3:$AM$3,0))</f>
        <v>#N/A</v>
      </c>
      <c r="L1357" t="s">
        <v>222</v>
      </c>
    </row>
    <row r="1358" spans="1:12" x14ac:dyDescent="0.25">
      <c r="A1358">
        <v>1357</v>
      </c>
      <c r="B1358">
        <v>30302468</v>
      </c>
      <c r="C1358">
        <v>1</v>
      </c>
      <c r="E1358" s="110">
        <v>42704</v>
      </c>
      <c r="F1358" s="111" t="s">
        <v>256</v>
      </c>
      <c r="G1358">
        <v>16.73</v>
      </c>
      <c r="H1358">
        <v>35.000000000000036</v>
      </c>
      <c r="I1358">
        <v>5</v>
      </c>
      <c r="J1358">
        <v>24.999999999999993</v>
      </c>
      <c r="K1358" s="1" t="e">
        <f>INDEX($P$4:$AM$15,MATCH(MONTH($E1358),$O$4:$O$15,0),MATCH(HOUR($F1358),$P$3:$AM$3,0))</f>
        <v>#N/A</v>
      </c>
      <c r="L1358" t="s">
        <v>222</v>
      </c>
    </row>
    <row r="1359" spans="1:12" x14ac:dyDescent="0.25">
      <c r="A1359">
        <v>1358</v>
      </c>
      <c r="B1359">
        <v>30302468</v>
      </c>
      <c r="C1359">
        <v>2</v>
      </c>
      <c r="E1359" s="110">
        <v>42704</v>
      </c>
      <c r="F1359" s="111" t="s">
        <v>251</v>
      </c>
      <c r="G1359">
        <v>33.402000000000001</v>
      </c>
      <c r="H1359">
        <v>29.999999999999972</v>
      </c>
      <c r="I1359">
        <v>5</v>
      </c>
      <c r="J1359">
        <v>364.00000000000011</v>
      </c>
      <c r="K1359" s="1" t="e">
        <f>INDEX($P$4:$AM$15,MATCH(MONTH($E1359),$O$4:$O$15,0),MATCH(HOUR($F1359),$P$3:$AM$3,0))</f>
        <v>#N/A</v>
      </c>
      <c r="L1359" t="s">
        <v>222</v>
      </c>
    </row>
    <row r="1360" spans="1:12" x14ac:dyDescent="0.25">
      <c r="A1360">
        <v>1359</v>
      </c>
      <c r="B1360">
        <v>30302468</v>
      </c>
      <c r="C1360">
        <v>3</v>
      </c>
      <c r="E1360" s="110">
        <v>42704</v>
      </c>
      <c r="F1360" s="111" t="s">
        <v>610</v>
      </c>
      <c r="G1360">
        <v>17.253</v>
      </c>
      <c r="H1360">
        <v>27.000000000000064</v>
      </c>
      <c r="I1360">
        <v>5</v>
      </c>
      <c r="J1360">
        <v>62.999999999999936</v>
      </c>
      <c r="K1360" s="1" t="e">
        <f>INDEX($P$4:$AM$15,MATCH(MONTH($E1360),$O$4:$O$15,0),MATCH(HOUR($F1360),$P$3:$AM$3,0))</f>
        <v>#N/A</v>
      </c>
      <c r="L1360" t="s">
        <v>222</v>
      </c>
    </row>
    <row r="1361" spans="1:12" x14ac:dyDescent="0.25">
      <c r="A1361">
        <v>1360</v>
      </c>
      <c r="B1361">
        <v>30302468</v>
      </c>
      <c r="C1361">
        <v>4</v>
      </c>
      <c r="E1361" s="110">
        <v>42704</v>
      </c>
      <c r="F1361" s="111" t="s">
        <v>611</v>
      </c>
      <c r="G1361">
        <v>14.515000000000001</v>
      </c>
      <c r="H1361">
        <v>36.000000000000028</v>
      </c>
      <c r="I1361">
        <v>5</v>
      </c>
      <c r="J1361">
        <v>1145</v>
      </c>
      <c r="K1361" s="1" t="e">
        <f>INDEX($P$4:$AM$15,MATCH(MONTH($E1361),$O$4:$O$15,0),MATCH(HOUR($F1361),$P$3:$AM$3,0))</f>
        <v>#N/A</v>
      </c>
      <c r="L1361" t="s">
        <v>222</v>
      </c>
    </row>
    <row r="1362" spans="1:12" x14ac:dyDescent="0.25">
      <c r="A1362">
        <v>1361</v>
      </c>
      <c r="B1362">
        <v>30070199</v>
      </c>
      <c r="C1362">
        <v>1</v>
      </c>
      <c r="E1362" s="110">
        <v>42705</v>
      </c>
      <c r="F1362" s="111" t="s">
        <v>283</v>
      </c>
      <c r="G1362">
        <v>3.34</v>
      </c>
      <c r="H1362">
        <v>9.9999999999999645</v>
      </c>
      <c r="I1362">
        <v>3</v>
      </c>
      <c r="J1362">
        <v>35.000000000000036</v>
      </c>
      <c r="K1362" s="1" t="e">
        <f>INDEX($P$4:$AM$15,MATCH(MONTH($E1362),$O$4:$O$15,0),MATCH(HOUR($F1362),$P$3:$AM$3,0))</f>
        <v>#N/A</v>
      </c>
      <c r="L1362" t="s">
        <v>257</v>
      </c>
    </row>
    <row r="1363" spans="1:12" x14ac:dyDescent="0.25">
      <c r="A1363">
        <v>1362</v>
      </c>
      <c r="B1363">
        <v>30070199</v>
      </c>
      <c r="C1363">
        <v>2</v>
      </c>
      <c r="E1363" s="110">
        <v>42705</v>
      </c>
      <c r="F1363" s="111" t="s">
        <v>388</v>
      </c>
      <c r="G1363">
        <v>3.34</v>
      </c>
      <c r="H1363">
        <v>14.999999999999947</v>
      </c>
      <c r="I1363">
        <v>3</v>
      </c>
      <c r="J1363">
        <v>450.00000000000011</v>
      </c>
      <c r="K1363" s="1" t="e">
        <f>INDEX($P$4:$AM$15,MATCH(MONTH($E1363),$O$4:$O$15,0),MATCH(HOUR($F1363),$P$3:$AM$3,0))</f>
        <v>#N/A</v>
      </c>
      <c r="L1363" t="s">
        <v>257</v>
      </c>
    </row>
    <row r="1364" spans="1:12" x14ac:dyDescent="0.25">
      <c r="A1364">
        <v>1363</v>
      </c>
      <c r="B1364">
        <v>30070199</v>
      </c>
      <c r="C1364">
        <v>3</v>
      </c>
      <c r="E1364" s="110">
        <v>42705</v>
      </c>
      <c r="F1364" s="111" t="s">
        <v>300</v>
      </c>
      <c r="G1364">
        <v>3.7999999999999999E-2</v>
      </c>
      <c r="H1364">
        <v>0.99999999999983658</v>
      </c>
      <c r="I1364">
        <v>3</v>
      </c>
      <c r="J1364">
        <v>1.0000000000001563</v>
      </c>
      <c r="K1364" s="1" t="e">
        <f>INDEX($P$4:$AM$15,MATCH(MONTH($E1364),$O$4:$O$15,0),MATCH(HOUR($F1364),$P$3:$AM$3,0))</f>
        <v>#N/A</v>
      </c>
      <c r="L1364" t="s">
        <v>257</v>
      </c>
    </row>
    <row r="1365" spans="1:12" x14ac:dyDescent="0.25">
      <c r="A1365">
        <v>1364</v>
      </c>
      <c r="B1365">
        <v>30070199</v>
      </c>
      <c r="C1365">
        <v>4</v>
      </c>
      <c r="E1365" s="110">
        <v>42705</v>
      </c>
      <c r="F1365" s="111" t="s">
        <v>612</v>
      </c>
      <c r="G1365">
        <v>0.46300000000000002</v>
      </c>
      <c r="H1365">
        <v>2.9999999999998295</v>
      </c>
      <c r="I1365">
        <v>3</v>
      </c>
      <c r="J1365">
        <v>185.00000000000014</v>
      </c>
      <c r="K1365" s="1" t="e">
        <f>INDEX($P$4:$AM$15,MATCH(MONTH($E1365),$O$4:$O$15,0),MATCH(HOUR($F1365),$P$3:$AM$3,0))</f>
        <v>#N/A</v>
      </c>
      <c r="L1365" t="s">
        <v>257</v>
      </c>
    </row>
    <row r="1366" spans="1:12" x14ac:dyDescent="0.25">
      <c r="A1366">
        <v>1365</v>
      </c>
      <c r="B1366">
        <v>30070199</v>
      </c>
      <c r="C1366">
        <v>5</v>
      </c>
      <c r="E1366" s="110">
        <v>42705</v>
      </c>
      <c r="F1366" s="111" t="s">
        <v>539</v>
      </c>
      <c r="G1366">
        <v>0.53600000000000003</v>
      </c>
      <c r="H1366">
        <v>4.9999999999999822</v>
      </c>
      <c r="I1366">
        <v>3</v>
      </c>
      <c r="J1366">
        <v>735</v>
      </c>
      <c r="K1366" s="1" t="e">
        <f>INDEX($P$4:$AM$15,MATCH(MONTH($E1366),$O$4:$O$15,0),MATCH(HOUR($F1366),$P$3:$AM$3,0))</f>
        <v>#N/A</v>
      </c>
      <c r="L1366" t="s">
        <v>257</v>
      </c>
    </row>
    <row r="1367" spans="1:12" x14ac:dyDescent="0.25">
      <c r="A1367">
        <v>1366</v>
      </c>
      <c r="B1367">
        <v>30190912</v>
      </c>
      <c r="C1367">
        <v>1</v>
      </c>
      <c r="E1367" s="110">
        <v>42706</v>
      </c>
      <c r="F1367" s="111" t="s">
        <v>283</v>
      </c>
      <c r="G1367">
        <v>1.595</v>
      </c>
      <c r="H1367">
        <v>7.9999999999999716</v>
      </c>
      <c r="I1367">
        <v>3</v>
      </c>
      <c r="J1367">
        <v>292</v>
      </c>
      <c r="K1367" s="1" t="e">
        <f>INDEX($P$4:$AM$15,MATCH(MONTH($E1367),$O$4:$O$15,0),MATCH(HOUR($F1367),$P$3:$AM$3,0))</f>
        <v>#N/A</v>
      </c>
      <c r="L1367" t="s">
        <v>218</v>
      </c>
    </row>
    <row r="1368" spans="1:12" x14ac:dyDescent="0.25">
      <c r="A1368">
        <v>1367</v>
      </c>
      <c r="B1368">
        <v>30190912</v>
      </c>
      <c r="C1368">
        <v>2</v>
      </c>
      <c r="E1368" s="110">
        <v>42706</v>
      </c>
      <c r="F1368" s="111" t="s">
        <v>227</v>
      </c>
      <c r="G1368">
        <v>1.464</v>
      </c>
      <c r="H1368">
        <v>9.9999999999999645</v>
      </c>
      <c r="I1368">
        <v>3</v>
      </c>
      <c r="J1368">
        <v>10.000000000000124</v>
      </c>
      <c r="K1368" s="1" t="e">
        <f>INDEX($P$4:$AM$15,MATCH(MONTH($E1368),$O$4:$O$15,0),MATCH(HOUR($F1368),$P$3:$AM$3,0))</f>
        <v>#N/A</v>
      </c>
      <c r="L1368" t="s">
        <v>218</v>
      </c>
    </row>
    <row r="1369" spans="1:12" x14ac:dyDescent="0.25">
      <c r="A1369">
        <v>1368</v>
      </c>
      <c r="B1369">
        <v>30190912</v>
      </c>
      <c r="C1369">
        <v>3</v>
      </c>
      <c r="E1369" s="110">
        <v>42706</v>
      </c>
      <c r="F1369" s="111" t="s">
        <v>472</v>
      </c>
      <c r="G1369">
        <v>1.472</v>
      </c>
      <c r="H1369">
        <v>9.9999999999999645</v>
      </c>
      <c r="I1369">
        <v>3</v>
      </c>
      <c r="J1369">
        <v>389.99999999999989</v>
      </c>
      <c r="K1369" s="1" t="e">
        <f>INDEX($P$4:$AM$15,MATCH(MONTH($E1369),$O$4:$O$15,0),MATCH(HOUR($F1369),$P$3:$AM$3,0))</f>
        <v>#N/A</v>
      </c>
      <c r="L1369" t="s">
        <v>218</v>
      </c>
    </row>
    <row r="1370" spans="1:12" x14ac:dyDescent="0.25">
      <c r="A1370">
        <v>1369</v>
      </c>
      <c r="B1370">
        <v>30190912</v>
      </c>
      <c r="C1370">
        <v>4</v>
      </c>
      <c r="E1370" s="110">
        <v>42706</v>
      </c>
      <c r="F1370" s="111" t="s">
        <v>505</v>
      </c>
      <c r="G1370">
        <v>1.4359999999999999</v>
      </c>
      <c r="H1370">
        <v>4.9999999999999822</v>
      </c>
      <c r="I1370">
        <v>3</v>
      </c>
      <c r="J1370">
        <v>235</v>
      </c>
      <c r="K1370" s="1" t="e">
        <f>INDEX($P$4:$AM$15,MATCH(MONTH($E1370),$O$4:$O$15,0),MATCH(HOUR($F1370),$P$3:$AM$3,0))</f>
        <v>#N/A</v>
      </c>
      <c r="L1370" t="s">
        <v>218</v>
      </c>
    </row>
    <row r="1371" spans="1:12" x14ac:dyDescent="0.25">
      <c r="A1371">
        <v>1370</v>
      </c>
      <c r="B1371">
        <v>30190912</v>
      </c>
      <c r="C1371">
        <v>1</v>
      </c>
      <c r="E1371" s="110">
        <v>42707</v>
      </c>
      <c r="F1371" s="111" t="s">
        <v>613</v>
      </c>
      <c r="G1371">
        <v>2.9510000000000001</v>
      </c>
      <c r="H1371">
        <v>10.000000000000004</v>
      </c>
      <c r="I1371">
        <v>3</v>
      </c>
      <c r="J1371">
        <v>380.00000000000006</v>
      </c>
      <c r="K1371" s="1" t="e">
        <f>INDEX($P$4:$AM$15,MATCH(MONTH($E1371),$O$4:$O$15,0),MATCH(HOUR($F1371),$P$3:$AM$3,0))</f>
        <v>#N/A</v>
      </c>
      <c r="L1371" t="s">
        <v>218</v>
      </c>
    </row>
    <row r="1372" spans="1:12" x14ac:dyDescent="0.25">
      <c r="A1372">
        <v>1371</v>
      </c>
      <c r="B1372">
        <v>30190912</v>
      </c>
      <c r="C1372">
        <v>2</v>
      </c>
      <c r="E1372" s="110">
        <v>42707</v>
      </c>
      <c r="F1372" s="111" t="s">
        <v>286</v>
      </c>
      <c r="G1372">
        <v>17.276</v>
      </c>
      <c r="H1372">
        <v>29.999999999999972</v>
      </c>
      <c r="I1372">
        <v>3</v>
      </c>
      <c r="J1372">
        <v>369.99999999999994</v>
      </c>
      <c r="K1372" s="1" t="e">
        <f>INDEX($P$4:$AM$15,MATCH(MONTH($E1372),$O$4:$O$15,0),MATCH(HOUR($F1372),$P$3:$AM$3,0))</f>
        <v>#N/A</v>
      </c>
      <c r="L1372" t="s">
        <v>218</v>
      </c>
    </row>
    <row r="1373" spans="1:12" x14ac:dyDescent="0.25">
      <c r="A1373">
        <v>1372</v>
      </c>
      <c r="B1373">
        <v>30190912</v>
      </c>
      <c r="C1373">
        <v>3</v>
      </c>
      <c r="E1373" s="110">
        <v>42707</v>
      </c>
      <c r="F1373" s="111" t="s">
        <v>460</v>
      </c>
      <c r="G1373">
        <v>1.679</v>
      </c>
      <c r="H1373">
        <v>10.000000000000124</v>
      </c>
      <c r="I1373">
        <v>3</v>
      </c>
      <c r="J1373">
        <v>9.9999999999999645</v>
      </c>
      <c r="K1373" s="1" t="e">
        <f>INDEX($P$4:$AM$15,MATCH(MONTH($E1373),$O$4:$O$15,0),MATCH(HOUR($F1373),$P$3:$AM$3,0))</f>
        <v>#N/A</v>
      </c>
      <c r="L1373" t="s">
        <v>218</v>
      </c>
    </row>
    <row r="1374" spans="1:12" x14ac:dyDescent="0.25">
      <c r="A1374">
        <v>1373</v>
      </c>
      <c r="B1374">
        <v>30190912</v>
      </c>
      <c r="C1374">
        <v>4</v>
      </c>
      <c r="E1374" s="110">
        <v>42707</v>
      </c>
      <c r="F1374" s="111" t="s">
        <v>235</v>
      </c>
      <c r="G1374">
        <v>1.681</v>
      </c>
      <c r="H1374">
        <v>9.9999999999999645</v>
      </c>
      <c r="I1374">
        <v>3</v>
      </c>
      <c r="J1374">
        <v>980</v>
      </c>
      <c r="K1374" s="1" t="e">
        <f>INDEX($P$4:$AM$15,MATCH(MONTH($E1374),$O$4:$O$15,0),MATCH(HOUR($F1374),$P$3:$AM$3,0))</f>
        <v>#N/A</v>
      </c>
      <c r="L1374" t="s">
        <v>218</v>
      </c>
    </row>
    <row r="1375" spans="1:12" x14ac:dyDescent="0.25">
      <c r="A1375">
        <v>1374</v>
      </c>
      <c r="B1375">
        <v>40011799</v>
      </c>
      <c r="C1375">
        <v>1</v>
      </c>
      <c r="E1375" s="110">
        <v>42708</v>
      </c>
      <c r="F1375" s="111" t="s">
        <v>273</v>
      </c>
      <c r="G1375">
        <v>0.91300000000000003</v>
      </c>
      <c r="H1375">
        <v>5.0000000000000622</v>
      </c>
      <c r="I1375">
        <v>3</v>
      </c>
      <c r="J1375">
        <v>4.9999999999999023</v>
      </c>
      <c r="K1375" s="1" t="e">
        <f>INDEX($P$4:$AM$15,MATCH(MONTH($E1375),$O$4:$O$15,0),MATCH(HOUR($F1375),$P$3:$AM$3,0))</f>
        <v>#N/A</v>
      </c>
      <c r="L1375" t="s">
        <v>222</v>
      </c>
    </row>
    <row r="1376" spans="1:12" x14ac:dyDescent="0.25">
      <c r="A1376">
        <v>1375</v>
      </c>
      <c r="B1376">
        <v>40011799</v>
      </c>
      <c r="C1376">
        <v>2</v>
      </c>
      <c r="E1376" s="110">
        <v>42708</v>
      </c>
      <c r="F1376" s="111" t="s">
        <v>321</v>
      </c>
      <c r="G1376">
        <v>3.6890000000000001</v>
      </c>
      <c r="H1376">
        <v>20.000000000000089</v>
      </c>
      <c r="I1376">
        <v>3</v>
      </c>
      <c r="J1376">
        <v>14.999999999999947</v>
      </c>
      <c r="K1376" s="1" t="e">
        <f>INDEX($P$4:$AM$15,MATCH(MONTH($E1376),$O$4:$O$15,0),MATCH(HOUR($F1376),$P$3:$AM$3,0))</f>
        <v>#N/A</v>
      </c>
      <c r="L1376" t="s">
        <v>222</v>
      </c>
    </row>
    <row r="1377" spans="1:12" x14ac:dyDescent="0.25">
      <c r="A1377">
        <v>1376</v>
      </c>
      <c r="B1377">
        <v>40011799</v>
      </c>
      <c r="C1377">
        <v>3</v>
      </c>
      <c r="E1377" s="110">
        <v>42708</v>
      </c>
      <c r="F1377" s="111" t="s">
        <v>244</v>
      </c>
      <c r="G1377">
        <v>2.3170000000000002</v>
      </c>
      <c r="H1377">
        <v>30.000000000000053</v>
      </c>
      <c r="I1377">
        <v>3</v>
      </c>
      <c r="J1377">
        <v>74.999999999999972</v>
      </c>
      <c r="K1377" s="1" t="e">
        <f>INDEX($P$4:$AM$15,MATCH(MONTH($E1377),$O$4:$O$15,0),MATCH(HOUR($F1377),$P$3:$AM$3,0))</f>
        <v>#N/A</v>
      </c>
      <c r="L1377" t="s">
        <v>222</v>
      </c>
    </row>
    <row r="1378" spans="1:12" x14ac:dyDescent="0.25">
      <c r="A1378">
        <v>1377</v>
      </c>
      <c r="B1378">
        <v>40011799</v>
      </c>
      <c r="C1378">
        <v>4</v>
      </c>
      <c r="E1378" s="110">
        <v>42708</v>
      </c>
      <c r="F1378" s="111" t="s">
        <v>217</v>
      </c>
      <c r="G1378">
        <v>11.61</v>
      </c>
      <c r="H1378">
        <v>15.000000000000027</v>
      </c>
      <c r="I1378">
        <v>3</v>
      </c>
      <c r="J1378">
        <v>14.999999999999947</v>
      </c>
      <c r="K1378" s="1" t="e">
        <f>INDEX($P$4:$AM$15,MATCH(MONTH($E1378),$O$4:$O$15,0),MATCH(HOUR($F1378),$P$3:$AM$3,0))</f>
        <v>#N/A</v>
      </c>
      <c r="L1378" t="s">
        <v>222</v>
      </c>
    </row>
    <row r="1379" spans="1:12" x14ac:dyDescent="0.25">
      <c r="A1379">
        <v>1378</v>
      </c>
      <c r="B1379">
        <v>40011799</v>
      </c>
      <c r="C1379">
        <v>5</v>
      </c>
      <c r="E1379" s="110">
        <v>42708</v>
      </c>
      <c r="F1379" s="111" t="s">
        <v>221</v>
      </c>
      <c r="G1379">
        <v>7.4829999999999997</v>
      </c>
      <c r="H1379">
        <v>9.9999999999999645</v>
      </c>
      <c r="I1379">
        <v>3</v>
      </c>
      <c r="J1379">
        <v>35.000000000000036</v>
      </c>
      <c r="K1379" s="1" t="e">
        <f>INDEX($P$4:$AM$15,MATCH(MONTH($E1379),$O$4:$O$15,0),MATCH(HOUR($F1379),$P$3:$AM$3,0))</f>
        <v>#N/A</v>
      </c>
      <c r="L1379" t="s">
        <v>222</v>
      </c>
    </row>
    <row r="1380" spans="1:12" x14ac:dyDescent="0.25">
      <c r="A1380">
        <v>1379</v>
      </c>
      <c r="B1380">
        <v>40011799</v>
      </c>
      <c r="C1380">
        <v>6</v>
      </c>
      <c r="E1380" s="110">
        <v>42708</v>
      </c>
      <c r="F1380" s="111" t="s">
        <v>223</v>
      </c>
      <c r="G1380">
        <v>0.48299999999999998</v>
      </c>
      <c r="H1380">
        <v>5.0000000000000622</v>
      </c>
      <c r="I1380">
        <v>3</v>
      </c>
      <c r="J1380">
        <v>339.99999999999989</v>
      </c>
      <c r="K1380" s="1" t="e">
        <f>INDEX($P$4:$AM$15,MATCH(MONTH($E1380),$O$4:$O$15,0),MATCH(HOUR($F1380),$P$3:$AM$3,0))</f>
        <v>#N/A</v>
      </c>
      <c r="L1380" t="s">
        <v>222</v>
      </c>
    </row>
    <row r="1381" spans="1:12" x14ac:dyDescent="0.25">
      <c r="A1381">
        <v>1380</v>
      </c>
      <c r="B1381">
        <v>40011799</v>
      </c>
      <c r="C1381">
        <v>7</v>
      </c>
      <c r="E1381" s="110">
        <v>42708</v>
      </c>
      <c r="F1381" s="111" t="s">
        <v>258</v>
      </c>
      <c r="G1381">
        <v>7.0289999999999999</v>
      </c>
      <c r="H1381">
        <v>19.999999999999929</v>
      </c>
      <c r="I1381">
        <v>3</v>
      </c>
      <c r="J1381">
        <v>160.00000000000006</v>
      </c>
      <c r="K1381" s="1" t="e">
        <f>INDEX($P$4:$AM$15,MATCH(MONTH($E1381),$O$4:$O$15,0),MATCH(HOUR($F1381),$P$3:$AM$3,0))</f>
        <v>#N/A</v>
      </c>
      <c r="L1381" t="s">
        <v>222</v>
      </c>
    </row>
    <row r="1382" spans="1:12" x14ac:dyDescent="0.25">
      <c r="A1382">
        <v>1381</v>
      </c>
      <c r="B1382">
        <v>40011799</v>
      </c>
      <c r="C1382">
        <v>8</v>
      </c>
      <c r="E1382" s="110">
        <v>42708</v>
      </c>
      <c r="F1382" s="111" t="s">
        <v>322</v>
      </c>
      <c r="G1382">
        <v>7.0170000000000003</v>
      </c>
      <c r="H1382">
        <v>19.999999999999929</v>
      </c>
      <c r="I1382">
        <v>3</v>
      </c>
      <c r="J1382">
        <v>595.00000000000011</v>
      </c>
      <c r="K1382" s="1" t="e">
        <f>INDEX($P$4:$AM$15,MATCH(MONTH($E1382),$O$4:$O$15,0),MATCH(HOUR($F1382),$P$3:$AM$3,0))</f>
        <v>#N/A</v>
      </c>
      <c r="L1382" t="s">
        <v>222</v>
      </c>
    </row>
    <row r="1383" spans="1:12" x14ac:dyDescent="0.25">
      <c r="A1383">
        <v>1382</v>
      </c>
      <c r="B1383">
        <v>40014625</v>
      </c>
      <c r="C1383">
        <v>1</v>
      </c>
      <c r="E1383" s="110">
        <v>42709</v>
      </c>
      <c r="F1383" s="111" t="s">
        <v>368</v>
      </c>
      <c r="G1383">
        <v>8.8079999999999998</v>
      </c>
      <c r="H1383">
        <v>15.000000000000027</v>
      </c>
      <c r="I1383">
        <v>6</v>
      </c>
      <c r="J1383">
        <v>510</v>
      </c>
      <c r="K1383" s="1" t="e">
        <f>INDEX($P$4:$AM$15,MATCH(MONTH($E1383),$O$4:$O$15,0),MATCH(HOUR($F1383),$P$3:$AM$3,0))</f>
        <v>#N/A</v>
      </c>
      <c r="L1383" t="s">
        <v>249</v>
      </c>
    </row>
    <row r="1384" spans="1:12" x14ac:dyDescent="0.25">
      <c r="A1384">
        <v>1383</v>
      </c>
      <c r="B1384">
        <v>40014625</v>
      </c>
      <c r="C1384">
        <v>2</v>
      </c>
      <c r="E1384" s="110">
        <v>42709</v>
      </c>
      <c r="F1384" s="111" t="s">
        <v>235</v>
      </c>
      <c r="G1384">
        <v>8.6780000000000008</v>
      </c>
      <c r="H1384">
        <v>29.999999999999893</v>
      </c>
      <c r="I1384">
        <v>6</v>
      </c>
      <c r="J1384">
        <v>885</v>
      </c>
      <c r="K1384" s="1" t="e">
        <f>INDEX($P$4:$AM$15,MATCH(MONTH($E1384),$O$4:$O$15,0),MATCH(HOUR($F1384),$P$3:$AM$3,0))</f>
        <v>#N/A</v>
      </c>
      <c r="L1384" t="s">
        <v>249</v>
      </c>
    </row>
    <row r="1385" spans="1:12" x14ac:dyDescent="0.25">
      <c r="A1385">
        <v>1384</v>
      </c>
      <c r="B1385">
        <v>40014625</v>
      </c>
      <c r="C1385">
        <v>1</v>
      </c>
      <c r="E1385" s="110">
        <v>42710</v>
      </c>
      <c r="F1385" s="111" t="s">
        <v>368</v>
      </c>
      <c r="G1385">
        <v>8.32</v>
      </c>
      <c r="H1385">
        <v>15.000000000000027</v>
      </c>
      <c r="I1385">
        <v>4</v>
      </c>
      <c r="J1385">
        <v>539.99999999999989</v>
      </c>
      <c r="K1385" s="1" t="e">
        <f>INDEX($P$4:$AM$15,MATCH(MONTH($E1385),$O$4:$O$15,0),MATCH(HOUR($F1385),$P$3:$AM$3,0))</f>
        <v>#N/A</v>
      </c>
      <c r="L1385" t="s">
        <v>249</v>
      </c>
    </row>
    <row r="1386" spans="1:12" x14ac:dyDescent="0.25">
      <c r="A1386">
        <v>1385</v>
      </c>
      <c r="B1386">
        <v>40014625</v>
      </c>
      <c r="C1386">
        <v>2</v>
      </c>
      <c r="E1386" s="110">
        <v>42710</v>
      </c>
      <c r="F1386" s="111" t="s">
        <v>252</v>
      </c>
      <c r="G1386">
        <v>8.4160000000000004</v>
      </c>
      <c r="H1386">
        <v>15.000000000000107</v>
      </c>
      <c r="I1386">
        <v>4</v>
      </c>
      <c r="J1386">
        <v>780</v>
      </c>
      <c r="K1386" s="1" t="e">
        <f>INDEX($P$4:$AM$15,MATCH(MONTH($E1386),$O$4:$O$15,0),MATCH(HOUR($F1386),$P$3:$AM$3,0))</f>
        <v>#N/A</v>
      </c>
      <c r="L1386" t="s">
        <v>249</v>
      </c>
    </row>
    <row r="1387" spans="1:12" x14ac:dyDescent="0.25">
      <c r="A1387">
        <v>1386</v>
      </c>
      <c r="B1387">
        <v>40015107</v>
      </c>
      <c r="C1387">
        <v>1</v>
      </c>
      <c r="E1387" s="110">
        <v>42711</v>
      </c>
      <c r="F1387" s="111" t="s">
        <v>548</v>
      </c>
      <c r="G1387">
        <v>3.875</v>
      </c>
      <c r="H1387">
        <v>10.000000000000004</v>
      </c>
      <c r="I1387">
        <v>3</v>
      </c>
      <c r="J1387">
        <v>64.999999999999972</v>
      </c>
      <c r="K1387" s="1" t="e">
        <f>INDEX($P$4:$AM$15,MATCH(MONTH($E1387),$O$4:$O$15,0),MATCH(HOUR($F1387),$P$3:$AM$3,0))</f>
        <v>#N/A</v>
      </c>
      <c r="L1387" t="s">
        <v>302</v>
      </c>
    </row>
    <row r="1388" spans="1:12" x14ac:dyDescent="0.25">
      <c r="A1388">
        <v>1387</v>
      </c>
      <c r="B1388">
        <v>40015107</v>
      </c>
      <c r="C1388">
        <v>2</v>
      </c>
      <c r="E1388" s="110">
        <v>42711</v>
      </c>
      <c r="F1388" s="111" t="s">
        <v>256</v>
      </c>
      <c r="G1388">
        <v>3.875</v>
      </c>
      <c r="H1388">
        <v>15.000000000000027</v>
      </c>
      <c r="I1388">
        <v>3</v>
      </c>
      <c r="J1388">
        <v>45</v>
      </c>
      <c r="K1388" s="1" t="e">
        <f>INDEX($P$4:$AM$15,MATCH(MONTH($E1388),$O$4:$O$15,0),MATCH(HOUR($F1388),$P$3:$AM$3,0))</f>
        <v>#N/A</v>
      </c>
      <c r="L1388" t="s">
        <v>302</v>
      </c>
    </row>
    <row r="1389" spans="1:12" x14ac:dyDescent="0.25">
      <c r="A1389">
        <v>1388</v>
      </c>
      <c r="B1389">
        <v>40015107</v>
      </c>
      <c r="C1389">
        <v>3</v>
      </c>
      <c r="E1389" s="110">
        <v>42711</v>
      </c>
      <c r="F1389" s="111" t="s">
        <v>251</v>
      </c>
      <c r="G1389">
        <v>26.335000000000001</v>
      </c>
      <c r="H1389">
        <v>45</v>
      </c>
      <c r="I1389">
        <v>3</v>
      </c>
      <c r="J1389">
        <v>495</v>
      </c>
      <c r="K1389" s="1" t="e">
        <f>INDEX($P$4:$AM$15,MATCH(MONTH($E1389),$O$4:$O$15,0),MATCH(HOUR($F1389),$P$3:$AM$3,0))</f>
        <v>#N/A</v>
      </c>
      <c r="L1389" t="s">
        <v>302</v>
      </c>
    </row>
    <row r="1390" spans="1:12" x14ac:dyDescent="0.25">
      <c r="A1390">
        <v>1389</v>
      </c>
      <c r="B1390">
        <v>40015107</v>
      </c>
      <c r="C1390">
        <v>4</v>
      </c>
      <c r="E1390" s="110">
        <v>42711</v>
      </c>
      <c r="F1390" s="111" t="s">
        <v>247</v>
      </c>
      <c r="G1390">
        <v>26.358000000000001</v>
      </c>
      <c r="H1390">
        <v>49.999999999999986</v>
      </c>
      <c r="I1390">
        <v>3</v>
      </c>
      <c r="J1390">
        <v>9.9999999999999645</v>
      </c>
      <c r="K1390" s="1" t="e">
        <f>INDEX($P$4:$AM$15,MATCH(MONTH($E1390),$O$4:$O$15,0),MATCH(HOUR($F1390),$P$3:$AM$3,0))</f>
        <v>#N/A</v>
      </c>
      <c r="L1390" t="s">
        <v>302</v>
      </c>
    </row>
    <row r="1391" spans="1:12" x14ac:dyDescent="0.25">
      <c r="A1391">
        <v>1390</v>
      </c>
      <c r="B1391">
        <v>40015107</v>
      </c>
      <c r="C1391">
        <v>5</v>
      </c>
      <c r="E1391" s="110">
        <v>42711</v>
      </c>
      <c r="F1391" s="111" t="s">
        <v>258</v>
      </c>
      <c r="G1391">
        <v>2.9180000000000001</v>
      </c>
      <c r="H1391">
        <v>22.000000000000082</v>
      </c>
      <c r="I1391">
        <v>3</v>
      </c>
      <c r="J1391">
        <v>940</v>
      </c>
      <c r="K1391" s="1" t="e">
        <f>INDEX($P$4:$AM$15,MATCH(MONTH($E1391),$O$4:$O$15,0),MATCH(HOUR($F1391),$P$3:$AM$3,0))</f>
        <v>#N/A</v>
      </c>
      <c r="L1391" t="s">
        <v>302</v>
      </c>
    </row>
    <row r="1392" spans="1:12" x14ac:dyDescent="0.25">
      <c r="A1392">
        <v>1391</v>
      </c>
      <c r="B1392">
        <v>40015107</v>
      </c>
      <c r="C1392">
        <v>1</v>
      </c>
      <c r="E1392" s="110">
        <v>42712</v>
      </c>
      <c r="F1392" s="111" t="s">
        <v>614</v>
      </c>
      <c r="G1392">
        <v>3.875</v>
      </c>
      <c r="H1392">
        <v>21.000000000000007</v>
      </c>
      <c r="I1392">
        <v>6</v>
      </c>
      <c r="J1392">
        <v>72.000000000000057</v>
      </c>
      <c r="K1392" s="1" t="e">
        <f>INDEX($P$4:$AM$15,MATCH(MONTH($E1392),$O$4:$O$15,0),MATCH(HOUR($F1392),$P$3:$AM$3,0))</f>
        <v>#N/A</v>
      </c>
      <c r="L1392" t="s">
        <v>302</v>
      </c>
    </row>
    <row r="1393" spans="1:12" x14ac:dyDescent="0.25">
      <c r="A1393">
        <v>1392</v>
      </c>
      <c r="B1393">
        <v>40015107</v>
      </c>
      <c r="C1393">
        <v>2</v>
      </c>
      <c r="E1393" s="110">
        <v>42712</v>
      </c>
      <c r="F1393" s="111" t="s">
        <v>497</v>
      </c>
      <c r="G1393">
        <v>3.875</v>
      </c>
      <c r="H1393">
        <v>17.999999999999936</v>
      </c>
      <c r="I1393">
        <v>6</v>
      </c>
      <c r="J1393">
        <v>442</v>
      </c>
      <c r="K1393" s="1" t="e">
        <f>INDEX($P$4:$AM$15,MATCH(MONTH($E1393),$O$4:$O$15,0),MATCH(HOUR($F1393),$P$3:$AM$3,0))</f>
        <v>#N/A</v>
      </c>
      <c r="L1393" t="s">
        <v>302</v>
      </c>
    </row>
    <row r="1394" spans="1:12" x14ac:dyDescent="0.25">
      <c r="A1394">
        <v>1393</v>
      </c>
      <c r="B1394">
        <v>40015107</v>
      </c>
      <c r="C1394">
        <v>3</v>
      </c>
      <c r="E1394" s="110">
        <v>42712</v>
      </c>
      <c r="F1394" s="111" t="s">
        <v>259</v>
      </c>
      <c r="G1394">
        <v>2.9180000000000001</v>
      </c>
      <c r="H1394">
        <v>19.999999999999929</v>
      </c>
      <c r="I1394">
        <v>3</v>
      </c>
      <c r="J1394">
        <v>715.00000000000023</v>
      </c>
      <c r="K1394" s="1" t="e">
        <f>INDEX($P$4:$AM$15,MATCH(MONTH($E1394),$O$4:$O$15,0),MATCH(HOUR($F1394),$P$3:$AM$3,0))</f>
        <v>#N/A</v>
      </c>
      <c r="L1394" t="s">
        <v>302</v>
      </c>
    </row>
    <row r="1395" spans="1:12" x14ac:dyDescent="0.25">
      <c r="A1395">
        <v>1394</v>
      </c>
      <c r="B1395">
        <v>40020168</v>
      </c>
      <c r="C1395">
        <v>1</v>
      </c>
      <c r="E1395" s="110">
        <v>42713</v>
      </c>
      <c r="F1395" s="111" t="s">
        <v>305</v>
      </c>
      <c r="G1395">
        <v>16.558</v>
      </c>
      <c r="H1395">
        <v>45</v>
      </c>
      <c r="I1395">
        <v>3</v>
      </c>
      <c r="J1395">
        <v>510</v>
      </c>
      <c r="K1395" s="1" t="e">
        <f>INDEX($P$4:$AM$15,MATCH(MONTH($E1395),$O$4:$O$15,0),MATCH(HOUR($F1395),$P$3:$AM$3,0))</f>
        <v>#N/A</v>
      </c>
      <c r="L1395" t="s">
        <v>257</v>
      </c>
    </row>
    <row r="1396" spans="1:12" x14ac:dyDescent="0.25">
      <c r="A1396">
        <v>1395</v>
      </c>
      <c r="B1396">
        <v>40020168</v>
      </c>
      <c r="C1396">
        <v>2</v>
      </c>
      <c r="E1396" s="110">
        <v>42713</v>
      </c>
      <c r="F1396" s="111" t="s">
        <v>274</v>
      </c>
      <c r="G1396">
        <v>5.91</v>
      </c>
      <c r="H1396">
        <v>14.999999999999947</v>
      </c>
      <c r="I1396">
        <v>3</v>
      </c>
      <c r="J1396">
        <v>10.000000000000124</v>
      </c>
      <c r="K1396" s="1" t="e">
        <f>INDEX($P$4:$AM$15,MATCH(MONTH($E1396),$O$4:$O$15,0),MATCH(HOUR($F1396),$P$3:$AM$3,0))</f>
        <v>#N/A</v>
      </c>
      <c r="L1396" t="s">
        <v>257</v>
      </c>
    </row>
    <row r="1397" spans="1:12" x14ac:dyDescent="0.25">
      <c r="A1397">
        <v>1396</v>
      </c>
      <c r="B1397">
        <v>40020168</v>
      </c>
      <c r="C1397">
        <v>3</v>
      </c>
      <c r="E1397" s="110">
        <v>42713</v>
      </c>
      <c r="F1397" s="111" t="s">
        <v>270</v>
      </c>
      <c r="G1397">
        <v>12.089</v>
      </c>
      <c r="H1397">
        <v>34.999999999999872</v>
      </c>
      <c r="I1397">
        <v>3</v>
      </c>
      <c r="J1397">
        <v>1200</v>
      </c>
      <c r="K1397" s="1" t="e">
        <f>INDEX($P$4:$AM$15,MATCH(MONTH($E1397),$O$4:$O$15,0),MATCH(HOUR($F1397),$P$3:$AM$3,0))</f>
        <v>#N/A</v>
      </c>
      <c r="L1397" t="s">
        <v>257</v>
      </c>
    </row>
    <row r="1398" spans="1:12" x14ac:dyDescent="0.25">
      <c r="A1398">
        <v>1397</v>
      </c>
      <c r="B1398">
        <v>40020904</v>
      </c>
      <c r="C1398">
        <v>1</v>
      </c>
      <c r="E1398" s="110">
        <v>42714</v>
      </c>
      <c r="F1398" s="111" t="s">
        <v>369</v>
      </c>
      <c r="G1398">
        <v>3.258</v>
      </c>
      <c r="H1398">
        <v>14.999999999999947</v>
      </c>
      <c r="I1398">
        <v>4</v>
      </c>
      <c r="J1398">
        <v>14.999999999999947</v>
      </c>
      <c r="K1398" s="1" t="e">
        <f>INDEX($P$4:$AM$15,MATCH(MONTH($E1398),$O$4:$O$15,0),MATCH(HOUR($F1398),$P$3:$AM$3,0))</f>
        <v>#N/A</v>
      </c>
      <c r="L1398" t="s">
        <v>222</v>
      </c>
    </row>
    <row r="1399" spans="1:12" x14ac:dyDescent="0.25">
      <c r="A1399">
        <v>1398</v>
      </c>
      <c r="B1399">
        <v>40020904</v>
      </c>
      <c r="C1399">
        <v>2</v>
      </c>
      <c r="E1399" s="110">
        <v>42714</v>
      </c>
      <c r="F1399" s="111" t="s">
        <v>315</v>
      </c>
      <c r="G1399">
        <v>5.0330000000000004</v>
      </c>
      <c r="H1399">
        <v>15.000000000000107</v>
      </c>
      <c r="I1399">
        <v>4</v>
      </c>
      <c r="J1399">
        <v>14.999999999999947</v>
      </c>
      <c r="K1399" s="1" t="e">
        <f>INDEX($P$4:$AM$15,MATCH(MONTH($E1399),$O$4:$O$15,0),MATCH(HOUR($F1399),$P$3:$AM$3,0))</f>
        <v>#N/A</v>
      </c>
      <c r="L1399" t="s">
        <v>222</v>
      </c>
    </row>
    <row r="1400" spans="1:12" x14ac:dyDescent="0.25">
      <c r="A1400">
        <v>1399</v>
      </c>
      <c r="B1400">
        <v>40020904</v>
      </c>
      <c r="C1400">
        <v>3</v>
      </c>
      <c r="E1400" s="110">
        <v>42714</v>
      </c>
      <c r="F1400" s="111" t="s">
        <v>382</v>
      </c>
      <c r="G1400">
        <v>1.7949999999999999</v>
      </c>
      <c r="H1400">
        <v>9.9999999999999645</v>
      </c>
      <c r="I1400">
        <v>4</v>
      </c>
      <c r="J1400">
        <v>30.000000000000053</v>
      </c>
      <c r="K1400" s="1" t="e">
        <f>INDEX($P$4:$AM$15,MATCH(MONTH($E1400),$O$4:$O$15,0),MATCH(HOUR($F1400),$P$3:$AM$3,0))</f>
        <v>#N/A</v>
      </c>
      <c r="L1400" t="s">
        <v>222</v>
      </c>
    </row>
    <row r="1401" spans="1:12" x14ac:dyDescent="0.25">
      <c r="A1401">
        <v>1400</v>
      </c>
      <c r="B1401">
        <v>40020904</v>
      </c>
      <c r="C1401">
        <v>4</v>
      </c>
      <c r="E1401" s="110">
        <v>42714</v>
      </c>
      <c r="F1401" s="111" t="s">
        <v>451</v>
      </c>
      <c r="G1401">
        <v>4.3330000000000002</v>
      </c>
      <c r="H1401">
        <v>19.999999999999929</v>
      </c>
      <c r="I1401">
        <v>4</v>
      </c>
      <c r="J1401">
        <v>1125</v>
      </c>
      <c r="K1401" s="1" t="e">
        <f>INDEX($P$4:$AM$15,MATCH(MONTH($E1401),$O$4:$O$15,0),MATCH(HOUR($F1401),$P$3:$AM$3,0))</f>
        <v>#N/A</v>
      </c>
      <c r="L1401" t="s">
        <v>222</v>
      </c>
    </row>
    <row r="1402" spans="1:12" x14ac:dyDescent="0.25">
      <c r="A1402">
        <v>1401</v>
      </c>
      <c r="B1402">
        <v>40027071</v>
      </c>
      <c r="C1402">
        <v>1</v>
      </c>
      <c r="E1402" s="110">
        <v>42715</v>
      </c>
      <c r="F1402" s="111" t="s">
        <v>283</v>
      </c>
      <c r="G1402">
        <v>0.182</v>
      </c>
      <c r="H1402">
        <v>14.999999999999947</v>
      </c>
      <c r="I1402">
        <v>3</v>
      </c>
      <c r="J1402">
        <v>45</v>
      </c>
      <c r="K1402" s="1" t="e">
        <f>INDEX($P$4:$AM$15,MATCH(MONTH($E1402),$O$4:$O$15,0),MATCH(HOUR($F1402),$P$3:$AM$3,0))</f>
        <v>#N/A</v>
      </c>
      <c r="L1402" t="s">
        <v>231</v>
      </c>
    </row>
    <row r="1403" spans="1:12" x14ac:dyDescent="0.25">
      <c r="A1403">
        <v>1402</v>
      </c>
      <c r="B1403">
        <v>40027071</v>
      </c>
      <c r="C1403">
        <v>2</v>
      </c>
      <c r="E1403" s="110">
        <v>42715</v>
      </c>
      <c r="F1403" s="111" t="s">
        <v>221</v>
      </c>
      <c r="G1403">
        <v>9.5000000000000001E-2</v>
      </c>
      <c r="H1403">
        <v>5.0000000000000622</v>
      </c>
      <c r="I1403">
        <v>3</v>
      </c>
      <c r="J1403">
        <v>204.99999999999991</v>
      </c>
      <c r="K1403" s="1" t="e">
        <f>INDEX($P$4:$AM$15,MATCH(MONTH($E1403),$O$4:$O$15,0),MATCH(HOUR($F1403),$P$3:$AM$3,0))</f>
        <v>#N/A</v>
      </c>
      <c r="L1403" t="s">
        <v>231</v>
      </c>
    </row>
    <row r="1404" spans="1:12" x14ac:dyDescent="0.25">
      <c r="A1404">
        <v>1403</v>
      </c>
      <c r="B1404">
        <v>40027071</v>
      </c>
      <c r="C1404">
        <v>3</v>
      </c>
      <c r="E1404" s="110">
        <v>42715</v>
      </c>
      <c r="F1404" s="111" t="s">
        <v>294</v>
      </c>
      <c r="G1404">
        <v>0.16200000000000001</v>
      </c>
      <c r="H1404">
        <v>5.0000000000001421</v>
      </c>
      <c r="I1404">
        <v>3</v>
      </c>
      <c r="J1404">
        <v>1240</v>
      </c>
      <c r="K1404" s="1" t="e">
        <f>INDEX($P$4:$AM$15,MATCH(MONTH($E1404),$O$4:$O$15,0),MATCH(HOUR($F1404),$P$3:$AM$3,0))</f>
        <v>#N/A</v>
      </c>
      <c r="L1404" t="s">
        <v>231</v>
      </c>
    </row>
    <row r="1405" spans="1:12" x14ac:dyDescent="0.25">
      <c r="A1405">
        <v>1404</v>
      </c>
      <c r="B1405">
        <v>40027588</v>
      </c>
      <c r="C1405">
        <v>1</v>
      </c>
      <c r="E1405" s="110">
        <v>42716</v>
      </c>
      <c r="F1405" s="111" t="s">
        <v>327</v>
      </c>
      <c r="G1405">
        <v>1.304</v>
      </c>
      <c r="H1405">
        <v>1.0000000000000764</v>
      </c>
      <c r="I1405">
        <v>4</v>
      </c>
      <c r="J1405">
        <v>23.999999999999915</v>
      </c>
      <c r="K1405" s="1" t="e">
        <f>INDEX($P$4:$AM$15,MATCH(MONTH($E1405),$O$4:$O$15,0),MATCH(HOUR($F1405),$P$3:$AM$3,0))</f>
        <v>#N/A</v>
      </c>
      <c r="L1405" t="s">
        <v>249</v>
      </c>
    </row>
    <row r="1406" spans="1:12" x14ac:dyDescent="0.25">
      <c r="A1406">
        <v>1405</v>
      </c>
      <c r="B1406">
        <v>40027588</v>
      </c>
      <c r="C1406">
        <v>2</v>
      </c>
      <c r="E1406" s="110">
        <v>42716</v>
      </c>
      <c r="F1406" s="111" t="s">
        <v>513</v>
      </c>
      <c r="G1406">
        <v>117.017</v>
      </c>
      <c r="H1406">
        <v>65.000000000000014</v>
      </c>
      <c r="I1406">
        <v>4</v>
      </c>
      <c r="J1406">
        <v>9.9999999999999645</v>
      </c>
      <c r="K1406" s="1" t="e">
        <f>INDEX($P$4:$AM$15,MATCH(MONTH($E1406),$O$4:$O$15,0),MATCH(HOUR($F1406),$P$3:$AM$3,0))</f>
        <v>#N/A</v>
      </c>
      <c r="L1406" t="s">
        <v>249</v>
      </c>
    </row>
    <row r="1407" spans="1:12" x14ac:dyDescent="0.25">
      <c r="A1407">
        <v>1406</v>
      </c>
      <c r="B1407">
        <v>40027588</v>
      </c>
      <c r="C1407">
        <v>3</v>
      </c>
      <c r="E1407" s="110">
        <v>42716</v>
      </c>
      <c r="F1407" s="111" t="s">
        <v>377</v>
      </c>
      <c r="G1407">
        <v>0.93899999999999995</v>
      </c>
      <c r="H1407">
        <v>4.9999999999999822</v>
      </c>
      <c r="I1407">
        <v>4</v>
      </c>
      <c r="J1407">
        <v>9.9999999999999645</v>
      </c>
      <c r="K1407" s="1" t="e">
        <f>INDEX($P$4:$AM$15,MATCH(MONTH($E1407),$O$4:$O$15,0),MATCH(HOUR($F1407),$P$3:$AM$3,0))</f>
        <v>#N/A</v>
      </c>
      <c r="L1407" t="s">
        <v>249</v>
      </c>
    </row>
    <row r="1408" spans="1:12" x14ac:dyDescent="0.25">
      <c r="A1408">
        <v>1407</v>
      </c>
      <c r="B1408">
        <v>40027588</v>
      </c>
      <c r="C1408">
        <v>4</v>
      </c>
      <c r="E1408" s="110">
        <v>42716</v>
      </c>
      <c r="F1408" s="111" t="s">
        <v>299</v>
      </c>
      <c r="G1408">
        <v>8.6980000000000004</v>
      </c>
      <c r="H1408">
        <v>20.000000000000089</v>
      </c>
      <c r="I1408">
        <v>4</v>
      </c>
      <c r="J1408">
        <v>120.00000000000006</v>
      </c>
      <c r="K1408" s="1" t="e">
        <f>INDEX($P$4:$AM$15,MATCH(MONTH($E1408),$O$4:$O$15,0),MATCH(HOUR($F1408),$P$3:$AM$3,0))</f>
        <v>#N/A</v>
      </c>
      <c r="L1408" t="s">
        <v>249</v>
      </c>
    </row>
    <row r="1409" spans="1:12" x14ac:dyDescent="0.25">
      <c r="A1409">
        <v>1408</v>
      </c>
      <c r="B1409">
        <v>40027588</v>
      </c>
      <c r="C1409">
        <v>5</v>
      </c>
      <c r="E1409" s="110">
        <v>42716</v>
      </c>
      <c r="F1409" s="111" t="s">
        <v>235</v>
      </c>
      <c r="G1409">
        <v>1.008</v>
      </c>
      <c r="H1409">
        <v>6.9999999999999751</v>
      </c>
      <c r="I1409">
        <v>4</v>
      </c>
      <c r="J1409">
        <v>7.9999999999999716</v>
      </c>
      <c r="K1409" s="1" t="e">
        <f>INDEX($P$4:$AM$15,MATCH(MONTH($E1409),$O$4:$O$15,0),MATCH(HOUR($F1409),$P$3:$AM$3,0))</f>
        <v>#N/A</v>
      </c>
      <c r="L1409" t="s">
        <v>249</v>
      </c>
    </row>
    <row r="1410" spans="1:12" x14ac:dyDescent="0.25">
      <c r="A1410">
        <v>1409</v>
      </c>
      <c r="B1410">
        <v>40027588</v>
      </c>
      <c r="C1410">
        <v>6</v>
      </c>
      <c r="E1410" s="110">
        <v>42716</v>
      </c>
      <c r="F1410" s="111" t="s">
        <v>228</v>
      </c>
      <c r="G1410">
        <v>0.99399999999999999</v>
      </c>
      <c r="H1410">
        <v>6.9999999999999751</v>
      </c>
      <c r="I1410">
        <v>4</v>
      </c>
      <c r="J1410">
        <v>158.00000000000009</v>
      </c>
      <c r="K1410" s="1" t="e">
        <f>INDEX($P$4:$AM$15,MATCH(MONTH($E1410),$O$4:$O$15,0),MATCH(HOUR($F1410),$P$3:$AM$3,0))</f>
        <v>#N/A</v>
      </c>
      <c r="L1410" t="s">
        <v>249</v>
      </c>
    </row>
    <row r="1411" spans="1:12" x14ac:dyDescent="0.25">
      <c r="A1411">
        <v>1410</v>
      </c>
      <c r="B1411">
        <v>40027588</v>
      </c>
      <c r="C1411">
        <v>7</v>
      </c>
      <c r="E1411" s="110">
        <v>42716</v>
      </c>
      <c r="F1411" s="111" t="s">
        <v>300</v>
      </c>
      <c r="G1411">
        <v>8.0410000000000004</v>
      </c>
      <c r="H1411">
        <v>14.999999999999947</v>
      </c>
      <c r="I1411">
        <v>4</v>
      </c>
      <c r="J1411">
        <v>585</v>
      </c>
      <c r="K1411" s="1" t="e">
        <f>INDEX($P$4:$AM$15,MATCH(MONTH($E1411),$O$4:$O$15,0),MATCH(HOUR($F1411),$P$3:$AM$3,0))</f>
        <v>#N/A</v>
      </c>
      <c r="L1411" t="s">
        <v>249</v>
      </c>
    </row>
    <row r="1412" spans="1:12" x14ac:dyDescent="0.25">
      <c r="A1412">
        <v>1411</v>
      </c>
      <c r="B1412">
        <v>40027588</v>
      </c>
      <c r="C1412">
        <v>1</v>
      </c>
      <c r="E1412" s="110">
        <v>42717</v>
      </c>
      <c r="F1412" s="111" t="s">
        <v>615</v>
      </c>
      <c r="G1412">
        <v>4.7759999999999998</v>
      </c>
      <c r="H1412">
        <v>14.999999999999986</v>
      </c>
      <c r="I1412">
        <v>4</v>
      </c>
      <c r="J1412">
        <v>825.00000000000011</v>
      </c>
      <c r="K1412" s="1" t="e">
        <f>INDEX($P$4:$AM$15,MATCH(MONTH($E1412),$O$4:$O$15,0),MATCH(HOUR($F1412),$P$3:$AM$3,0))</f>
        <v>#N/A</v>
      </c>
      <c r="L1412" t="s">
        <v>249</v>
      </c>
    </row>
    <row r="1413" spans="1:12" x14ac:dyDescent="0.25">
      <c r="A1413">
        <v>1412</v>
      </c>
      <c r="B1413">
        <v>40027588</v>
      </c>
      <c r="C1413">
        <v>2</v>
      </c>
      <c r="E1413" s="110">
        <v>42717</v>
      </c>
      <c r="F1413" s="111" t="s">
        <v>300</v>
      </c>
      <c r="G1413">
        <v>4.1349999999999998</v>
      </c>
      <c r="H1413">
        <v>14.999999999999947</v>
      </c>
      <c r="I1413">
        <v>4</v>
      </c>
      <c r="J1413">
        <v>10.000000000000124</v>
      </c>
      <c r="K1413" s="1" t="e">
        <f>INDEX($P$4:$AM$15,MATCH(MONTH($E1413),$O$4:$O$15,0),MATCH(HOUR($F1413),$P$3:$AM$3,0))</f>
        <v>#N/A</v>
      </c>
      <c r="L1413" t="s">
        <v>249</v>
      </c>
    </row>
    <row r="1414" spans="1:12" x14ac:dyDescent="0.25">
      <c r="A1414">
        <v>1413</v>
      </c>
      <c r="B1414">
        <v>40027588</v>
      </c>
      <c r="C1414">
        <v>3</v>
      </c>
      <c r="E1414" s="110">
        <v>42717</v>
      </c>
      <c r="F1414" s="111" t="s">
        <v>242</v>
      </c>
      <c r="G1414">
        <v>0.65700000000000003</v>
      </c>
      <c r="H1414">
        <v>9.9999999999998046</v>
      </c>
      <c r="I1414">
        <v>4</v>
      </c>
      <c r="J1414">
        <v>855.00000000000011</v>
      </c>
      <c r="K1414" s="1" t="e">
        <f>INDEX($P$4:$AM$15,MATCH(MONTH($E1414),$O$4:$O$15,0),MATCH(HOUR($F1414),$P$3:$AM$3,0))</f>
        <v>#N/A</v>
      </c>
      <c r="L1414" t="s">
        <v>249</v>
      </c>
    </row>
    <row r="1415" spans="1:12" x14ac:dyDescent="0.25">
      <c r="A1415">
        <v>1414</v>
      </c>
      <c r="B1415">
        <v>40041355</v>
      </c>
      <c r="C1415">
        <v>1</v>
      </c>
      <c r="E1415" s="110">
        <v>42718</v>
      </c>
      <c r="F1415" s="111" t="s">
        <v>296</v>
      </c>
      <c r="G1415">
        <v>9.8960000000000008</v>
      </c>
      <c r="H1415">
        <v>24.999999999999993</v>
      </c>
      <c r="I1415">
        <v>4</v>
      </c>
      <c r="J1415">
        <v>495</v>
      </c>
      <c r="K1415" s="1" t="e">
        <f>INDEX($P$4:$AM$15,MATCH(MONTH($E1415),$O$4:$O$15,0),MATCH(HOUR($F1415),$P$3:$AM$3,0))</f>
        <v>#N/A</v>
      </c>
      <c r="L1415" t="s">
        <v>257</v>
      </c>
    </row>
    <row r="1416" spans="1:12" x14ac:dyDescent="0.25">
      <c r="A1416">
        <v>1415</v>
      </c>
      <c r="B1416">
        <v>40041355</v>
      </c>
      <c r="C1416">
        <v>2</v>
      </c>
      <c r="E1416" s="110">
        <v>42718</v>
      </c>
      <c r="F1416" s="111" t="s">
        <v>253</v>
      </c>
      <c r="G1416">
        <v>13.949</v>
      </c>
      <c r="H1416">
        <v>25.000000000000071</v>
      </c>
      <c r="I1416">
        <v>4</v>
      </c>
      <c r="J1416">
        <v>784.99999999999989</v>
      </c>
      <c r="K1416" s="1" t="e">
        <f>INDEX($P$4:$AM$15,MATCH(MONTH($E1416),$O$4:$O$15,0),MATCH(HOUR($F1416),$P$3:$AM$3,0))</f>
        <v>#N/A</v>
      </c>
      <c r="L1416" t="s">
        <v>257</v>
      </c>
    </row>
    <row r="1417" spans="1:12" x14ac:dyDescent="0.25">
      <c r="A1417">
        <v>1416</v>
      </c>
      <c r="B1417">
        <v>40041355</v>
      </c>
      <c r="C1417">
        <v>1</v>
      </c>
      <c r="E1417" s="110">
        <v>42719</v>
      </c>
      <c r="F1417" s="111" t="s">
        <v>251</v>
      </c>
      <c r="G1417">
        <v>14.297000000000001</v>
      </c>
      <c r="H1417">
        <v>29.999999999999972</v>
      </c>
      <c r="I1417">
        <v>3</v>
      </c>
      <c r="J1417">
        <v>480</v>
      </c>
      <c r="K1417" s="1" t="e">
        <f>INDEX($P$4:$AM$15,MATCH(MONTH($E1417),$O$4:$O$15,0),MATCH(HOUR($F1417),$P$3:$AM$3,0))</f>
        <v>#N/A</v>
      </c>
      <c r="L1417" t="s">
        <v>257</v>
      </c>
    </row>
    <row r="1418" spans="1:12" x14ac:dyDescent="0.25">
      <c r="A1418">
        <v>1417</v>
      </c>
      <c r="B1418">
        <v>40041355</v>
      </c>
      <c r="C1418">
        <v>2</v>
      </c>
      <c r="E1418" s="110">
        <v>42719</v>
      </c>
      <c r="F1418" s="111" t="s">
        <v>252</v>
      </c>
      <c r="G1418">
        <v>14.603999999999999</v>
      </c>
      <c r="H1418">
        <v>29.000000000000057</v>
      </c>
      <c r="I1418">
        <v>3</v>
      </c>
      <c r="J1418">
        <v>0.99999999999999645</v>
      </c>
      <c r="K1418" s="1" t="e">
        <f>INDEX($P$4:$AM$15,MATCH(MONTH($E1418),$O$4:$O$15,0),MATCH(HOUR($F1418),$P$3:$AM$3,0))</f>
        <v>#N/A</v>
      </c>
      <c r="L1418" t="s">
        <v>257</v>
      </c>
    </row>
    <row r="1419" spans="1:12" x14ac:dyDescent="0.25">
      <c r="A1419">
        <v>1418</v>
      </c>
      <c r="B1419">
        <v>40041355</v>
      </c>
      <c r="C1419">
        <v>3</v>
      </c>
      <c r="E1419" s="110">
        <v>42719</v>
      </c>
      <c r="F1419" s="111" t="s">
        <v>247</v>
      </c>
      <c r="G1419">
        <v>1.103</v>
      </c>
      <c r="H1419">
        <v>4.9999999999999822</v>
      </c>
      <c r="I1419">
        <v>3</v>
      </c>
      <c r="J1419">
        <v>970</v>
      </c>
      <c r="K1419" s="1" t="e">
        <f>INDEX($P$4:$AM$15,MATCH(MONTH($E1419),$O$4:$O$15,0),MATCH(HOUR($F1419),$P$3:$AM$3,0))</f>
        <v>#N/A</v>
      </c>
      <c r="L1419" t="s">
        <v>257</v>
      </c>
    </row>
    <row r="1420" spans="1:12" x14ac:dyDescent="0.25">
      <c r="A1420">
        <v>1419</v>
      </c>
      <c r="B1420">
        <v>40048062</v>
      </c>
      <c r="C1420">
        <v>1</v>
      </c>
      <c r="E1420" s="110">
        <v>42720</v>
      </c>
      <c r="F1420" s="111" t="s">
        <v>244</v>
      </c>
      <c r="G1420">
        <v>2.548</v>
      </c>
      <c r="H1420">
        <v>9.9999999999999645</v>
      </c>
      <c r="I1420">
        <v>3</v>
      </c>
      <c r="J1420">
        <v>5.0000000000000622</v>
      </c>
      <c r="K1420" s="1" t="e">
        <f>INDEX($P$4:$AM$15,MATCH(MONTH($E1420),$O$4:$O$15,0),MATCH(HOUR($F1420),$P$3:$AM$3,0))</f>
        <v>#N/A</v>
      </c>
      <c r="L1420" t="s">
        <v>302</v>
      </c>
    </row>
    <row r="1421" spans="1:12" x14ac:dyDescent="0.25">
      <c r="A1421">
        <v>1420</v>
      </c>
      <c r="B1421">
        <v>40048062</v>
      </c>
      <c r="C1421">
        <v>2</v>
      </c>
      <c r="E1421" s="110">
        <v>42720</v>
      </c>
      <c r="F1421" s="111" t="s">
        <v>295</v>
      </c>
      <c r="G1421">
        <v>0.57399999999999995</v>
      </c>
      <c r="H1421">
        <v>5.0000000000000622</v>
      </c>
      <c r="I1421">
        <v>3</v>
      </c>
      <c r="J1421">
        <v>264.99999999999994</v>
      </c>
      <c r="K1421" s="1" t="e">
        <f>INDEX($P$4:$AM$15,MATCH(MONTH($E1421),$O$4:$O$15,0),MATCH(HOUR($F1421),$P$3:$AM$3,0))</f>
        <v>#N/A</v>
      </c>
      <c r="L1421" t="s">
        <v>302</v>
      </c>
    </row>
    <row r="1422" spans="1:12" x14ac:dyDescent="0.25">
      <c r="A1422">
        <v>1421</v>
      </c>
      <c r="B1422">
        <v>40048062</v>
      </c>
      <c r="C1422">
        <v>3</v>
      </c>
      <c r="E1422" s="110">
        <v>42720</v>
      </c>
      <c r="F1422" s="111" t="s">
        <v>240</v>
      </c>
      <c r="G1422">
        <v>5.1589999999999998</v>
      </c>
      <c r="H1422">
        <v>9.9999999999999645</v>
      </c>
      <c r="I1422">
        <v>3</v>
      </c>
      <c r="J1422">
        <v>45</v>
      </c>
      <c r="K1422" s="1" t="e">
        <f>INDEX($P$4:$AM$15,MATCH(MONTH($E1422),$O$4:$O$15,0),MATCH(HOUR($F1422),$P$3:$AM$3,0))</f>
        <v>#N/A</v>
      </c>
      <c r="L1422" t="s">
        <v>302</v>
      </c>
    </row>
    <row r="1423" spans="1:12" x14ac:dyDescent="0.25">
      <c r="A1423">
        <v>1422</v>
      </c>
      <c r="B1423">
        <v>40048062</v>
      </c>
      <c r="C1423">
        <v>4</v>
      </c>
      <c r="E1423" s="110">
        <v>42720</v>
      </c>
      <c r="F1423" s="111" t="s">
        <v>438</v>
      </c>
      <c r="G1423">
        <v>3.9</v>
      </c>
      <c r="H1423">
        <v>14.999999999999947</v>
      </c>
      <c r="I1423">
        <v>3</v>
      </c>
      <c r="J1423">
        <v>203.00000000000009</v>
      </c>
      <c r="K1423" s="1" t="e">
        <f>INDEX($P$4:$AM$15,MATCH(MONTH($E1423),$O$4:$O$15,0),MATCH(HOUR($F1423),$P$3:$AM$3,0))</f>
        <v>#N/A</v>
      </c>
      <c r="L1423" t="s">
        <v>302</v>
      </c>
    </row>
    <row r="1424" spans="1:12" x14ac:dyDescent="0.25">
      <c r="A1424">
        <v>1423</v>
      </c>
      <c r="B1424">
        <v>40048062</v>
      </c>
      <c r="C1424">
        <v>5</v>
      </c>
      <c r="E1424" s="110">
        <v>42720</v>
      </c>
      <c r="F1424" s="111" t="s">
        <v>616</v>
      </c>
      <c r="G1424">
        <v>2.7570000000000001</v>
      </c>
      <c r="H1424">
        <v>9.9999999999999645</v>
      </c>
      <c r="I1424">
        <v>3</v>
      </c>
      <c r="J1424">
        <v>973</v>
      </c>
      <c r="K1424" s="1" t="e">
        <f>INDEX($P$4:$AM$15,MATCH(MONTH($E1424),$O$4:$O$15,0),MATCH(HOUR($F1424),$P$3:$AM$3,0))</f>
        <v>#N/A</v>
      </c>
      <c r="L1424" t="s">
        <v>302</v>
      </c>
    </row>
    <row r="1425" spans="1:12" x14ac:dyDescent="0.25">
      <c r="A1425">
        <v>1424</v>
      </c>
      <c r="B1425">
        <v>40060622</v>
      </c>
      <c r="C1425">
        <v>1</v>
      </c>
      <c r="E1425" s="110">
        <v>42721</v>
      </c>
      <c r="F1425" s="111" t="s">
        <v>617</v>
      </c>
      <c r="G1425">
        <v>1.1759999999999999</v>
      </c>
      <c r="H1425">
        <v>9.9999999999999645</v>
      </c>
      <c r="I1425">
        <v>3</v>
      </c>
      <c r="J1425">
        <v>3.0000000000000693</v>
      </c>
      <c r="K1425" s="1" t="e">
        <f>INDEX($P$4:$AM$15,MATCH(MONTH($E1425),$O$4:$O$15,0),MATCH(HOUR($F1425),$P$3:$AM$3,0))</f>
        <v>#N/A</v>
      </c>
      <c r="L1425" t="s">
        <v>231</v>
      </c>
    </row>
    <row r="1426" spans="1:12" x14ac:dyDescent="0.25">
      <c r="A1426">
        <v>1425</v>
      </c>
      <c r="B1426">
        <v>40060622</v>
      </c>
      <c r="C1426">
        <v>2</v>
      </c>
      <c r="E1426" s="110">
        <v>42721</v>
      </c>
      <c r="F1426" s="111" t="s">
        <v>618</v>
      </c>
      <c r="G1426">
        <v>4.6040000000000001</v>
      </c>
      <c r="H1426">
        <v>72.999999999999986</v>
      </c>
      <c r="I1426">
        <v>3</v>
      </c>
      <c r="J1426">
        <v>5.9999999999999787</v>
      </c>
      <c r="K1426" s="1" t="e">
        <f>INDEX($P$4:$AM$15,MATCH(MONTH($E1426),$O$4:$O$15,0),MATCH(HOUR($F1426),$P$3:$AM$3,0))</f>
        <v>#N/A</v>
      </c>
      <c r="L1426" t="s">
        <v>231</v>
      </c>
    </row>
    <row r="1427" spans="1:12" x14ac:dyDescent="0.25">
      <c r="A1427">
        <v>1426</v>
      </c>
      <c r="B1427">
        <v>40060622</v>
      </c>
      <c r="C1427">
        <v>3</v>
      </c>
      <c r="E1427" s="110">
        <v>42721</v>
      </c>
      <c r="F1427" s="111" t="s">
        <v>512</v>
      </c>
      <c r="G1427">
        <v>6.45</v>
      </c>
      <c r="H1427">
        <v>15.999999999999943</v>
      </c>
      <c r="I1427">
        <v>3</v>
      </c>
      <c r="J1427">
        <v>81.000000000000028</v>
      </c>
      <c r="K1427" s="1" t="e">
        <f>INDEX($P$4:$AM$15,MATCH(MONTH($E1427),$O$4:$O$15,0),MATCH(HOUR($F1427),$P$3:$AM$3,0))</f>
        <v>#N/A</v>
      </c>
      <c r="L1427" t="s">
        <v>231</v>
      </c>
    </row>
    <row r="1428" spans="1:12" x14ac:dyDescent="0.25">
      <c r="A1428">
        <v>1427</v>
      </c>
      <c r="B1428">
        <v>40060622</v>
      </c>
      <c r="C1428">
        <v>4</v>
      </c>
      <c r="E1428" s="110">
        <v>42721</v>
      </c>
      <c r="F1428" s="111" t="s">
        <v>442</v>
      </c>
      <c r="G1428">
        <v>1.706</v>
      </c>
      <c r="H1428">
        <v>6.9999999999999751</v>
      </c>
      <c r="I1428">
        <v>3</v>
      </c>
      <c r="J1428">
        <v>63.000000000000099</v>
      </c>
      <c r="K1428" s="1" t="e">
        <f>INDEX($P$4:$AM$15,MATCH(MONTH($E1428),$O$4:$O$15,0),MATCH(HOUR($F1428),$P$3:$AM$3,0))</f>
        <v>#N/A</v>
      </c>
      <c r="L1428" t="s">
        <v>231</v>
      </c>
    </row>
    <row r="1429" spans="1:12" x14ac:dyDescent="0.25">
      <c r="A1429">
        <v>1428</v>
      </c>
      <c r="B1429">
        <v>40060622</v>
      </c>
      <c r="C1429">
        <v>5</v>
      </c>
      <c r="E1429" s="110">
        <v>42721</v>
      </c>
      <c r="F1429" s="111" t="s">
        <v>342</v>
      </c>
      <c r="G1429">
        <v>0.51500000000000001</v>
      </c>
      <c r="H1429">
        <v>4.9999999999999822</v>
      </c>
      <c r="I1429">
        <v>3</v>
      </c>
      <c r="J1429">
        <v>7.9999999999999716</v>
      </c>
      <c r="K1429" s="1" t="e">
        <f>INDEX($P$4:$AM$15,MATCH(MONTH($E1429),$O$4:$O$15,0),MATCH(HOUR($F1429),$P$3:$AM$3,0))</f>
        <v>#N/A</v>
      </c>
      <c r="L1429" t="s">
        <v>231</v>
      </c>
    </row>
    <row r="1430" spans="1:12" x14ac:dyDescent="0.25">
      <c r="A1430">
        <v>1429</v>
      </c>
      <c r="B1430">
        <v>40060622</v>
      </c>
      <c r="C1430">
        <v>6</v>
      </c>
      <c r="E1430" s="110">
        <v>42721</v>
      </c>
      <c r="F1430" s="111" t="s">
        <v>619</v>
      </c>
      <c r="G1430">
        <v>2.3929999999999998</v>
      </c>
      <c r="H1430">
        <v>54.999999999999964</v>
      </c>
      <c r="I1430">
        <v>3</v>
      </c>
      <c r="J1430">
        <v>13.000000000000114</v>
      </c>
      <c r="K1430" s="1" t="e">
        <f>INDEX($P$4:$AM$15,MATCH(MONTH($E1430),$O$4:$O$15,0),MATCH(HOUR($F1430),$P$3:$AM$3,0))</f>
        <v>#N/A</v>
      </c>
      <c r="L1430" t="s">
        <v>231</v>
      </c>
    </row>
    <row r="1431" spans="1:12" x14ac:dyDescent="0.25">
      <c r="A1431">
        <v>1430</v>
      </c>
      <c r="B1431">
        <v>40060622</v>
      </c>
      <c r="C1431">
        <v>7</v>
      </c>
      <c r="E1431" s="110">
        <v>42721</v>
      </c>
      <c r="F1431" s="111" t="s">
        <v>394</v>
      </c>
      <c r="G1431">
        <v>2.58</v>
      </c>
      <c r="H1431">
        <v>21.999999999999762</v>
      </c>
      <c r="I1431">
        <v>3</v>
      </c>
      <c r="J1431">
        <v>1037.0000000000002</v>
      </c>
      <c r="K1431" s="1" t="e">
        <f>INDEX($P$4:$AM$15,MATCH(MONTH($E1431),$O$4:$O$15,0),MATCH(HOUR($F1431),$P$3:$AM$3,0))</f>
        <v>#N/A</v>
      </c>
      <c r="L1431" t="s">
        <v>231</v>
      </c>
    </row>
    <row r="1432" spans="1:12" x14ac:dyDescent="0.25">
      <c r="A1432">
        <v>1431</v>
      </c>
      <c r="B1432">
        <v>40077085</v>
      </c>
      <c r="C1432">
        <v>1</v>
      </c>
      <c r="E1432" s="110">
        <v>42722</v>
      </c>
      <c r="F1432" s="111" t="s">
        <v>311</v>
      </c>
      <c r="G1432">
        <v>1.0289999999999999</v>
      </c>
      <c r="H1432">
        <v>5.0000000000000622</v>
      </c>
      <c r="I1432">
        <v>3</v>
      </c>
      <c r="J1432">
        <v>79.999999999999872</v>
      </c>
      <c r="K1432" s="1" t="e">
        <f>INDEX($P$4:$AM$15,MATCH(MONTH($E1432),$O$4:$O$15,0),MATCH(HOUR($F1432),$P$3:$AM$3,0))</f>
        <v>#N/A</v>
      </c>
      <c r="L1432" t="s">
        <v>218</v>
      </c>
    </row>
    <row r="1433" spans="1:12" x14ac:dyDescent="0.25">
      <c r="A1433">
        <v>1432</v>
      </c>
      <c r="B1433">
        <v>40077085</v>
      </c>
      <c r="C1433">
        <v>2</v>
      </c>
      <c r="E1433" s="110">
        <v>42722</v>
      </c>
      <c r="F1433" s="111" t="s">
        <v>337</v>
      </c>
      <c r="G1433">
        <v>1.0289999999999999</v>
      </c>
      <c r="H1433">
        <v>5.0000000000000622</v>
      </c>
      <c r="I1433">
        <v>3</v>
      </c>
      <c r="J1433">
        <v>120.00000000000006</v>
      </c>
      <c r="K1433" s="1" t="e">
        <f>INDEX($P$4:$AM$15,MATCH(MONTH($E1433),$O$4:$O$15,0),MATCH(HOUR($F1433),$P$3:$AM$3,0))</f>
        <v>#N/A</v>
      </c>
      <c r="L1433" t="s">
        <v>218</v>
      </c>
    </row>
    <row r="1434" spans="1:12" x14ac:dyDescent="0.25">
      <c r="A1434">
        <v>1433</v>
      </c>
      <c r="B1434">
        <v>40077085</v>
      </c>
      <c r="C1434">
        <v>3</v>
      </c>
      <c r="E1434" s="110">
        <v>42722</v>
      </c>
      <c r="F1434" s="111" t="s">
        <v>369</v>
      </c>
      <c r="G1434">
        <v>2.597</v>
      </c>
      <c r="H1434">
        <v>9.9999999999999645</v>
      </c>
      <c r="I1434">
        <v>3</v>
      </c>
      <c r="J1434">
        <v>64.999999999999929</v>
      </c>
      <c r="K1434" s="1" t="e">
        <f>INDEX($P$4:$AM$15,MATCH(MONTH($E1434),$O$4:$O$15,0),MATCH(HOUR($F1434),$P$3:$AM$3,0))</f>
        <v>#N/A</v>
      </c>
      <c r="L1434" t="s">
        <v>218</v>
      </c>
    </row>
    <row r="1435" spans="1:12" x14ac:dyDescent="0.25">
      <c r="A1435">
        <v>1434</v>
      </c>
      <c r="B1435">
        <v>40077085</v>
      </c>
      <c r="C1435">
        <v>4</v>
      </c>
      <c r="E1435" s="110">
        <v>42722</v>
      </c>
      <c r="F1435" s="111" t="s">
        <v>294</v>
      </c>
      <c r="G1435">
        <v>2.6160000000000001</v>
      </c>
      <c r="H1435">
        <v>9.9999999999999645</v>
      </c>
      <c r="I1435">
        <v>3</v>
      </c>
      <c r="J1435">
        <v>80.000000000000028</v>
      </c>
      <c r="K1435" s="1" t="e">
        <f>INDEX($P$4:$AM$15,MATCH(MONTH($E1435),$O$4:$O$15,0),MATCH(HOUR($F1435),$P$3:$AM$3,0))</f>
        <v>#N/A</v>
      </c>
      <c r="L1435" t="s">
        <v>218</v>
      </c>
    </row>
    <row r="1436" spans="1:12" x14ac:dyDescent="0.25">
      <c r="A1436">
        <v>1435</v>
      </c>
      <c r="B1436">
        <v>40077085</v>
      </c>
      <c r="C1436">
        <v>5</v>
      </c>
      <c r="E1436" s="110">
        <v>42722</v>
      </c>
      <c r="F1436" s="111" t="s">
        <v>252</v>
      </c>
      <c r="G1436">
        <v>13.193</v>
      </c>
      <c r="H1436">
        <v>30.000000000000053</v>
      </c>
      <c r="I1436">
        <v>3</v>
      </c>
      <c r="J1436">
        <v>62.000000000000099</v>
      </c>
      <c r="K1436" s="1" t="e">
        <f>INDEX($P$4:$AM$15,MATCH(MONTH($E1436),$O$4:$O$15,0),MATCH(HOUR($F1436),$P$3:$AM$3,0))</f>
        <v>#N/A</v>
      </c>
      <c r="L1436" t="s">
        <v>218</v>
      </c>
    </row>
    <row r="1437" spans="1:12" x14ac:dyDescent="0.25">
      <c r="A1437">
        <v>1436</v>
      </c>
      <c r="B1437">
        <v>40077085</v>
      </c>
      <c r="C1437">
        <v>6</v>
      </c>
      <c r="E1437" s="110">
        <v>42722</v>
      </c>
      <c r="F1437" s="111" t="s">
        <v>620</v>
      </c>
      <c r="G1437">
        <v>12.667999999999999</v>
      </c>
      <c r="H1437">
        <v>27.999999999999901</v>
      </c>
      <c r="I1437">
        <v>3</v>
      </c>
      <c r="J1437">
        <v>1035</v>
      </c>
      <c r="K1437" s="1" t="e">
        <f>INDEX($P$4:$AM$15,MATCH(MONTH($E1437),$O$4:$O$15,0),MATCH(HOUR($F1437),$P$3:$AM$3,0))</f>
        <v>#N/A</v>
      </c>
      <c r="L1437" t="s">
        <v>218</v>
      </c>
    </row>
    <row r="1438" spans="1:12" x14ac:dyDescent="0.25">
      <c r="A1438">
        <v>1437</v>
      </c>
      <c r="B1438">
        <v>40081110</v>
      </c>
      <c r="C1438">
        <v>1</v>
      </c>
      <c r="E1438" s="110">
        <v>42723</v>
      </c>
      <c r="F1438" s="111" t="s">
        <v>327</v>
      </c>
      <c r="G1438">
        <v>53.247</v>
      </c>
      <c r="H1438">
        <v>75.000000000000057</v>
      </c>
      <c r="I1438">
        <v>5</v>
      </c>
      <c r="J1438">
        <v>149.99999999999994</v>
      </c>
      <c r="K1438" s="1" t="e">
        <f>INDEX($P$4:$AM$15,MATCH(MONTH($E1438),$O$4:$O$15,0),MATCH(HOUR($F1438),$P$3:$AM$3,0))</f>
        <v>#N/A</v>
      </c>
      <c r="L1438" t="s">
        <v>222</v>
      </c>
    </row>
    <row r="1439" spans="1:12" x14ac:dyDescent="0.25">
      <c r="A1439">
        <v>1438</v>
      </c>
      <c r="B1439">
        <v>40081110</v>
      </c>
      <c r="C1439">
        <v>2</v>
      </c>
      <c r="E1439" s="110">
        <v>42723</v>
      </c>
      <c r="F1439" s="111" t="s">
        <v>227</v>
      </c>
      <c r="G1439">
        <v>56.011000000000003</v>
      </c>
      <c r="H1439">
        <v>83.999999999999858</v>
      </c>
      <c r="I1439">
        <v>5</v>
      </c>
      <c r="J1439">
        <v>112.00000000000009</v>
      </c>
      <c r="K1439" s="1" t="e">
        <f>INDEX($P$4:$AM$15,MATCH(MONTH($E1439),$O$4:$O$15,0),MATCH(HOUR($F1439),$P$3:$AM$3,0))</f>
        <v>#N/A</v>
      </c>
      <c r="L1439" t="s">
        <v>222</v>
      </c>
    </row>
    <row r="1440" spans="1:12" x14ac:dyDescent="0.25">
      <c r="A1440">
        <v>1439</v>
      </c>
      <c r="B1440">
        <v>40081874</v>
      </c>
      <c r="C1440">
        <v>3</v>
      </c>
      <c r="E1440" s="110">
        <v>42723</v>
      </c>
      <c r="F1440" s="111" t="s">
        <v>621</v>
      </c>
      <c r="G1440">
        <v>2.915</v>
      </c>
      <c r="H1440">
        <v>2.9999999999999893</v>
      </c>
      <c r="I1440">
        <v>3</v>
      </c>
      <c r="J1440">
        <v>10.000000000000124</v>
      </c>
      <c r="K1440" s="1" t="e">
        <f>INDEX($P$4:$AM$15,MATCH(MONTH($E1440),$O$4:$O$15,0),MATCH(HOUR($F1440),$P$3:$AM$3,0))</f>
        <v>#N/A</v>
      </c>
      <c r="L1440" t="s">
        <v>257</v>
      </c>
    </row>
    <row r="1441" spans="1:12" x14ac:dyDescent="0.25">
      <c r="A1441">
        <v>1440</v>
      </c>
      <c r="B1441">
        <v>40081874</v>
      </c>
      <c r="C1441">
        <v>4</v>
      </c>
      <c r="E1441" s="110">
        <v>42723</v>
      </c>
      <c r="F1441" s="111" t="s">
        <v>622</v>
      </c>
      <c r="G1441">
        <v>25.937000000000001</v>
      </c>
      <c r="H1441">
        <v>31.999999999999886</v>
      </c>
      <c r="I1441">
        <v>3</v>
      </c>
      <c r="J1441">
        <v>334.00000000000023</v>
      </c>
      <c r="K1441" s="1" t="e">
        <f>INDEX($P$4:$AM$15,MATCH(MONTH($E1441),$O$4:$O$15,0),MATCH(HOUR($F1441),$P$3:$AM$3,0))</f>
        <v>#N/A</v>
      </c>
      <c r="L1441" t="s">
        <v>257</v>
      </c>
    </row>
    <row r="1442" spans="1:12" x14ac:dyDescent="0.25">
      <c r="A1442">
        <v>1441</v>
      </c>
      <c r="B1442">
        <v>40081874</v>
      </c>
      <c r="C1442">
        <v>1</v>
      </c>
      <c r="E1442" s="110">
        <v>42724</v>
      </c>
      <c r="F1442" s="111" t="s">
        <v>623</v>
      </c>
      <c r="G1442">
        <v>27.556999999999999</v>
      </c>
      <c r="H1442">
        <v>35</v>
      </c>
      <c r="I1442">
        <v>3</v>
      </c>
      <c r="J1442">
        <v>430.00000000000006</v>
      </c>
      <c r="K1442" s="1" t="e">
        <f>INDEX($P$4:$AM$15,MATCH(MONTH($E1442),$O$4:$O$15,0),MATCH(HOUR($F1442),$P$3:$AM$3,0))</f>
        <v>#N/A</v>
      </c>
      <c r="L1442" t="s">
        <v>257</v>
      </c>
    </row>
    <row r="1443" spans="1:12" x14ac:dyDescent="0.25">
      <c r="A1443">
        <v>1442</v>
      </c>
      <c r="B1443">
        <v>40086531</v>
      </c>
      <c r="C1443">
        <v>2</v>
      </c>
      <c r="E1443" s="110">
        <v>42724</v>
      </c>
      <c r="F1443" s="111" t="s">
        <v>441</v>
      </c>
      <c r="G1443">
        <v>1.5109999999999999</v>
      </c>
      <c r="H1443">
        <v>6.9999999999998952</v>
      </c>
      <c r="I1443">
        <v>3</v>
      </c>
      <c r="J1443">
        <v>540</v>
      </c>
      <c r="K1443" s="1" t="e">
        <f>INDEX($P$4:$AM$15,MATCH(MONTH($E1443),$O$4:$O$15,0),MATCH(HOUR($F1443),$P$3:$AM$3,0))</f>
        <v>#N/A</v>
      </c>
      <c r="L1443" t="s">
        <v>218</v>
      </c>
    </row>
    <row r="1444" spans="1:12" x14ac:dyDescent="0.25">
      <c r="A1444">
        <v>1443</v>
      </c>
      <c r="B1444">
        <v>40086531</v>
      </c>
      <c r="C1444">
        <v>3</v>
      </c>
      <c r="E1444" s="110">
        <v>42724</v>
      </c>
      <c r="F1444" s="111" t="s">
        <v>624</v>
      </c>
      <c r="G1444">
        <v>1.375</v>
      </c>
      <c r="H1444">
        <v>6.9999999999999751</v>
      </c>
      <c r="I1444">
        <v>3</v>
      </c>
      <c r="J1444">
        <v>132</v>
      </c>
      <c r="K1444" s="1" t="e">
        <f>INDEX($P$4:$AM$15,MATCH(MONTH($E1444),$O$4:$O$15,0),MATCH(HOUR($F1444),$P$3:$AM$3,0))</f>
        <v>#N/A</v>
      </c>
      <c r="L1444" t="s">
        <v>218</v>
      </c>
    </row>
    <row r="1445" spans="1:12" x14ac:dyDescent="0.25">
      <c r="A1445">
        <v>1444</v>
      </c>
      <c r="B1445">
        <v>40086531</v>
      </c>
      <c r="C1445">
        <v>4</v>
      </c>
      <c r="E1445" s="110">
        <v>42724</v>
      </c>
      <c r="F1445" s="111" t="s">
        <v>432</v>
      </c>
      <c r="G1445">
        <v>2.956</v>
      </c>
      <c r="H1445">
        <v>17.000000000000099</v>
      </c>
      <c r="I1445">
        <v>3</v>
      </c>
      <c r="J1445">
        <v>702.00000000000011</v>
      </c>
      <c r="K1445" s="1" t="e">
        <f>INDEX($P$4:$AM$15,MATCH(MONTH($E1445),$O$4:$O$15,0),MATCH(HOUR($F1445),$P$3:$AM$3,0))</f>
        <v>#N/A</v>
      </c>
      <c r="L1445" t="s">
        <v>218</v>
      </c>
    </row>
    <row r="1446" spans="1:12" x14ac:dyDescent="0.25">
      <c r="A1446">
        <v>1445</v>
      </c>
      <c r="B1446">
        <v>40087972</v>
      </c>
      <c r="C1446">
        <v>1</v>
      </c>
      <c r="E1446" s="110">
        <v>42725</v>
      </c>
      <c r="F1446" s="111" t="s">
        <v>344</v>
      </c>
      <c r="G1446">
        <v>4.819</v>
      </c>
      <c r="H1446">
        <v>12.999999999999954</v>
      </c>
      <c r="I1446">
        <v>4</v>
      </c>
      <c r="J1446">
        <v>365.00000000000006</v>
      </c>
      <c r="K1446" s="1" t="e">
        <f>INDEX($P$4:$AM$15,MATCH(MONTH($E1446),$O$4:$O$15,0),MATCH(HOUR($F1446),$P$3:$AM$3,0))</f>
        <v>#N/A</v>
      </c>
      <c r="L1446" t="s">
        <v>257</v>
      </c>
    </row>
    <row r="1447" spans="1:12" x14ac:dyDescent="0.25">
      <c r="A1447">
        <v>1446</v>
      </c>
      <c r="B1447">
        <v>40087972</v>
      </c>
      <c r="C1447">
        <v>2</v>
      </c>
      <c r="E1447" s="110">
        <v>42725</v>
      </c>
      <c r="F1447" s="111" t="s">
        <v>625</v>
      </c>
      <c r="G1447">
        <v>4.819</v>
      </c>
      <c r="H1447">
        <v>36.999999999999872</v>
      </c>
      <c r="I1447">
        <v>4</v>
      </c>
      <c r="J1447">
        <v>1040</v>
      </c>
      <c r="K1447" s="1" t="e">
        <f>INDEX($P$4:$AM$15,MATCH(MONTH($E1447),$O$4:$O$15,0),MATCH(HOUR($F1447),$P$3:$AM$3,0))</f>
        <v>#N/A</v>
      </c>
      <c r="L1447" t="s">
        <v>257</v>
      </c>
    </row>
    <row r="1448" spans="1:12" x14ac:dyDescent="0.25">
      <c r="A1448">
        <v>1447</v>
      </c>
      <c r="B1448">
        <v>40094228</v>
      </c>
      <c r="C1448">
        <v>1</v>
      </c>
      <c r="E1448" s="110">
        <v>42726</v>
      </c>
      <c r="F1448" s="111" t="s">
        <v>273</v>
      </c>
      <c r="G1448">
        <v>6.2E-2</v>
      </c>
      <c r="H1448">
        <v>1.0000000000000764</v>
      </c>
      <c r="I1448">
        <v>3</v>
      </c>
      <c r="J1448">
        <v>4.9999999999999023</v>
      </c>
      <c r="K1448" s="1" t="e">
        <f>INDEX($P$4:$AM$15,MATCH(MONTH($E1448),$O$4:$O$15,0),MATCH(HOUR($F1448),$P$3:$AM$3,0))</f>
        <v>#N/A</v>
      </c>
      <c r="L1448" t="s">
        <v>218</v>
      </c>
    </row>
    <row r="1449" spans="1:12" x14ac:dyDescent="0.25">
      <c r="A1449">
        <v>1448</v>
      </c>
      <c r="B1449">
        <v>40094228</v>
      </c>
      <c r="C1449">
        <v>2</v>
      </c>
      <c r="E1449" s="110">
        <v>42726</v>
      </c>
      <c r="F1449" s="111" t="s">
        <v>456</v>
      </c>
      <c r="G1449">
        <v>29.846</v>
      </c>
      <c r="H1449">
        <v>74.000000000000057</v>
      </c>
      <c r="I1449">
        <v>3</v>
      </c>
      <c r="J1449">
        <v>550.00000000000011</v>
      </c>
      <c r="K1449" s="1" t="e">
        <f>INDEX($P$4:$AM$15,MATCH(MONTH($E1449),$O$4:$O$15,0),MATCH(HOUR($F1449),$P$3:$AM$3,0))</f>
        <v>#N/A</v>
      </c>
      <c r="L1449" t="s">
        <v>218</v>
      </c>
    </row>
    <row r="1450" spans="1:12" x14ac:dyDescent="0.25">
      <c r="A1450">
        <v>1449</v>
      </c>
      <c r="B1450">
        <v>40094228</v>
      </c>
      <c r="C1450">
        <v>3</v>
      </c>
      <c r="E1450" s="110">
        <v>42726</v>
      </c>
      <c r="F1450" s="111" t="s">
        <v>300</v>
      </c>
      <c r="G1450">
        <v>29.120999999999999</v>
      </c>
      <c r="H1450">
        <v>45</v>
      </c>
      <c r="I1450">
        <v>3</v>
      </c>
      <c r="J1450">
        <v>735</v>
      </c>
      <c r="K1450" s="1" t="e">
        <f>INDEX($P$4:$AM$15,MATCH(MONTH($E1450),$O$4:$O$15,0),MATCH(HOUR($F1450),$P$3:$AM$3,0))</f>
        <v>#N/A</v>
      </c>
      <c r="L1450" t="s">
        <v>218</v>
      </c>
    </row>
    <row r="1451" spans="1:12" x14ac:dyDescent="0.25">
      <c r="A1451">
        <v>1450</v>
      </c>
      <c r="B1451">
        <v>40094228</v>
      </c>
      <c r="C1451">
        <v>1</v>
      </c>
      <c r="E1451" s="110">
        <v>42727</v>
      </c>
      <c r="F1451" s="111" t="s">
        <v>251</v>
      </c>
      <c r="G1451">
        <v>11.999000000000001</v>
      </c>
      <c r="H1451">
        <v>25.999999999999986</v>
      </c>
      <c r="I1451">
        <v>3</v>
      </c>
      <c r="J1451">
        <v>499.00000000000011</v>
      </c>
      <c r="K1451" s="1" t="e">
        <f>INDEX($P$4:$AM$15,MATCH(MONTH($E1451),$O$4:$O$15,0),MATCH(HOUR($F1451),$P$3:$AM$3,0))</f>
        <v>#N/A</v>
      </c>
      <c r="L1451" t="s">
        <v>218</v>
      </c>
    </row>
    <row r="1452" spans="1:12" x14ac:dyDescent="0.25">
      <c r="A1452">
        <v>1451</v>
      </c>
      <c r="B1452">
        <v>40094228</v>
      </c>
      <c r="C1452">
        <v>2</v>
      </c>
      <c r="E1452" s="110">
        <v>42727</v>
      </c>
      <c r="F1452" s="111" t="s">
        <v>274</v>
      </c>
      <c r="G1452">
        <v>8.7799999999999994</v>
      </c>
      <c r="H1452">
        <v>17.000000000000099</v>
      </c>
      <c r="I1452">
        <v>3</v>
      </c>
      <c r="J1452">
        <v>2.9999999999998295</v>
      </c>
      <c r="K1452" s="1" t="e">
        <f>INDEX($P$4:$AM$15,MATCH(MONTH($E1452),$O$4:$O$15,0),MATCH(HOUR($F1452),$P$3:$AM$3,0))</f>
        <v>#N/A</v>
      </c>
      <c r="L1452" t="s">
        <v>218</v>
      </c>
    </row>
    <row r="1453" spans="1:12" x14ac:dyDescent="0.25">
      <c r="A1453">
        <v>1452</v>
      </c>
      <c r="B1453">
        <v>40094228</v>
      </c>
      <c r="C1453">
        <v>3</v>
      </c>
      <c r="E1453" s="110">
        <v>42727</v>
      </c>
      <c r="F1453" s="111" t="s">
        <v>579</v>
      </c>
      <c r="G1453">
        <v>7.4790000000000001</v>
      </c>
      <c r="H1453">
        <v>35.000000000000036</v>
      </c>
      <c r="I1453">
        <v>3</v>
      </c>
      <c r="J1453">
        <v>84.999999999999858</v>
      </c>
      <c r="K1453" s="1" t="e">
        <f>INDEX($P$4:$AM$15,MATCH(MONTH($E1453),$O$4:$O$15,0),MATCH(HOUR($F1453),$P$3:$AM$3,0))</f>
        <v>#N/A</v>
      </c>
      <c r="L1453" t="s">
        <v>218</v>
      </c>
    </row>
    <row r="1454" spans="1:12" x14ac:dyDescent="0.25">
      <c r="A1454">
        <v>1453</v>
      </c>
      <c r="B1454">
        <v>40094228</v>
      </c>
      <c r="C1454">
        <v>4</v>
      </c>
      <c r="E1454" s="110">
        <v>42727</v>
      </c>
      <c r="F1454" s="111" t="s">
        <v>412</v>
      </c>
      <c r="G1454">
        <v>3.1589999999999998</v>
      </c>
      <c r="H1454">
        <v>15.000000000000107</v>
      </c>
      <c r="I1454">
        <v>3</v>
      </c>
      <c r="J1454">
        <v>65.000000000000085</v>
      </c>
      <c r="K1454" s="1" t="e">
        <f>INDEX($P$4:$AM$15,MATCH(MONTH($E1454),$O$4:$O$15,0),MATCH(HOUR($F1454),$P$3:$AM$3,0))</f>
        <v>#N/A</v>
      </c>
      <c r="L1454" t="s">
        <v>218</v>
      </c>
    </row>
    <row r="1455" spans="1:12" x14ac:dyDescent="0.25">
      <c r="A1455">
        <v>1454</v>
      </c>
      <c r="B1455">
        <v>40094228</v>
      </c>
      <c r="C1455">
        <v>5</v>
      </c>
      <c r="E1455" s="110">
        <v>42727</v>
      </c>
      <c r="F1455" s="111" t="s">
        <v>576</v>
      </c>
      <c r="G1455">
        <v>2.9489999999999998</v>
      </c>
      <c r="H1455">
        <v>12.999999999999954</v>
      </c>
      <c r="I1455">
        <v>3</v>
      </c>
      <c r="J1455">
        <v>1072</v>
      </c>
      <c r="K1455" s="1" t="e">
        <f>INDEX($P$4:$AM$15,MATCH(MONTH($E1455),$O$4:$O$15,0),MATCH(HOUR($F1455),$P$3:$AM$3,0))</f>
        <v>#N/A</v>
      </c>
      <c r="L1455" t="s">
        <v>218</v>
      </c>
    </row>
    <row r="1456" spans="1:12" x14ac:dyDescent="0.25">
      <c r="A1456">
        <v>1455</v>
      </c>
      <c r="B1456">
        <v>40102603</v>
      </c>
      <c r="C1456">
        <v>1</v>
      </c>
      <c r="E1456" s="110">
        <v>42728</v>
      </c>
      <c r="F1456" s="111" t="s">
        <v>250</v>
      </c>
      <c r="G1456">
        <v>27.818000000000001</v>
      </c>
      <c r="H1456">
        <v>59.999999999999943</v>
      </c>
      <c r="I1456">
        <v>3</v>
      </c>
      <c r="J1456">
        <v>360</v>
      </c>
      <c r="K1456" s="1" t="e">
        <f>INDEX($P$4:$AM$15,MATCH(MONTH($E1456),$O$4:$O$15,0),MATCH(HOUR($F1456),$P$3:$AM$3,0))</f>
        <v>#N/A</v>
      </c>
      <c r="L1456" t="s">
        <v>249</v>
      </c>
    </row>
    <row r="1457" spans="1:12" x14ac:dyDescent="0.25">
      <c r="A1457">
        <v>1456</v>
      </c>
      <c r="B1457">
        <v>40110381</v>
      </c>
      <c r="C1457">
        <v>2</v>
      </c>
      <c r="E1457" s="110">
        <v>42728</v>
      </c>
      <c r="F1457" s="111" t="s">
        <v>343</v>
      </c>
      <c r="G1457">
        <v>0.98399999999999999</v>
      </c>
      <c r="H1457">
        <v>10.000000000000124</v>
      </c>
      <c r="I1457">
        <v>3</v>
      </c>
      <c r="J1457">
        <v>1056</v>
      </c>
      <c r="K1457" s="1" t="e">
        <f>INDEX($P$4:$AM$15,MATCH(MONTH($E1457),$O$4:$O$15,0),MATCH(HOUR($F1457),$P$3:$AM$3,0))</f>
        <v>#N/A</v>
      </c>
      <c r="L1457" t="s">
        <v>231</v>
      </c>
    </row>
    <row r="1458" spans="1:12" x14ac:dyDescent="0.25">
      <c r="A1458">
        <v>1457</v>
      </c>
      <c r="B1458">
        <v>40120860</v>
      </c>
      <c r="C1458">
        <v>1</v>
      </c>
      <c r="E1458" s="110">
        <v>42729</v>
      </c>
      <c r="F1458" s="111" t="s">
        <v>626</v>
      </c>
      <c r="G1458">
        <v>27.108000000000001</v>
      </c>
      <c r="H1458">
        <v>40.000000000000014</v>
      </c>
      <c r="I1458">
        <v>3</v>
      </c>
      <c r="J1458">
        <v>490.00000000000006</v>
      </c>
      <c r="K1458" s="1" t="e">
        <f>INDEX($P$4:$AM$15,MATCH(MONTH($E1458),$O$4:$O$15,0),MATCH(HOUR($F1458),$P$3:$AM$3,0))</f>
        <v>#N/A</v>
      </c>
      <c r="L1458" t="s">
        <v>302</v>
      </c>
    </row>
    <row r="1459" spans="1:12" x14ac:dyDescent="0.25">
      <c r="A1459">
        <v>1458</v>
      </c>
      <c r="B1459">
        <v>40120860</v>
      </c>
      <c r="C1459">
        <v>2</v>
      </c>
      <c r="E1459" s="110">
        <v>42729</v>
      </c>
      <c r="F1459" s="111" t="s">
        <v>627</v>
      </c>
      <c r="G1459">
        <v>27.361000000000001</v>
      </c>
      <c r="H1459">
        <v>35</v>
      </c>
      <c r="I1459">
        <v>3</v>
      </c>
      <c r="J1459">
        <v>403</v>
      </c>
      <c r="K1459" s="1" t="e">
        <f>INDEX($P$4:$AM$15,MATCH(MONTH($E1459),$O$4:$O$15,0),MATCH(HOUR($F1459),$P$3:$AM$3,0))</f>
        <v>#N/A</v>
      </c>
      <c r="L1459" t="s">
        <v>302</v>
      </c>
    </row>
    <row r="1460" spans="1:12" x14ac:dyDescent="0.25">
      <c r="A1460">
        <v>1459</v>
      </c>
      <c r="B1460">
        <v>40127472</v>
      </c>
      <c r="C1460">
        <v>1</v>
      </c>
      <c r="E1460" s="110">
        <v>42730</v>
      </c>
      <c r="F1460" s="111" t="s">
        <v>628</v>
      </c>
      <c r="G1460">
        <v>31.661000000000001</v>
      </c>
      <c r="H1460">
        <v>48.999999999999986</v>
      </c>
      <c r="I1460">
        <v>4</v>
      </c>
      <c r="J1460">
        <v>605</v>
      </c>
      <c r="K1460" s="1" t="e">
        <f>INDEX($P$4:$AM$15,MATCH(MONTH($E1460),$O$4:$O$15,0),MATCH(HOUR($F1460),$P$3:$AM$3,0))</f>
        <v>#N/A</v>
      </c>
      <c r="L1460" t="s">
        <v>218</v>
      </c>
    </row>
    <row r="1461" spans="1:12" x14ac:dyDescent="0.25">
      <c r="A1461">
        <v>1460</v>
      </c>
      <c r="B1461">
        <v>40127472</v>
      </c>
      <c r="C1461">
        <v>2</v>
      </c>
      <c r="E1461" s="110">
        <v>42730</v>
      </c>
      <c r="F1461" s="111" t="s">
        <v>605</v>
      </c>
      <c r="G1461">
        <v>32.472999999999999</v>
      </c>
      <c r="H1461">
        <v>57.999999999999957</v>
      </c>
      <c r="I1461">
        <v>4</v>
      </c>
      <c r="J1461">
        <v>1220</v>
      </c>
      <c r="K1461" s="1" t="e">
        <f>INDEX($P$4:$AM$15,MATCH(MONTH($E1461),$O$4:$O$15,0),MATCH(HOUR($F1461),$P$3:$AM$3,0))</f>
        <v>#N/A</v>
      </c>
      <c r="L1461" t="s">
        <v>218</v>
      </c>
    </row>
    <row r="1462" spans="1:12" x14ac:dyDescent="0.25">
      <c r="A1462">
        <v>1461</v>
      </c>
      <c r="B1462">
        <v>40127472</v>
      </c>
      <c r="C1462">
        <v>1</v>
      </c>
      <c r="E1462" s="110">
        <v>42731</v>
      </c>
      <c r="F1462" s="111" t="s">
        <v>566</v>
      </c>
      <c r="G1462">
        <v>2.327</v>
      </c>
      <c r="H1462">
        <v>7.9999999999999716</v>
      </c>
      <c r="I1462">
        <v>3</v>
      </c>
      <c r="J1462">
        <v>33.000000000000043</v>
      </c>
      <c r="K1462" s="1" t="e">
        <f>INDEX($P$4:$AM$15,MATCH(MONTH($E1462),$O$4:$O$15,0),MATCH(HOUR($F1462),$P$3:$AM$3,0))</f>
        <v>#N/A</v>
      </c>
      <c r="L1462" t="s">
        <v>218</v>
      </c>
    </row>
    <row r="1463" spans="1:12" x14ac:dyDescent="0.25">
      <c r="A1463">
        <v>1462</v>
      </c>
      <c r="B1463">
        <v>40127472</v>
      </c>
      <c r="C1463">
        <v>2</v>
      </c>
      <c r="E1463" s="110">
        <v>42731</v>
      </c>
      <c r="F1463" s="111" t="s">
        <v>629</v>
      </c>
      <c r="G1463">
        <v>2.492</v>
      </c>
      <c r="H1463">
        <v>8.999999999999968</v>
      </c>
      <c r="I1463">
        <v>3</v>
      </c>
      <c r="J1463">
        <v>1024</v>
      </c>
      <c r="K1463" s="1" t="e">
        <f>INDEX($P$4:$AM$15,MATCH(MONTH($E1463),$O$4:$O$15,0),MATCH(HOUR($F1463),$P$3:$AM$3,0))</f>
        <v>#N/A</v>
      </c>
      <c r="L1463" t="s">
        <v>218</v>
      </c>
    </row>
    <row r="1464" spans="1:12" x14ac:dyDescent="0.25">
      <c r="A1464">
        <v>1463</v>
      </c>
      <c r="B1464">
        <v>40137576</v>
      </c>
      <c r="C1464">
        <v>1</v>
      </c>
      <c r="E1464" s="110">
        <v>42732</v>
      </c>
      <c r="F1464" s="111" t="s">
        <v>295</v>
      </c>
      <c r="G1464">
        <v>22.902000000000001</v>
      </c>
      <c r="H1464">
        <v>29.999999999999972</v>
      </c>
      <c r="I1464">
        <v>6</v>
      </c>
      <c r="J1464">
        <v>164.99999999999997</v>
      </c>
      <c r="K1464" s="1" t="e">
        <f>INDEX($P$4:$AM$15,MATCH(MONTH($E1464),$O$4:$O$15,0),MATCH(HOUR($F1464),$P$3:$AM$3,0))</f>
        <v>#N/A</v>
      </c>
      <c r="L1464" t="s">
        <v>218</v>
      </c>
    </row>
    <row r="1465" spans="1:12" x14ac:dyDescent="0.25">
      <c r="A1465">
        <v>1464</v>
      </c>
      <c r="B1465">
        <v>40137576</v>
      </c>
      <c r="C1465">
        <v>2</v>
      </c>
      <c r="E1465" s="110">
        <v>42732</v>
      </c>
      <c r="F1465" s="111" t="s">
        <v>350</v>
      </c>
      <c r="G1465">
        <v>22.83</v>
      </c>
      <c r="H1465">
        <v>45</v>
      </c>
      <c r="I1465">
        <v>6</v>
      </c>
      <c r="J1465">
        <v>1380</v>
      </c>
      <c r="K1465" s="1" t="e">
        <f>INDEX($P$4:$AM$15,MATCH(MONTH($E1465),$O$4:$O$15,0),MATCH(HOUR($F1465),$P$3:$AM$3,0))</f>
        <v>#N/A</v>
      </c>
      <c r="L1465" t="s">
        <v>218</v>
      </c>
    </row>
    <row r="1466" spans="1:12" x14ac:dyDescent="0.25">
      <c r="A1466">
        <v>1465</v>
      </c>
      <c r="B1466">
        <v>40139417</v>
      </c>
      <c r="C1466">
        <v>1</v>
      </c>
      <c r="E1466" s="110">
        <v>42733</v>
      </c>
      <c r="F1466" s="111" t="s">
        <v>318</v>
      </c>
      <c r="G1466">
        <v>15.989000000000001</v>
      </c>
      <c r="H1466">
        <v>30.000000000000053</v>
      </c>
      <c r="I1466">
        <v>3</v>
      </c>
      <c r="J1466">
        <v>329.99999999999994</v>
      </c>
      <c r="K1466" s="1" t="e">
        <f>INDEX($P$4:$AM$15,MATCH(MONTH($E1466),$O$4:$O$15,0),MATCH(HOUR($F1466),$P$3:$AM$3,0))</f>
        <v>#N/A</v>
      </c>
      <c r="L1466" t="s">
        <v>257</v>
      </c>
    </row>
    <row r="1467" spans="1:12" x14ac:dyDescent="0.25">
      <c r="A1467">
        <v>1466</v>
      </c>
      <c r="B1467">
        <v>40139417</v>
      </c>
      <c r="C1467">
        <v>2</v>
      </c>
      <c r="E1467" s="110">
        <v>42733</v>
      </c>
      <c r="F1467" s="111" t="s">
        <v>253</v>
      </c>
      <c r="G1467">
        <v>21.565999999999999</v>
      </c>
      <c r="H1467">
        <v>30.000000000000053</v>
      </c>
      <c r="I1467">
        <v>3</v>
      </c>
      <c r="J1467">
        <v>690</v>
      </c>
      <c r="K1467" s="1" t="e">
        <f>INDEX($P$4:$AM$15,MATCH(MONTH($E1467),$O$4:$O$15,0),MATCH(HOUR($F1467),$P$3:$AM$3,0))</f>
        <v>#N/A</v>
      </c>
      <c r="L1467" t="s">
        <v>257</v>
      </c>
    </row>
    <row r="1468" spans="1:12" x14ac:dyDescent="0.25">
      <c r="A1468">
        <v>1467</v>
      </c>
      <c r="B1468">
        <v>40139417</v>
      </c>
      <c r="C1468">
        <v>1</v>
      </c>
      <c r="E1468" s="110">
        <v>42734</v>
      </c>
      <c r="F1468" s="111" t="s">
        <v>248</v>
      </c>
      <c r="G1468">
        <v>33.496000000000002</v>
      </c>
      <c r="H1468">
        <v>60.000000000000028</v>
      </c>
      <c r="I1468">
        <v>3</v>
      </c>
      <c r="J1468">
        <v>300</v>
      </c>
      <c r="K1468" s="1" t="e">
        <f>INDEX($P$4:$AM$15,MATCH(MONTH($E1468),$O$4:$O$15,0),MATCH(HOUR($F1468),$P$3:$AM$3,0))</f>
        <v>#N/A</v>
      </c>
      <c r="L1468" t="s">
        <v>257</v>
      </c>
    </row>
    <row r="1469" spans="1:12" x14ac:dyDescent="0.25">
      <c r="A1469">
        <v>1468</v>
      </c>
      <c r="B1469">
        <v>40139417</v>
      </c>
      <c r="C1469">
        <v>2</v>
      </c>
      <c r="E1469" s="110">
        <v>42734</v>
      </c>
      <c r="F1469" s="111" t="s">
        <v>318</v>
      </c>
      <c r="G1469">
        <v>21.643999999999998</v>
      </c>
      <c r="H1469">
        <v>30.000000000000053</v>
      </c>
      <c r="I1469">
        <v>3</v>
      </c>
      <c r="J1469">
        <v>0.99999999999999645</v>
      </c>
      <c r="K1469" s="1" t="e">
        <f>INDEX($P$4:$AM$15,MATCH(MONTH($E1469),$O$4:$O$15,0),MATCH(HOUR($F1469),$P$3:$AM$3,0))</f>
        <v>#N/A</v>
      </c>
      <c r="L1469" t="s">
        <v>257</v>
      </c>
    </row>
    <row r="1470" spans="1:12" x14ac:dyDescent="0.25">
      <c r="A1470">
        <v>1469</v>
      </c>
      <c r="B1470">
        <v>40139417</v>
      </c>
      <c r="C1470">
        <v>3</v>
      </c>
      <c r="E1470" s="110">
        <v>42734</v>
      </c>
      <c r="F1470" s="111" t="s">
        <v>469</v>
      </c>
      <c r="G1470">
        <v>21.565999999999999</v>
      </c>
      <c r="H1470">
        <v>28.999999999999897</v>
      </c>
      <c r="I1470">
        <v>3</v>
      </c>
      <c r="J1470">
        <v>1290</v>
      </c>
      <c r="K1470" s="1" t="e">
        <f>INDEX($P$4:$AM$15,MATCH(MONTH($E1470),$O$4:$O$15,0),MATCH(HOUR($F1470),$P$3:$AM$3,0))</f>
        <v>#N/A</v>
      </c>
      <c r="L1470" t="s">
        <v>257</v>
      </c>
    </row>
    <row r="1471" spans="1:12" x14ac:dyDescent="0.25">
      <c r="A1471">
        <v>1470</v>
      </c>
      <c r="B1471">
        <v>40153540</v>
      </c>
      <c r="C1471">
        <v>1</v>
      </c>
      <c r="E1471" s="110">
        <v>42735</v>
      </c>
      <c r="F1471" s="111" t="s">
        <v>217</v>
      </c>
      <c r="G1471">
        <v>5.3819999999999997</v>
      </c>
      <c r="H1471">
        <v>20.000000000000007</v>
      </c>
      <c r="I1471">
        <v>3</v>
      </c>
      <c r="J1471">
        <v>24.999999999999993</v>
      </c>
      <c r="K1471" s="1" t="e">
        <f>INDEX($P$4:$AM$15,MATCH(MONTH($E1471),$O$4:$O$15,0),MATCH(HOUR($F1471),$P$3:$AM$3,0))</f>
        <v>#N/A</v>
      </c>
      <c r="L1471" t="s">
        <v>249</v>
      </c>
    </row>
    <row r="1472" spans="1:12" x14ac:dyDescent="0.25">
      <c r="A1472">
        <v>1471</v>
      </c>
      <c r="B1472">
        <v>40153540</v>
      </c>
      <c r="C1472">
        <v>2</v>
      </c>
      <c r="E1472" s="110">
        <v>42735</v>
      </c>
      <c r="F1472" s="111" t="s">
        <v>327</v>
      </c>
      <c r="G1472">
        <v>8.1709999999999994</v>
      </c>
      <c r="H1472">
        <v>29.999999999999972</v>
      </c>
      <c r="I1472">
        <v>3</v>
      </c>
      <c r="J1472">
        <v>119.99999999999997</v>
      </c>
      <c r="K1472" s="1" t="e">
        <f>INDEX($P$4:$AM$15,MATCH(MONTH($E1472),$O$4:$O$15,0),MATCH(HOUR($F1472),$P$3:$AM$3,0))</f>
        <v>#N/A</v>
      </c>
      <c r="L1472" t="s">
        <v>249</v>
      </c>
    </row>
    <row r="1473" spans="1:12" x14ac:dyDescent="0.25">
      <c r="A1473">
        <v>1472</v>
      </c>
      <c r="B1473">
        <v>40153540</v>
      </c>
      <c r="C1473">
        <v>3</v>
      </c>
      <c r="E1473" s="110">
        <v>42735</v>
      </c>
      <c r="F1473" s="111" t="s">
        <v>315</v>
      </c>
      <c r="G1473">
        <v>0.5</v>
      </c>
      <c r="H1473">
        <v>9.9999999999999645</v>
      </c>
      <c r="I1473">
        <v>3</v>
      </c>
      <c r="J1473">
        <v>20.000000000000089</v>
      </c>
      <c r="K1473" s="1" t="e">
        <f>INDEX($P$4:$AM$15,MATCH(MONTH($E1473),$O$4:$O$15,0),MATCH(HOUR($F1473),$P$3:$AM$3,0))</f>
        <v>#N/A</v>
      </c>
      <c r="L1473" t="s">
        <v>249</v>
      </c>
    </row>
    <row r="1474" spans="1:12" x14ac:dyDescent="0.25">
      <c r="A1474">
        <v>1473</v>
      </c>
      <c r="B1474">
        <v>40153540</v>
      </c>
      <c r="C1474">
        <v>4</v>
      </c>
      <c r="E1474" s="110">
        <v>42735</v>
      </c>
      <c r="F1474" s="111" t="s">
        <v>382</v>
      </c>
      <c r="G1474">
        <v>1.79</v>
      </c>
      <c r="H1474">
        <v>4.9999999999999822</v>
      </c>
      <c r="I1474">
        <v>3</v>
      </c>
      <c r="J1474">
        <v>9.9999999999999645</v>
      </c>
      <c r="K1474" s="1" t="e">
        <f>INDEX($P$4:$AM$15,MATCH(MONTH($E1474),$O$4:$O$15,0),MATCH(HOUR($F1474),$P$3:$AM$3,0))</f>
        <v>#N/A</v>
      </c>
      <c r="L1474" t="s">
        <v>249</v>
      </c>
    </row>
    <row r="1475" spans="1:12" x14ac:dyDescent="0.25">
      <c r="A1475">
        <v>1474</v>
      </c>
      <c r="B1475">
        <v>40153540</v>
      </c>
      <c r="C1475">
        <v>5</v>
      </c>
      <c r="E1475" s="110">
        <v>42735</v>
      </c>
      <c r="F1475" s="111" t="s">
        <v>294</v>
      </c>
      <c r="G1475">
        <v>3.41</v>
      </c>
      <c r="H1475">
        <v>5.0000000000001421</v>
      </c>
      <c r="I1475">
        <v>3</v>
      </c>
      <c r="J1475">
        <v>114.99999999999991</v>
      </c>
      <c r="K1475" s="1" t="e">
        <f>INDEX($P$4:$AM$15,MATCH(MONTH($E1475),$O$4:$O$15,0),MATCH(HOUR($F1475),$P$3:$AM$3,0))</f>
        <v>#N/A</v>
      </c>
      <c r="L1475" t="s">
        <v>249</v>
      </c>
    </row>
    <row r="1476" spans="1:12" x14ac:dyDescent="0.25">
      <c r="A1476">
        <v>1475</v>
      </c>
      <c r="B1476">
        <v>40153540</v>
      </c>
      <c r="C1476">
        <v>6</v>
      </c>
      <c r="E1476" s="110">
        <v>42735</v>
      </c>
      <c r="F1476" s="111" t="s">
        <v>247</v>
      </c>
      <c r="G1476">
        <v>13.019</v>
      </c>
      <c r="H1476">
        <v>30.000000000000053</v>
      </c>
      <c r="I1476">
        <v>3</v>
      </c>
      <c r="J1476">
        <v>90</v>
      </c>
      <c r="K1476" s="1" t="e">
        <f>INDEX($P$4:$AM$15,MATCH(MONTH($E1476),$O$4:$O$15,0),MATCH(HOUR($F1476),$P$3:$AM$3,0))</f>
        <v>#N/A</v>
      </c>
      <c r="L1476" t="s">
        <v>249</v>
      </c>
    </row>
    <row r="1477" spans="1:12" x14ac:dyDescent="0.25">
      <c r="A1477">
        <v>1476</v>
      </c>
      <c r="B1477">
        <v>40153540</v>
      </c>
      <c r="C1477">
        <v>7</v>
      </c>
      <c r="E1477" s="110">
        <v>42735</v>
      </c>
      <c r="F1477" s="111" t="s">
        <v>300</v>
      </c>
      <c r="G1477">
        <v>4.1020000000000003</v>
      </c>
      <c r="H1477">
        <v>14.999999999999947</v>
      </c>
      <c r="I1477">
        <v>3</v>
      </c>
      <c r="J1477">
        <v>165.00000000000006</v>
      </c>
      <c r="K1477" s="1" t="e">
        <f>INDEX($P$4:$AM$15,MATCH(MONTH($E1477),$O$4:$O$15,0),MATCH(HOUR($F1477),$P$3:$AM$3,0))</f>
        <v>#N/A</v>
      </c>
      <c r="L1477" t="s">
        <v>249</v>
      </c>
    </row>
    <row r="1478" spans="1:12" x14ac:dyDescent="0.25">
      <c r="A1478">
        <v>1477</v>
      </c>
      <c r="B1478">
        <v>40153540</v>
      </c>
      <c r="C1478">
        <v>8</v>
      </c>
      <c r="E1478" s="110">
        <v>42735</v>
      </c>
      <c r="F1478" s="111" t="s">
        <v>435</v>
      </c>
      <c r="G1478">
        <v>17.108000000000001</v>
      </c>
      <c r="H1478">
        <v>29.999999999999893</v>
      </c>
      <c r="I1478">
        <v>3</v>
      </c>
      <c r="J1478">
        <v>615</v>
      </c>
      <c r="K1478" s="1" t="e">
        <f>INDEX($P$4:$AM$15,MATCH(MONTH($E1478),$O$4:$O$15,0),MATCH(HOUR($F1478),$P$3:$AM$3,0))</f>
        <v>#N/A</v>
      </c>
      <c r="L1478" t="s">
        <v>249</v>
      </c>
    </row>
    <row r="1479" spans="1:12" x14ac:dyDescent="0.25">
      <c r="E1479" s="110"/>
      <c r="F1479" s="111"/>
      <c r="K1479" s="1"/>
    </row>
    <row r="1480" spans="1:12" x14ac:dyDescent="0.25">
      <c r="E1480" s="110"/>
      <c r="F1480" s="111"/>
      <c r="K1480" s="1"/>
    </row>
    <row r="1481" spans="1:12" x14ac:dyDescent="0.25">
      <c r="E1481" s="110"/>
      <c r="F1481" s="111"/>
      <c r="K1481" s="1"/>
    </row>
    <row r="1482" spans="1:12" x14ac:dyDescent="0.25">
      <c r="E1482" s="110"/>
      <c r="F1482" s="111"/>
      <c r="K1482" s="1"/>
    </row>
    <row r="1483" spans="1:12" x14ac:dyDescent="0.25">
      <c r="E1483" s="110"/>
      <c r="F1483" s="111"/>
      <c r="K1483" s="1"/>
    </row>
    <row r="1484" spans="1:12" x14ac:dyDescent="0.25">
      <c r="E1484" s="110"/>
      <c r="F1484" s="111"/>
      <c r="K1484" s="1"/>
    </row>
    <row r="1485" spans="1:12" x14ac:dyDescent="0.25">
      <c r="E1485" s="110"/>
      <c r="F1485" s="111"/>
      <c r="K1485" s="1"/>
    </row>
    <row r="1486" spans="1:12" x14ac:dyDescent="0.25">
      <c r="E1486" s="110"/>
      <c r="F1486" s="111"/>
      <c r="K1486" s="1"/>
    </row>
    <row r="1487" spans="1:12" x14ac:dyDescent="0.25">
      <c r="E1487" s="110"/>
      <c r="F1487" s="111"/>
      <c r="K1487" s="1"/>
    </row>
    <row r="1488" spans="1:12" x14ac:dyDescent="0.25">
      <c r="E1488" s="110"/>
      <c r="F1488" s="111"/>
      <c r="K1488" s="1"/>
    </row>
    <row r="1489" spans="5:11" x14ac:dyDescent="0.25">
      <c r="E1489" s="110"/>
      <c r="F1489" s="111"/>
      <c r="K1489" s="1"/>
    </row>
    <row r="1490" spans="5:11" x14ac:dyDescent="0.25">
      <c r="E1490" s="110"/>
      <c r="F1490" s="111"/>
      <c r="K1490" s="1"/>
    </row>
    <row r="1491" spans="5:11" x14ac:dyDescent="0.25">
      <c r="E1491" s="110"/>
      <c r="F1491" s="111"/>
      <c r="K1491" s="1"/>
    </row>
    <row r="1492" spans="5:11" x14ac:dyDescent="0.25">
      <c r="E1492" s="110"/>
      <c r="F1492" s="111"/>
      <c r="K1492" s="1"/>
    </row>
    <row r="1493" spans="5:11" x14ac:dyDescent="0.25">
      <c r="E1493" s="110"/>
      <c r="F1493" s="111"/>
      <c r="K1493" s="1"/>
    </row>
    <row r="1494" spans="5:11" x14ac:dyDescent="0.25">
      <c r="E1494" s="110"/>
      <c r="F1494" s="111"/>
      <c r="K1494" s="1"/>
    </row>
    <row r="1495" spans="5:11" x14ac:dyDescent="0.25">
      <c r="E1495" s="110"/>
      <c r="F1495" s="111"/>
      <c r="K1495" s="1"/>
    </row>
    <row r="1496" spans="5:11" x14ac:dyDescent="0.25">
      <c r="E1496" s="110"/>
      <c r="F1496" s="111"/>
      <c r="K1496" s="1"/>
    </row>
    <row r="1497" spans="5:11" x14ac:dyDescent="0.25">
      <c r="E1497" s="110"/>
      <c r="F1497" s="111"/>
      <c r="K1497" s="1"/>
    </row>
    <row r="1498" spans="5:11" x14ac:dyDescent="0.25">
      <c r="E1498" s="110"/>
      <c r="F1498" s="111"/>
      <c r="K1498" s="1"/>
    </row>
    <row r="1499" spans="5:11" x14ac:dyDescent="0.25">
      <c r="E1499" s="110"/>
      <c r="F1499" s="111"/>
      <c r="K1499" s="1"/>
    </row>
    <row r="1500" spans="5:11" x14ac:dyDescent="0.25">
      <c r="E1500" s="110"/>
      <c r="F1500" s="111"/>
      <c r="K1500" s="1"/>
    </row>
    <row r="1501" spans="5:11" x14ac:dyDescent="0.25">
      <c r="E1501" s="110"/>
      <c r="F1501" s="111"/>
      <c r="K1501" s="1"/>
    </row>
    <row r="1502" spans="5:11" x14ac:dyDescent="0.25">
      <c r="E1502" s="110"/>
      <c r="F1502" s="111"/>
      <c r="K1502" s="1"/>
    </row>
    <row r="1503" spans="5:11" x14ac:dyDescent="0.25">
      <c r="E1503" s="110"/>
      <c r="F1503" s="111"/>
      <c r="K1503" s="1"/>
    </row>
    <row r="1504" spans="5:11" x14ac:dyDescent="0.25">
      <c r="E1504" s="110"/>
      <c r="F1504" s="111"/>
      <c r="K1504" s="1"/>
    </row>
    <row r="1505" spans="5:13" x14ac:dyDescent="0.25">
      <c r="E1505" s="110"/>
      <c r="F1505" s="111"/>
      <c r="K1505" s="1"/>
    </row>
    <row r="1506" spans="5:13" x14ac:dyDescent="0.25">
      <c r="E1506" s="110"/>
      <c r="F1506" s="111"/>
      <c r="K1506" s="1"/>
    </row>
    <row r="1507" spans="5:13" x14ac:dyDescent="0.25">
      <c r="E1507" s="110"/>
      <c r="F1507" s="111"/>
      <c r="K1507" s="1"/>
    </row>
    <row r="1508" spans="5:13" x14ac:dyDescent="0.25">
      <c r="E1508" s="110"/>
      <c r="F1508" s="111"/>
      <c r="K1508" s="1"/>
    </row>
    <row r="1509" spans="5:13" x14ac:dyDescent="0.25">
      <c r="E1509" s="110"/>
      <c r="F1509" s="111"/>
      <c r="K1509" s="1"/>
    </row>
    <row r="1510" spans="5:13" x14ac:dyDescent="0.25">
      <c r="E1510" s="110"/>
      <c r="F1510" s="111"/>
      <c r="K1510" s="1"/>
    </row>
    <row r="1511" spans="5:13" x14ac:dyDescent="0.25">
      <c r="E1511" s="110"/>
      <c r="F1511" s="111"/>
      <c r="K1511" s="1"/>
    </row>
    <row r="1512" spans="5:13" x14ac:dyDescent="0.25">
      <c r="E1512" s="110"/>
      <c r="F1512" s="111"/>
      <c r="K1512" s="1"/>
    </row>
    <row r="1513" spans="5:13" x14ac:dyDescent="0.25">
      <c r="E1513" s="110"/>
      <c r="F1513" s="111"/>
      <c r="K1513" s="1"/>
    </row>
    <row r="1514" spans="5:13" x14ac:dyDescent="0.25">
      <c r="E1514" s="110"/>
      <c r="F1514" s="111"/>
      <c r="K1514" s="1"/>
    </row>
    <row r="1515" spans="5:13" x14ac:dyDescent="0.25">
      <c r="E1515" s="110"/>
      <c r="F1515" s="111"/>
      <c r="K1515" s="1"/>
    </row>
    <row r="1516" spans="5:13" x14ac:dyDescent="0.25">
      <c r="E1516" s="110"/>
      <c r="F1516" s="111"/>
      <c r="K1516" s="1"/>
    </row>
    <row r="1517" spans="5:13" x14ac:dyDescent="0.25">
      <c r="E1517" s="110"/>
      <c r="F1517" s="111"/>
      <c r="K1517" s="1"/>
      <c r="M1517" s="128"/>
    </row>
    <row r="1518" spans="5:13" x14ac:dyDescent="0.25">
      <c r="E1518" s="110"/>
      <c r="F1518" s="111"/>
      <c r="K1518" s="1"/>
      <c r="M1518" s="128"/>
    </row>
    <row r="1519" spans="5:13" x14ac:dyDescent="0.25">
      <c r="E1519" s="110"/>
      <c r="F1519" s="111"/>
      <c r="K1519" s="1"/>
      <c r="M1519" s="128"/>
    </row>
    <row r="1520" spans="5:13" x14ac:dyDescent="0.25">
      <c r="E1520" s="110"/>
      <c r="F1520" s="111"/>
      <c r="K1520" s="1"/>
      <c r="M1520" s="128"/>
    </row>
    <row r="1521" spans="5:13" x14ac:dyDescent="0.25">
      <c r="E1521" s="110"/>
      <c r="F1521" s="111"/>
      <c r="K1521" s="1"/>
      <c r="M1521" s="128"/>
    </row>
    <row r="1522" spans="5:13" x14ac:dyDescent="0.25">
      <c r="E1522" s="110"/>
      <c r="F1522" s="111"/>
      <c r="K1522" s="1"/>
      <c r="M1522" s="111"/>
    </row>
    <row r="1523" spans="5:13" x14ac:dyDescent="0.25">
      <c r="E1523" s="110"/>
      <c r="F1523" s="111"/>
      <c r="K1523" s="1"/>
      <c r="M1523" s="111"/>
    </row>
    <row r="1524" spans="5:13" x14ac:dyDescent="0.25">
      <c r="E1524" s="110"/>
      <c r="F1524" s="111"/>
      <c r="K1524" s="1"/>
      <c r="M1524" s="111"/>
    </row>
    <row r="1525" spans="5:13" x14ac:dyDescent="0.25">
      <c r="E1525" s="110"/>
      <c r="F1525" s="111"/>
      <c r="K1525" s="1"/>
      <c r="M1525" s="112"/>
    </row>
    <row r="1526" spans="5:13" x14ac:dyDescent="0.25">
      <c r="E1526" s="110"/>
      <c r="F1526" s="111"/>
      <c r="K1526" s="1"/>
      <c r="M1526" s="111"/>
    </row>
    <row r="1527" spans="5:13" x14ac:dyDescent="0.25">
      <c r="E1527" s="110"/>
      <c r="F1527" s="111"/>
      <c r="K1527" s="1"/>
      <c r="M1527" s="111"/>
    </row>
    <row r="1528" spans="5:13" x14ac:dyDescent="0.25">
      <c r="E1528" s="110"/>
      <c r="F1528" s="111"/>
      <c r="K1528" s="1"/>
      <c r="M1528" s="111"/>
    </row>
    <row r="1529" spans="5:13" x14ac:dyDescent="0.25">
      <c r="E1529" s="110"/>
      <c r="F1529" s="111"/>
      <c r="K1529" s="1"/>
      <c r="M1529" s="111"/>
    </row>
    <row r="1530" spans="5:13" x14ac:dyDescent="0.25">
      <c r="E1530" s="110"/>
      <c r="F1530" s="111"/>
      <c r="K1530" s="1"/>
      <c r="M1530" s="111"/>
    </row>
    <row r="1531" spans="5:13" x14ac:dyDescent="0.25">
      <c r="E1531" s="110"/>
      <c r="F1531" s="111"/>
      <c r="K1531" s="1"/>
      <c r="M1531" s="111"/>
    </row>
    <row r="1532" spans="5:13" x14ac:dyDescent="0.25">
      <c r="E1532" s="110"/>
      <c r="F1532" s="111"/>
      <c r="K1532" s="1"/>
      <c r="M1532" s="111"/>
    </row>
    <row r="1533" spans="5:13" x14ac:dyDescent="0.25">
      <c r="E1533" s="110"/>
      <c r="F1533" s="111"/>
      <c r="K1533" s="1"/>
      <c r="M1533" s="111"/>
    </row>
    <row r="1534" spans="5:13" x14ac:dyDescent="0.25">
      <c r="E1534" s="110"/>
      <c r="F1534" s="111"/>
      <c r="K1534" s="1"/>
      <c r="M1534" s="111"/>
    </row>
    <row r="1535" spans="5:13" x14ac:dyDescent="0.25">
      <c r="E1535" s="110"/>
      <c r="F1535" s="111"/>
      <c r="K1535" s="1"/>
      <c r="M1535" s="111"/>
    </row>
    <row r="1536" spans="5:13" x14ac:dyDescent="0.25">
      <c r="E1536" s="110"/>
      <c r="F1536" s="111"/>
      <c r="K1536" s="1"/>
      <c r="M1536" s="111"/>
    </row>
    <row r="1537" spans="5:13" x14ac:dyDescent="0.25">
      <c r="E1537" s="110"/>
      <c r="F1537" s="111"/>
      <c r="K1537" s="1"/>
      <c r="M1537" s="111"/>
    </row>
    <row r="1538" spans="5:13" x14ac:dyDescent="0.25">
      <c r="E1538" s="110"/>
      <c r="F1538" s="111"/>
      <c r="K1538" s="1"/>
      <c r="M1538" s="111"/>
    </row>
    <row r="1539" spans="5:13" x14ac:dyDescent="0.25">
      <c r="E1539" s="110"/>
      <c r="F1539" s="111"/>
      <c r="K1539" s="1"/>
      <c r="M1539" s="111"/>
    </row>
    <row r="1540" spans="5:13" x14ac:dyDescent="0.25">
      <c r="E1540" s="110"/>
      <c r="F1540" s="111"/>
      <c r="K1540" s="1"/>
      <c r="M1540" s="111"/>
    </row>
    <row r="1541" spans="5:13" x14ac:dyDescent="0.25">
      <c r="E1541" s="110"/>
      <c r="F1541" s="111"/>
      <c r="K1541" s="1"/>
      <c r="M1541" s="111"/>
    </row>
    <row r="1542" spans="5:13" x14ac:dyDescent="0.25">
      <c r="E1542" s="110"/>
      <c r="F1542" s="111"/>
      <c r="K1542" s="1"/>
      <c r="M1542" s="111"/>
    </row>
    <row r="1543" spans="5:13" x14ac:dyDescent="0.25">
      <c r="E1543" s="110"/>
      <c r="F1543" s="111"/>
      <c r="K1543" s="1"/>
      <c r="M1543" s="111"/>
    </row>
    <row r="1544" spans="5:13" x14ac:dyDescent="0.25">
      <c r="E1544" s="110"/>
      <c r="F1544" s="111"/>
      <c r="K1544" s="1"/>
      <c r="M1544" s="111"/>
    </row>
    <row r="1545" spans="5:13" x14ac:dyDescent="0.25">
      <c r="E1545" s="110"/>
      <c r="F1545" s="111"/>
      <c r="K1545" s="1"/>
      <c r="M1545" s="111"/>
    </row>
    <row r="1546" spans="5:13" x14ac:dyDescent="0.25">
      <c r="E1546" s="110"/>
      <c r="F1546" s="111"/>
      <c r="K1546" s="1"/>
      <c r="M1546" s="111"/>
    </row>
    <row r="1547" spans="5:13" x14ac:dyDescent="0.25">
      <c r="E1547" s="110"/>
      <c r="F1547" s="111"/>
      <c r="K1547" s="1"/>
      <c r="M1547" s="111"/>
    </row>
    <row r="1548" spans="5:13" x14ac:dyDescent="0.25">
      <c r="E1548" s="110"/>
      <c r="F1548" s="111"/>
      <c r="K1548" s="1"/>
      <c r="M1548" s="111"/>
    </row>
    <row r="1549" spans="5:13" x14ac:dyDescent="0.25">
      <c r="E1549" s="110"/>
      <c r="F1549" s="111"/>
      <c r="K1549" s="1"/>
      <c r="M1549" s="111"/>
    </row>
    <row r="1550" spans="5:13" x14ac:dyDescent="0.25">
      <c r="E1550" s="110"/>
      <c r="F1550" s="111"/>
      <c r="K1550" s="1"/>
      <c r="M1550" s="111"/>
    </row>
    <row r="1551" spans="5:13" x14ac:dyDescent="0.25">
      <c r="E1551" s="110"/>
      <c r="F1551" s="111"/>
      <c r="K1551" s="1"/>
      <c r="M1551" s="111"/>
    </row>
    <row r="1552" spans="5:13" x14ac:dyDescent="0.25">
      <c r="E1552" s="110"/>
      <c r="F1552" s="111"/>
      <c r="K1552" s="1"/>
      <c r="M1552" s="111"/>
    </row>
    <row r="1553" spans="5:13" x14ac:dyDescent="0.25">
      <c r="E1553" s="110"/>
      <c r="F1553" s="111"/>
      <c r="K1553" s="1"/>
      <c r="M1553" s="111"/>
    </row>
    <row r="1554" spans="5:13" x14ac:dyDescent="0.25">
      <c r="E1554" s="110"/>
      <c r="F1554" s="111"/>
      <c r="K1554" s="1"/>
      <c r="M1554" s="111"/>
    </row>
    <row r="1555" spans="5:13" x14ac:dyDescent="0.25">
      <c r="E1555" s="110"/>
      <c r="F1555" s="111"/>
      <c r="K1555" s="1"/>
      <c r="M1555" s="111"/>
    </row>
    <row r="1556" spans="5:13" x14ac:dyDescent="0.25">
      <c r="E1556" s="110"/>
      <c r="F1556" s="111"/>
      <c r="K1556" s="1"/>
      <c r="M1556" s="111"/>
    </row>
    <row r="1557" spans="5:13" x14ac:dyDescent="0.25">
      <c r="E1557" s="110"/>
      <c r="F1557" s="111"/>
      <c r="K1557" s="1"/>
      <c r="M1557" s="111"/>
    </row>
    <row r="1558" spans="5:13" x14ac:dyDescent="0.25">
      <c r="E1558" s="110"/>
      <c r="F1558" s="111"/>
      <c r="K1558" s="1"/>
      <c r="M1558" s="111"/>
    </row>
    <row r="1559" spans="5:13" x14ac:dyDescent="0.25">
      <c r="E1559" s="110"/>
      <c r="F1559" s="111"/>
      <c r="K1559" s="1"/>
      <c r="M1559" s="111"/>
    </row>
    <row r="1560" spans="5:13" x14ac:dyDescent="0.25">
      <c r="E1560" s="110"/>
      <c r="F1560" s="111"/>
      <c r="K1560" s="1"/>
      <c r="M1560" s="111"/>
    </row>
    <row r="1561" spans="5:13" x14ac:dyDescent="0.25">
      <c r="E1561" s="110"/>
      <c r="F1561" s="111"/>
      <c r="K1561" s="1"/>
      <c r="M1561" s="111"/>
    </row>
    <row r="1562" spans="5:13" x14ac:dyDescent="0.25">
      <c r="E1562" s="110"/>
      <c r="F1562" s="111"/>
      <c r="K1562" s="1"/>
      <c r="M1562" s="111"/>
    </row>
    <row r="1563" spans="5:13" x14ac:dyDescent="0.25">
      <c r="E1563" s="110"/>
      <c r="F1563" s="111"/>
      <c r="K1563" s="1"/>
      <c r="M1563" s="111"/>
    </row>
    <row r="1564" spans="5:13" x14ac:dyDescent="0.25">
      <c r="E1564" s="110"/>
      <c r="F1564" s="111"/>
      <c r="K1564" s="1"/>
      <c r="M1564" s="111"/>
    </row>
    <row r="1565" spans="5:13" x14ac:dyDescent="0.25">
      <c r="E1565" s="110"/>
      <c r="F1565" s="111"/>
      <c r="K1565" s="1"/>
      <c r="M1565" s="111"/>
    </row>
    <row r="1566" spans="5:13" x14ac:dyDescent="0.25">
      <c r="E1566" s="110"/>
      <c r="F1566" s="111"/>
      <c r="K1566" s="1"/>
      <c r="M1566" s="111"/>
    </row>
    <row r="1567" spans="5:13" x14ac:dyDescent="0.25">
      <c r="E1567" s="110"/>
      <c r="F1567" s="111"/>
      <c r="K1567" s="1"/>
      <c r="M1567" s="111"/>
    </row>
    <row r="1568" spans="5:13" x14ac:dyDescent="0.25">
      <c r="E1568" s="110"/>
      <c r="F1568" s="111"/>
      <c r="K1568" s="1"/>
      <c r="M1568" s="111"/>
    </row>
    <row r="1569" spans="5:13" x14ac:dyDescent="0.25">
      <c r="E1569" s="110"/>
      <c r="F1569" s="111"/>
      <c r="K1569" s="1"/>
      <c r="M1569" s="111"/>
    </row>
    <row r="1570" spans="5:13" x14ac:dyDescent="0.25">
      <c r="E1570" s="110"/>
      <c r="F1570" s="111"/>
      <c r="K1570" s="1"/>
      <c r="M1570" s="111"/>
    </row>
    <row r="1571" spans="5:13" x14ac:dyDescent="0.25">
      <c r="E1571" s="110"/>
      <c r="F1571" s="111"/>
      <c r="K1571" s="1"/>
      <c r="M1571" s="111"/>
    </row>
    <row r="1572" spans="5:13" x14ac:dyDescent="0.25">
      <c r="E1572" s="110"/>
      <c r="F1572" s="111"/>
      <c r="K1572" s="1"/>
      <c r="M1572" s="111"/>
    </row>
    <row r="1573" spans="5:13" x14ac:dyDescent="0.25">
      <c r="E1573" s="110"/>
      <c r="F1573" s="111"/>
      <c r="K1573" s="1"/>
      <c r="M1573" s="111"/>
    </row>
    <row r="1574" spans="5:13" x14ac:dyDescent="0.25">
      <c r="E1574" s="110"/>
      <c r="F1574" s="111"/>
      <c r="K1574" s="1"/>
      <c r="M1574" s="111"/>
    </row>
    <row r="1575" spans="5:13" x14ac:dyDescent="0.25">
      <c r="E1575" s="110"/>
      <c r="F1575" s="111"/>
      <c r="K1575" s="1"/>
      <c r="M1575" s="111"/>
    </row>
    <row r="1576" spans="5:13" x14ac:dyDescent="0.25">
      <c r="E1576" s="110"/>
      <c r="F1576" s="111"/>
      <c r="K1576" s="1"/>
      <c r="M1576" s="111"/>
    </row>
    <row r="1577" spans="5:13" x14ac:dyDescent="0.25">
      <c r="E1577" s="110"/>
      <c r="F1577" s="111"/>
      <c r="K1577" s="1"/>
      <c r="M1577" s="111"/>
    </row>
    <row r="1578" spans="5:13" x14ac:dyDescent="0.25">
      <c r="E1578" s="110"/>
      <c r="F1578" s="111"/>
      <c r="K1578" s="1"/>
      <c r="M1578" s="111"/>
    </row>
    <row r="1579" spans="5:13" x14ac:dyDescent="0.25">
      <c r="E1579" s="110"/>
      <c r="F1579" s="111"/>
      <c r="K1579" s="1"/>
      <c r="M1579" s="111"/>
    </row>
    <row r="1580" spans="5:13" x14ac:dyDescent="0.25">
      <c r="E1580" s="110"/>
      <c r="F1580" s="111"/>
      <c r="K1580" s="1"/>
      <c r="M1580" s="111"/>
    </row>
    <row r="1581" spans="5:13" x14ac:dyDescent="0.25">
      <c r="E1581" s="110"/>
      <c r="F1581" s="111"/>
      <c r="K1581" s="1"/>
      <c r="M1581" s="111"/>
    </row>
    <row r="1582" spans="5:13" x14ac:dyDescent="0.25">
      <c r="E1582" s="110"/>
      <c r="F1582" s="111"/>
      <c r="K1582" s="1"/>
      <c r="M1582" s="111"/>
    </row>
    <row r="1583" spans="5:13" x14ac:dyDescent="0.25">
      <c r="E1583" s="110"/>
      <c r="F1583" s="111"/>
      <c r="K1583" s="1"/>
      <c r="M1583" s="111"/>
    </row>
    <row r="1584" spans="5:13" x14ac:dyDescent="0.25">
      <c r="E1584" s="110"/>
      <c r="F1584" s="111"/>
      <c r="K1584" s="1"/>
      <c r="M1584" s="111"/>
    </row>
    <row r="1585" spans="5:13" x14ac:dyDescent="0.25">
      <c r="E1585" s="110"/>
      <c r="F1585" s="111"/>
      <c r="K1585" s="1"/>
      <c r="M1585" s="111"/>
    </row>
    <row r="1586" spans="5:13" x14ac:dyDescent="0.25">
      <c r="E1586" s="110"/>
      <c r="F1586" s="111"/>
      <c r="K1586" s="1"/>
      <c r="M1586" s="111"/>
    </row>
    <row r="1587" spans="5:13" x14ac:dyDescent="0.25">
      <c r="E1587" s="110"/>
      <c r="F1587" s="111"/>
      <c r="K1587" s="1"/>
      <c r="M1587" s="111"/>
    </row>
    <row r="1588" spans="5:13" x14ac:dyDescent="0.25">
      <c r="E1588" s="110"/>
      <c r="F1588" s="111"/>
      <c r="K1588" s="1"/>
      <c r="M1588" s="111"/>
    </row>
    <row r="1589" spans="5:13" x14ac:dyDescent="0.25">
      <c r="E1589" s="110"/>
      <c r="F1589" s="111"/>
      <c r="K1589" s="1"/>
      <c r="M1589" s="111"/>
    </row>
    <row r="1590" spans="5:13" x14ac:dyDescent="0.25">
      <c r="E1590" s="110"/>
      <c r="F1590" s="111"/>
      <c r="K1590" s="1"/>
      <c r="M1590" s="111"/>
    </row>
    <row r="1591" spans="5:13" x14ac:dyDescent="0.25">
      <c r="E1591" s="110"/>
      <c r="F1591" s="111"/>
      <c r="K1591" s="1"/>
      <c r="M1591" s="111"/>
    </row>
    <row r="1592" spans="5:13" x14ac:dyDescent="0.25">
      <c r="E1592" s="110"/>
      <c r="F1592" s="111"/>
      <c r="K1592" s="1"/>
      <c r="M1592" s="111"/>
    </row>
    <row r="1593" spans="5:13" x14ac:dyDescent="0.25">
      <c r="E1593" s="110"/>
      <c r="F1593" s="111"/>
      <c r="K1593" s="1"/>
      <c r="M1593" s="111"/>
    </row>
    <row r="1594" spans="5:13" x14ac:dyDescent="0.25">
      <c r="E1594" s="110"/>
      <c r="F1594" s="111"/>
      <c r="K1594" s="1"/>
      <c r="M1594" s="111"/>
    </row>
    <row r="1595" spans="5:13" x14ac:dyDescent="0.25">
      <c r="E1595" s="110"/>
      <c r="F1595" s="111"/>
      <c r="K1595" s="1"/>
      <c r="M1595" s="111"/>
    </row>
    <row r="1596" spans="5:13" x14ac:dyDescent="0.25">
      <c r="E1596" s="110"/>
      <c r="F1596" s="111"/>
      <c r="K1596" s="1"/>
      <c r="M1596" s="111"/>
    </row>
    <row r="1597" spans="5:13" x14ac:dyDescent="0.25">
      <c r="E1597" s="110"/>
      <c r="F1597" s="111"/>
      <c r="K1597" s="1"/>
      <c r="M1597" s="111"/>
    </row>
    <row r="1598" spans="5:13" x14ac:dyDescent="0.25">
      <c r="E1598" s="110"/>
      <c r="F1598" s="111"/>
      <c r="K1598" s="1"/>
      <c r="M1598" s="111"/>
    </row>
    <row r="1599" spans="5:13" x14ac:dyDescent="0.25">
      <c r="E1599" s="110"/>
      <c r="F1599" s="111"/>
      <c r="K1599" s="1"/>
      <c r="M1599" s="111"/>
    </row>
    <row r="1600" spans="5:13" x14ac:dyDescent="0.25">
      <c r="E1600" s="110"/>
      <c r="F1600" s="111"/>
      <c r="K1600" s="1"/>
      <c r="M1600" s="111"/>
    </row>
    <row r="1601" spans="5:13" x14ac:dyDescent="0.25">
      <c r="E1601" s="110"/>
      <c r="F1601" s="111"/>
      <c r="K1601" s="1"/>
      <c r="M1601" s="111"/>
    </row>
    <row r="1602" spans="5:13" x14ac:dyDescent="0.25">
      <c r="E1602" s="110"/>
      <c r="F1602" s="111"/>
      <c r="K1602" s="1"/>
      <c r="M1602" s="111"/>
    </row>
    <row r="1603" spans="5:13" x14ac:dyDescent="0.25">
      <c r="E1603" s="110"/>
      <c r="F1603" s="111"/>
      <c r="K1603" s="1"/>
      <c r="M1603" s="111"/>
    </row>
    <row r="1604" spans="5:13" x14ac:dyDescent="0.25">
      <c r="E1604" s="110"/>
      <c r="F1604" s="111"/>
      <c r="K1604" s="1"/>
      <c r="M1604" s="111"/>
    </row>
    <row r="1605" spans="5:13" x14ac:dyDescent="0.25">
      <c r="E1605" s="110"/>
      <c r="F1605" s="111"/>
      <c r="K1605" s="1"/>
      <c r="M1605" s="111"/>
    </row>
    <row r="1606" spans="5:13" x14ac:dyDescent="0.25">
      <c r="E1606" s="110"/>
      <c r="F1606" s="111"/>
      <c r="K1606" s="1"/>
      <c r="M1606" s="111"/>
    </row>
    <row r="1607" spans="5:13" x14ac:dyDescent="0.25">
      <c r="E1607" s="110"/>
      <c r="F1607" s="111"/>
      <c r="K1607" s="1"/>
      <c r="M1607" s="111"/>
    </row>
    <row r="1608" spans="5:13" x14ac:dyDescent="0.25">
      <c r="E1608" s="110"/>
      <c r="F1608" s="111"/>
      <c r="K1608" s="1"/>
      <c r="M1608" s="111"/>
    </row>
    <row r="1609" spans="5:13" x14ac:dyDescent="0.25">
      <c r="E1609" s="110"/>
      <c r="F1609" s="111"/>
      <c r="K1609" s="1"/>
      <c r="M1609" s="111"/>
    </row>
    <row r="1610" spans="5:13" x14ac:dyDescent="0.25">
      <c r="E1610" s="110"/>
      <c r="F1610" s="111"/>
      <c r="K1610" s="1"/>
      <c r="M1610" s="111"/>
    </row>
    <row r="1611" spans="5:13" x14ac:dyDescent="0.25">
      <c r="E1611" s="110"/>
      <c r="F1611" s="111"/>
      <c r="K1611" s="1"/>
      <c r="M1611" s="111"/>
    </row>
    <row r="1612" spans="5:13" x14ac:dyDescent="0.25">
      <c r="E1612" s="110"/>
      <c r="F1612" s="111"/>
      <c r="K1612" s="1"/>
      <c r="M1612" s="111"/>
    </row>
    <row r="1613" spans="5:13" x14ac:dyDescent="0.25">
      <c r="E1613" s="110"/>
      <c r="F1613" s="111"/>
      <c r="K1613" s="1"/>
      <c r="M1613" s="111"/>
    </row>
    <row r="1614" spans="5:13" x14ac:dyDescent="0.25">
      <c r="E1614" s="110"/>
      <c r="F1614" s="111"/>
      <c r="K1614" s="1"/>
      <c r="M1614" s="111"/>
    </row>
    <row r="1615" spans="5:13" x14ac:dyDescent="0.25">
      <c r="E1615" s="110"/>
      <c r="F1615" s="111"/>
      <c r="K1615" s="1"/>
      <c r="M1615" s="111"/>
    </row>
    <row r="1616" spans="5:13" x14ac:dyDescent="0.25">
      <c r="E1616" s="110"/>
      <c r="F1616" s="111"/>
      <c r="K1616" s="1"/>
      <c r="M1616" s="111"/>
    </row>
    <row r="1617" spans="5:13" x14ac:dyDescent="0.25">
      <c r="E1617" s="110"/>
      <c r="F1617" s="111"/>
      <c r="K1617" s="1"/>
      <c r="M1617" s="111"/>
    </row>
    <row r="1618" spans="5:13" x14ac:dyDescent="0.25">
      <c r="E1618" s="110"/>
      <c r="F1618" s="111"/>
      <c r="K1618" s="1"/>
      <c r="M1618" s="111"/>
    </row>
    <row r="1619" spans="5:13" x14ac:dyDescent="0.25">
      <c r="E1619" s="110"/>
      <c r="F1619" s="111"/>
      <c r="K1619" s="1"/>
      <c r="M1619" s="111"/>
    </row>
    <row r="1620" spans="5:13" x14ac:dyDescent="0.25">
      <c r="E1620" s="110"/>
      <c r="F1620" s="111"/>
      <c r="K1620" s="1"/>
      <c r="M1620" s="111"/>
    </row>
    <row r="1621" spans="5:13" x14ac:dyDescent="0.25">
      <c r="E1621" s="110"/>
      <c r="F1621" s="111"/>
      <c r="K1621" s="1"/>
      <c r="M1621" s="111"/>
    </row>
    <row r="1622" spans="5:13" x14ac:dyDescent="0.25">
      <c r="E1622" s="110"/>
      <c r="F1622" s="111"/>
      <c r="K1622" s="1"/>
      <c r="M1622" s="111"/>
    </row>
    <row r="1623" spans="5:13" x14ac:dyDescent="0.25">
      <c r="E1623" s="110"/>
      <c r="F1623" s="111"/>
      <c r="K1623" s="1"/>
      <c r="M1623" s="111"/>
    </row>
    <row r="1624" spans="5:13" x14ac:dyDescent="0.25">
      <c r="E1624" s="110"/>
      <c r="F1624" s="111"/>
      <c r="K1624" s="1"/>
      <c r="M1624" s="111"/>
    </row>
    <row r="1625" spans="5:13" x14ac:dyDescent="0.25">
      <c r="E1625" s="110"/>
      <c r="F1625" s="111"/>
      <c r="K1625" s="1"/>
      <c r="M1625" s="111"/>
    </row>
    <row r="1626" spans="5:13" x14ac:dyDescent="0.25">
      <c r="E1626" s="110"/>
      <c r="F1626" s="111"/>
      <c r="K1626" s="1"/>
      <c r="M1626" s="111"/>
    </row>
    <row r="1627" spans="5:13" x14ac:dyDescent="0.25">
      <c r="E1627" s="110"/>
      <c r="F1627" s="111"/>
      <c r="K1627" s="1"/>
      <c r="M1627" s="111"/>
    </row>
    <row r="1628" spans="5:13" x14ac:dyDescent="0.25">
      <c r="E1628" s="110"/>
      <c r="F1628" s="111"/>
      <c r="K1628" s="1"/>
      <c r="M1628" s="111"/>
    </row>
    <row r="1629" spans="5:13" x14ac:dyDescent="0.25">
      <c r="E1629" s="110"/>
      <c r="F1629" s="111"/>
      <c r="K1629" s="1"/>
      <c r="M1629" s="111"/>
    </row>
    <row r="1630" spans="5:13" x14ac:dyDescent="0.25">
      <c r="E1630" s="110"/>
      <c r="F1630" s="111"/>
      <c r="K1630" s="1"/>
      <c r="M1630" s="111"/>
    </row>
    <row r="1631" spans="5:13" x14ac:dyDescent="0.25">
      <c r="E1631" s="110"/>
      <c r="F1631" s="111"/>
      <c r="K1631" s="1"/>
      <c r="M1631" s="111"/>
    </row>
    <row r="1632" spans="5:13" x14ac:dyDescent="0.25">
      <c r="E1632" s="110"/>
      <c r="F1632" s="111"/>
      <c r="K1632" s="1"/>
      <c r="M1632" s="111"/>
    </row>
    <row r="1633" spans="5:13" x14ac:dyDescent="0.25">
      <c r="E1633" s="110"/>
      <c r="F1633" s="111"/>
      <c r="K1633" s="1"/>
      <c r="M1633" s="111"/>
    </row>
    <row r="1634" spans="5:13" x14ac:dyDescent="0.25">
      <c r="E1634" s="110"/>
      <c r="F1634" s="111"/>
      <c r="K1634" s="1"/>
      <c r="M1634" s="111"/>
    </row>
    <row r="1635" spans="5:13" x14ac:dyDescent="0.25">
      <c r="E1635" s="110"/>
      <c r="F1635" s="111"/>
      <c r="K1635" s="1"/>
      <c r="M1635" s="111"/>
    </row>
    <row r="1636" spans="5:13" x14ac:dyDescent="0.25">
      <c r="E1636" s="110"/>
      <c r="F1636" s="111"/>
      <c r="K1636" s="1"/>
      <c r="M1636" s="111"/>
    </row>
    <row r="1637" spans="5:13" x14ac:dyDescent="0.25">
      <c r="E1637" s="110"/>
      <c r="F1637" s="111"/>
      <c r="K1637" s="1"/>
      <c r="M1637" s="111"/>
    </row>
    <row r="1638" spans="5:13" x14ac:dyDescent="0.25">
      <c r="E1638" s="110"/>
      <c r="F1638" s="111"/>
      <c r="K1638" s="1"/>
      <c r="M1638" s="111"/>
    </row>
    <row r="1639" spans="5:13" x14ac:dyDescent="0.25">
      <c r="E1639" s="110"/>
      <c r="F1639" s="111"/>
      <c r="K1639" s="1"/>
      <c r="M1639" s="111"/>
    </row>
    <row r="1640" spans="5:13" x14ac:dyDescent="0.25">
      <c r="E1640" s="110"/>
      <c r="F1640" s="111"/>
      <c r="K1640" s="1"/>
      <c r="M1640" s="111"/>
    </row>
    <row r="1641" spans="5:13" x14ac:dyDescent="0.25">
      <c r="E1641" s="110"/>
      <c r="F1641" s="111"/>
      <c r="K1641" s="1"/>
      <c r="M1641" s="111"/>
    </row>
    <row r="1642" spans="5:13" x14ac:dyDescent="0.25">
      <c r="E1642" s="110"/>
      <c r="F1642" s="111"/>
      <c r="K1642" s="1"/>
      <c r="M1642" s="111"/>
    </row>
    <row r="1643" spans="5:13" x14ac:dyDescent="0.25">
      <c r="E1643" s="110"/>
      <c r="F1643" s="111"/>
      <c r="K1643" s="1"/>
      <c r="M1643" s="111"/>
    </row>
    <row r="1644" spans="5:13" x14ac:dyDescent="0.25">
      <c r="E1644" s="110"/>
      <c r="F1644" s="111"/>
      <c r="K1644" s="1"/>
      <c r="M1644" s="111"/>
    </row>
    <row r="1645" spans="5:13" x14ac:dyDescent="0.25">
      <c r="E1645" s="110"/>
      <c r="F1645" s="111"/>
      <c r="K1645" s="1"/>
      <c r="M1645" s="111"/>
    </row>
    <row r="1646" spans="5:13" x14ac:dyDescent="0.25">
      <c r="E1646" s="110"/>
      <c r="F1646" s="111"/>
      <c r="K1646" s="1"/>
      <c r="M1646" s="111"/>
    </row>
    <row r="1647" spans="5:13" x14ac:dyDescent="0.25">
      <c r="E1647" s="110"/>
      <c r="F1647" s="111"/>
      <c r="K1647" s="1"/>
      <c r="M1647" s="111"/>
    </row>
    <row r="1648" spans="5:13" x14ac:dyDescent="0.25">
      <c r="E1648" s="110"/>
      <c r="F1648" s="111"/>
      <c r="K1648" s="1"/>
      <c r="M1648" s="111"/>
    </row>
    <row r="1649" spans="5:13" x14ac:dyDescent="0.25">
      <c r="E1649" s="110"/>
      <c r="F1649" s="111"/>
      <c r="K1649" s="1"/>
      <c r="M1649" s="111"/>
    </row>
    <row r="1650" spans="5:13" x14ac:dyDescent="0.25">
      <c r="E1650" s="110"/>
      <c r="F1650" s="111"/>
      <c r="K1650" s="1"/>
      <c r="M1650" s="111"/>
    </row>
    <row r="1651" spans="5:13" x14ac:dyDescent="0.25">
      <c r="E1651" s="110"/>
      <c r="F1651" s="111"/>
      <c r="K1651" s="1"/>
      <c r="M1651" s="111"/>
    </row>
    <row r="1652" spans="5:13" x14ac:dyDescent="0.25">
      <c r="E1652" s="110"/>
      <c r="F1652" s="111"/>
      <c r="K1652" s="1"/>
      <c r="M1652" s="111"/>
    </row>
    <row r="1653" spans="5:13" x14ac:dyDescent="0.25">
      <c r="E1653" s="110"/>
      <c r="F1653" s="111"/>
      <c r="K1653" s="1"/>
      <c r="M1653" s="111"/>
    </row>
    <row r="1654" spans="5:13" x14ac:dyDescent="0.25">
      <c r="E1654" s="110"/>
      <c r="F1654" s="111"/>
      <c r="K1654" s="1"/>
      <c r="M1654" s="111"/>
    </row>
    <row r="1655" spans="5:13" x14ac:dyDescent="0.25">
      <c r="E1655" s="110"/>
      <c r="F1655" s="111"/>
      <c r="K1655" s="1"/>
      <c r="M1655" s="111"/>
    </row>
    <row r="1656" spans="5:13" x14ac:dyDescent="0.25">
      <c r="E1656" s="110"/>
      <c r="F1656" s="111"/>
      <c r="K1656" s="1"/>
      <c r="M1656" s="111"/>
    </row>
    <row r="1657" spans="5:13" x14ac:dyDescent="0.25">
      <c r="E1657" s="110"/>
      <c r="F1657" s="111"/>
      <c r="K1657" s="1"/>
      <c r="M1657" s="111"/>
    </row>
    <row r="1658" spans="5:13" x14ac:dyDescent="0.25">
      <c r="E1658" s="110"/>
      <c r="F1658" s="111"/>
      <c r="K1658" s="1"/>
      <c r="M1658" s="111"/>
    </row>
    <row r="1659" spans="5:13" x14ac:dyDescent="0.25">
      <c r="E1659" s="110"/>
      <c r="F1659" s="111"/>
      <c r="K1659" s="1"/>
      <c r="M1659" s="111"/>
    </row>
    <row r="1660" spans="5:13" x14ac:dyDescent="0.25">
      <c r="E1660" s="110"/>
      <c r="F1660" s="111"/>
      <c r="K1660" s="1"/>
      <c r="M1660" s="111"/>
    </row>
    <row r="1661" spans="5:13" x14ac:dyDescent="0.25">
      <c r="E1661" s="110"/>
      <c r="F1661" s="111"/>
      <c r="K1661" s="1"/>
      <c r="M1661" s="111"/>
    </row>
    <row r="1662" spans="5:13" x14ac:dyDescent="0.25">
      <c r="E1662" s="110"/>
      <c r="F1662" s="111"/>
      <c r="K1662" s="1"/>
      <c r="M1662" s="111"/>
    </row>
    <row r="1663" spans="5:13" x14ac:dyDescent="0.25">
      <c r="E1663" s="110"/>
      <c r="F1663" s="111"/>
      <c r="K1663" s="1"/>
      <c r="M1663" s="111"/>
    </row>
    <row r="1664" spans="5:13" x14ac:dyDescent="0.25">
      <c r="E1664" s="110"/>
      <c r="F1664" s="111"/>
      <c r="K1664" s="1"/>
      <c r="M1664" s="111"/>
    </row>
    <row r="1665" spans="5:13" x14ac:dyDescent="0.25">
      <c r="E1665" s="110"/>
      <c r="F1665" s="111"/>
      <c r="K1665" s="1"/>
      <c r="M1665" s="111"/>
    </row>
    <row r="1666" spans="5:13" x14ac:dyDescent="0.25">
      <c r="E1666" s="110"/>
      <c r="F1666" s="111"/>
      <c r="K1666" s="1"/>
      <c r="M1666" s="111"/>
    </row>
    <row r="1667" spans="5:13" x14ac:dyDescent="0.25">
      <c r="E1667" s="110"/>
      <c r="F1667" s="111"/>
      <c r="K1667" s="1"/>
      <c r="M1667" s="111"/>
    </row>
    <row r="1668" spans="5:13" x14ac:dyDescent="0.25">
      <c r="E1668" s="110"/>
      <c r="F1668" s="111"/>
      <c r="K1668" s="1"/>
      <c r="M1668" s="111"/>
    </row>
    <row r="1669" spans="5:13" x14ac:dyDescent="0.25">
      <c r="E1669" s="110"/>
      <c r="F1669" s="111"/>
      <c r="K1669" s="1"/>
      <c r="M1669" s="111"/>
    </row>
    <row r="1670" spans="5:13" x14ac:dyDescent="0.25">
      <c r="E1670" s="110"/>
      <c r="F1670" s="111"/>
      <c r="K1670" s="1"/>
      <c r="M1670" s="111"/>
    </row>
    <row r="1671" spans="5:13" x14ac:dyDescent="0.25">
      <c r="E1671" s="110"/>
      <c r="F1671" s="111"/>
      <c r="K1671" s="1"/>
      <c r="M1671" s="111"/>
    </row>
    <row r="1672" spans="5:13" x14ac:dyDescent="0.25">
      <c r="E1672" s="110"/>
      <c r="F1672" s="111"/>
      <c r="K1672" s="1"/>
      <c r="M1672" s="111"/>
    </row>
    <row r="1673" spans="5:13" x14ac:dyDescent="0.25">
      <c r="E1673" s="110"/>
      <c r="F1673" s="111"/>
      <c r="K1673" s="1"/>
      <c r="M1673" s="111"/>
    </row>
    <row r="1674" spans="5:13" x14ac:dyDescent="0.25">
      <c r="E1674" s="110"/>
      <c r="F1674" s="111"/>
      <c r="K1674" s="1"/>
      <c r="M1674" s="111"/>
    </row>
    <row r="1675" spans="5:13" x14ac:dyDescent="0.25">
      <c r="E1675" s="110"/>
      <c r="F1675" s="111"/>
      <c r="K1675" s="1"/>
      <c r="M1675" s="111"/>
    </row>
    <row r="1676" spans="5:13" x14ac:dyDescent="0.25">
      <c r="E1676" s="110"/>
      <c r="F1676" s="111"/>
      <c r="K1676" s="1"/>
      <c r="M1676" s="111"/>
    </row>
    <row r="1677" spans="5:13" x14ac:dyDescent="0.25">
      <c r="E1677" s="110"/>
      <c r="F1677" s="111"/>
      <c r="K1677" s="1"/>
      <c r="M1677" s="111"/>
    </row>
    <row r="1678" spans="5:13" x14ac:dyDescent="0.25">
      <c r="E1678" s="110"/>
      <c r="F1678" s="111"/>
      <c r="K1678" s="1"/>
      <c r="M1678" s="111"/>
    </row>
    <row r="1679" spans="5:13" x14ac:dyDescent="0.25">
      <c r="E1679" s="110"/>
      <c r="F1679" s="111"/>
      <c r="K1679" s="1"/>
      <c r="M1679" s="111"/>
    </row>
    <row r="1680" spans="5:13" x14ac:dyDescent="0.25">
      <c r="E1680" s="110"/>
      <c r="F1680" s="111"/>
      <c r="K1680" s="1"/>
      <c r="M1680" s="111"/>
    </row>
    <row r="1681" spans="5:13" x14ac:dyDescent="0.25">
      <c r="E1681" s="110"/>
      <c r="F1681" s="111"/>
      <c r="K1681" s="1"/>
      <c r="M1681" s="111"/>
    </row>
    <row r="1682" spans="5:13" x14ac:dyDescent="0.25">
      <c r="E1682" s="110"/>
      <c r="F1682" s="111"/>
      <c r="K1682" s="1"/>
      <c r="M1682" s="111"/>
    </row>
    <row r="1683" spans="5:13" x14ac:dyDescent="0.25">
      <c r="E1683" s="110"/>
      <c r="F1683" s="111"/>
      <c r="K1683" s="1"/>
      <c r="M1683" s="111"/>
    </row>
    <row r="1684" spans="5:13" x14ac:dyDescent="0.25">
      <c r="E1684" s="110"/>
      <c r="F1684" s="111"/>
      <c r="K1684" s="1"/>
      <c r="M1684" s="111"/>
    </row>
    <row r="1685" spans="5:13" x14ac:dyDescent="0.25">
      <c r="E1685" s="110"/>
      <c r="F1685" s="111"/>
      <c r="K1685" s="1"/>
      <c r="M1685" s="111"/>
    </row>
    <row r="1686" spans="5:13" x14ac:dyDescent="0.25">
      <c r="E1686" s="110"/>
      <c r="F1686" s="111"/>
      <c r="K1686" s="1"/>
      <c r="M1686" s="111"/>
    </row>
    <row r="1687" spans="5:13" x14ac:dyDescent="0.25">
      <c r="E1687" s="110"/>
      <c r="F1687" s="111"/>
      <c r="K1687" s="1"/>
      <c r="M1687" s="111"/>
    </row>
    <row r="1688" spans="5:13" x14ac:dyDescent="0.25">
      <c r="E1688" s="110"/>
      <c r="F1688" s="111"/>
      <c r="K1688" s="1"/>
      <c r="M1688" s="111"/>
    </row>
    <row r="1689" spans="5:13" x14ac:dyDescent="0.25">
      <c r="E1689" s="110"/>
      <c r="F1689" s="111"/>
      <c r="K1689" s="1"/>
      <c r="M1689" s="111"/>
    </row>
    <row r="1690" spans="5:13" x14ac:dyDescent="0.25">
      <c r="E1690" s="110"/>
      <c r="F1690" s="111"/>
      <c r="K1690" s="1"/>
      <c r="M1690" s="111"/>
    </row>
    <row r="1691" spans="5:13" x14ac:dyDescent="0.25">
      <c r="E1691" s="110"/>
      <c r="F1691" s="111"/>
      <c r="K1691" s="1"/>
      <c r="M1691" s="111"/>
    </row>
    <row r="1692" spans="5:13" x14ac:dyDescent="0.25">
      <c r="E1692" s="110"/>
      <c r="F1692" s="111"/>
      <c r="K1692" s="1"/>
      <c r="M1692" s="111"/>
    </row>
    <row r="1693" spans="5:13" x14ac:dyDescent="0.25">
      <c r="E1693" s="110"/>
      <c r="F1693" s="111"/>
      <c r="K1693" s="1"/>
      <c r="M1693" s="111"/>
    </row>
    <row r="1694" spans="5:13" x14ac:dyDescent="0.25">
      <c r="E1694" s="110"/>
      <c r="F1694" s="111"/>
      <c r="K1694" s="1"/>
      <c r="M1694" s="111"/>
    </row>
    <row r="1695" spans="5:13" x14ac:dyDescent="0.25">
      <c r="E1695" s="110"/>
      <c r="F1695" s="111"/>
      <c r="K1695" s="1"/>
      <c r="M1695" s="111"/>
    </row>
    <row r="1696" spans="5:13" x14ac:dyDescent="0.25">
      <c r="E1696" s="110"/>
      <c r="F1696" s="111"/>
      <c r="K1696" s="1"/>
      <c r="M1696" s="111"/>
    </row>
    <row r="1697" spans="5:13" x14ac:dyDescent="0.25">
      <c r="E1697" s="110"/>
      <c r="F1697" s="111"/>
      <c r="K1697" s="1"/>
      <c r="M1697" s="111"/>
    </row>
    <row r="1698" spans="5:13" x14ac:dyDescent="0.25">
      <c r="E1698" s="110"/>
      <c r="F1698" s="111"/>
      <c r="K1698" s="1"/>
      <c r="M1698" s="111"/>
    </row>
    <row r="1699" spans="5:13" x14ac:dyDescent="0.25">
      <c r="E1699" s="110"/>
      <c r="F1699" s="111"/>
      <c r="K1699" s="1"/>
      <c r="M1699" s="111"/>
    </row>
    <row r="1700" spans="5:13" x14ac:dyDescent="0.25">
      <c r="E1700" s="110"/>
      <c r="F1700" s="111"/>
      <c r="K1700" s="1"/>
      <c r="M1700" s="111"/>
    </row>
    <row r="1701" spans="5:13" x14ac:dyDescent="0.25">
      <c r="E1701" s="110"/>
      <c r="F1701" s="111"/>
      <c r="K1701" s="1"/>
      <c r="M1701" s="111"/>
    </row>
    <row r="1702" spans="5:13" x14ac:dyDescent="0.25">
      <c r="E1702" s="110"/>
      <c r="F1702" s="111"/>
      <c r="K1702" s="1"/>
      <c r="M1702" s="111"/>
    </row>
    <row r="1703" spans="5:13" x14ac:dyDescent="0.25">
      <c r="E1703" s="110"/>
      <c r="F1703" s="111"/>
      <c r="K1703" s="1"/>
      <c r="M1703" s="111"/>
    </row>
    <row r="1704" spans="5:13" x14ac:dyDescent="0.25">
      <c r="E1704" s="110"/>
      <c r="F1704" s="111"/>
      <c r="K1704" s="1"/>
      <c r="M1704" s="111"/>
    </row>
    <row r="1705" spans="5:13" x14ac:dyDescent="0.25">
      <c r="E1705" s="110"/>
      <c r="F1705" s="111"/>
      <c r="K1705" s="1"/>
      <c r="M1705" s="111"/>
    </row>
    <row r="1706" spans="5:13" x14ac:dyDescent="0.25">
      <c r="E1706" s="110"/>
      <c r="F1706" s="111"/>
      <c r="K1706" s="1"/>
      <c r="M1706" s="111"/>
    </row>
    <row r="1707" spans="5:13" x14ac:dyDescent="0.25">
      <c r="E1707" s="110"/>
      <c r="F1707" s="111"/>
      <c r="K1707" s="1"/>
      <c r="M1707" s="111"/>
    </row>
    <row r="1708" spans="5:13" x14ac:dyDescent="0.25">
      <c r="E1708" s="110"/>
      <c r="F1708" s="111"/>
      <c r="K1708" s="1"/>
      <c r="M1708" s="111"/>
    </row>
    <row r="1709" spans="5:13" x14ac:dyDescent="0.25">
      <c r="E1709" s="110"/>
      <c r="F1709" s="111"/>
      <c r="K1709" s="1"/>
      <c r="M1709" s="111"/>
    </row>
    <row r="1710" spans="5:13" x14ac:dyDescent="0.25">
      <c r="E1710" s="110"/>
      <c r="F1710" s="111"/>
      <c r="K1710" s="1"/>
      <c r="M1710" s="111"/>
    </row>
    <row r="1711" spans="5:13" x14ac:dyDescent="0.25">
      <c r="E1711" s="110"/>
      <c r="F1711" s="111"/>
      <c r="K1711" s="1"/>
      <c r="M1711" s="111"/>
    </row>
    <row r="1712" spans="5:13" x14ac:dyDescent="0.25">
      <c r="E1712" s="110"/>
      <c r="F1712" s="111"/>
      <c r="K1712" s="1"/>
      <c r="M1712" s="111"/>
    </row>
    <row r="1713" spans="5:13" x14ac:dyDescent="0.25">
      <c r="E1713" s="110"/>
      <c r="F1713" s="111"/>
      <c r="K1713" s="1"/>
      <c r="M1713" s="111"/>
    </row>
    <row r="1714" spans="5:13" x14ac:dyDescent="0.25">
      <c r="E1714" s="110"/>
      <c r="F1714" s="111"/>
      <c r="K1714" s="1"/>
      <c r="M1714" s="111"/>
    </row>
    <row r="1715" spans="5:13" x14ac:dyDescent="0.25">
      <c r="E1715" s="110"/>
      <c r="F1715" s="111"/>
      <c r="K1715" s="1"/>
      <c r="M1715" s="111"/>
    </row>
    <row r="1716" spans="5:13" x14ac:dyDescent="0.25">
      <c r="E1716" s="110"/>
      <c r="F1716" s="111"/>
      <c r="K1716" s="1"/>
      <c r="M1716" s="111"/>
    </row>
    <row r="1717" spans="5:13" x14ac:dyDescent="0.25">
      <c r="E1717" s="110"/>
      <c r="F1717" s="111"/>
      <c r="K1717" s="1"/>
      <c r="M1717" s="111"/>
    </row>
    <row r="1718" spans="5:13" x14ac:dyDescent="0.25">
      <c r="E1718" s="110"/>
      <c r="F1718" s="111"/>
      <c r="K1718" s="1"/>
      <c r="M1718" s="111"/>
    </row>
    <row r="1719" spans="5:13" x14ac:dyDescent="0.25">
      <c r="E1719" s="110"/>
      <c r="F1719" s="111"/>
      <c r="K1719" s="1"/>
      <c r="M1719" s="111"/>
    </row>
    <row r="1720" spans="5:13" x14ac:dyDescent="0.25">
      <c r="E1720" s="110"/>
      <c r="F1720" s="111"/>
      <c r="K1720" s="1"/>
      <c r="M1720" s="111"/>
    </row>
    <row r="1721" spans="5:13" x14ac:dyDescent="0.25">
      <c r="E1721" s="110"/>
      <c r="F1721" s="111"/>
      <c r="K1721" s="1"/>
      <c r="M1721" s="111"/>
    </row>
    <row r="1722" spans="5:13" x14ac:dyDescent="0.25">
      <c r="E1722" s="110"/>
      <c r="F1722" s="111"/>
      <c r="K1722" s="1"/>
      <c r="M1722" s="111"/>
    </row>
    <row r="1723" spans="5:13" x14ac:dyDescent="0.25">
      <c r="E1723" s="110"/>
      <c r="F1723" s="111"/>
      <c r="K1723" s="1"/>
      <c r="M1723" s="111"/>
    </row>
    <row r="1724" spans="5:13" x14ac:dyDescent="0.25">
      <c r="E1724" s="110"/>
      <c r="F1724" s="111"/>
      <c r="K1724" s="1"/>
      <c r="M1724" s="111"/>
    </row>
    <row r="1725" spans="5:13" x14ac:dyDescent="0.25">
      <c r="E1725" s="110"/>
      <c r="F1725" s="111"/>
      <c r="K1725" s="1"/>
      <c r="M1725" s="111"/>
    </row>
    <row r="1726" spans="5:13" x14ac:dyDescent="0.25">
      <c r="E1726" s="110"/>
      <c r="F1726" s="111"/>
      <c r="K1726" s="1"/>
      <c r="M1726" s="111"/>
    </row>
    <row r="1727" spans="5:13" x14ac:dyDescent="0.25">
      <c r="E1727" s="110"/>
      <c r="F1727" s="111"/>
      <c r="K1727" s="1"/>
      <c r="M1727" s="111"/>
    </row>
    <row r="1728" spans="5:13" x14ac:dyDescent="0.25">
      <c r="E1728" s="110"/>
      <c r="F1728" s="111"/>
      <c r="K1728" s="1"/>
      <c r="M1728" s="111"/>
    </row>
    <row r="1729" spans="5:13" x14ac:dyDescent="0.25">
      <c r="E1729" s="110"/>
      <c r="F1729" s="111"/>
      <c r="K1729" s="1"/>
      <c r="M1729" s="111"/>
    </row>
    <row r="1730" spans="5:13" x14ac:dyDescent="0.25">
      <c r="E1730" s="110"/>
      <c r="F1730" s="111"/>
      <c r="K1730" s="1"/>
      <c r="M1730" s="111"/>
    </row>
    <row r="1731" spans="5:13" x14ac:dyDescent="0.25">
      <c r="E1731" s="110"/>
      <c r="F1731" s="111"/>
      <c r="K1731" s="1"/>
      <c r="M1731" s="111"/>
    </row>
    <row r="1732" spans="5:13" x14ac:dyDescent="0.25">
      <c r="E1732" s="110"/>
      <c r="F1732" s="111"/>
      <c r="K1732" s="1"/>
      <c r="M1732" s="111"/>
    </row>
    <row r="1733" spans="5:13" x14ac:dyDescent="0.25">
      <c r="E1733" s="110"/>
      <c r="F1733" s="111"/>
      <c r="K1733" s="1"/>
      <c r="M1733" s="111"/>
    </row>
    <row r="1734" spans="5:13" x14ac:dyDescent="0.25">
      <c r="E1734" s="110"/>
      <c r="F1734" s="111"/>
      <c r="K1734" s="1"/>
      <c r="M1734" s="111"/>
    </row>
    <row r="1735" spans="5:13" x14ac:dyDescent="0.25">
      <c r="E1735" s="110"/>
      <c r="F1735" s="111"/>
      <c r="K1735" s="1"/>
      <c r="M1735" s="111"/>
    </row>
    <row r="1736" spans="5:13" x14ac:dyDescent="0.25">
      <c r="E1736" s="110"/>
      <c r="F1736" s="111"/>
      <c r="K1736" s="1"/>
      <c r="M1736" s="111"/>
    </row>
    <row r="1737" spans="5:13" x14ac:dyDescent="0.25">
      <c r="E1737" s="110"/>
      <c r="F1737" s="111"/>
      <c r="K1737" s="1"/>
      <c r="M1737" s="111"/>
    </row>
    <row r="1738" spans="5:13" x14ac:dyDescent="0.25">
      <c r="E1738" s="110"/>
      <c r="F1738" s="111"/>
      <c r="K1738" s="1"/>
      <c r="M1738" s="111"/>
    </row>
    <row r="1739" spans="5:13" x14ac:dyDescent="0.25">
      <c r="E1739" s="110"/>
      <c r="F1739" s="111"/>
      <c r="K1739" s="1"/>
      <c r="M1739" s="111"/>
    </row>
    <row r="1740" spans="5:13" x14ac:dyDescent="0.25">
      <c r="E1740" s="110"/>
      <c r="F1740" s="111"/>
      <c r="K1740" s="1"/>
      <c r="M1740" s="111"/>
    </row>
    <row r="1741" spans="5:13" x14ac:dyDescent="0.25">
      <c r="E1741" s="110"/>
      <c r="F1741" s="111"/>
      <c r="K1741" s="1"/>
      <c r="M1741" s="111"/>
    </row>
    <row r="1742" spans="5:13" x14ac:dyDescent="0.25">
      <c r="E1742" s="110"/>
      <c r="F1742" s="111"/>
      <c r="K1742" s="1"/>
      <c r="M1742" s="111"/>
    </row>
    <row r="1743" spans="5:13" x14ac:dyDescent="0.25">
      <c r="E1743" s="110"/>
      <c r="F1743" s="111"/>
      <c r="K1743" s="1"/>
      <c r="M1743" s="111"/>
    </row>
    <row r="1744" spans="5:13" x14ac:dyDescent="0.25">
      <c r="E1744" s="110"/>
      <c r="F1744" s="111"/>
      <c r="K1744" s="1"/>
      <c r="M1744" s="111"/>
    </row>
    <row r="1745" spans="5:13" x14ac:dyDescent="0.25">
      <c r="E1745" s="110"/>
      <c r="F1745" s="111"/>
      <c r="K1745" s="1"/>
      <c r="M1745" s="111"/>
    </row>
    <row r="1746" spans="5:13" x14ac:dyDescent="0.25">
      <c r="E1746" s="110"/>
      <c r="F1746" s="111"/>
      <c r="K1746" s="1"/>
      <c r="M1746" s="111"/>
    </row>
    <row r="1747" spans="5:13" x14ac:dyDescent="0.25">
      <c r="E1747" s="110"/>
      <c r="F1747" s="111"/>
      <c r="K1747" s="1"/>
      <c r="M1747" s="111"/>
    </row>
    <row r="1748" spans="5:13" x14ac:dyDescent="0.25">
      <c r="E1748" s="110"/>
      <c r="F1748" s="111"/>
      <c r="K1748" s="1"/>
      <c r="M1748" s="111"/>
    </row>
    <row r="1749" spans="5:13" x14ac:dyDescent="0.25">
      <c r="E1749" s="110"/>
      <c r="F1749" s="111"/>
      <c r="K1749" s="1"/>
      <c r="M1749" s="111"/>
    </row>
    <row r="1750" spans="5:13" x14ac:dyDescent="0.25">
      <c r="E1750" s="110"/>
      <c r="F1750" s="111"/>
      <c r="K1750" s="1"/>
      <c r="M1750" s="111"/>
    </row>
    <row r="1751" spans="5:13" x14ac:dyDescent="0.25">
      <c r="E1751" s="110"/>
      <c r="F1751" s="111"/>
      <c r="K1751" s="1"/>
      <c r="M1751" s="111"/>
    </row>
    <row r="1752" spans="5:13" x14ac:dyDescent="0.25">
      <c r="E1752" s="110"/>
      <c r="F1752" s="111"/>
      <c r="K1752" s="1"/>
      <c r="M1752" s="111"/>
    </row>
    <row r="1753" spans="5:13" x14ac:dyDescent="0.25">
      <c r="E1753" s="110"/>
      <c r="F1753" s="111"/>
      <c r="K1753" s="1"/>
      <c r="M1753" s="111"/>
    </row>
    <row r="1754" spans="5:13" x14ac:dyDescent="0.25">
      <c r="E1754" s="110"/>
      <c r="F1754" s="111"/>
      <c r="K1754" s="1"/>
      <c r="M1754" s="111"/>
    </row>
    <row r="1755" spans="5:13" x14ac:dyDescent="0.25">
      <c r="E1755" s="110"/>
      <c r="F1755" s="111"/>
      <c r="K1755" s="1"/>
      <c r="M1755" s="111"/>
    </row>
    <row r="1756" spans="5:13" x14ac:dyDescent="0.25">
      <c r="E1756" s="110"/>
      <c r="F1756" s="111"/>
      <c r="K1756" s="1"/>
      <c r="M1756" s="111"/>
    </row>
    <row r="1757" spans="5:13" x14ac:dyDescent="0.25">
      <c r="E1757" s="110"/>
      <c r="F1757" s="111"/>
      <c r="K1757" s="1"/>
      <c r="M1757" s="111"/>
    </row>
    <row r="1758" spans="5:13" x14ac:dyDescent="0.25">
      <c r="E1758" s="110"/>
      <c r="F1758" s="111"/>
      <c r="K1758" s="1"/>
      <c r="M1758" s="111"/>
    </row>
    <row r="1759" spans="5:13" x14ac:dyDescent="0.25">
      <c r="E1759" s="110"/>
      <c r="F1759" s="111"/>
      <c r="K1759" s="1"/>
      <c r="M1759" s="111"/>
    </row>
    <row r="1760" spans="5:13" x14ac:dyDescent="0.25">
      <c r="E1760" s="110"/>
      <c r="F1760" s="111"/>
      <c r="K1760" s="1"/>
      <c r="M1760" s="111"/>
    </row>
    <row r="1761" spans="5:13" x14ac:dyDescent="0.25">
      <c r="E1761" s="110"/>
      <c r="F1761" s="111"/>
      <c r="K1761" s="1"/>
      <c r="M1761" s="111"/>
    </row>
    <row r="1762" spans="5:13" x14ac:dyDescent="0.25">
      <c r="E1762" s="110"/>
      <c r="F1762" s="111"/>
      <c r="K1762" s="1"/>
      <c r="M1762" s="111"/>
    </row>
    <row r="1763" spans="5:13" x14ac:dyDescent="0.25">
      <c r="E1763" s="110"/>
      <c r="F1763" s="111"/>
      <c r="K1763" s="1"/>
      <c r="M1763" s="111"/>
    </row>
    <row r="1764" spans="5:13" x14ac:dyDescent="0.25">
      <c r="E1764" s="110"/>
      <c r="F1764" s="111"/>
      <c r="K1764" s="1"/>
      <c r="M1764" s="111"/>
    </row>
    <row r="1765" spans="5:13" x14ac:dyDescent="0.25">
      <c r="E1765" s="110"/>
      <c r="F1765" s="111"/>
      <c r="K1765" s="1"/>
      <c r="M1765" s="111"/>
    </row>
    <row r="1766" spans="5:13" x14ac:dyDescent="0.25">
      <c r="E1766" s="110"/>
      <c r="F1766" s="111"/>
      <c r="K1766" s="1"/>
      <c r="M1766" s="111"/>
    </row>
    <row r="1767" spans="5:13" x14ac:dyDescent="0.25">
      <c r="E1767" s="110"/>
      <c r="F1767" s="111"/>
      <c r="K1767" s="1"/>
      <c r="M1767" s="111"/>
    </row>
    <row r="1768" spans="5:13" x14ac:dyDescent="0.25">
      <c r="E1768" s="110"/>
      <c r="F1768" s="111"/>
      <c r="K1768" s="1"/>
      <c r="M1768" s="111"/>
    </row>
    <row r="1769" spans="5:13" x14ac:dyDescent="0.25">
      <c r="E1769" s="110"/>
      <c r="F1769" s="111"/>
      <c r="K1769" s="1"/>
      <c r="M1769" s="111"/>
    </row>
    <row r="1770" spans="5:13" x14ac:dyDescent="0.25">
      <c r="E1770" s="110"/>
      <c r="F1770" s="111"/>
      <c r="K1770" s="1"/>
      <c r="M1770" s="111"/>
    </row>
    <row r="1771" spans="5:13" x14ac:dyDescent="0.25">
      <c r="E1771" s="110"/>
      <c r="F1771" s="111"/>
      <c r="K1771" s="1"/>
      <c r="M1771" s="111"/>
    </row>
    <row r="1772" spans="5:13" x14ac:dyDescent="0.25">
      <c r="E1772" s="110"/>
      <c r="F1772" s="111"/>
      <c r="K1772" s="1"/>
      <c r="M1772" s="111"/>
    </row>
    <row r="1773" spans="5:13" x14ac:dyDescent="0.25">
      <c r="E1773" s="110"/>
      <c r="F1773" s="111"/>
      <c r="K1773" s="1"/>
      <c r="M1773" s="111"/>
    </row>
    <row r="1774" spans="5:13" x14ac:dyDescent="0.25">
      <c r="E1774" s="110"/>
      <c r="F1774" s="111"/>
      <c r="K1774" s="1"/>
      <c r="M1774" s="111"/>
    </row>
    <row r="1775" spans="5:13" x14ac:dyDescent="0.25">
      <c r="E1775" s="110"/>
      <c r="F1775" s="111"/>
      <c r="K1775" s="1"/>
      <c r="M1775" s="111"/>
    </row>
    <row r="1776" spans="5:13" x14ac:dyDescent="0.25">
      <c r="E1776" s="110"/>
      <c r="F1776" s="111"/>
      <c r="K1776" s="1"/>
      <c r="M1776" s="111"/>
    </row>
    <row r="1777" spans="5:13" x14ac:dyDescent="0.25">
      <c r="E1777" s="110"/>
      <c r="F1777" s="111"/>
      <c r="K1777" s="1"/>
      <c r="M1777" s="111"/>
    </row>
    <row r="1778" spans="5:13" x14ac:dyDescent="0.25">
      <c r="E1778" s="110"/>
      <c r="F1778" s="111"/>
      <c r="K1778" s="1"/>
      <c r="M1778" s="111"/>
    </row>
    <row r="1779" spans="5:13" x14ac:dyDescent="0.25">
      <c r="E1779" s="110"/>
      <c r="F1779" s="111"/>
      <c r="K1779" s="1"/>
      <c r="M1779" s="111"/>
    </row>
    <row r="1780" spans="5:13" x14ac:dyDescent="0.25">
      <c r="E1780" s="110"/>
      <c r="F1780" s="111"/>
      <c r="K1780" s="1"/>
      <c r="M1780" s="111"/>
    </row>
    <row r="1781" spans="5:13" x14ac:dyDescent="0.25">
      <c r="E1781" s="110"/>
      <c r="F1781" s="111"/>
      <c r="K1781" s="1"/>
      <c r="M1781" s="111"/>
    </row>
    <row r="1782" spans="5:13" x14ac:dyDescent="0.25">
      <c r="E1782" s="110"/>
      <c r="F1782" s="111"/>
      <c r="K1782" s="1"/>
      <c r="M1782" s="111"/>
    </row>
    <row r="1783" spans="5:13" x14ac:dyDescent="0.25">
      <c r="E1783" s="110"/>
      <c r="F1783" s="111"/>
      <c r="K1783" s="1"/>
      <c r="M1783" s="111"/>
    </row>
    <row r="1784" spans="5:13" x14ac:dyDescent="0.25">
      <c r="E1784" s="110"/>
      <c r="F1784" s="111"/>
      <c r="K1784" s="1"/>
      <c r="M1784" s="111"/>
    </row>
    <row r="1785" spans="5:13" x14ac:dyDescent="0.25">
      <c r="E1785" s="110"/>
      <c r="F1785" s="111"/>
      <c r="K1785" s="1"/>
      <c r="M1785" s="111"/>
    </row>
    <row r="1786" spans="5:13" x14ac:dyDescent="0.25">
      <c r="E1786" s="110"/>
      <c r="F1786" s="111"/>
      <c r="K1786" s="1"/>
      <c r="M1786" s="111"/>
    </row>
    <row r="1787" spans="5:13" x14ac:dyDescent="0.25">
      <c r="E1787" s="110"/>
      <c r="F1787" s="111"/>
      <c r="K1787" s="1"/>
      <c r="M1787" s="111"/>
    </row>
    <row r="1788" spans="5:13" x14ac:dyDescent="0.25">
      <c r="E1788" s="110"/>
      <c r="F1788" s="111"/>
      <c r="K1788" s="1"/>
      <c r="M1788" s="111"/>
    </row>
    <row r="1789" spans="5:13" x14ac:dyDescent="0.25">
      <c r="E1789" s="110"/>
      <c r="F1789" s="111"/>
      <c r="K1789" s="1"/>
      <c r="M1789" s="111"/>
    </row>
    <row r="1790" spans="5:13" x14ac:dyDescent="0.25">
      <c r="E1790" s="110"/>
      <c r="F1790" s="111"/>
      <c r="K1790" s="1"/>
      <c r="M1790" s="111"/>
    </row>
    <row r="1791" spans="5:13" x14ac:dyDescent="0.25">
      <c r="E1791" s="110"/>
      <c r="F1791" s="111"/>
      <c r="K1791" s="1"/>
      <c r="M1791" s="111"/>
    </row>
    <row r="1792" spans="5:13" x14ac:dyDescent="0.25">
      <c r="E1792" s="110"/>
      <c r="F1792" s="111"/>
      <c r="K1792" s="1"/>
      <c r="M1792" s="111"/>
    </row>
    <row r="1793" spans="5:13" x14ac:dyDescent="0.25">
      <c r="E1793" s="110"/>
      <c r="F1793" s="111"/>
      <c r="K1793" s="1"/>
      <c r="M1793" s="111"/>
    </row>
    <row r="1794" spans="5:13" x14ac:dyDescent="0.25">
      <c r="E1794" s="110"/>
      <c r="F1794" s="111"/>
      <c r="K1794" s="1"/>
      <c r="M1794" s="111"/>
    </row>
    <row r="1795" spans="5:13" x14ac:dyDescent="0.25">
      <c r="E1795" s="110"/>
      <c r="F1795" s="111"/>
      <c r="K1795" s="1"/>
      <c r="M1795" s="111"/>
    </row>
    <row r="1796" spans="5:13" x14ac:dyDescent="0.25">
      <c r="E1796" s="110"/>
      <c r="F1796" s="111"/>
      <c r="K1796" s="1"/>
      <c r="M1796" s="111"/>
    </row>
    <row r="1797" spans="5:13" x14ac:dyDescent="0.25">
      <c r="E1797" s="110"/>
      <c r="F1797" s="111"/>
      <c r="K1797" s="1"/>
      <c r="M1797" s="111"/>
    </row>
    <row r="1798" spans="5:13" x14ac:dyDescent="0.25">
      <c r="E1798" s="110"/>
      <c r="F1798" s="111"/>
      <c r="K1798" s="1"/>
      <c r="M1798" s="111"/>
    </row>
    <row r="1799" spans="5:13" x14ac:dyDescent="0.25">
      <c r="E1799" s="110"/>
      <c r="F1799" s="111"/>
      <c r="K1799" s="1"/>
      <c r="M1799" s="111"/>
    </row>
    <row r="1800" spans="5:13" x14ac:dyDescent="0.25">
      <c r="E1800" s="110"/>
      <c r="F1800" s="111"/>
      <c r="K1800" s="1"/>
      <c r="M1800" s="111"/>
    </row>
    <row r="1801" spans="5:13" x14ac:dyDescent="0.25">
      <c r="E1801" s="110"/>
      <c r="F1801" s="111"/>
      <c r="K1801" s="1"/>
      <c r="M1801" s="111"/>
    </row>
    <row r="1802" spans="5:13" x14ac:dyDescent="0.25">
      <c r="E1802" s="110"/>
      <c r="F1802" s="111"/>
      <c r="K1802" s="1"/>
      <c r="M1802" s="111"/>
    </row>
    <row r="1803" spans="5:13" x14ac:dyDescent="0.25">
      <c r="E1803" s="110"/>
      <c r="F1803" s="111"/>
      <c r="K1803" s="1"/>
      <c r="M1803" s="111"/>
    </row>
    <row r="1804" spans="5:13" x14ac:dyDescent="0.25">
      <c r="E1804" s="110"/>
      <c r="F1804" s="111"/>
      <c r="K1804" s="1"/>
      <c r="M1804" s="111"/>
    </row>
    <row r="1805" spans="5:13" x14ac:dyDescent="0.25">
      <c r="E1805" s="110"/>
      <c r="F1805" s="111"/>
      <c r="K1805" s="1"/>
      <c r="M1805" s="111"/>
    </row>
    <row r="1806" spans="5:13" x14ac:dyDescent="0.25">
      <c r="E1806" s="110"/>
      <c r="F1806" s="111"/>
      <c r="K1806" s="1"/>
      <c r="M1806" s="111"/>
    </row>
    <row r="1807" spans="5:13" x14ac:dyDescent="0.25">
      <c r="E1807" s="110"/>
      <c r="F1807" s="111"/>
      <c r="K1807" s="1"/>
      <c r="M1807" s="111"/>
    </row>
    <row r="1808" spans="5:13" x14ac:dyDescent="0.25">
      <c r="E1808" s="110"/>
      <c r="F1808" s="111"/>
      <c r="K1808" s="1"/>
      <c r="M1808" s="111"/>
    </row>
    <row r="1809" spans="5:13" x14ac:dyDescent="0.25">
      <c r="E1809" s="110"/>
      <c r="F1809" s="111"/>
      <c r="K1809" s="1"/>
      <c r="M1809" s="111"/>
    </row>
    <row r="1810" spans="5:13" x14ac:dyDescent="0.25">
      <c r="E1810" s="110"/>
      <c r="F1810" s="111"/>
      <c r="K1810" s="1"/>
      <c r="M1810" s="111"/>
    </row>
    <row r="1811" spans="5:13" x14ac:dyDescent="0.25">
      <c r="E1811" s="110"/>
      <c r="F1811" s="111"/>
      <c r="K1811" s="1"/>
      <c r="M1811" s="111"/>
    </row>
    <row r="1812" spans="5:13" x14ac:dyDescent="0.25">
      <c r="E1812" s="110"/>
      <c r="F1812" s="111"/>
      <c r="K1812" s="1"/>
      <c r="M1812" s="111"/>
    </row>
    <row r="1813" spans="5:13" x14ac:dyDescent="0.25">
      <c r="E1813" s="110"/>
      <c r="F1813" s="111"/>
      <c r="K1813" s="1"/>
      <c r="M1813" s="111"/>
    </row>
    <row r="1814" spans="5:13" x14ac:dyDescent="0.25">
      <c r="E1814" s="110"/>
      <c r="F1814" s="111"/>
      <c r="K1814" s="1"/>
      <c r="M1814" s="111"/>
    </row>
    <row r="1815" spans="5:13" x14ac:dyDescent="0.25">
      <c r="E1815" s="110"/>
      <c r="F1815" s="111"/>
      <c r="K1815" s="1"/>
      <c r="M1815" s="111"/>
    </row>
    <row r="1816" spans="5:13" x14ac:dyDescent="0.25">
      <c r="E1816" s="110"/>
      <c r="F1816" s="111"/>
      <c r="K1816" s="1"/>
      <c r="M1816" s="111"/>
    </row>
    <row r="1817" spans="5:13" x14ac:dyDescent="0.25">
      <c r="E1817" s="110"/>
      <c r="F1817" s="111"/>
      <c r="K1817" s="1"/>
      <c r="M1817" s="111"/>
    </row>
    <row r="1818" spans="5:13" x14ac:dyDescent="0.25">
      <c r="E1818" s="110"/>
      <c r="F1818" s="111"/>
      <c r="K1818" s="1"/>
      <c r="M1818" s="111"/>
    </row>
    <row r="1819" spans="5:13" x14ac:dyDescent="0.25">
      <c r="E1819" s="110"/>
      <c r="F1819" s="111"/>
      <c r="K1819" s="1"/>
      <c r="M1819" s="111"/>
    </row>
    <row r="1820" spans="5:13" x14ac:dyDescent="0.25">
      <c r="E1820" s="110"/>
      <c r="F1820" s="111"/>
      <c r="K1820" s="1"/>
      <c r="M1820" s="111"/>
    </row>
    <row r="1821" spans="5:13" x14ac:dyDescent="0.25">
      <c r="E1821" s="110"/>
      <c r="F1821" s="111"/>
      <c r="K1821" s="1"/>
      <c r="M1821" s="111"/>
    </row>
    <row r="1822" spans="5:13" x14ac:dyDescent="0.25">
      <c r="E1822" s="110"/>
      <c r="F1822" s="111"/>
      <c r="K1822" s="1"/>
      <c r="M1822" s="111"/>
    </row>
    <row r="1823" spans="5:13" x14ac:dyDescent="0.25">
      <c r="E1823" s="110"/>
      <c r="F1823" s="111"/>
      <c r="K1823" s="1"/>
      <c r="M1823" s="111"/>
    </row>
    <row r="1824" spans="5:13" x14ac:dyDescent="0.25">
      <c r="E1824" s="110"/>
      <c r="F1824" s="111"/>
      <c r="K1824" s="1"/>
      <c r="M1824" s="111"/>
    </row>
    <row r="1825" spans="5:13" x14ac:dyDescent="0.25">
      <c r="E1825" s="110"/>
      <c r="F1825" s="111"/>
      <c r="K1825" s="1"/>
      <c r="M1825" s="111"/>
    </row>
    <row r="1826" spans="5:13" x14ac:dyDescent="0.25">
      <c r="E1826" s="110"/>
      <c r="F1826" s="111"/>
      <c r="K1826" s="1"/>
      <c r="M1826" s="111"/>
    </row>
    <row r="1827" spans="5:13" x14ac:dyDescent="0.25">
      <c r="E1827" s="110"/>
      <c r="F1827" s="111"/>
      <c r="K1827" s="1"/>
      <c r="M1827" s="111"/>
    </row>
    <row r="1828" spans="5:13" x14ac:dyDescent="0.25">
      <c r="E1828" s="110"/>
      <c r="F1828" s="111"/>
      <c r="K1828" s="1"/>
      <c r="M1828" s="111"/>
    </row>
    <row r="1829" spans="5:13" x14ac:dyDescent="0.25">
      <c r="E1829" s="110"/>
      <c r="F1829" s="111"/>
      <c r="K1829" s="1"/>
      <c r="M1829" s="111"/>
    </row>
    <row r="1830" spans="5:13" x14ac:dyDescent="0.25">
      <c r="E1830" s="110"/>
      <c r="F1830" s="111"/>
      <c r="K1830" s="1"/>
      <c r="M1830" s="111"/>
    </row>
    <row r="1831" spans="5:13" x14ac:dyDescent="0.25">
      <c r="E1831" s="110"/>
      <c r="F1831" s="111"/>
      <c r="K1831" s="1"/>
      <c r="M1831" s="111"/>
    </row>
    <row r="1832" spans="5:13" x14ac:dyDescent="0.25">
      <c r="E1832" s="110"/>
      <c r="F1832" s="111"/>
      <c r="K1832" s="1"/>
      <c r="M1832" s="111"/>
    </row>
    <row r="1833" spans="5:13" x14ac:dyDescent="0.25">
      <c r="E1833" s="110"/>
      <c r="F1833" s="111"/>
      <c r="K1833" s="1"/>
      <c r="M1833" s="111"/>
    </row>
    <row r="1834" spans="5:13" x14ac:dyDescent="0.25">
      <c r="E1834" s="110"/>
      <c r="F1834" s="111"/>
      <c r="K1834" s="1"/>
      <c r="M1834" s="111"/>
    </row>
    <row r="1835" spans="5:13" x14ac:dyDescent="0.25">
      <c r="E1835" s="110"/>
      <c r="F1835" s="111"/>
      <c r="K1835" s="1"/>
      <c r="M1835" s="111"/>
    </row>
    <row r="1836" spans="5:13" x14ac:dyDescent="0.25">
      <c r="E1836" s="110"/>
      <c r="F1836" s="111"/>
      <c r="K1836" s="1"/>
      <c r="M1836" s="111"/>
    </row>
    <row r="1837" spans="5:13" x14ac:dyDescent="0.25">
      <c r="E1837" s="110"/>
      <c r="F1837" s="111"/>
      <c r="K1837" s="1"/>
      <c r="M1837" s="111"/>
    </row>
    <row r="1838" spans="5:13" x14ac:dyDescent="0.25">
      <c r="E1838" s="110"/>
      <c r="F1838" s="111"/>
      <c r="K1838" s="1"/>
      <c r="M1838" s="111"/>
    </row>
    <row r="1839" spans="5:13" x14ac:dyDescent="0.25">
      <c r="E1839" s="110"/>
      <c r="F1839" s="111"/>
      <c r="K1839" s="1"/>
      <c r="M1839" s="111"/>
    </row>
    <row r="1840" spans="5:13" x14ac:dyDescent="0.25">
      <c r="E1840" s="110"/>
      <c r="F1840" s="111"/>
      <c r="K1840" s="1"/>
      <c r="M1840" s="111"/>
    </row>
    <row r="1841" spans="5:13" x14ac:dyDescent="0.25">
      <c r="E1841" s="110"/>
      <c r="F1841" s="111"/>
      <c r="K1841" s="1"/>
      <c r="M1841" s="111"/>
    </row>
    <row r="1842" spans="5:13" x14ac:dyDescent="0.25">
      <c r="E1842" s="110"/>
      <c r="F1842" s="111"/>
      <c r="K1842" s="1"/>
      <c r="M1842" s="111"/>
    </row>
    <row r="1843" spans="5:13" x14ac:dyDescent="0.25">
      <c r="E1843" s="110"/>
      <c r="F1843" s="111"/>
      <c r="K1843" s="1"/>
      <c r="M1843" s="111"/>
    </row>
    <row r="1844" spans="5:13" x14ac:dyDescent="0.25">
      <c r="E1844" s="110"/>
      <c r="F1844" s="111"/>
      <c r="K1844" s="1"/>
      <c r="M1844" s="111"/>
    </row>
    <row r="1845" spans="5:13" x14ac:dyDescent="0.25">
      <c r="E1845" s="110"/>
      <c r="F1845" s="111"/>
      <c r="K1845" s="1"/>
      <c r="M1845" s="111"/>
    </row>
    <row r="1846" spans="5:13" x14ac:dyDescent="0.25">
      <c r="E1846" s="110"/>
      <c r="F1846" s="111"/>
      <c r="K1846" s="1"/>
      <c r="M1846" s="111"/>
    </row>
    <row r="1847" spans="5:13" x14ac:dyDescent="0.25">
      <c r="E1847" s="110"/>
      <c r="F1847" s="111"/>
      <c r="K1847" s="1"/>
      <c r="M1847" s="111"/>
    </row>
    <row r="1848" spans="5:13" x14ac:dyDescent="0.25">
      <c r="E1848" s="110"/>
      <c r="F1848" s="111"/>
      <c r="K1848" s="1"/>
      <c r="M1848" s="111"/>
    </row>
    <row r="1849" spans="5:13" x14ac:dyDescent="0.25">
      <c r="E1849" s="110"/>
      <c r="F1849" s="111"/>
      <c r="K1849" s="1"/>
      <c r="M1849" s="111"/>
    </row>
    <row r="1850" spans="5:13" x14ac:dyDescent="0.25">
      <c r="E1850" s="110"/>
      <c r="F1850" s="111"/>
      <c r="K1850" s="1"/>
      <c r="M1850" s="111"/>
    </row>
    <row r="1851" spans="5:13" x14ac:dyDescent="0.25">
      <c r="E1851" s="110"/>
      <c r="F1851" s="111"/>
      <c r="K1851" s="1"/>
      <c r="M1851" s="111"/>
    </row>
    <row r="1852" spans="5:13" x14ac:dyDescent="0.25">
      <c r="E1852" s="110"/>
      <c r="F1852" s="111"/>
      <c r="K1852" s="1"/>
      <c r="M1852" s="111"/>
    </row>
    <row r="1853" spans="5:13" x14ac:dyDescent="0.25">
      <c r="E1853" s="110"/>
      <c r="F1853" s="111"/>
      <c r="K1853" s="1"/>
      <c r="M1853" s="111"/>
    </row>
    <row r="1854" spans="5:13" x14ac:dyDescent="0.25">
      <c r="E1854" s="110"/>
      <c r="F1854" s="111"/>
      <c r="K1854" s="1"/>
      <c r="M1854" s="111"/>
    </row>
    <row r="1855" spans="5:13" x14ac:dyDescent="0.25">
      <c r="E1855" s="110"/>
      <c r="F1855" s="111"/>
      <c r="K1855" s="1"/>
      <c r="M1855" s="111"/>
    </row>
    <row r="1856" spans="5:13" x14ac:dyDescent="0.25">
      <c r="E1856" s="110"/>
      <c r="F1856" s="111"/>
      <c r="K1856" s="1"/>
      <c r="M1856" s="111"/>
    </row>
    <row r="1857" spans="5:13" x14ac:dyDescent="0.25">
      <c r="E1857" s="110"/>
      <c r="F1857" s="111"/>
      <c r="K1857" s="1"/>
      <c r="M1857" s="111"/>
    </row>
    <row r="1858" spans="5:13" x14ac:dyDescent="0.25">
      <c r="E1858" s="110"/>
      <c r="F1858" s="111"/>
      <c r="K1858" s="1"/>
      <c r="M1858" s="111"/>
    </row>
    <row r="1859" spans="5:13" x14ac:dyDescent="0.25">
      <c r="E1859" s="110"/>
      <c r="F1859" s="111"/>
      <c r="K1859" s="1"/>
      <c r="M1859" s="111"/>
    </row>
    <row r="1860" spans="5:13" x14ac:dyDescent="0.25">
      <c r="E1860" s="110"/>
      <c r="F1860" s="111"/>
      <c r="K1860" s="1"/>
      <c r="M1860" s="111"/>
    </row>
    <row r="1861" spans="5:13" x14ac:dyDescent="0.25">
      <c r="E1861" s="110"/>
      <c r="F1861" s="111"/>
      <c r="K1861" s="1"/>
      <c r="M1861" s="111"/>
    </row>
    <row r="1862" spans="5:13" x14ac:dyDescent="0.25">
      <c r="E1862" s="110"/>
      <c r="F1862" s="111"/>
      <c r="K1862" s="1"/>
      <c r="M1862" s="111"/>
    </row>
    <row r="1863" spans="5:13" x14ac:dyDescent="0.25">
      <c r="E1863" s="110"/>
      <c r="F1863" s="111"/>
      <c r="K1863" s="1"/>
      <c r="M1863" s="111"/>
    </row>
    <row r="1864" spans="5:13" x14ac:dyDescent="0.25">
      <c r="E1864" s="110"/>
      <c r="F1864" s="111"/>
      <c r="K1864" s="1"/>
      <c r="M1864" s="111"/>
    </row>
    <row r="1865" spans="5:13" x14ac:dyDescent="0.25">
      <c r="E1865" s="110"/>
      <c r="F1865" s="111"/>
      <c r="K1865" s="1"/>
      <c r="M1865" s="111"/>
    </row>
    <row r="1866" spans="5:13" x14ac:dyDescent="0.25">
      <c r="E1866" s="110"/>
      <c r="F1866" s="111"/>
      <c r="K1866" s="1"/>
      <c r="M1866" s="111"/>
    </row>
    <row r="1867" spans="5:13" x14ac:dyDescent="0.25">
      <c r="E1867" s="110"/>
      <c r="F1867" s="111"/>
      <c r="K1867" s="1"/>
      <c r="M1867" s="111"/>
    </row>
    <row r="1868" spans="5:13" x14ac:dyDescent="0.25">
      <c r="E1868" s="110"/>
      <c r="F1868" s="111"/>
      <c r="K1868" s="1"/>
      <c r="M1868" s="111"/>
    </row>
    <row r="1869" spans="5:13" x14ac:dyDescent="0.25">
      <c r="E1869" s="110"/>
      <c r="F1869" s="111"/>
      <c r="K1869" s="1"/>
      <c r="M1869" s="111"/>
    </row>
    <row r="1870" spans="5:13" x14ac:dyDescent="0.25">
      <c r="E1870" s="110"/>
      <c r="F1870" s="111"/>
      <c r="K1870" s="1"/>
      <c r="M1870" s="111"/>
    </row>
    <row r="1871" spans="5:13" x14ac:dyDescent="0.25">
      <c r="E1871" s="110"/>
      <c r="F1871" s="111"/>
      <c r="K1871" s="1"/>
      <c r="M1871" s="111"/>
    </row>
    <row r="1872" spans="5:13" x14ac:dyDescent="0.25">
      <c r="E1872" s="110"/>
      <c r="F1872" s="111"/>
      <c r="K1872" s="1"/>
      <c r="M1872" s="111"/>
    </row>
    <row r="1873" spans="5:13" x14ac:dyDescent="0.25">
      <c r="E1873" s="110"/>
      <c r="F1873" s="111"/>
      <c r="K1873" s="1"/>
      <c r="M1873" s="111"/>
    </row>
    <row r="1874" spans="5:13" x14ac:dyDescent="0.25">
      <c r="E1874" s="110"/>
      <c r="F1874" s="111"/>
      <c r="K1874" s="1"/>
      <c r="M1874" s="111"/>
    </row>
    <row r="1875" spans="5:13" x14ac:dyDescent="0.25">
      <c r="E1875" s="110"/>
      <c r="F1875" s="111"/>
      <c r="K1875" s="1"/>
      <c r="M1875" s="111"/>
    </row>
    <row r="1876" spans="5:13" x14ac:dyDescent="0.25">
      <c r="E1876" s="110"/>
      <c r="F1876" s="111"/>
      <c r="K1876" s="1"/>
      <c r="M1876" s="111"/>
    </row>
    <row r="1877" spans="5:13" x14ac:dyDescent="0.25">
      <c r="E1877" s="110"/>
      <c r="F1877" s="111"/>
      <c r="K1877" s="1"/>
      <c r="M1877" s="111"/>
    </row>
    <row r="1878" spans="5:13" x14ac:dyDescent="0.25">
      <c r="E1878" s="110"/>
      <c r="F1878" s="111"/>
      <c r="K1878" s="1"/>
      <c r="M1878" s="111"/>
    </row>
    <row r="1879" spans="5:13" x14ac:dyDescent="0.25">
      <c r="E1879" s="110"/>
      <c r="F1879" s="111"/>
      <c r="K1879" s="1"/>
      <c r="M1879" s="111"/>
    </row>
    <row r="1880" spans="5:13" x14ac:dyDescent="0.25">
      <c r="E1880" s="110"/>
      <c r="F1880" s="111"/>
      <c r="K1880" s="1"/>
      <c r="M1880" s="111"/>
    </row>
    <row r="1881" spans="5:13" x14ac:dyDescent="0.25">
      <c r="E1881" s="110"/>
      <c r="F1881" s="111"/>
      <c r="K1881" s="1"/>
      <c r="M1881" s="111"/>
    </row>
    <row r="1882" spans="5:13" x14ac:dyDescent="0.25">
      <c r="E1882" s="110"/>
      <c r="F1882" s="111"/>
      <c r="K1882" s="1"/>
      <c r="M1882" s="111"/>
    </row>
    <row r="1883" spans="5:13" x14ac:dyDescent="0.25">
      <c r="E1883" s="110"/>
      <c r="F1883" s="111"/>
      <c r="K1883" s="1"/>
      <c r="M1883" s="111"/>
    </row>
    <row r="1884" spans="5:13" x14ac:dyDescent="0.25">
      <c r="E1884" s="110"/>
      <c r="F1884" s="111"/>
      <c r="K1884" s="1"/>
      <c r="M1884" s="111"/>
    </row>
    <row r="1885" spans="5:13" x14ac:dyDescent="0.25">
      <c r="E1885" s="110"/>
      <c r="F1885" s="111"/>
      <c r="K1885" s="1"/>
      <c r="M1885" s="111"/>
    </row>
    <row r="1886" spans="5:13" x14ac:dyDescent="0.25">
      <c r="E1886" s="110"/>
      <c r="F1886" s="111"/>
      <c r="K1886" s="1"/>
      <c r="M1886" s="111"/>
    </row>
    <row r="1887" spans="5:13" x14ac:dyDescent="0.25">
      <c r="E1887" s="110"/>
      <c r="F1887" s="111"/>
      <c r="K1887" s="1"/>
      <c r="M1887" s="111"/>
    </row>
    <row r="1888" spans="5:13" x14ac:dyDescent="0.25">
      <c r="E1888" s="110"/>
      <c r="F1888" s="111"/>
      <c r="K1888" s="1"/>
      <c r="M1888" s="111"/>
    </row>
    <row r="1889" spans="5:13" x14ac:dyDescent="0.25">
      <c r="E1889" s="110"/>
      <c r="F1889" s="111"/>
      <c r="K1889" s="1"/>
      <c r="M1889" s="111"/>
    </row>
    <row r="1890" spans="5:13" x14ac:dyDescent="0.25">
      <c r="E1890" s="110"/>
      <c r="F1890" s="111"/>
      <c r="K1890" s="1"/>
      <c r="M1890" s="111"/>
    </row>
    <row r="1891" spans="5:13" x14ac:dyDescent="0.25">
      <c r="E1891" s="110"/>
      <c r="F1891" s="111"/>
      <c r="K1891" s="1"/>
      <c r="M1891" s="111"/>
    </row>
    <row r="1892" spans="5:13" x14ac:dyDescent="0.25">
      <c r="E1892" s="110"/>
      <c r="F1892" s="111"/>
      <c r="K1892" s="1"/>
      <c r="M1892" s="111"/>
    </row>
    <row r="1893" spans="5:13" x14ac:dyDescent="0.25">
      <c r="E1893" s="110"/>
      <c r="F1893" s="111"/>
      <c r="K1893" s="1"/>
      <c r="M1893" s="111"/>
    </row>
    <row r="1894" spans="5:13" x14ac:dyDescent="0.25">
      <c r="E1894" s="110"/>
      <c r="F1894" s="111"/>
      <c r="K1894" s="1"/>
      <c r="M1894" s="111"/>
    </row>
    <row r="1895" spans="5:13" x14ac:dyDescent="0.25">
      <c r="E1895" s="110"/>
      <c r="F1895" s="111"/>
      <c r="K1895" s="1"/>
      <c r="M1895" s="111"/>
    </row>
    <row r="1896" spans="5:13" x14ac:dyDescent="0.25">
      <c r="E1896" s="110"/>
      <c r="F1896" s="111"/>
      <c r="K1896" s="1"/>
      <c r="M1896" s="111"/>
    </row>
    <row r="1897" spans="5:13" x14ac:dyDescent="0.25">
      <c r="E1897" s="110"/>
      <c r="F1897" s="111"/>
      <c r="K1897" s="1"/>
      <c r="M1897" s="111"/>
    </row>
    <row r="1898" spans="5:13" x14ac:dyDescent="0.25">
      <c r="E1898" s="110"/>
      <c r="F1898" s="111"/>
      <c r="K1898" s="1"/>
      <c r="M1898" s="111"/>
    </row>
    <row r="1899" spans="5:13" x14ac:dyDescent="0.25">
      <c r="E1899" s="110"/>
      <c r="F1899" s="111"/>
      <c r="K1899" s="1"/>
      <c r="M1899" s="111"/>
    </row>
    <row r="1900" spans="5:13" x14ac:dyDescent="0.25">
      <c r="E1900" s="110"/>
      <c r="F1900" s="111"/>
      <c r="K1900" s="1"/>
      <c r="M1900" s="111"/>
    </row>
    <row r="1901" spans="5:13" x14ac:dyDescent="0.25">
      <c r="E1901" s="110"/>
      <c r="F1901" s="111"/>
      <c r="K1901" s="1"/>
      <c r="M1901" s="111"/>
    </row>
    <row r="1902" spans="5:13" x14ac:dyDescent="0.25">
      <c r="E1902" s="110"/>
      <c r="F1902" s="111"/>
      <c r="K1902" s="1"/>
      <c r="M1902" s="111"/>
    </row>
    <row r="1903" spans="5:13" x14ac:dyDescent="0.25">
      <c r="E1903" s="110"/>
      <c r="F1903" s="111"/>
      <c r="K1903" s="1"/>
      <c r="M1903" s="111"/>
    </row>
    <row r="1904" spans="5:13" x14ac:dyDescent="0.25">
      <c r="E1904" s="110"/>
      <c r="F1904" s="111"/>
      <c r="K1904" s="1"/>
      <c r="M1904" s="111"/>
    </row>
    <row r="1905" spans="5:13" x14ac:dyDescent="0.25">
      <c r="E1905" s="110"/>
      <c r="F1905" s="111"/>
      <c r="K1905" s="1"/>
      <c r="M1905" s="111"/>
    </row>
    <row r="1906" spans="5:13" x14ac:dyDescent="0.25">
      <c r="E1906" s="110"/>
      <c r="F1906" s="111"/>
      <c r="K1906" s="1"/>
      <c r="M1906" s="111"/>
    </row>
    <row r="1907" spans="5:13" x14ac:dyDescent="0.25">
      <c r="E1907" s="110"/>
      <c r="F1907" s="111"/>
      <c r="K1907" s="1"/>
      <c r="M1907" s="111"/>
    </row>
    <row r="1908" spans="5:13" x14ac:dyDescent="0.25">
      <c r="E1908" s="110"/>
      <c r="F1908" s="111"/>
      <c r="K1908" s="1"/>
      <c r="M1908" s="111"/>
    </row>
    <row r="1909" spans="5:13" x14ac:dyDescent="0.25">
      <c r="E1909" s="110"/>
      <c r="F1909" s="111"/>
      <c r="K1909" s="1"/>
      <c r="M1909" s="111"/>
    </row>
    <row r="1910" spans="5:13" x14ac:dyDescent="0.25">
      <c r="E1910" s="110"/>
      <c r="F1910" s="111"/>
      <c r="K1910" s="1"/>
      <c r="M1910" s="111"/>
    </row>
    <row r="1911" spans="5:13" x14ac:dyDescent="0.25">
      <c r="E1911" s="110"/>
      <c r="F1911" s="111"/>
      <c r="K1911" s="1"/>
      <c r="M1911" s="111"/>
    </row>
    <row r="1912" spans="5:13" x14ac:dyDescent="0.25">
      <c r="E1912" s="110"/>
      <c r="F1912" s="111"/>
      <c r="K1912" s="1"/>
      <c r="M1912" s="111"/>
    </row>
    <row r="1913" spans="5:13" x14ac:dyDescent="0.25">
      <c r="E1913" s="110"/>
      <c r="F1913" s="111"/>
      <c r="K1913" s="1"/>
      <c r="M1913" s="111"/>
    </row>
    <row r="1914" spans="5:13" x14ac:dyDescent="0.25">
      <c r="E1914" s="110"/>
      <c r="F1914" s="111"/>
      <c r="K1914" s="1"/>
      <c r="M1914" s="111"/>
    </row>
    <row r="1915" spans="5:13" x14ac:dyDescent="0.25">
      <c r="E1915" s="110"/>
      <c r="F1915" s="111"/>
      <c r="K1915" s="1"/>
      <c r="M1915" s="111"/>
    </row>
    <row r="1916" spans="5:13" x14ac:dyDescent="0.25">
      <c r="E1916" s="110"/>
      <c r="F1916" s="111"/>
      <c r="K1916" s="1"/>
      <c r="M1916" s="111"/>
    </row>
    <row r="1917" spans="5:13" x14ac:dyDescent="0.25">
      <c r="E1917" s="110"/>
      <c r="F1917" s="111"/>
      <c r="K1917" s="1"/>
      <c r="M1917" s="111"/>
    </row>
    <row r="1918" spans="5:13" x14ac:dyDescent="0.25">
      <c r="E1918" s="110"/>
      <c r="F1918" s="111"/>
      <c r="K1918" s="1"/>
      <c r="M1918" s="111"/>
    </row>
    <row r="1919" spans="5:13" x14ac:dyDescent="0.25">
      <c r="E1919" s="110"/>
      <c r="F1919" s="111"/>
      <c r="K1919" s="1"/>
      <c r="M1919" s="111"/>
    </row>
    <row r="1920" spans="5:13" x14ac:dyDescent="0.25">
      <c r="E1920" s="110"/>
      <c r="F1920" s="111"/>
      <c r="K1920" s="1"/>
      <c r="M1920" s="111"/>
    </row>
    <row r="1921" spans="5:13" x14ac:dyDescent="0.25">
      <c r="E1921" s="110"/>
      <c r="F1921" s="111"/>
      <c r="K1921" s="1"/>
      <c r="M1921" s="111"/>
    </row>
    <row r="1922" spans="5:13" x14ac:dyDescent="0.25">
      <c r="E1922" s="110"/>
      <c r="F1922" s="111"/>
      <c r="K1922" s="1"/>
      <c r="M1922" s="111"/>
    </row>
    <row r="1923" spans="5:13" x14ac:dyDescent="0.25">
      <c r="E1923" s="110"/>
      <c r="F1923" s="111"/>
      <c r="K1923" s="1"/>
      <c r="M1923" s="111"/>
    </row>
    <row r="1924" spans="5:13" x14ac:dyDescent="0.25">
      <c r="E1924" s="110"/>
      <c r="F1924" s="111"/>
      <c r="K1924" s="1"/>
      <c r="M1924" s="111"/>
    </row>
    <row r="1925" spans="5:13" x14ac:dyDescent="0.25">
      <c r="E1925" s="110"/>
      <c r="F1925" s="111"/>
      <c r="K1925" s="1"/>
      <c r="M1925" s="111"/>
    </row>
    <row r="1926" spans="5:13" x14ac:dyDescent="0.25">
      <c r="E1926" s="110"/>
      <c r="F1926" s="111"/>
      <c r="K1926" s="1"/>
      <c r="M1926" s="111"/>
    </row>
    <row r="1927" spans="5:13" x14ac:dyDescent="0.25">
      <c r="E1927" s="110"/>
      <c r="F1927" s="111"/>
      <c r="K1927" s="1"/>
      <c r="M1927" s="111"/>
    </row>
    <row r="1928" spans="5:13" x14ac:dyDescent="0.25">
      <c r="E1928" s="110"/>
      <c r="F1928" s="111"/>
      <c r="K1928" s="1"/>
      <c r="M1928" s="111"/>
    </row>
    <row r="1929" spans="5:13" x14ac:dyDescent="0.25">
      <c r="E1929" s="110"/>
      <c r="F1929" s="111"/>
      <c r="K1929" s="1"/>
      <c r="M1929" s="111"/>
    </row>
    <row r="1930" spans="5:13" x14ac:dyDescent="0.25">
      <c r="E1930" s="110"/>
      <c r="F1930" s="111"/>
      <c r="K1930" s="1"/>
      <c r="M1930" s="111"/>
    </row>
    <row r="1931" spans="5:13" x14ac:dyDescent="0.25">
      <c r="E1931" s="110"/>
      <c r="F1931" s="111"/>
      <c r="K1931" s="1"/>
      <c r="M1931" s="111"/>
    </row>
    <row r="1932" spans="5:13" x14ac:dyDescent="0.25">
      <c r="E1932" s="110"/>
      <c r="F1932" s="111"/>
      <c r="K1932" s="1"/>
      <c r="M1932" s="111"/>
    </row>
    <row r="1933" spans="5:13" x14ac:dyDescent="0.25">
      <c r="E1933" s="110"/>
      <c r="F1933" s="111"/>
      <c r="K1933" s="1"/>
      <c r="M1933" s="111"/>
    </row>
    <row r="1934" spans="5:13" x14ac:dyDescent="0.25">
      <c r="E1934" s="110"/>
      <c r="F1934" s="111"/>
      <c r="K1934" s="1"/>
      <c r="M1934" s="111"/>
    </row>
    <row r="1935" spans="5:13" x14ac:dyDescent="0.25">
      <c r="E1935" s="110"/>
      <c r="F1935" s="111"/>
      <c r="K1935" s="1"/>
      <c r="M1935" s="111"/>
    </row>
    <row r="1936" spans="5:13" x14ac:dyDescent="0.25">
      <c r="E1936" s="110"/>
      <c r="F1936" s="111"/>
      <c r="K1936" s="1"/>
      <c r="M1936" s="111"/>
    </row>
    <row r="1937" spans="5:13" x14ac:dyDescent="0.25">
      <c r="E1937" s="110"/>
      <c r="F1937" s="111"/>
      <c r="K1937" s="1"/>
      <c r="M1937" s="111"/>
    </row>
    <row r="1938" spans="5:13" x14ac:dyDescent="0.25">
      <c r="E1938" s="110"/>
      <c r="F1938" s="111"/>
      <c r="K1938" s="1"/>
      <c r="M1938" s="111"/>
    </row>
    <row r="1939" spans="5:13" x14ac:dyDescent="0.25">
      <c r="E1939" s="110"/>
      <c r="F1939" s="111"/>
      <c r="K1939" s="1"/>
      <c r="M1939" s="111"/>
    </row>
    <row r="1940" spans="5:13" x14ac:dyDescent="0.25">
      <c r="E1940" s="110"/>
      <c r="F1940" s="111"/>
      <c r="K1940" s="1"/>
      <c r="M1940" s="111"/>
    </row>
    <row r="1941" spans="5:13" x14ac:dyDescent="0.25">
      <c r="E1941" s="110"/>
      <c r="F1941" s="111"/>
      <c r="K1941" s="1"/>
      <c r="M1941" s="111"/>
    </row>
    <row r="1942" spans="5:13" x14ac:dyDescent="0.25">
      <c r="E1942" s="110"/>
      <c r="F1942" s="111"/>
      <c r="K1942" s="1"/>
      <c r="M1942" s="111"/>
    </row>
    <row r="1943" spans="5:13" x14ac:dyDescent="0.25">
      <c r="E1943" s="110"/>
      <c r="F1943" s="111"/>
      <c r="K1943" s="1"/>
      <c r="M1943" s="111"/>
    </row>
    <row r="1944" spans="5:13" x14ac:dyDescent="0.25">
      <c r="E1944" s="110"/>
      <c r="F1944" s="111"/>
      <c r="K1944" s="1"/>
      <c r="M1944" s="111"/>
    </row>
    <row r="1945" spans="5:13" x14ac:dyDescent="0.25">
      <c r="E1945" s="110"/>
      <c r="F1945" s="111"/>
      <c r="K1945" s="1"/>
      <c r="M1945" s="111"/>
    </row>
    <row r="1946" spans="5:13" x14ac:dyDescent="0.25">
      <c r="E1946" s="110"/>
      <c r="F1946" s="111"/>
      <c r="K1946" s="1"/>
      <c r="M1946" s="111"/>
    </row>
    <row r="1947" spans="5:13" x14ac:dyDescent="0.25">
      <c r="E1947" s="110"/>
      <c r="F1947" s="111"/>
      <c r="K1947" s="1"/>
      <c r="M1947" s="111"/>
    </row>
    <row r="1948" spans="5:13" x14ac:dyDescent="0.25">
      <c r="E1948" s="110"/>
      <c r="F1948" s="111"/>
      <c r="K1948" s="1"/>
      <c r="M1948" s="111"/>
    </row>
    <row r="1949" spans="5:13" x14ac:dyDescent="0.25">
      <c r="E1949" s="110"/>
      <c r="F1949" s="111"/>
      <c r="K1949" s="1"/>
      <c r="M1949" s="111"/>
    </row>
    <row r="1950" spans="5:13" x14ac:dyDescent="0.25">
      <c r="E1950" s="110"/>
      <c r="F1950" s="111"/>
      <c r="K1950" s="1"/>
      <c r="M1950" s="111"/>
    </row>
    <row r="1951" spans="5:13" x14ac:dyDescent="0.25">
      <c r="E1951" s="110"/>
      <c r="F1951" s="111"/>
      <c r="K1951" s="1"/>
      <c r="M1951" s="111"/>
    </row>
    <row r="1952" spans="5:13" x14ac:dyDescent="0.25">
      <c r="E1952" s="110"/>
      <c r="F1952" s="111"/>
      <c r="K1952" s="1"/>
      <c r="M1952" s="111"/>
    </row>
    <row r="1953" spans="5:13" x14ac:dyDescent="0.25">
      <c r="E1953" s="110"/>
      <c r="F1953" s="111"/>
      <c r="K1953" s="1"/>
      <c r="M1953" s="111"/>
    </row>
    <row r="1954" spans="5:13" x14ac:dyDescent="0.25">
      <c r="E1954" s="110"/>
      <c r="F1954" s="111"/>
      <c r="K1954" s="1"/>
      <c r="M1954" s="111"/>
    </row>
    <row r="1955" spans="5:13" x14ac:dyDescent="0.25">
      <c r="E1955" s="110"/>
      <c r="F1955" s="111"/>
      <c r="K1955" s="1"/>
      <c r="M1955" s="111"/>
    </row>
    <row r="1956" spans="5:13" x14ac:dyDescent="0.25">
      <c r="E1956" s="110"/>
      <c r="F1956" s="111"/>
      <c r="K1956" s="1"/>
      <c r="M1956" s="111"/>
    </row>
    <row r="1957" spans="5:13" x14ac:dyDescent="0.25">
      <c r="E1957" s="110"/>
      <c r="F1957" s="111"/>
      <c r="K1957" s="1"/>
      <c r="M1957" s="111"/>
    </row>
    <row r="1958" spans="5:13" x14ac:dyDescent="0.25">
      <c r="E1958" s="110"/>
      <c r="F1958" s="111"/>
      <c r="K1958" s="1"/>
      <c r="M1958" s="111"/>
    </row>
    <row r="1959" spans="5:13" x14ac:dyDescent="0.25">
      <c r="E1959" s="110"/>
      <c r="F1959" s="111"/>
      <c r="K1959" s="1"/>
      <c r="M1959" s="111"/>
    </row>
    <row r="1960" spans="5:13" x14ac:dyDescent="0.25">
      <c r="E1960" s="110"/>
      <c r="F1960" s="111"/>
      <c r="K1960" s="1"/>
      <c r="M1960" s="111"/>
    </row>
    <row r="1961" spans="5:13" x14ac:dyDescent="0.25">
      <c r="E1961" s="110"/>
      <c r="F1961" s="111"/>
      <c r="K1961" s="1"/>
      <c r="M1961" s="111"/>
    </row>
    <row r="1962" spans="5:13" x14ac:dyDescent="0.25">
      <c r="E1962" s="110"/>
      <c r="F1962" s="111"/>
      <c r="K1962" s="1"/>
      <c r="M1962" s="111"/>
    </row>
    <row r="1963" spans="5:13" x14ac:dyDescent="0.25">
      <c r="E1963" s="110"/>
      <c r="F1963" s="111"/>
      <c r="K1963" s="1"/>
      <c r="M1963" s="111"/>
    </row>
    <row r="1964" spans="5:13" x14ac:dyDescent="0.25">
      <c r="E1964" s="110"/>
      <c r="F1964" s="111"/>
      <c r="K1964" s="1"/>
      <c r="M1964" s="111"/>
    </row>
    <row r="1965" spans="5:13" x14ac:dyDescent="0.25">
      <c r="E1965" s="110"/>
      <c r="F1965" s="111"/>
      <c r="K1965" s="1"/>
      <c r="M1965" s="111"/>
    </row>
    <row r="1966" spans="5:13" x14ac:dyDescent="0.25">
      <c r="E1966" s="110"/>
      <c r="F1966" s="111"/>
      <c r="K1966" s="1"/>
      <c r="M1966" s="111"/>
    </row>
    <row r="1967" spans="5:13" x14ac:dyDescent="0.25">
      <c r="E1967" s="110"/>
      <c r="F1967" s="111"/>
      <c r="K1967" s="1"/>
      <c r="M1967" s="111"/>
    </row>
    <row r="1968" spans="5:13" x14ac:dyDescent="0.25">
      <c r="E1968" s="110"/>
      <c r="F1968" s="111"/>
      <c r="K1968" s="1"/>
      <c r="M1968" s="111"/>
    </row>
    <row r="1969" spans="5:13" x14ac:dyDescent="0.25">
      <c r="E1969" s="110"/>
      <c r="F1969" s="111"/>
      <c r="K1969" s="1"/>
      <c r="M1969" s="111"/>
    </row>
    <row r="1970" spans="5:13" x14ac:dyDescent="0.25">
      <c r="E1970" s="110"/>
      <c r="F1970" s="111"/>
      <c r="K1970" s="1"/>
      <c r="M1970" s="111"/>
    </row>
    <row r="1971" spans="5:13" x14ac:dyDescent="0.25">
      <c r="E1971" s="110"/>
      <c r="F1971" s="111"/>
      <c r="K1971" s="1"/>
      <c r="M1971" s="111"/>
    </row>
    <row r="1972" spans="5:13" x14ac:dyDescent="0.25">
      <c r="E1972" s="110"/>
      <c r="F1972" s="111"/>
      <c r="K1972" s="1"/>
      <c r="M1972" s="111"/>
    </row>
    <row r="1973" spans="5:13" x14ac:dyDescent="0.25">
      <c r="E1973" s="110"/>
      <c r="F1973" s="111"/>
      <c r="K1973" s="1"/>
      <c r="M1973" s="111"/>
    </row>
    <row r="1974" spans="5:13" x14ac:dyDescent="0.25">
      <c r="E1974" s="110"/>
      <c r="F1974" s="111"/>
      <c r="K1974" s="1"/>
      <c r="M1974" s="111"/>
    </row>
    <row r="1975" spans="5:13" x14ac:dyDescent="0.25">
      <c r="E1975" s="110"/>
      <c r="F1975" s="111"/>
      <c r="K1975" s="1"/>
      <c r="M1975" s="111"/>
    </row>
    <row r="1976" spans="5:13" x14ac:dyDescent="0.25">
      <c r="E1976" s="110"/>
      <c r="F1976" s="111"/>
      <c r="K1976" s="1"/>
      <c r="M1976" s="111"/>
    </row>
    <row r="1977" spans="5:13" x14ac:dyDescent="0.25">
      <c r="E1977" s="110"/>
      <c r="F1977" s="111"/>
      <c r="K1977" s="1"/>
      <c r="M1977" s="111"/>
    </row>
    <row r="1978" spans="5:13" x14ac:dyDescent="0.25">
      <c r="E1978" s="110"/>
      <c r="F1978" s="111"/>
      <c r="K1978" s="1"/>
      <c r="M1978" s="111"/>
    </row>
    <row r="1979" spans="5:13" x14ac:dyDescent="0.25">
      <c r="E1979" s="110"/>
      <c r="F1979" s="111"/>
      <c r="K1979" s="1"/>
      <c r="M1979" s="111"/>
    </row>
    <row r="1980" spans="5:13" x14ac:dyDescent="0.25">
      <c r="E1980" s="110"/>
      <c r="F1980" s="111"/>
      <c r="K1980" s="1"/>
      <c r="M1980" s="111"/>
    </row>
    <row r="1981" spans="5:13" x14ac:dyDescent="0.25">
      <c r="E1981" s="110"/>
      <c r="F1981" s="111"/>
      <c r="K1981" s="1"/>
      <c r="M1981" s="111"/>
    </row>
    <row r="1982" spans="5:13" x14ac:dyDescent="0.25">
      <c r="E1982" s="110"/>
      <c r="F1982" s="111"/>
      <c r="K1982" s="1"/>
      <c r="M1982" s="111"/>
    </row>
    <row r="1983" spans="5:13" x14ac:dyDescent="0.25">
      <c r="E1983" s="110"/>
      <c r="F1983" s="111"/>
      <c r="K1983" s="1"/>
      <c r="M1983" s="111"/>
    </row>
    <row r="1984" spans="5:13" x14ac:dyDescent="0.25">
      <c r="E1984" s="110"/>
      <c r="F1984" s="111"/>
      <c r="K1984" s="1"/>
      <c r="M1984" s="111"/>
    </row>
    <row r="1985" spans="5:13" x14ac:dyDescent="0.25">
      <c r="E1985" s="110"/>
      <c r="F1985" s="111"/>
      <c r="K1985" s="1"/>
      <c r="M1985" s="111"/>
    </row>
    <row r="1986" spans="5:13" x14ac:dyDescent="0.25">
      <c r="E1986" s="110"/>
      <c r="F1986" s="111"/>
      <c r="K1986" s="1"/>
      <c r="M1986" s="111"/>
    </row>
    <row r="1987" spans="5:13" x14ac:dyDescent="0.25">
      <c r="E1987" s="110"/>
      <c r="F1987" s="111"/>
      <c r="K1987" s="1"/>
      <c r="M1987" s="111"/>
    </row>
    <row r="1988" spans="5:13" x14ac:dyDescent="0.25">
      <c r="E1988" s="110"/>
      <c r="F1988" s="111"/>
      <c r="K1988" s="1"/>
      <c r="M1988" s="111"/>
    </row>
    <row r="1989" spans="5:13" x14ac:dyDescent="0.25">
      <c r="E1989" s="110"/>
      <c r="F1989" s="111"/>
      <c r="K1989" s="1"/>
      <c r="M1989" s="111"/>
    </row>
    <row r="1990" spans="5:13" x14ac:dyDescent="0.25">
      <c r="E1990" s="110"/>
      <c r="F1990" s="111"/>
      <c r="K1990" s="1"/>
      <c r="M1990" s="111"/>
    </row>
    <row r="1991" spans="5:13" x14ac:dyDescent="0.25">
      <c r="E1991" s="110"/>
      <c r="F1991" s="111"/>
      <c r="K1991" s="1"/>
      <c r="M1991" s="111"/>
    </row>
    <row r="1992" spans="5:13" x14ac:dyDescent="0.25">
      <c r="E1992" s="110"/>
      <c r="F1992" s="111"/>
      <c r="K1992" s="1"/>
      <c r="M1992" s="111"/>
    </row>
    <row r="1993" spans="5:13" x14ac:dyDescent="0.25">
      <c r="E1993" s="110"/>
      <c r="F1993" s="111"/>
      <c r="K1993" s="1"/>
      <c r="M1993" s="111"/>
    </row>
    <row r="1994" spans="5:13" x14ac:dyDescent="0.25">
      <c r="E1994" s="110"/>
      <c r="F1994" s="111"/>
      <c r="K1994" s="1"/>
      <c r="M1994" s="111"/>
    </row>
    <row r="1995" spans="5:13" x14ac:dyDescent="0.25">
      <c r="E1995" s="110"/>
      <c r="F1995" s="111"/>
      <c r="K1995" s="1"/>
      <c r="M1995" s="111"/>
    </row>
    <row r="1996" spans="5:13" x14ac:dyDescent="0.25">
      <c r="E1996" s="110"/>
      <c r="F1996" s="111"/>
      <c r="K1996" s="1"/>
      <c r="M1996" s="111"/>
    </row>
    <row r="1997" spans="5:13" x14ac:dyDescent="0.25">
      <c r="E1997" s="110"/>
      <c r="F1997" s="111"/>
      <c r="K1997" s="1"/>
      <c r="M1997" s="111"/>
    </row>
    <row r="1998" spans="5:13" x14ac:dyDescent="0.25">
      <c r="E1998" s="110"/>
      <c r="F1998" s="111"/>
      <c r="K1998" s="1"/>
      <c r="M1998" s="111"/>
    </row>
    <row r="1999" spans="5:13" x14ac:dyDescent="0.25">
      <c r="E1999" s="110"/>
      <c r="F1999" s="111"/>
      <c r="K1999" s="1"/>
      <c r="M1999" s="111"/>
    </row>
    <row r="2000" spans="5:13" x14ac:dyDescent="0.25">
      <c r="E2000" s="110"/>
      <c r="F2000" s="111"/>
      <c r="K2000" s="1"/>
      <c r="M2000" s="111"/>
    </row>
    <row r="2001" spans="5:13" x14ac:dyDescent="0.25">
      <c r="E2001" s="110"/>
      <c r="F2001" s="111"/>
      <c r="K2001" s="1"/>
      <c r="M2001" s="111"/>
    </row>
    <row r="2002" spans="5:13" x14ac:dyDescent="0.25">
      <c r="E2002" s="110"/>
      <c r="F2002" s="111"/>
      <c r="K2002" s="1"/>
      <c r="M2002" s="111"/>
    </row>
    <row r="2003" spans="5:13" x14ac:dyDescent="0.25">
      <c r="E2003" s="110"/>
      <c r="F2003" s="111"/>
      <c r="K2003" s="1"/>
      <c r="M2003" s="111"/>
    </row>
    <row r="2004" spans="5:13" x14ac:dyDescent="0.25">
      <c r="E2004" s="110"/>
      <c r="F2004" s="111"/>
      <c r="K2004" s="1"/>
      <c r="M2004" s="111"/>
    </row>
    <row r="2005" spans="5:13" x14ac:dyDescent="0.25">
      <c r="E2005" s="110"/>
      <c r="F2005" s="111"/>
      <c r="K2005" s="1"/>
      <c r="M2005" s="111"/>
    </row>
    <row r="2006" spans="5:13" x14ac:dyDescent="0.25">
      <c r="E2006" s="110"/>
      <c r="F2006" s="111"/>
      <c r="K2006" s="1"/>
      <c r="M2006" s="111"/>
    </row>
    <row r="2007" spans="5:13" x14ac:dyDescent="0.25">
      <c r="E2007" s="110"/>
      <c r="F2007" s="111"/>
      <c r="K2007" s="1"/>
      <c r="M2007" s="111"/>
    </row>
    <row r="2008" spans="5:13" x14ac:dyDescent="0.25">
      <c r="E2008" s="110"/>
      <c r="F2008" s="111"/>
      <c r="K2008" s="1"/>
      <c r="M2008" s="111"/>
    </row>
    <row r="2009" spans="5:13" x14ac:dyDescent="0.25">
      <c r="E2009" s="110"/>
      <c r="F2009" s="111"/>
      <c r="K2009" s="1"/>
      <c r="M2009" s="111"/>
    </row>
    <row r="2010" spans="5:13" x14ac:dyDescent="0.25">
      <c r="E2010" s="110"/>
      <c r="F2010" s="111"/>
      <c r="K2010" s="1"/>
      <c r="M2010" s="111"/>
    </row>
    <row r="2011" spans="5:13" x14ac:dyDescent="0.25">
      <c r="E2011" s="110"/>
      <c r="F2011" s="111"/>
      <c r="K2011" s="1"/>
      <c r="M2011" s="111"/>
    </row>
    <row r="2012" spans="5:13" x14ac:dyDescent="0.25">
      <c r="E2012" s="110"/>
      <c r="F2012" s="111"/>
      <c r="K2012" s="1"/>
      <c r="M2012" s="111"/>
    </row>
    <row r="2013" spans="5:13" x14ac:dyDescent="0.25">
      <c r="E2013" s="110"/>
      <c r="F2013" s="111"/>
      <c r="K2013" s="1"/>
      <c r="M2013" s="111"/>
    </row>
    <row r="2014" spans="5:13" x14ac:dyDescent="0.25">
      <c r="E2014" s="110"/>
      <c r="F2014" s="111"/>
      <c r="K2014" s="1"/>
      <c r="M2014" s="111"/>
    </row>
    <row r="2015" spans="5:13" x14ac:dyDescent="0.25">
      <c r="E2015" s="110"/>
      <c r="F2015" s="111"/>
      <c r="K2015" s="1"/>
      <c r="M2015" s="111"/>
    </row>
    <row r="2016" spans="5:13" x14ac:dyDescent="0.25">
      <c r="E2016" s="110"/>
      <c r="F2016" s="111"/>
      <c r="K2016" s="1"/>
      <c r="M2016" s="111"/>
    </row>
    <row r="2017" spans="5:13" x14ac:dyDescent="0.25">
      <c r="E2017" s="110"/>
      <c r="F2017" s="111"/>
      <c r="K2017" s="1"/>
      <c r="M2017" s="111"/>
    </row>
    <row r="2018" spans="5:13" x14ac:dyDescent="0.25">
      <c r="E2018" s="110"/>
      <c r="F2018" s="111"/>
      <c r="K2018" s="1"/>
      <c r="M2018" s="111"/>
    </row>
    <row r="2019" spans="5:13" x14ac:dyDescent="0.25">
      <c r="E2019" s="110"/>
      <c r="F2019" s="111"/>
      <c r="K2019" s="1"/>
      <c r="M2019" s="111"/>
    </row>
    <row r="2020" spans="5:13" x14ac:dyDescent="0.25">
      <c r="E2020" s="110"/>
      <c r="F2020" s="111"/>
      <c r="K2020" s="1"/>
      <c r="M2020" s="111"/>
    </row>
    <row r="2021" spans="5:13" x14ac:dyDescent="0.25">
      <c r="E2021" s="110"/>
      <c r="F2021" s="111"/>
      <c r="K2021" s="1"/>
      <c r="M2021" s="111"/>
    </row>
    <row r="2022" spans="5:13" x14ac:dyDescent="0.25">
      <c r="E2022" s="110"/>
      <c r="F2022" s="111"/>
      <c r="K2022" s="1"/>
      <c r="M2022" s="111"/>
    </row>
    <row r="2023" spans="5:13" x14ac:dyDescent="0.25">
      <c r="E2023" s="110"/>
      <c r="F2023" s="111"/>
      <c r="K2023" s="1"/>
      <c r="M2023" s="111"/>
    </row>
    <row r="2024" spans="5:13" x14ac:dyDescent="0.25">
      <c r="E2024" s="110"/>
      <c r="F2024" s="111"/>
      <c r="K2024" s="1"/>
      <c r="M2024" s="111"/>
    </row>
    <row r="13359" spans="1:1" x14ac:dyDescent="0.25">
      <c r="A13359">
        <v>13357</v>
      </c>
    </row>
    <row r="13360" spans="1:1" x14ac:dyDescent="0.25">
      <c r="A13360">
        <v>0</v>
      </c>
    </row>
    <row r="13361" spans="1:1" x14ac:dyDescent="0.25">
      <c r="A13361">
        <v>0</v>
      </c>
    </row>
    <row r="13362" spans="1:1" x14ac:dyDescent="0.25">
      <c r="A13362">
        <v>25</v>
      </c>
    </row>
    <row r="13363" spans="1:1" x14ac:dyDescent="0.25">
      <c r="A13363" t="s">
        <v>171</v>
      </c>
    </row>
    <row r="13364" spans="1:1" x14ac:dyDescent="0.25">
      <c r="A13364" t="e">
        <v>#N/A</v>
      </c>
    </row>
    <row r="13365" spans="1:1" x14ac:dyDescent="0.25">
      <c r="A13365" t="e">
        <v>#N/A</v>
      </c>
    </row>
    <row r="13366" spans="1:1" x14ac:dyDescent="0.25">
      <c r="A13366" t="e">
        <v>#N/A</v>
      </c>
    </row>
    <row r="13367" spans="1:1" x14ac:dyDescent="0.25">
      <c r="A13367" t="e">
        <v>#N/A</v>
      </c>
    </row>
    <row r="13368" spans="1:1" x14ac:dyDescent="0.25">
      <c r="A13368" t="e">
        <v>#N/A</v>
      </c>
    </row>
    <row r="13369" spans="1:1" x14ac:dyDescent="0.25">
      <c r="A13369" t="e">
        <v>#N/A</v>
      </c>
    </row>
    <row r="13370" spans="1:1" x14ac:dyDescent="0.25">
      <c r="A13370" t="e">
        <v>#N/A</v>
      </c>
    </row>
    <row r="13371" spans="1:1" x14ac:dyDescent="0.25">
      <c r="A13371" t="e">
        <v>#N/A</v>
      </c>
    </row>
    <row r="13372" spans="1:1" x14ac:dyDescent="0.25">
      <c r="A13372" t="e">
        <v>#N/A</v>
      </c>
    </row>
    <row r="13373" spans="1:1" x14ac:dyDescent="0.25">
      <c r="A13373" t="e">
        <v>#N/A</v>
      </c>
    </row>
    <row r="13374" spans="1:1" x14ac:dyDescent="0.25">
      <c r="A13374" t="e">
        <v>#N/A</v>
      </c>
    </row>
    <row r="13375" spans="1:1" x14ac:dyDescent="0.25">
      <c r="A13375" t="e">
        <v>#N/A</v>
      </c>
    </row>
    <row r="13376" spans="1:1" x14ac:dyDescent="0.25">
      <c r="A13376" t="e">
        <v>#N/A</v>
      </c>
    </row>
    <row r="13377" spans="1:1" x14ac:dyDescent="0.25">
      <c r="A13377" t="e">
        <v>#N/A</v>
      </c>
    </row>
    <row r="13378" spans="1:1" x14ac:dyDescent="0.25">
      <c r="A13378" t="e">
        <v>#N/A</v>
      </c>
    </row>
    <row r="13379" spans="1:1" x14ac:dyDescent="0.25">
      <c r="A13379" t="e">
        <v>#N/A</v>
      </c>
    </row>
    <row r="13380" spans="1:1" x14ac:dyDescent="0.25">
      <c r="A13380" t="e">
        <v>#N/A</v>
      </c>
    </row>
    <row r="13381" spans="1:1" x14ac:dyDescent="0.25">
      <c r="A13381" t="e">
        <v>#N/A</v>
      </c>
    </row>
    <row r="13382" spans="1:1" x14ac:dyDescent="0.25">
      <c r="A13382" t="e">
        <v>#N/A</v>
      </c>
    </row>
    <row r="13383" spans="1:1" x14ac:dyDescent="0.25">
      <c r="A13383" t="e">
        <v>#N/A</v>
      </c>
    </row>
    <row r="13384" spans="1:1" x14ac:dyDescent="0.25">
      <c r="A13384" t="e">
        <v>#N/A</v>
      </c>
    </row>
    <row r="13385" spans="1:1" x14ac:dyDescent="0.25">
      <c r="A13385" t="e">
        <v>#N/A</v>
      </c>
    </row>
    <row r="13386" spans="1:1" x14ac:dyDescent="0.25">
      <c r="A13386" t="e">
        <v>#N/A</v>
      </c>
    </row>
    <row r="13387" spans="1:1" x14ac:dyDescent="0.25">
      <c r="A13387" t="e">
        <v>#N/A</v>
      </c>
    </row>
    <row r="13388" spans="1:1" x14ac:dyDescent="0.25">
      <c r="A13388" t="e">
        <v>#N/A</v>
      </c>
    </row>
    <row r="13389" spans="1:1" x14ac:dyDescent="0.25">
      <c r="A13389" t="e">
        <v>#N/A</v>
      </c>
    </row>
    <row r="13390" spans="1:1" x14ac:dyDescent="0.25">
      <c r="A13390" t="e">
        <v>#N/A</v>
      </c>
    </row>
    <row r="13391" spans="1:1" x14ac:dyDescent="0.25">
      <c r="A13391" t="e">
        <v>#N/A</v>
      </c>
    </row>
    <row r="13392" spans="1:1" x14ac:dyDescent="0.25">
      <c r="A13392" t="e">
        <v>#N/A</v>
      </c>
    </row>
    <row r="13393" spans="1:1" x14ac:dyDescent="0.25">
      <c r="A13393" t="e">
        <v>#N/A</v>
      </c>
    </row>
    <row r="13394" spans="1:1" x14ac:dyDescent="0.25">
      <c r="A13394" t="e">
        <v>#N/A</v>
      </c>
    </row>
    <row r="13395" spans="1:1" x14ac:dyDescent="0.25">
      <c r="A13395" t="e">
        <v>#N/A</v>
      </c>
    </row>
    <row r="13396" spans="1:1" x14ac:dyDescent="0.25">
      <c r="A13396" t="e">
        <v>#N/A</v>
      </c>
    </row>
    <row r="13397" spans="1:1" x14ac:dyDescent="0.25">
      <c r="A13397" t="e">
        <v>#N/A</v>
      </c>
    </row>
    <row r="13398" spans="1:1" x14ac:dyDescent="0.25">
      <c r="A13398" t="e">
        <v>#N/A</v>
      </c>
    </row>
    <row r="13399" spans="1:1" x14ac:dyDescent="0.25">
      <c r="A13399" t="e">
        <v>#N/A</v>
      </c>
    </row>
    <row r="13400" spans="1:1" x14ac:dyDescent="0.25">
      <c r="A13400" t="e">
        <v>#N/A</v>
      </c>
    </row>
    <row r="13401" spans="1:1" x14ac:dyDescent="0.25">
      <c r="A13401" t="e">
        <v>#N/A</v>
      </c>
    </row>
    <row r="13402" spans="1:1" x14ac:dyDescent="0.25">
      <c r="A13402" t="e">
        <v>#N/A</v>
      </c>
    </row>
    <row r="13403" spans="1:1" x14ac:dyDescent="0.25">
      <c r="A13403" t="e">
        <v>#N/A</v>
      </c>
    </row>
    <row r="13404" spans="1:1" x14ac:dyDescent="0.25">
      <c r="A13404" t="e">
        <v>#N/A</v>
      </c>
    </row>
    <row r="13405" spans="1:1" x14ac:dyDescent="0.25">
      <c r="A13405" t="e">
        <v>#N/A</v>
      </c>
    </row>
    <row r="13406" spans="1:1" x14ac:dyDescent="0.25">
      <c r="A13406" t="e">
        <v>#N/A</v>
      </c>
    </row>
    <row r="13407" spans="1:1" x14ac:dyDescent="0.25">
      <c r="A13407" t="e">
        <v>#N/A</v>
      </c>
    </row>
    <row r="13408" spans="1:1" x14ac:dyDescent="0.25">
      <c r="A13408" t="e">
        <v>#N/A</v>
      </c>
    </row>
    <row r="13409" spans="1:1" x14ac:dyDescent="0.25">
      <c r="A13409" t="e">
        <v>#N/A</v>
      </c>
    </row>
    <row r="13410" spans="1:1" x14ac:dyDescent="0.25">
      <c r="A13410" t="e">
        <v>#N/A</v>
      </c>
    </row>
    <row r="13411" spans="1:1" x14ac:dyDescent="0.25">
      <c r="A13411" t="e">
        <v>#N/A</v>
      </c>
    </row>
    <row r="13412" spans="1:1" x14ac:dyDescent="0.25">
      <c r="A13412" t="e">
        <v>#N/A</v>
      </c>
    </row>
    <row r="13413" spans="1:1" x14ac:dyDescent="0.25">
      <c r="A13413" t="e">
        <v>#N/A</v>
      </c>
    </row>
    <row r="13414" spans="1:1" x14ac:dyDescent="0.25">
      <c r="A13414" t="e">
        <v>#N/A</v>
      </c>
    </row>
    <row r="13415" spans="1:1" x14ac:dyDescent="0.25">
      <c r="A13415" t="e">
        <v>#N/A</v>
      </c>
    </row>
    <row r="13416" spans="1:1" x14ac:dyDescent="0.25">
      <c r="A13416" t="e">
        <v>#N/A</v>
      </c>
    </row>
    <row r="13417" spans="1:1" x14ac:dyDescent="0.25">
      <c r="A13417" t="e">
        <v>#N/A</v>
      </c>
    </row>
    <row r="13418" spans="1:1" x14ac:dyDescent="0.25">
      <c r="A13418" t="e">
        <v>#N/A</v>
      </c>
    </row>
    <row r="13419" spans="1:1" x14ac:dyDescent="0.25">
      <c r="A13419" t="e">
        <v>#N/A</v>
      </c>
    </row>
    <row r="13420" spans="1:1" x14ac:dyDescent="0.25">
      <c r="A13420" t="e">
        <v>#N/A</v>
      </c>
    </row>
    <row r="13421" spans="1:1" x14ac:dyDescent="0.25">
      <c r="A13421" t="e">
        <v>#N/A</v>
      </c>
    </row>
    <row r="13422" spans="1:1" x14ac:dyDescent="0.25">
      <c r="A13422" t="e">
        <v>#N/A</v>
      </c>
    </row>
    <row r="13423" spans="1:1" x14ac:dyDescent="0.25">
      <c r="A13423" t="e">
        <v>#N/A</v>
      </c>
    </row>
    <row r="13424" spans="1:1" x14ac:dyDescent="0.25">
      <c r="A13424" t="e">
        <v>#N/A</v>
      </c>
    </row>
    <row r="13425" spans="1:1" x14ac:dyDescent="0.25">
      <c r="A13425" t="e">
        <v>#N/A</v>
      </c>
    </row>
    <row r="13426" spans="1:1" x14ac:dyDescent="0.25">
      <c r="A13426" t="e">
        <v>#N/A</v>
      </c>
    </row>
    <row r="13427" spans="1:1" x14ac:dyDescent="0.25">
      <c r="A13427" t="e">
        <v>#N/A</v>
      </c>
    </row>
    <row r="13428" spans="1:1" x14ac:dyDescent="0.25">
      <c r="A13428" t="e">
        <v>#N/A</v>
      </c>
    </row>
    <row r="13429" spans="1:1" x14ac:dyDescent="0.25">
      <c r="A13429" t="e">
        <v>#N/A</v>
      </c>
    </row>
    <row r="13430" spans="1:1" x14ac:dyDescent="0.25">
      <c r="A13430" t="e">
        <v>#N/A</v>
      </c>
    </row>
    <row r="13431" spans="1:1" x14ac:dyDescent="0.25">
      <c r="A13431" t="e">
        <v>#N/A</v>
      </c>
    </row>
    <row r="13432" spans="1:1" x14ac:dyDescent="0.25">
      <c r="A13432" t="e">
        <v>#N/A</v>
      </c>
    </row>
    <row r="13433" spans="1:1" x14ac:dyDescent="0.25">
      <c r="A13433" t="e">
        <v>#N/A</v>
      </c>
    </row>
    <row r="13434" spans="1:1" x14ac:dyDescent="0.25">
      <c r="A13434" t="e">
        <v>#N/A</v>
      </c>
    </row>
    <row r="13435" spans="1:1" x14ac:dyDescent="0.25">
      <c r="A13435" t="e">
        <v>#N/A</v>
      </c>
    </row>
    <row r="13436" spans="1:1" x14ac:dyDescent="0.25">
      <c r="A13436" t="e">
        <v>#N/A</v>
      </c>
    </row>
    <row r="13437" spans="1:1" x14ac:dyDescent="0.25">
      <c r="A13437" t="e">
        <v>#N/A</v>
      </c>
    </row>
    <row r="13438" spans="1:1" x14ac:dyDescent="0.25">
      <c r="A13438" t="e">
        <v>#N/A</v>
      </c>
    </row>
    <row r="13439" spans="1:1" x14ac:dyDescent="0.25">
      <c r="A13439" t="e">
        <v>#N/A</v>
      </c>
    </row>
    <row r="13440" spans="1:1" x14ac:dyDescent="0.25">
      <c r="A13440" t="e">
        <v>#N/A</v>
      </c>
    </row>
    <row r="13441" spans="1:1" x14ac:dyDescent="0.25">
      <c r="A13441" t="e">
        <v>#N/A</v>
      </c>
    </row>
    <row r="13442" spans="1:1" x14ac:dyDescent="0.25">
      <c r="A13442" t="e">
        <v>#N/A</v>
      </c>
    </row>
    <row r="13443" spans="1:1" x14ac:dyDescent="0.25">
      <c r="A13443" t="e">
        <v>#N/A</v>
      </c>
    </row>
    <row r="13444" spans="1:1" x14ac:dyDescent="0.25">
      <c r="A13444" t="e">
        <v>#N/A</v>
      </c>
    </row>
    <row r="13445" spans="1:1" x14ac:dyDescent="0.25">
      <c r="A13445" t="e">
        <v>#N/A</v>
      </c>
    </row>
    <row r="13446" spans="1:1" x14ac:dyDescent="0.25">
      <c r="A13446" t="e">
        <v>#N/A</v>
      </c>
    </row>
    <row r="13447" spans="1:1" x14ac:dyDescent="0.25">
      <c r="A13447" t="e">
        <v>#N/A</v>
      </c>
    </row>
    <row r="13448" spans="1:1" x14ac:dyDescent="0.25">
      <c r="A13448" t="e">
        <v>#N/A</v>
      </c>
    </row>
    <row r="13449" spans="1:1" x14ac:dyDescent="0.25">
      <c r="A13449" t="e">
        <v>#N/A</v>
      </c>
    </row>
    <row r="13450" spans="1:1" x14ac:dyDescent="0.25">
      <c r="A13450" t="e">
        <v>#N/A</v>
      </c>
    </row>
    <row r="13451" spans="1:1" x14ac:dyDescent="0.25">
      <c r="A13451" t="e">
        <v>#N/A</v>
      </c>
    </row>
    <row r="13452" spans="1:1" x14ac:dyDescent="0.25">
      <c r="A13452" t="e">
        <v>#N/A</v>
      </c>
    </row>
    <row r="13453" spans="1:1" x14ac:dyDescent="0.25">
      <c r="A13453" t="e">
        <v>#N/A</v>
      </c>
    </row>
    <row r="13454" spans="1:1" x14ac:dyDescent="0.25">
      <c r="A13454" t="e">
        <v>#N/A</v>
      </c>
    </row>
    <row r="13455" spans="1:1" x14ac:dyDescent="0.25">
      <c r="A13455" t="e">
        <v>#N/A</v>
      </c>
    </row>
    <row r="13456" spans="1:1" x14ac:dyDescent="0.25">
      <c r="A13456" t="e">
        <v>#N/A</v>
      </c>
    </row>
    <row r="13457" spans="1:1" x14ac:dyDescent="0.25">
      <c r="A13457" t="e">
        <v>#N/A</v>
      </c>
    </row>
    <row r="13458" spans="1:1" x14ac:dyDescent="0.25">
      <c r="A13458" t="e">
        <v>#N/A</v>
      </c>
    </row>
    <row r="13459" spans="1:1" x14ac:dyDescent="0.25">
      <c r="A13459" t="e">
        <v>#N/A</v>
      </c>
    </row>
    <row r="13460" spans="1:1" x14ac:dyDescent="0.25">
      <c r="A13460" t="e">
        <v>#N/A</v>
      </c>
    </row>
    <row r="13461" spans="1:1" x14ac:dyDescent="0.25">
      <c r="A13461" t="e">
        <v>#N/A</v>
      </c>
    </row>
    <row r="13462" spans="1:1" x14ac:dyDescent="0.25">
      <c r="A13462" t="e">
        <v>#N/A</v>
      </c>
    </row>
    <row r="13463" spans="1:1" x14ac:dyDescent="0.25">
      <c r="A13463" t="e">
        <v>#N/A</v>
      </c>
    </row>
    <row r="13464" spans="1:1" x14ac:dyDescent="0.25">
      <c r="A13464" t="e">
        <v>#N/A</v>
      </c>
    </row>
    <row r="13465" spans="1:1" x14ac:dyDescent="0.25">
      <c r="A13465" t="e">
        <v>#N/A</v>
      </c>
    </row>
    <row r="13466" spans="1:1" x14ac:dyDescent="0.25">
      <c r="A13466" t="e">
        <v>#N/A</v>
      </c>
    </row>
    <row r="13467" spans="1:1" x14ac:dyDescent="0.25">
      <c r="A13467" t="e">
        <v>#N/A</v>
      </c>
    </row>
    <row r="13468" spans="1:1" x14ac:dyDescent="0.25">
      <c r="A13468" t="e">
        <v>#N/A</v>
      </c>
    </row>
    <row r="13469" spans="1:1" x14ac:dyDescent="0.25">
      <c r="A13469" t="e">
        <v>#N/A</v>
      </c>
    </row>
    <row r="13470" spans="1:1" x14ac:dyDescent="0.25">
      <c r="A13470" t="e">
        <v>#N/A</v>
      </c>
    </row>
    <row r="13471" spans="1:1" x14ac:dyDescent="0.25">
      <c r="A13471" t="e">
        <v>#N/A</v>
      </c>
    </row>
    <row r="13472" spans="1:1" x14ac:dyDescent="0.25">
      <c r="A13472" t="e">
        <v>#N/A</v>
      </c>
    </row>
    <row r="13473" spans="1:1" x14ac:dyDescent="0.25">
      <c r="A13473" t="e">
        <v>#N/A</v>
      </c>
    </row>
    <row r="13474" spans="1:1" x14ac:dyDescent="0.25">
      <c r="A13474" t="e">
        <v>#N/A</v>
      </c>
    </row>
    <row r="13475" spans="1:1" x14ac:dyDescent="0.25">
      <c r="A13475" t="e">
        <v>#N/A</v>
      </c>
    </row>
    <row r="13476" spans="1:1" x14ac:dyDescent="0.25">
      <c r="A13476" t="e">
        <v>#N/A</v>
      </c>
    </row>
    <row r="13477" spans="1:1" x14ac:dyDescent="0.25">
      <c r="A13477" t="e">
        <v>#N/A</v>
      </c>
    </row>
    <row r="13478" spans="1:1" x14ac:dyDescent="0.25">
      <c r="A13478" t="e">
        <v>#N/A</v>
      </c>
    </row>
    <row r="13479" spans="1:1" x14ac:dyDescent="0.25">
      <c r="A13479" t="e">
        <v>#N/A</v>
      </c>
    </row>
    <row r="13480" spans="1:1" x14ac:dyDescent="0.25">
      <c r="A13480" t="e">
        <v>#N/A</v>
      </c>
    </row>
    <row r="13481" spans="1:1" x14ac:dyDescent="0.25">
      <c r="A13481" t="e">
        <v>#N/A</v>
      </c>
    </row>
    <row r="13482" spans="1:1" x14ac:dyDescent="0.25">
      <c r="A13482" t="e">
        <v>#N/A</v>
      </c>
    </row>
    <row r="13483" spans="1:1" x14ac:dyDescent="0.25">
      <c r="A13483" t="e">
        <v>#N/A</v>
      </c>
    </row>
    <row r="13484" spans="1:1" x14ac:dyDescent="0.25">
      <c r="A13484" t="e">
        <v>#N/A</v>
      </c>
    </row>
    <row r="13485" spans="1:1" x14ac:dyDescent="0.25">
      <c r="A13485" t="e">
        <v>#N/A</v>
      </c>
    </row>
    <row r="13486" spans="1:1" x14ac:dyDescent="0.25">
      <c r="A13486" t="e">
        <v>#N/A</v>
      </c>
    </row>
    <row r="13487" spans="1:1" x14ac:dyDescent="0.25">
      <c r="A13487" t="e">
        <v>#N/A</v>
      </c>
    </row>
    <row r="13488" spans="1:1" x14ac:dyDescent="0.25">
      <c r="A13488" t="e">
        <v>#N/A</v>
      </c>
    </row>
    <row r="13489" spans="1:1" x14ac:dyDescent="0.25">
      <c r="A13489" t="e">
        <v>#N/A</v>
      </c>
    </row>
    <row r="13490" spans="1:1" x14ac:dyDescent="0.25">
      <c r="A13490" t="e">
        <v>#N/A</v>
      </c>
    </row>
    <row r="13491" spans="1:1" x14ac:dyDescent="0.25">
      <c r="A13491" t="e">
        <v>#N/A</v>
      </c>
    </row>
    <row r="13492" spans="1:1" x14ac:dyDescent="0.25">
      <c r="A13492" t="e">
        <v>#N/A</v>
      </c>
    </row>
    <row r="13493" spans="1:1" x14ac:dyDescent="0.25">
      <c r="A13493" t="e">
        <v>#N/A</v>
      </c>
    </row>
    <row r="13494" spans="1:1" x14ac:dyDescent="0.25">
      <c r="A13494" t="e">
        <v>#N/A</v>
      </c>
    </row>
    <row r="13495" spans="1:1" x14ac:dyDescent="0.25">
      <c r="A13495" t="e">
        <v>#N/A</v>
      </c>
    </row>
    <row r="13496" spans="1:1" x14ac:dyDescent="0.25">
      <c r="A13496" t="e">
        <v>#N/A</v>
      </c>
    </row>
    <row r="13497" spans="1:1" x14ac:dyDescent="0.25">
      <c r="A13497" t="e">
        <v>#N/A</v>
      </c>
    </row>
    <row r="13498" spans="1:1" x14ac:dyDescent="0.25">
      <c r="A13498" t="e">
        <v>#N/A</v>
      </c>
    </row>
    <row r="13499" spans="1:1" x14ac:dyDescent="0.25">
      <c r="A13499" t="e">
        <v>#N/A</v>
      </c>
    </row>
    <row r="13500" spans="1:1" x14ac:dyDescent="0.25">
      <c r="A13500" t="e">
        <v>#N/A</v>
      </c>
    </row>
    <row r="13501" spans="1:1" x14ac:dyDescent="0.25">
      <c r="A13501" t="e">
        <v>#N/A</v>
      </c>
    </row>
    <row r="13502" spans="1:1" x14ac:dyDescent="0.25">
      <c r="A13502" t="e">
        <v>#N/A</v>
      </c>
    </row>
    <row r="13503" spans="1:1" x14ac:dyDescent="0.25">
      <c r="A13503" t="e">
        <v>#N/A</v>
      </c>
    </row>
    <row r="13504" spans="1:1" x14ac:dyDescent="0.25">
      <c r="A13504" t="e">
        <v>#N/A</v>
      </c>
    </row>
    <row r="13505" spans="1:1" x14ac:dyDescent="0.25">
      <c r="A13505" t="e">
        <v>#N/A</v>
      </c>
    </row>
    <row r="13506" spans="1:1" x14ac:dyDescent="0.25">
      <c r="A13506" t="e">
        <v>#N/A</v>
      </c>
    </row>
    <row r="13507" spans="1:1" x14ac:dyDescent="0.25">
      <c r="A13507" t="e">
        <v>#N/A</v>
      </c>
    </row>
    <row r="13508" spans="1:1" x14ac:dyDescent="0.25">
      <c r="A13508" t="e">
        <v>#N/A</v>
      </c>
    </row>
    <row r="13509" spans="1:1" x14ac:dyDescent="0.25">
      <c r="A13509" t="e">
        <v>#N/A</v>
      </c>
    </row>
    <row r="13510" spans="1:1" x14ac:dyDescent="0.25">
      <c r="A13510" t="e">
        <v>#N/A</v>
      </c>
    </row>
    <row r="13511" spans="1:1" x14ac:dyDescent="0.25">
      <c r="A13511" t="e">
        <v>#N/A</v>
      </c>
    </row>
    <row r="13512" spans="1:1" x14ac:dyDescent="0.25">
      <c r="A13512" t="e">
        <v>#N/A</v>
      </c>
    </row>
    <row r="13513" spans="1:1" x14ac:dyDescent="0.25">
      <c r="A13513" t="e">
        <v>#N/A</v>
      </c>
    </row>
    <row r="13514" spans="1:1" x14ac:dyDescent="0.25">
      <c r="A13514" t="e">
        <v>#N/A</v>
      </c>
    </row>
    <row r="13515" spans="1:1" x14ac:dyDescent="0.25">
      <c r="A13515" t="e">
        <v>#N/A</v>
      </c>
    </row>
    <row r="13516" spans="1:1" x14ac:dyDescent="0.25">
      <c r="A13516" t="e">
        <v>#N/A</v>
      </c>
    </row>
    <row r="13517" spans="1:1" x14ac:dyDescent="0.25">
      <c r="A13517" t="e">
        <v>#N/A</v>
      </c>
    </row>
    <row r="13518" spans="1:1" x14ac:dyDescent="0.25">
      <c r="A13518" t="e">
        <v>#N/A</v>
      </c>
    </row>
    <row r="13519" spans="1:1" x14ac:dyDescent="0.25">
      <c r="A13519" t="e">
        <v>#N/A</v>
      </c>
    </row>
    <row r="13520" spans="1:1" x14ac:dyDescent="0.25">
      <c r="A13520" t="e">
        <v>#N/A</v>
      </c>
    </row>
    <row r="13521" spans="1:1" x14ac:dyDescent="0.25">
      <c r="A13521" t="e">
        <v>#N/A</v>
      </c>
    </row>
    <row r="13522" spans="1:1" x14ac:dyDescent="0.25">
      <c r="A13522" t="e">
        <v>#N/A</v>
      </c>
    </row>
    <row r="13523" spans="1:1" x14ac:dyDescent="0.25">
      <c r="A13523" t="e">
        <v>#N/A</v>
      </c>
    </row>
    <row r="13524" spans="1:1" x14ac:dyDescent="0.25">
      <c r="A13524" t="e">
        <v>#N/A</v>
      </c>
    </row>
    <row r="13525" spans="1:1" x14ac:dyDescent="0.25">
      <c r="A13525" t="e">
        <v>#N/A</v>
      </c>
    </row>
    <row r="13526" spans="1:1" x14ac:dyDescent="0.25">
      <c r="A13526" t="e">
        <v>#N/A</v>
      </c>
    </row>
    <row r="13527" spans="1:1" x14ac:dyDescent="0.25">
      <c r="A13527" t="e">
        <v>#N/A</v>
      </c>
    </row>
    <row r="13528" spans="1:1" x14ac:dyDescent="0.25">
      <c r="A13528" t="e">
        <v>#N/A</v>
      </c>
    </row>
    <row r="13529" spans="1:1" x14ac:dyDescent="0.25">
      <c r="A13529" t="e">
        <v>#N/A</v>
      </c>
    </row>
    <row r="13530" spans="1:1" x14ac:dyDescent="0.25">
      <c r="A13530" t="e">
        <v>#N/A</v>
      </c>
    </row>
    <row r="13531" spans="1:1" x14ac:dyDescent="0.25">
      <c r="A13531" t="e">
        <v>#N/A</v>
      </c>
    </row>
    <row r="13532" spans="1:1" x14ac:dyDescent="0.25">
      <c r="A13532" t="e">
        <v>#N/A</v>
      </c>
    </row>
    <row r="13533" spans="1:1" x14ac:dyDescent="0.25">
      <c r="A13533" t="e">
        <v>#N/A</v>
      </c>
    </row>
    <row r="13534" spans="1:1" x14ac:dyDescent="0.25">
      <c r="A13534" t="e">
        <v>#N/A</v>
      </c>
    </row>
    <row r="13535" spans="1:1" x14ac:dyDescent="0.25">
      <c r="A13535" t="e">
        <v>#N/A</v>
      </c>
    </row>
    <row r="13536" spans="1:1" x14ac:dyDescent="0.25">
      <c r="A13536" t="e">
        <v>#N/A</v>
      </c>
    </row>
    <row r="13537" spans="1:1" x14ac:dyDescent="0.25">
      <c r="A13537" t="e">
        <v>#N/A</v>
      </c>
    </row>
    <row r="13538" spans="1:1" x14ac:dyDescent="0.25">
      <c r="A13538" t="e">
        <v>#N/A</v>
      </c>
    </row>
    <row r="13539" spans="1:1" x14ac:dyDescent="0.25">
      <c r="A13539" t="e">
        <v>#N/A</v>
      </c>
    </row>
    <row r="13540" spans="1:1" x14ac:dyDescent="0.25">
      <c r="A13540" t="e">
        <v>#N/A</v>
      </c>
    </row>
    <row r="13541" spans="1:1" x14ac:dyDescent="0.25">
      <c r="A13541" t="e">
        <v>#N/A</v>
      </c>
    </row>
    <row r="13542" spans="1:1" x14ac:dyDescent="0.25">
      <c r="A13542" t="e">
        <v>#N/A</v>
      </c>
    </row>
    <row r="13543" spans="1:1" x14ac:dyDescent="0.25">
      <c r="A13543" t="e">
        <v>#N/A</v>
      </c>
    </row>
    <row r="13544" spans="1:1" x14ac:dyDescent="0.25">
      <c r="A13544" t="e">
        <v>#N/A</v>
      </c>
    </row>
    <row r="13545" spans="1:1" x14ac:dyDescent="0.25">
      <c r="A13545" t="e">
        <v>#N/A</v>
      </c>
    </row>
    <row r="13546" spans="1:1" x14ac:dyDescent="0.25">
      <c r="A13546" t="e">
        <v>#N/A</v>
      </c>
    </row>
    <row r="13547" spans="1:1" x14ac:dyDescent="0.25">
      <c r="A13547" t="e">
        <v>#N/A</v>
      </c>
    </row>
    <row r="13548" spans="1:1" x14ac:dyDescent="0.25">
      <c r="A13548" t="e">
        <v>#N/A</v>
      </c>
    </row>
    <row r="13549" spans="1:1" x14ac:dyDescent="0.25">
      <c r="A13549" t="e">
        <v>#N/A</v>
      </c>
    </row>
    <row r="13550" spans="1:1" x14ac:dyDescent="0.25">
      <c r="A13550" t="e">
        <v>#N/A</v>
      </c>
    </row>
    <row r="13551" spans="1:1" x14ac:dyDescent="0.25">
      <c r="A13551" t="e">
        <v>#N/A</v>
      </c>
    </row>
    <row r="13552" spans="1:1" x14ac:dyDescent="0.25">
      <c r="A13552" t="e">
        <v>#N/A</v>
      </c>
    </row>
    <row r="13553" spans="1:1" x14ac:dyDescent="0.25">
      <c r="A13553" t="e">
        <v>#N/A</v>
      </c>
    </row>
    <row r="13554" spans="1:1" x14ac:dyDescent="0.25">
      <c r="A13554" t="e">
        <v>#N/A</v>
      </c>
    </row>
    <row r="13555" spans="1:1" x14ac:dyDescent="0.25">
      <c r="A13555" t="e">
        <v>#N/A</v>
      </c>
    </row>
    <row r="13556" spans="1:1" x14ac:dyDescent="0.25">
      <c r="A13556" t="e">
        <v>#N/A</v>
      </c>
    </row>
    <row r="13557" spans="1:1" x14ac:dyDescent="0.25">
      <c r="A13557" t="e">
        <v>#N/A</v>
      </c>
    </row>
    <row r="13558" spans="1:1" x14ac:dyDescent="0.25">
      <c r="A13558" t="e">
        <v>#N/A</v>
      </c>
    </row>
    <row r="13559" spans="1:1" x14ac:dyDescent="0.25">
      <c r="A13559" t="e">
        <v>#N/A</v>
      </c>
    </row>
    <row r="13560" spans="1:1" x14ac:dyDescent="0.25">
      <c r="A13560" t="e">
        <v>#N/A</v>
      </c>
    </row>
    <row r="13561" spans="1:1" x14ac:dyDescent="0.25">
      <c r="A13561" t="e">
        <v>#N/A</v>
      </c>
    </row>
    <row r="13562" spans="1:1" x14ac:dyDescent="0.25">
      <c r="A13562" t="e">
        <v>#N/A</v>
      </c>
    </row>
    <row r="13563" spans="1:1" x14ac:dyDescent="0.25">
      <c r="A13563" t="e">
        <v>#N/A</v>
      </c>
    </row>
    <row r="13564" spans="1:1" x14ac:dyDescent="0.25">
      <c r="A13564" t="e">
        <v>#N/A</v>
      </c>
    </row>
    <row r="13565" spans="1:1" x14ac:dyDescent="0.25">
      <c r="A13565" t="e">
        <v>#N/A</v>
      </c>
    </row>
    <row r="13566" spans="1:1" x14ac:dyDescent="0.25">
      <c r="A13566" t="e">
        <v>#N/A</v>
      </c>
    </row>
    <row r="13567" spans="1:1" x14ac:dyDescent="0.25">
      <c r="A13567" t="e">
        <v>#N/A</v>
      </c>
    </row>
    <row r="13568" spans="1:1" x14ac:dyDescent="0.25">
      <c r="A13568" t="e">
        <v>#N/A</v>
      </c>
    </row>
    <row r="13569" spans="1:1" x14ac:dyDescent="0.25">
      <c r="A13569" t="e">
        <v>#N/A</v>
      </c>
    </row>
    <row r="13570" spans="1:1" x14ac:dyDescent="0.25">
      <c r="A13570" t="e">
        <v>#N/A</v>
      </c>
    </row>
    <row r="13571" spans="1:1" x14ac:dyDescent="0.25">
      <c r="A13571" t="e">
        <v>#N/A</v>
      </c>
    </row>
    <row r="13572" spans="1:1" x14ac:dyDescent="0.25">
      <c r="A13572" t="e">
        <v>#N/A</v>
      </c>
    </row>
    <row r="13573" spans="1:1" x14ac:dyDescent="0.25">
      <c r="A13573" t="e">
        <v>#N/A</v>
      </c>
    </row>
    <row r="13574" spans="1:1" x14ac:dyDescent="0.25">
      <c r="A13574" t="e">
        <v>#N/A</v>
      </c>
    </row>
    <row r="13575" spans="1:1" x14ac:dyDescent="0.25">
      <c r="A13575" t="e">
        <v>#N/A</v>
      </c>
    </row>
    <row r="13576" spans="1:1" x14ac:dyDescent="0.25">
      <c r="A13576" t="e">
        <v>#N/A</v>
      </c>
    </row>
    <row r="13577" spans="1:1" x14ac:dyDescent="0.25">
      <c r="A13577" t="e">
        <v>#N/A</v>
      </c>
    </row>
    <row r="13578" spans="1:1" x14ac:dyDescent="0.25">
      <c r="A13578" t="e">
        <v>#N/A</v>
      </c>
    </row>
    <row r="13579" spans="1:1" x14ac:dyDescent="0.25">
      <c r="A13579" t="e">
        <v>#N/A</v>
      </c>
    </row>
    <row r="13580" spans="1:1" x14ac:dyDescent="0.25">
      <c r="A13580" t="e">
        <v>#N/A</v>
      </c>
    </row>
    <row r="13581" spans="1:1" x14ac:dyDescent="0.25">
      <c r="A13581" t="e">
        <v>#N/A</v>
      </c>
    </row>
    <row r="13582" spans="1:1" x14ac:dyDescent="0.25">
      <c r="A13582" t="e">
        <v>#N/A</v>
      </c>
    </row>
    <row r="13583" spans="1:1" x14ac:dyDescent="0.25">
      <c r="A13583" t="e">
        <v>#N/A</v>
      </c>
    </row>
    <row r="13584" spans="1:1" x14ac:dyDescent="0.25">
      <c r="A13584" t="e">
        <v>#N/A</v>
      </c>
    </row>
    <row r="13585" spans="1:1" x14ac:dyDescent="0.25">
      <c r="A13585" t="e">
        <v>#N/A</v>
      </c>
    </row>
    <row r="13586" spans="1:1" x14ac:dyDescent="0.25">
      <c r="A13586" t="e">
        <v>#N/A</v>
      </c>
    </row>
    <row r="13587" spans="1:1" x14ac:dyDescent="0.25">
      <c r="A13587" t="e">
        <v>#N/A</v>
      </c>
    </row>
    <row r="13588" spans="1:1" x14ac:dyDescent="0.25">
      <c r="A13588" t="e">
        <v>#N/A</v>
      </c>
    </row>
    <row r="13589" spans="1:1" x14ac:dyDescent="0.25">
      <c r="A13589" t="e">
        <v>#N/A</v>
      </c>
    </row>
    <row r="13590" spans="1:1" x14ac:dyDescent="0.25">
      <c r="A13590" t="e">
        <v>#N/A</v>
      </c>
    </row>
    <row r="13591" spans="1:1" x14ac:dyDescent="0.25">
      <c r="A13591" t="e">
        <v>#N/A</v>
      </c>
    </row>
    <row r="13592" spans="1:1" x14ac:dyDescent="0.25">
      <c r="A13592" t="e">
        <v>#N/A</v>
      </c>
    </row>
    <row r="13593" spans="1:1" x14ac:dyDescent="0.25">
      <c r="A13593" t="e">
        <v>#N/A</v>
      </c>
    </row>
    <row r="13594" spans="1:1" x14ac:dyDescent="0.25">
      <c r="A13594" t="e">
        <v>#N/A</v>
      </c>
    </row>
    <row r="13595" spans="1:1" x14ac:dyDescent="0.25">
      <c r="A13595" t="e">
        <v>#N/A</v>
      </c>
    </row>
    <row r="13596" spans="1:1" x14ac:dyDescent="0.25">
      <c r="A13596" t="e">
        <v>#N/A</v>
      </c>
    </row>
    <row r="13597" spans="1:1" x14ac:dyDescent="0.25">
      <c r="A13597" t="e">
        <v>#N/A</v>
      </c>
    </row>
    <row r="13598" spans="1:1" x14ac:dyDescent="0.25">
      <c r="A13598" t="e">
        <v>#N/A</v>
      </c>
    </row>
    <row r="13599" spans="1:1" x14ac:dyDescent="0.25">
      <c r="A13599" t="e">
        <v>#N/A</v>
      </c>
    </row>
    <row r="13600" spans="1:1" x14ac:dyDescent="0.25">
      <c r="A13600" t="e">
        <v>#N/A</v>
      </c>
    </row>
    <row r="13601" spans="1:1" x14ac:dyDescent="0.25">
      <c r="A13601" t="e">
        <v>#N/A</v>
      </c>
    </row>
    <row r="13602" spans="1:1" x14ac:dyDescent="0.25">
      <c r="A13602" t="e">
        <v>#N/A</v>
      </c>
    </row>
    <row r="13603" spans="1:1" x14ac:dyDescent="0.25">
      <c r="A13603" t="e">
        <v>#N/A</v>
      </c>
    </row>
    <row r="13604" spans="1:1" x14ac:dyDescent="0.25">
      <c r="A13604" t="e">
        <v>#N/A</v>
      </c>
    </row>
    <row r="13605" spans="1:1" x14ac:dyDescent="0.25">
      <c r="A13605" t="e">
        <v>#N/A</v>
      </c>
    </row>
    <row r="13606" spans="1:1" x14ac:dyDescent="0.25">
      <c r="A13606" t="e">
        <v>#N/A</v>
      </c>
    </row>
    <row r="13607" spans="1:1" x14ac:dyDescent="0.25">
      <c r="A13607" t="e">
        <v>#N/A</v>
      </c>
    </row>
    <row r="13608" spans="1:1" x14ac:dyDescent="0.25">
      <c r="A13608" t="e">
        <v>#N/A</v>
      </c>
    </row>
    <row r="13609" spans="1:1" x14ac:dyDescent="0.25">
      <c r="A13609" t="e">
        <v>#N/A</v>
      </c>
    </row>
    <row r="13610" spans="1:1" x14ac:dyDescent="0.25">
      <c r="A13610" t="e">
        <v>#N/A</v>
      </c>
    </row>
    <row r="13611" spans="1:1" x14ac:dyDescent="0.25">
      <c r="A13611" t="e">
        <v>#N/A</v>
      </c>
    </row>
    <row r="13612" spans="1:1" x14ac:dyDescent="0.25">
      <c r="A13612" t="e">
        <v>#N/A</v>
      </c>
    </row>
    <row r="13613" spans="1:1" x14ac:dyDescent="0.25">
      <c r="A13613" t="e">
        <v>#N/A</v>
      </c>
    </row>
    <row r="13614" spans="1:1" x14ac:dyDescent="0.25">
      <c r="A13614" t="e">
        <v>#N/A</v>
      </c>
    </row>
    <row r="13615" spans="1:1" x14ac:dyDescent="0.25">
      <c r="A13615" t="e">
        <v>#N/A</v>
      </c>
    </row>
    <row r="13616" spans="1:1" x14ac:dyDescent="0.25">
      <c r="A13616" t="e">
        <v>#N/A</v>
      </c>
    </row>
    <row r="13617" spans="1:1" x14ac:dyDescent="0.25">
      <c r="A13617" t="e">
        <v>#N/A</v>
      </c>
    </row>
    <row r="13618" spans="1:1" x14ac:dyDescent="0.25">
      <c r="A13618" t="e">
        <v>#N/A</v>
      </c>
    </row>
    <row r="13619" spans="1:1" x14ac:dyDescent="0.25">
      <c r="A13619" t="e">
        <v>#N/A</v>
      </c>
    </row>
    <row r="13620" spans="1:1" x14ac:dyDescent="0.25">
      <c r="A13620" t="e">
        <v>#N/A</v>
      </c>
    </row>
    <row r="13621" spans="1:1" x14ac:dyDescent="0.25">
      <c r="A13621" t="e">
        <v>#N/A</v>
      </c>
    </row>
    <row r="13622" spans="1:1" x14ac:dyDescent="0.25">
      <c r="A13622" t="e">
        <v>#N/A</v>
      </c>
    </row>
    <row r="13623" spans="1:1" x14ac:dyDescent="0.25">
      <c r="A13623" t="e">
        <v>#N/A</v>
      </c>
    </row>
    <row r="13624" spans="1:1" x14ac:dyDescent="0.25">
      <c r="A13624" t="e">
        <v>#N/A</v>
      </c>
    </row>
    <row r="13625" spans="1:1" x14ac:dyDescent="0.25">
      <c r="A13625" t="e">
        <v>#N/A</v>
      </c>
    </row>
    <row r="13626" spans="1:1" x14ac:dyDescent="0.25">
      <c r="A13626" t="e">
        <v>#N/A</v>
      </c>
    </row>
    <row r="13627" spans="1:1" x14ac:dyDescent="0.25">
      <c r="A13627" t="e">
        <v>#N/A</v>
      </c>
    </row>
    <row r="13628" spans="1:1" x14ac:dyDescent="0.25">
      <c r="A13628" t="e">
        <v>#N/A</v>
      </c>
    </row>
    <row r="13629" spans="1:1" x14ac:dyDescent="0.25">
      <c r="A13629" t="e">
        <v>#N/A</v>
      </c>
    </row>
    <row r="13630" spans="1:1" x14ac:dyDescent="0.25">
      <c r="A13630" t="e">
        <v>#N/A</v>
      </c>
    </row>
    <row r="13631" spans="1:1" x14ac:dyDescent="0.25">
      <c r="A13631" t="e">
        <v>#N/A</v>
      </c>
    </row>
    <row r="13632" spans="1:1" x14ac:dyDescent="0.25">
      <c r="A13632" t="e">
        <v>#N/A</v>
      </c>
    </row>
    <row r="13633" spans="1:1" x14ac:dyDescent="0.25">
      <c r="A13633" t="e">
        <v>#N/A</v>
      </c>
    </row>
    <row r="13634" spans="1:1" x14ac:dyDescent="0.25">
      <c r="A13634" t="e">
        <v>#N/A</v>
      </c>
    </row>
    <row r="13635" spans="1:1" x14ac:dyDescent="0.25">
      <c r="A13635" t="e">
        <v>#N/A</v>
      </c>
    </row>
    <row r="13636" spans="1:1" x14ac:dyDescent="0.25">
      <c r="A13636" t="e">
        <v>#N/A</v>
      </c>
    </row>
    <row r="13637" spans="1:1" x14ac:dyDescent="0.25">
      <c r="A13637" t="e">
        <v>#N/A</v>
      </c>
    </row>
    <row r="13638" spans="1:1" x14ac:dyDescent="0.25">
      <c r="A13638" t="e">
        <v>#N/A</v>
      </c>
    </row>
    <row r="13639" spans="1:1" x14ac:dyDescent="0.25">
      <c r="A13639" t="e">
        <v>#N/A</v>
      </c>
    </row>
    <row r="13640" spans="1:1" x14ac:dyDescent="0.25">
      <c r="A13640" t="e">
        <v>#N/A</v>
      </c>
    </row>
    <row r="13641" spans="1:1" x14ac:dyDescent="0.25">
      <c r="A13641" t="e">
        <v>#N/A</v>
      </c>
    </row>
    <row r="13642" spans="1:1" x14ac:dyDescent="0.25">
      <c r="A13642" t="e">
        <v>#N/A</v>
      </c>
    </row>
    <row r="13643" spans="1:1" x14ac:dyDescent="0.25">
      <c r="A13643" t="e">
        <v>#N/A</v>
      </c>
    </row>
    <row r="13644" spans="1:1" x14ac:dyDescent="0.25">
      <c r="A13644" t="e">
        <v>#N/A</v>
      </c>
    </row>
    <row r="13645" spans="1:1" x14ac:dyDescent="0.25">
      <c r="A13645" t="e">
        <v>#N/A</v>
      </c>
    </row>
    <row r="13646" spans="1:1" x14ac:dyDescent="0.25">
      <c r="A13646" t="e">
        <v>#N/A</v>
      </c>
    </row>
    <row r="13647" spans="1:1" x14ac:dyDescent="0.25">
      <c r="A13647" t="e">
        <v>#N/A</v>
      </c>
    </row>
    <row r="13648" spans="1:1" x14ac:dyDescent="0.25">
      <c r="A13648" t="e">
        <v>#N/A</v>
      </c>
    </row>
    <row r="13649" spans="1:1" x14ac:dyDescent="0.25">
      <c r="A13649" t="e">
        <v>#N/A</v>
      </c>
    </row>
    <row r="13650" spans="1:1" x14ac:dyDescent="0.25">
      <c r="A13650" t="e">
        <v>#N/A</v>
      </c>
    </row>
    <row r="13651" spans="1:1" x14ac:dyDescent="0.25">
      <c r="A13651" t="e">
        <v>#N/A</v>
      </c>
    </row>
    <row r="13652" spans="1:1" x14ac:dyDescent="0.25">
      <c r="A13652" t="e">
        <v>#N/A</v>
      </c>
    </row>
    <row r="13653" spans="1:1" x14ac:dyDescent="0.25">
      <c r="A13653" t="e">
        <v>#N/A</v>
      </c>
    </row>
    <row r="13654" spans="1:1" x14ac:dyDescent="0.25">
      <c r="A13654" t="e">
        <v>#N/A</v>
      </c>
    </row>
    <row r="13655" spans="1:1" x14ac:dyDescent="0.25">
      <c r="A13655" t="e">
        <v>#N/A</v>
      </c>
    </row>
    <row r="13656" spans="1:1" x14ac:dyDescent="0.25">
      <c r="A13656" t="e">
        <v>#N/A</v>
      </c>
    </row>
    <row r="13657" spans="1:1" x14ac:dyDescent="0.25">
      <c r="A13657" t="e">
        <v>#N/A</v>
      </c>
    </row>
    <row r="13658" spans="1:1" x14ac:dyDescent="0.25">
      <c r="A13658" t="e">
        <v>#N/A</v>
      </c>
    </row>
    <row r="13659" spans="1:1" x14ac:dyDescent="0.25">
      <c r="A13659" t="e">
        <v>#N/A</v>
      </c>
    </row>
    <row r="13660" spans="1:1" x14ac:dyDescent="0.25">
      <c r="A13660" t="e">
        <v>#N/A</v>
      </c>
    </row>
    <row r="13661" spans="1:1" x14ac:dyDescent="0.25">
      <c r="A13661" t="e">
        <v>#N/A</v>
      </c>
    </row>
    <row r="13662" spans="1:1" x14ac:dyDescent="0.25">
      <c r="A13662" t="e">
        <v>#N/A</v>
      </c>
    </row>
    <row r="13663" spans="1:1" x14ac:dyDescent="0.25">
      <c r="A13663" t="e">
        <v>#N/A</v>
      </c>
    </row>
    <row r="13664" spans="1:1" x14ac:dyDescent="0.25">
      <c r="A13664" t="e">
        <v>#N/A</v>
      </c>
    </row>
    <row r="13665" spans="1:1" x14ac:dyDescent="0.25">
      <c r="A13665" t="e">
        <v>#N/A</v>
      </c>
    </row>
    <row r="13666" spans="1:1" x14ac:dyDescent="0.25">
      <c r="A13666" t="e">
        <v>#N/A</v>
      </c>
    </row>
    <row r="13667" spans="1:1" x14ac:dyDescent="0.25">
      <c r="A13667" t="e">
        <v>#N/A</v>
      </c>
    </row>
    <row r="13668" spans="1:1" x14ac:dyDescent="0.25">
      <c r="A13668" t="e">
        <v>#N/A</v>
      </c>
    </row>
    <row r="13669" spans="1:1" x14ac:dyDescent="0.25">
      <c r="A13669" t="e">
        <v>#N/A</v>
      </c>
    </row>
    <row r="13670" spans="1:1" x14ac:dyDescent="0.25">
      <c r="A13670" t="e">
        <v>#N/A</v>
      </c>
    </row>
    <row r="13671" spans="1:1" x14ac:dyDescent="0.25">
      <c r="A13671" t="e">
        <v>#N/A</v>
      </c>
    </row>
    <row r="13672" spans="1:1" x14ac:dyDescent="0.25">
      <c r="A13672" t="e">
        <v>#N/A</v>
      </c>
    </row>
    <row r="13673" spans="1:1" x14ac:dyDescent="0.25">
      <c r="A13673" t="e">
        <v>#N/A</v>
      </c>
    </row>
    <row r="13674" spans="1:1" x14ac:dyDescent="0.25">
      <c r="A13674" t="e">
        <v>#N/A</v>
      </c>
    </row>
    <row r="13675" spans="1:1" x14ac:dyDescent="0.25">
      <c r="A13675" t="e">
        <v>#N/A</v>
      </c>
    </row>
    <row r="13676" spans="1:1" x14ac:dyDescent="0.25">
      <c r="A13676" t="e">
        <v>#N/A</v>
      </c>
    </row>
    <row r="13677" spans="1:1" x14ac:dyDescent="0.25">
      <c r="A13677" t="e">
        <v>#N/A</v>
      </c>
    </row>
    <row r="13678" spans="1:1" x14ac:dyDescent="0.25">
      <c r="A13678" t="e">
        <v>#N/A</v>
      </c>
    </row>
    <row r="13679" spans="1:1" x14ac:dyDescent="0.25">
      <c r="A13679" t="e">
        <v>#N/A</v>
      </c>
    </row>
    <row r="13680" spans="1:1" x14ac:dyDescent="0.25">
      <c r="A13680" t="e">
        <v>#N/A</v>
      </c>
    </row>
    <row r="13681" spans="1:1" x14ac:dyDescent="0.25">
      <c r="A13681" t="e">
        <v>#N/A</v>
      </c>
    </row>
    <row r="13682" spans="1:1" x14ac:dyDescent="0.25">
      <c r="A13682" t="e">
        <v>#N/A</v>
      </c>
    </row>
    <row r="13683" spans="1:1" x14ac:dyDescent="0.25">
      <c r="A13683" t="e">
        <v>#N/A</v>
      </c>
    </row>
    <row r="13684" spans="1:1" x14ac:dyDescent="0.25">
      <c r="A13684" t="e">
        <v>#N/A</v>
      </c>
    </row>
    <row r="13685" spans="1:1" x14ac:dyDescent="0.25">
      <c r="A13685" t="e">
        <v>#N/A</v>
      </c>
    </row>
    <row r="13686" spans="1:1" x14ac:dyDescent="0.25">
      <c r="A13686" t="e">
        <v>#N/A</v>
      </c>
    </row>
    <row r="13687" spans="1:1" x14ac:dyDescent="0.25">
      <c r="A13687" t="e">
        <v>#N/A</v>
      </c>
    </row>
    <row r="13688" spans="1:1" x14ac:dyDescent="0.25">
      <c r="A13688" t="e">
        <v>#N/A</v>
      </c>
    </row>
    <row r="13689" spans="1:1" x14ac:dyDescent="0.25">
      <c r="A13689" t="e">
        <v>#N/A</v>
      </c>
    </row>
    <row r="13690" spans="1:1" x14ac:dyDescent="0.25">
      <c r="A13690" t="e">
        <v>#N/A</v>
      </c>
    </row>
    <row r="13691" spans="1:1" x14ac:dyDescent="0.25">
      <c r="A13691" t="e">
        <v>#N/A</v>
      </c>
    </row>
    <row r="13692" spans="1:1" x14ac:dyDescent="0.25">
      <c r="A13692" t="e">
        <v>#N/A</v>
      </c>
    </row>
    <row r="13693" spans="1:1" x14ac:dyDescent="0.25">
      <c r="A13693" t="e">
        <v>#N/A</v>
      </c>
    </row>
    <row r="13694" spans="1:1" x14ac:dyDescent="0.25">
      <c r="A13694" t="e">
        <v>#N/A</v>
      </c>
    </row>
    <row r="13695" spans="1:1" x14ac:dyDescent="0.25">
      <c r="A13695" t="e">
        <v>#N/A</v>
      </c>
    </row>
    <row r="13696" spans="1:1" x14ac:dyDescent="0.25">
      <c r="A13696" t="e">
        <v>#N/A</v>
      </c>
    </row>
    <row r="13697" spans="1:1" x14ac:dyDescent="0.25">
      <c r="A13697" t="e">
        <v>#N/A</v>
      </c>
    </row>
    <row r="13698" spans="1:1" x14ac:dyDescent="0.25">
      <c r="A13698" t="e">
        <v>#N/A</v>
      </c>
    </row>
    <row r="13699" spans="1:1" x14ac:dyDescent="0.25">
      <c r="A13699" t="e">
        <v>#N/A</v>
      </c>
    </row>
    <row r="13700" spans="1:1" x14ac:dyDescent="0.25">
      <c r="A13700" t="e">
        <v>#N/A</v>
      </c>
    </row>
    <row r="13701" spans="1:1" x14ac:dyDescent="0.25">
      <c r="A13701" t="e">
        <v>#N/A</v>
      </c>
    </row>
    <row r="13702" spans="1:1" x14ac:dyDescent="0.25">
      <c r="A13702" t="e">
        <v>#N/A</v>
      </c>
    </row>
    <row r="13703" spans="1:1" x14ac:dyDescent="0.25">
      <c r="A13703" t="e">
        <v>#N/A</v>
      </c>
    </row>
    <row r="13704" spans="1:1" x14ac:dyDescent="0.25">
      <c r="A13704" t="e">
        <v>#N/A</v>
      </c>
    </row>
    <row r="13705" spans="1:1" x14ac:dyDescent="0.25">
      <c r="A13705" t="e">
        <v>#N/A</v>
      </c>
    </row>
    <row r="13706" spans="1:1" x14ac:dyDescent="0.25">
      <c r="A13706" t="e">
        <v>#N/A</v>
      </c>
    </row>
    <row r="13707" spans="1:1" x14ac:dyDescent="0.25">
      <c r="A13707" t="e">
        <v>#N/A</v>
      </c>
    </row>
    <row r="13708" spans="1:1" x14ac:dyDescent="0.25">
      <c r="A13708" t="e">
        <v>#N/A</v>
      </c>
    </row>
    <row r="13709" spans="1:1" x14ac:dyDescent="0.25">
      <c r="A13709" t="e">
        <v>#N/A</v>
      </c>
    </row>
    <row r="13710" spans="1:1" x14ac:dyDescent="0.25">
      <c r="A13710" t="e">
        <v>#N/A</v>
      </c>
    </row>
    <row r="13711" spans="1:1" x14ac:dyDescent="0.25">
      <c r="A13711" t="e">
        <v>#N/A</v>
      </c>
    </row>
    <row r="13712" spans="1:1" x14ac:dyDescent="0.25">
      <c r="A13712" t="e">
        <v>#N/A</v>
      </c>
    </row>
    <row r="13713" spans="1:1" x14ac:dyDescent="0.25">
      <c r="A13713" t="e">
        <v>#N/A</v>
      </c>
    </row>
    <row r="13714" spans="1:1" x14ac:dyDescent="0.25">
      <c r="A13714" t="e">
        <v>#N/A</v>
      </c>
    </row>
    <row r="13715" spans="1:1" x14ac:dyDescent="0.25">
      <c r="A13715" t="e">
        <v>#N/A</v>
      </c>
    </row>
    <row r="13716" spans="1:1" x14ac:dyDescent="0.25">
      <c r="A13716" t="e">
        <v>#N/A</v>
      </c>
    </row>
    <row r="13717" spans="1:1" x14ac:dyDescent="0.25">
      <c r="A13717" t="e">
        <v>#N/A</v>
      </c>
    </row>
    <row r="13718" spans="1:1" x14ac:dyDescent="0.25">
      <c r="A13718" t="e">
        <v>#N/A</v>
      </c>
    </row>
    <row r="13719" spans="1:1" x14ac:dyDescent="0.25">
      <c r="A13719" t="e">
        <v>#N/A</v>
      </c>
    </row>
    <row r="13720" spans="1:1" x14ac:dyDescent="0.25">
      <c r="A13720" t="e">
        <v>#N/A</v>
      </c>
    </row>
    <row r="13721" spans="1:1" x14ac:dyDescent="0.25">
      <c r="A13721" t="e">
        <v>#N/A</v>
      </c>
    </row>
    <row r="13722" spans="1:1" x14ac:dyDescent="0.25">
      <c r="A13722" t="e">
        <v>#N/A</v>
      </c>
    </row>
    <row r="13723" spans="1:1" x14ac:dyDescent="0.25">
      <c r="A13723" t="e">
        <v>#N/A</v>
      </c>
    </row>
    <row r="13724" spans="1:1" x14ac:dyDescent="0.25">
      <c r="A13724" t="e">
        <v>#N/A</v>
      </c>
    </row>
    <row r="13725" spans="1:1" x14ac:dyDescent="0.25">
      <c r="A13725" t="e">
        <v>#N/A</v>
      </c>
    </row>
    <row r="13726" spans="1:1" x14ac:dyDescent="0.25">
      <c r="A13726" t="e">
        <v>#N/A</v>
      </c>
    </row>
    <row r="13727" spans="1:1" x14ac:dyDescent="0.25">
      <c r="A13727" t="e">
        <v>#N/A</v>
      </c>
    </row>
    <row r="13728" spans="1:1" x14ac:dyDescent="0.25">
      <c r="A13728" t="e">
        <v>#N/A</v>
      </c>
    </row>
    <row r="13729" spans="1:1" x14ac:dyDescent="0.25">
      <c r="A13729" t="e">
        <v>#N/A</v>
      </c>
    </row>
    <row r="13730" spans="1:1" x14ac:dyDescent="0.25">
      <c r="A13730" t="e">
        <v>#N/A</v>
      </c>
    </row>
    <row r="13731" spans="1:1" x14ac:dyDescent="0.25">
      <c r="A13731" t="e">
        <v>#N/A</v>
      </c>
    </row>
    <row r="13732" spans="1:1" x14ac:dyDescent="0.25">
      <c r="A13732" t="e">
        <v>#N/A</v>
      </c>
    </row>
    <row r="13733" spans="1:1" x14ac:dyDescent="0.25">
      <c r="A13733" t="e">
        <v>#N/A</v>
      </c>
    </row>
    <row r="13734" spans="1:1" x14ac:dyDescent="0.25">
      <c r="A13734" t="e">
        <v>#N/A</v>
      </c>
    </row>
    <row r="13735" spans="1:1" x14ac:dyDescent="0.25">
      <c r="A13735" t="e">
        <v>#N/A</v>
      </c>
    </row>
    <row r="13736" spans="1:1" x14ac:dyDescent="0.25">
      <c r="A13736" t="e">
        <v>#N/A</v>
      </c>
    </row>
    <row r="13737" spans="1:1" x14ac:dyDescent="0.25">
      <c r="A13737" t="e">
        <v>#N/A</v>
      </c>
    </row>
    <row r="13738" spans="1:1" x14ac:dyDescent="0.25">
      <c r="A13738" t="e">
        <v>#N/A</v>
      </c>
    </row>
    <row r="13739" spans="1:1" x14ac:dyDescent="0.25">
      <c r="A13739" t="e">
        <v>#N/A</v>
      </c>
    </row>
    <row r="13740" spans="1:1" x14ac:dyDescent="0.25">
      <c r="A13740" t="e">
        <v>#N/A</v>
      </c>
    </row>
    <row r="13741" spans="1:1" x14ac:dyDescent="0.25">
      <c r="A13741" t="e">
        <v>#N/A</v>
      </c>
    </row>
    <row r="13742" spans="1:1" x14ac:dyDescent="0.25">
      <c r="A13742" t="e">
        <v>#N/A</v>
      </c>
    </row>
    <row r="13743" spans="1:1" x14ac:dyDescent="0.25">
      <c r="A13743" t="e">
        <v>#N/A</v>
      </c>
    </row>
    <row r="13744" spans="1:1" x14ac:dyDescent="0.25">
      <c r="A13744" t="e">
        <v>#N/A</v>
      </c>
    </row>
    <row r="13745" spans="1:1" x14ac:dyDescent="0.25">
      <c r="A13745" t="e">
        <v>#N/A</v>
      </c>
    </row>
    <row r="13746" spans="1:1" x14ac:dyDescent="0.25">
      <c r="A13746" t="e">
        <v>#N/A</v>
      </c>
    </row>
    <row r="13747" spans="1:1" x14ac:dyDescent="0.25">
      <c r="A13747" t="e">
        <v>#N/A</v>
      </c>
    </row>
    <row r="13748" spans="1:1" x14ac:dyDescent="0.25">
      <c r="A13748" t="e">
        <v>#N/A</v>
      </c>
    </row>
    <row r="13749" spans="1:1" x14ac:dyDescent="0.25">
      <c r="A13749" t="e">
        <v>#N/A</v>
      </c>
    </row>
    <row r="13750" spans="1:1" x14ac:dyDescent="0.25">
      <c r="A13750" t="e">
        <v>#N/A</v>
      </c>
    </row>
    <row r="13751" spans="1:1" x14ac:dyDescent="0.25">
      <c r="A13751" t="e">
        <v>#N/A</v>
      </c>
    </row>
    <row r="13752" spans="1:1" x14ac:dyDescent="0.25">
      <c r="A13752" t="e">
        <v>#N/A</v>
      </c>
    </row>
    <row r="13753" spans="1:1" x14ac:dyDescent="0.25">
      <c r="A13753" t="e">
        <v>#N/A</v>
      </c>
    </row>
    <row r="13754" spans="1:1" x14ac:dyDescent="0.25">
      <c r="A13754" t="e">
        <v>#N/A</v>
      </c>
    </row>
    <row r="13755" spans="1:1" x14ac:dyDescent="0.25">
      <c r="A13755" t="e">
        <v>#N/A</v>
      </c>
    </row>
    <row r="13756" spans="1:1" x14ac:dyDescent="0.25">
      <c r="A13756" t="e">
        <v>#N/A</v>
      </c>
    </row>
    <row r="13757" spans="1:1" x14ac:dyDescent="0.25">
      <c r="A13757" t="e">
        <v>#N/A</v>
      </c>
    </row>
    <row r="13758" spans="1:1" x14ac:dyDescent="0.25">
      <c r="A13758" t="e">
        <v>#N/A</v>
      </c>
    </row>
    <row r="13759" spans="1:1" x14ac:dyDescent="0.25">
      <c r="A13759" t="e">
        <v>#N/A</v>
      </c>
    </row>
    <row r="13760" spans="1:1" x14ac:dyDescent="0.25">
      <c r="A13760" t="e">
        <v>#N/A</v>
      </c>
    </row>
    <row r="13761" spans="1:1" x14ac:dyDescent="0.25">
      <c r="A13761" t="e">
        <v>#N/A</v>
      </c>
    </row>
    <row r="13762" spans="1:1" x14ac:dyDescent="0.25">
      <c r="A13762" t="e">
        <v>#N/A</v>
      </c>
    </row>
    <row r="13763" spans="1:1" x14ac:dyDescent="0.25">
      <c r="A13763" t="e">
        <v>#N/A</v>
      </c>
    </row>
    <row r="13764" spans="1:1" x14ac:dyDescent="0.25">
      <c r="A13764" t="e">
        <v>#N/A</v>
      </c>
    </row>
    <row r="13765" spans="1:1" x14ac:dyDescent="0.25">
      <c r="A13765" t="e">
        <v>#N/A</v>
      </c>
    </row>
    <row r="13766" spans="1:1" x14ac:dyDescent="0.25">
      <c r="A13766" t="e">
        <v>#N/A</v>
      </c>
    </row>
    <row r="13767" spans="1:1" x14ac:dyDescent="0.25">
      <c r="A13767" t="e">
        <v>#N/A</v>
      </c>
    </row>
    <row r="13768" spans="1:1" x14ac:dyDescent="0.25">
      <c r="A13768" t="e">
        <v>#N/A</v>
      </c>
    </row>
    <row r="13769" spans="1:1" x14ac:dyDescent="0.25">
      <c r="A13769" t="e">
        <v>#N/A</v>
      </c>
    </row>
    <row r="13770" spans="1:1" x14ac:dyDescent="0.25">
      <c r="A13770" t="e">
        <v>#N/A</v>
      </c>
    </row>
    <row r="13771" spans="1:1" x14ac:dyDescent="0.25">
      <c r="A13771" t="e">
        <v>#N/A</v>
      </c>
    </row>
    <row r="13772" spans="1:1" x14ac:dyDescent="0.25">
      <c r="A13772" t="e">
        <v>#N/A</v>
      </c>
    </row>
    <row r="13773" spans="1:1" x14ac:dyDescent="0.25">
      <c r="A13773" t="e">
        <v>#N/A</v>
      </c>
    </row>
    <row r="13774" spans="1:1" x14ac:dyDescent="0.25">
      <c r="A13774" t="e">
        <v>#N/A</v>
      </c>
    </row>
    <row r="13775" spans="1:1" x14ac:dyDescent="0.25">
      <c r="A13775" t="e">
        <v>#N/A</v>
      </c>
    </row>
    <row r="13776" spans="1:1" x14ac:dyDescent="0.25">
      <c r="A13776" t="e">
        <v>#N/A</v>
      </c>
    </row>
    <row r="13777" spans="1:1" x14ac:dyDescent="0.25">
      <c r="A13777" t="e">
        <v>#N/A</v>
      </c>
    </row>
    <row r="13778" spans="1:1" x14ac:dyDescent="0.25">
      <c r="A13778" t="e">
        <v>#N/A</v>
      </c>
    </row>
    <row r="13779" spans="1:1" x14ac:dyDescent="0.25">
      <c r="A13779" t="e">
        <v>#N/A</v>
      </c>
    </row>
    <row r="13780" spans="1:1" x14ac:dyDescent="0.25">
      <c r="A13780" t="e">
        <v>#N/A</v>
      </c>
    </row>
    <row r="13781" spans="1:1" x14ac:dyDescent="0.25">
      <c r="A13781" t="e">
        <v>#N/A</v>
      </c>
    </row>
    <row r="13782" spans="1:1" x14ac:dyDescent="0.25">
      <c r="A13782" t="e">
        <v>#N/A</v>
      </c>
    </row>
    <row r="13783" spans="1:1" x14ac:dyDescent="0.25">
      <c r="A13783" t="e">
        <v>#N/A</v>
      </c>
    </row>
    <row r="13784" spans="1:1" x14ac:dyDescent="0.25">
      <c r="A13784" t="e">
        <v>#N/A</v>
      </c>
    </row>
    <row r="13785" spans="1:1" x14ac:dyDescent="0.25">
      <c r="A13785" t="e">
        <v>#N/A</v>
      </c>
    </row>
    <row r="13786" spans="1:1" x14ac:dyDescent="0.25">
      <c r="A13786" t="e">
        <v>#N/A</v>
      </c>
    </row>
    <row r="13787" spans="1:1" x14ac:dyDescent="0.25">
      <c r="A13787" t="e">
        <v>#N/A</v>
      </c>
    </row>
    <row r="13788" spans="1:1" x14ac:dyDescent="0.25">
      <c r="A13788" t="e">
        <v>#N/A</v>
      </c>
    </row>
    <row r="13789" spans="1:1" x14ac:dyDescent="0.25">
      <c r="A13789" t="e">
        <v>#N/A</v>
      </c>
    </row>
    <row r="13790" spans="1:1" x14ac:dyDescent="0.25">
      <c r="A13790" t="e">
        <v>#N/A</v>
      </c>
    </row>
    <row r="13791" spans="1:1" x14ac:dyDescent="0.25">
      <c r="A13791" t="e">
        <v>#N/A</v>
      </c>
    </row>
    <row r="13792" spans="1:1" x14ac:dyDescent="0.25">
      <c r="A13792" t="e">
        <v>#N/A</v>
      </c>
    </row>
    <row r="13793" spans="1:1" x14ac:dyDescent="0.25">
      <c r="A13793" t="e">
        <v>#N/A</v>
      </c>
    </row>
    <row r="13794" spans="1:1" x14ac:dyDescent="0.25">
      <c r="A13794" t="e">
        <v>#N/A</v>
      </c>
    </row>
    <row r="13795" spans="1:1" x14ac:dyDescent="0.25">
      <c r="A13795" t="e">
        <v>#N/A</v>
      </c>
    </row>
    <row r="13796" spans="1:1" x14ac:dyDescent="0.25">
      <c r="A13796" t="e">
        <v>#N/A</v>
      </c>
    </row>
    <row r="13797" spans="1:1" x14ac:dyDescent="0.25">
      <c r="A13797" t="e">
        <v>#N/A</v>
      </c>
    </row>
    <row r="13798" spans="1:1" x14ac:dyDescent="0.25">
      <c r="A13798" t="e">
        <v>#N/A</v>
      </c>
    </row>
    <row r="13799" spans="1:1" x14ac:dyDescent="0.25">
      <c r="A13799" t="e">
        <v>#N/A</v>
      </c>
    </row>
    <row r="13800" spans="1:1" x14ac:dyDescent="0.25">
      <c r="A13800" t="e">
        <v>#N/A</v>
      </c>
    </row>
    <row r="13801" spans="1:1" x14ac:dyDescent="0.25">
      <c r="A13801" t="e">
        <v>#N/A</v>
      </c>
    </row>
    <row r="13802" spans="1:1" x14ac:dyDescent="0.25">
      <c r="A13802" t="e">
        <v>#N/A</v>
      </c>
    </row>
    <row r="13803" spans="1:1" x14ac:dyDescent="0.25">
      <c r="A13803" t="e">
        <v>#N/A</v>
      </c>
    </row>
    <row r="13804" spans="1:1" x14ac:dyDescent="0.25">
      <c r="A13804" t="e">
        <v>#N/A</v>
      </c>
    </row>
    <row r="13805" spans="1:1" x14ac:dyDescent="0.25">
      <c r="A13805" t="e">
        <v>#N/A</v>
      </c>
    </row>
    <row r="13806" spans="1:1" x14ac:dyDescent="0.25">
      <c r="A13806" t="e">
        <v>#N/A</v>
      </c>
    </row>
    <row r="13807" spans="1:1" x14ac:dyDescent="0.25">
      <c r="A13807" t="e">
        <v>#N/A</v>
      </c>
    </row>
    <row r="13808" spans="1:1" x14ac:dyDescent="0.25">
      <c r="A13808" t="e">
        <v>#N/A</v>
      </c>
    </row>
    <row r="13809" spans="1:1" x14ac:dyDescent="0.25">
      <c r="A13809" t="e">
        <v>#N/A</v>
      </c>
    </row>
    <row r="13810" spans="1:1" x14ac:dyDescent="0.25">
      <c r="A13810" t="e">
        <v>#N/A</v>
      </c>
    </row>
    <row r="13811" spans="1:1" x14ac:dyDescent="0.25">
      <c r="A13811" t="e">
        <v>#N/A</v>
      </c>
    </row>
    <row r="13812" spans="1:1" x14ac:dyDescent="0.25">
      <c r="A13812" t="e">
        <v>#N/A</v>
      </c>
    </row>
    <row r="13813" spans="1:1" x14ac:dyDescent="0.25">
      <c r="A13813" t="e">
        <v>#N/A</v>
      </c>
    </row>
    <row r="13814" spans="1:1" x14ac:dyDescent="0.25">
      <c r="A13814" t="e">
        <v>#N/A</v>
      </c>
    </row>
    <row r="13815" spans="1:1" x14ac:dyDescent="0.25">
      <c r="A13815" t="e">
        <v>#N/A</v>
      </c>
    </row>
    <row r="13816" spans="1:1" x14ac:dyDescent="0.25">
      <c r="A13816" t="e">
        <v>#N/A</v>
      </c>
    </row>
    <row r="13817" spans="1:1" x14ac:dyDescent="0.25">
      <c r="A13817" t="e">
        <v>#N/A</v>
      </c>
    </row>
    <row r="13818" spans="1:1" x14ac:dyDescent="0.25">
      <c r="A13818" t="e">
        <v>#N/A</v>
      </c>
    </row>
    <row r="13819" spans="1:1" x14ac:dyDescent="0.25">
      <c r="A13819" t="e">
        <v>#N/A</v>
      </c>
    </row>
    <row r="13820" spans="1:1" x14ac:dyDescent="0.25">
      <c r="A13820" t="e">
        <v>#N/A</v>
      </c>
    </row>
    <row r="13821" spans="1:1" x14ac:dyDescent="0.25">
      <c r="A13821" t="e">
        <v>#N/A</v>
      </c>
    </row>
    <row r="13822" spans="1:1" x14ac:dyDescent="0.25">
      <c r="A13822" t="e">
        <v>#N/A</v>
      </c>
    </row>
    <row r="13823" spans="1:1" x14ac:dyDescent="0.25">
      <c r="A13823" t="e">
        <v>#N/A</v>
      </c>
    </row>
    <row r="13824" spans="1:1" x14ac:dyDescent="0.25">
      <c r="A13824" t="e">
        <v>#N/A</v>
      </c>
    </row>
    <row r="13825" spans="1:1" x14ac:dyDescent="0.25">
      <c r="A13825" t="e">
        <v>#N/A</v>
      </c>
    </row>
    <row r="13826" spans="1:1" x14ac:dyDescent="0.25">
      <c r="A13826" t="e">
        <v>#N/A</v>
      </c>
    </row>
    <row r="13827" spans="1:1" x14ac:dyDescent="0.25">
      <c r="A13827" t="e">
        <v>#N/A</v>
      </c>
    </row>
    <row r="13828" spans="1:1" x14ac:dyDescent="0.25">
      <c r="A13828" t="e">
        <v>#N/A</v>
      </c>
    </row>
    <row r="13829" spans="1:1" x14ac:dyDescent="0.25">
      <c r="A13829" t="e">
        <v>#N/A</v>
      </c>
    </row>
    <row r="13830" spans="1:1" x14ac:dyDescent="0.25">
      <c r="A13830" t="e">
        <v>#N/A</v>
      </c>
    </row>
    <row r="13831" spans="1:1" x14ac:dyDescent="0.25">
      <c r="A13831" t="e">
        <v>#N/A</v>
      </c>
    </row>
    <row r="13832" spans="1:1" x14ac:dyDescent="0.25">
      <c r="A13832" t="e">
        <v>#N/A</v>
      </c>
    </row>
    <row r="13833" spans="1:1" x14ac:dyDescent="0.25">
      <c r="A13833" t="e">
        <v>#N/A</v>
      </c>
    </row>
    <row r="13834" spans="1:1" x14ac:dyDescent="0.25">
      <c r="A13834" t="e">
        <v>#N/A</v>
      </c>
    </row>
    <row r="13835" spans="1:1" x14ac:dyDescent="0.25">
      <c r="A13835" t="e">
        <v>#N/A</v>
      </c>
    </row>
    <row r="13836" spans="1:1" x14ac:dyDescent="0.25">
      <c r="A13836" t="e">
        <v>#N/A</v>
      </c>
    </row>
    <row r="13837" spans="1:1" x14ac:dyDescent="0.25">
      <c r="A13837" t="e">
        <v>#N/A</v>
      </c>
    </row>
    <row r="13838" spans="1:1" x14ac:dyDescent="0.25">
      <c r="A13838" t="e">
        <v>#N/A</v>
      </c>
    </row>
    <row r="13839" spans="1:1" x14ac:dyDescent="0.25">
      <c r="A13839" t="e">
        <v>#N/A</v>
      </c>
    </row>
    <row r="13840" spans="1:1" x14ac:dyDescent="0.25">
      <c r="A13840" t="e">
        <v>#N/A</v>
      </c>
    </row>
    <row r="13841" spans="1:1" x14ac:dyDescent="0.25">
      <c r="A13841" t="e">
        <v>#N/A</v>
      </c>
    </row>
    <row r="13842" spans="1:1" x14ac:dyDescent="0.25">
      <c r="A13842" t="e">
        <v>#N/A</v>
      </c>
    </row>
    <row r="13843" spans="1:1" x14ac:dyDescent="0.25">
      <c r="A13843" t="e">
        <v>#N/A</v>
      </c>
    </row>
    <row r="13844" spans="1:1" x14ac:dyDescent="0.25">
      <c r="A13844" t="e">
        <v>#N/A</v>
      </c>
    </row>
    <row r="13845" spans="1:1" x14ac:dyDescent="0.25">
      <c r="A13845" t="e">
        <v>#N/A</v>
      </c>
    </row>
    <row r="13846" spans="1:1" x14ac:dyDescent="0.25">
      <c r="A13846" t="e">
        <v>#N/A</v>
      </c>
    </row>
    <row r="13847" spans="1:1" x14ac:dyDescent="0.25">
      <c r="A13847" t="e">
        <v>#N/A</v>
      </c>
    </row>
    <row r="13848" spans="1:1" x14ac:dyDescent="0.25">
      <c r="A13848" t="e">
        <v>#N/A</v>
      </c>
    </row>
    <row r="13849" spans="1:1" x14ac:dyDescent="0.25">
      <c r="A13849" t="e">
        <v>#N/A</v>
      </c>
    </row>
    <row r="13850" spans="1:1" x14ac:dyDescent="0.25">
      <c r="A13850" t="e">
        <v>#N/A</v>
      </c>
    </row>
    <row r="13851" spans="1:1" x14ac:dyDescent="0.25">
      <c r="A13851" t="e">
        <v>#N/A</v>
      </c>
    </row>
    <row r="13852" spans="1:1" x14ac:dyDescent="0.25">
      <c r="A13852" t="e">
        <v>#N/A</v>
      </c>
    </row>
    <row r="13853" spans="1:1" x14ac:dyDescent="0.25">
      <c r="A13853" t="e">
        <v>#N/A</v>
      </c>
    </row>
    <row r="13854" spans="1:1" x14ac:dyDescent="0.25">
      <c r="A13854" t="e">
        <v>#N/A</v>
      </c>
    </row>
    <row r="13855" spans="1:1" x14ac:dyDescent="0.25">
      <c r="A13855" t="e">
        <v>#N/A</v>
      </c>
    </row>
    <row r="13856" spans="1:1" x14ac:dyDescent="0.25">
      <c r="A13856" t="e">
        <v>#N/A</v>
      </c>
    </row>
    <row r="13857" spans="1:1" x14ac:dyDescent="0.25">
      <c r="A13857" t="e">
        <v>#N/A</v>
      </c>
    </row>
    <row r="13858" spans="1:1" x14ac:dyDescent="0.25">
      <c r="A13858" t="e">
        <v>#N/A</v>
      </c>
    </row>
    <row r="13859" spans="1:1" x14ac:dyDescent="0.25">
      <c r="A13859" t="e">
        <v>#N/A</v>
      </c>
    </row>
    <row r="13860" spans="1:1" x14ac:dyDescent="0.25">
      <c r="A13860" t="e">
        <v>#N/A</v>
      </c>
    </row>
    <row r="13861" spans="1:1" x14ac:dyDescent="0.25">
      <c r="A13861" t="e">
        <v>#N/A</v>
      </c>
    </row>
    <row r="13862" spans="1:1" x14ac:dyDescent="0.25">
      <c r="A13862" t="e">
        <v>#N/A</v>
      </c>
    </row>
    <row r="13863" spans="1:1" x14ac:dyDescent="0.25">
      <c r="A13863" t="e">
        <v>#N/A</v>
      </c>
    </row>
    <row r="13864" spans="1:1" x14ac:dyDescent="0.25">
      <c r="A13864" t="e">
        <v>#N/A</v>
      </c>
    </row>
    <row r="13865" spans="1:1" x14ac:dyDescent="0.25">
      <c r="A13865" t="e">
        <v>#N/A</v>
      </c>
    </row>
    <row r="13866" spans="1:1" x14ac:dyDescent="0.25">
      <c r="A13866" t="e">
        <v>#N/A</v>
      </c>
    </row>
    <row r="13867" spans="1:1" x14ac:dyDescent="0.25">
      <c r="A13867" t="e">
        <v>#N/A</v>
      </c>
    </row>
    <row r="13868" spans="1:1" x14ac:dyDescent="0.25">
      <c r="A13868" t="e">
        <v>#N/A</v>
      </c>
    </row>
    <row r="13869" spans="1:1" x14ac:dyDescent="0.25">
      <c r="A13869" t="e">
        <v>#N/A</v>
      </c>
    </row>
    <row r="13870" spans="1:1" x14ac:dyDescent="0.25">
      <c r="A13870" t="e">
        <v>#N/A</v>
      </c>
    </row>
    <row r="13871" spans="1:1" x14ac:dyDescent="0.25">
      <c r="A13871" t="e">
        <v>#N/A</v>
      </c>
    </row>
    <row r="13872" spans="1:1" x14ac:dyDescent="0.25">
      <c r="A13872" t="e">
        <v>#N/A</v>
      </c>
    </row>
    <row r="13873" spans="1:1" x14ac:dyDescent="0.25">
      <c r="A13873" t="e">
        <v>#N/A</v>
      </c>
    </row>
    <row r="13874" spans="1:1" x14ac:dyDescent="0.25">
      <c r="A13874" t="e">
        <v>#N/A</v>
      </c>
    </row>
    <row r="13875" spans="1:1" x14ac:dyDescent="0.25">
      <c r="A13875" t="e">
        <v>#N/A</v>
      </c>
    </row>
    <row r="13876" spans="1:1" x14ac:dyDescent="0.25">
      <c r="A13876" t="e">
        <v>#N/A</v>
      </c>
    </row>
    <row r="13877" spans="1:1" x14ac:dyDescent="0.25">
      <c r="A13877" t="e">
        <v>#N/A</v>
      </c>
    </row>
    <row r="13878" spans="1:1" x14ac:dyDescent="0.25">
      <c r="A13878" t="e">
        <v>#N/A</v>
      </c>
    </row>
    <row r="13879" spans="1:1" x14ac:dyDescent="0.25">
      <c r="A13879" t="e">
        <v>#N/A</v>
      </c>
    </row>
    <row r="13880" spans="1:1" x14ac:dyDescent="0.25">
      <c r="A13880" t="e">
        <v>#N/A</v>
      </c>
    </row>
    <row r="13881" spans="1:1" x14ac:dyDescent="0.25">
      <c r="A13881" t="e">
        <v>#N/A</v>
      </c>
    </row>
    <row r="13882" spans="1:1" x14ac:dyDescent="0.25">
      <c r="A13882" t="e">
        <v>#N/A</v>
      </c>
    </row>
    <row r="13883" spans="1:1" x14ac:dyDescent="0.25">
      <c r="A13883" t="e">
        <v>#N/A</v>
      </c>
    </row>
    <row r="13884" spans="1:1" x14ac:dyDescent="0.25">
      <c r="A13884" t="e">
        <v>#N/A</v>
      </c>
    </row>
    <row r="13885" spans="1:1" x14ac:dyDescent="0.25">
      <c r="A13885" t="e">
        <v>#N/A</v>
      </c>
    </row>
    <row r="13886" spans="1:1" x14ac:dyDescent="0.25">
      <c r="A13886" t="e">
        <v>#N/A</v>
      </c>
    </row>
    <row r="13887" spans="1:1" x14ac:dyDescent="0.25">
      <c r="A13887" t="e">
        <v>#N/A</v>
      </c>
    </row>
    <row r="13888" spans="1:1" x14ac:dyDescent="0.25">
      <c r="A13888" t="e">
        <v>#N/A</v>
      </c>
    </row>
    <row r="13889" spans="1:1" x14ac:dyDescent="0.25">
      <c r="A13889" t="e">
        <v>#N/A</v>
      </c>
    </row>
    <row r="13890" spans="1:1" x14ac:dyDescent="0.25">
      <c r="A13890" t="e">
        <v>#N/A</v>
      </c>
    </row>
    <row r="13891" spans="1:1" x14ac:dyDescent="0.25">
      <c r="A13891" t="e">
        <v>#N/A</v>
      </c>
    </row>
    <row r="13892" spans="1:1" x14ac:dyDescent="0.25">
      <c r="A13892" t="e">
        <v>#N/A</v>
      </c>
    </row>
    <row r="13893" spans="1:1" x14ac:dyDescent="0.25">
      <c r="A13893" t="e">
        <v>#N/A</v>
      </c>
    </row>
    <row r="13894" spans="1:1" x14ac:dyDescent="0.25">
      <c r="A13894" t="e">
        <v>#N/A</v>
      </c>
    </row>
    <row r="13895" spans="1:1" x14ac:dyDescent="0.25">
      <c r="A13895" t="e">
        <v>#N/A</v>
      </c>
    </row>
    <row r="13896" spans="1:1" x14ac:dyDescent="0.25">
      <c r="A13896" t="e">
        <v>#N/A</v>
      </c>
    </row>
    <row r="13897" spans="1:1" x14ac:dyDescent="0.25">
      <c r="A13897" t="e">
        <v>#N/A</v>
      </c>
    </row>
    <row r="13898" spans="1:1" x14ac:dyDescent="0.25">
      <c r="A13898" t="e">
        <v>#N/A</v>
      </c>
    </row>
    <row r="13899" spans="1:1" x14ac:dyDescent="0.25">
      <c r="A13899" t="e">
        <v>#N/A</v>
      </c>
    </row>
    <row r="13900" spans="1:1" x14ac:dyDescent="0.25">
      <c r="A13900" t="e">
        <v>#N/A</v>
      </c>
    </row>
    <row r="13901" spans="1:1" x14ac:dyDescent="0.25">
      <c r="A13901" t="e">
        <v>#N/A</v>
      </c>
    </row>
    <row r="13902" spans="1:1" x14ac:dyDescent="0.25">
      <c r="A13902" t="e">
        <v>#N/A</v>
      </c>
    </row>
    <row r="13903" spans="1:1" x14ac:dyDescent="0.25">
      <c r="A13903" t="e">
        <v>#N/A</v>
      </c>
    </row>
    <row r="13904" spans="1:1" x14ac:dyDescent="0.25">
      <c r="A13904" t="e">
        <v>#N/A</v>
      </c>
    </row>
    <row r="13905" spans="1:1" x14ac:dyDescent="0.25">
      <c r="A13905" t="e">
        <v>#N/A</v>
      </c>
    </row>
    <row r="13906" spans="1:1" x14ac:dyDescent="0.25">
      <c r="A13906" t="e">
        <v>#N/A</v>
      </c>
    </row>
    <row r="13907" spans="1:1" x14ac:dyDescent="0.25">
      <c r="A13907" t="e">
        <v>#N/A</v>
      </c>
    </row>
    <row r="13908" spans="1:1" x14ac:dyDescent="0.25">
      <c r="A13908" t="e">
        <v>#N/A</v>
      </c>
    </row>
    <row r="13909" spans="1:1" x14ac:dyDescent="0.25">
      <c r="A13909" t="e">
        <v>#N/A</v>
      </c>
    </row>
    <row r="13910" spans="1:1" x14ac:dyDescent="0.25">
      <c r="A13910" t="e">
        <v>#N/A</v>
      </c>
    </row>
    <row r="13911" spans="1:1" x14ac:dyDescent="0.25">
      <c r="A13911" t="e">
        <v>#N/A</v>
      </c>
    </row>
    <row r="13912" spans="1:1" x14ac:dyDescent="0.25">
      <c r="A13912" t="e">
        <v>#N/A</v>
      </c>
    </row>
    <row r="13913" spans="1:1" x14ac:dyDescent="0.25">
      <c r="A13913" t="e">
        <v>#N/A</v>
      </c>
    </row>
    <row r="13914" spans="1:1" x14ac:dyDescent="0.25">
      <c r="A13914" t="e">
        <v>#N/A</v>
      </c>
    </row>
    <row r="13915" spans="1:1" x14ac:dyDescent="0.25">
      <c r="A13915" t="e">
        <v>#N/A</v>
      </c>
    </row>
    <row r="13916" spans="1:1" x14ac:dyDescent="0.25">
      <c r="A13916" t="e">
        <v>#N/A</v>
      </c>
    </row>
    <row r="13917" spans="1:1" x14ac:dyDescent="0.25">
      <c r="A13917" t="e">
        <v>#N/A</v>
      </c>
    </row>
    <row r="13918" spans="1:1" x14ac:dyDescent="0.25">
      <c r="A13918" t="e">
        <v>#N/A</v>
      </c>
    </row>
    <row r="13919" spans="1:1" x14ac:dyDescent="0.25">
      <c r="A13919" t="e">
        <v>#N/A</v>
      </c>
    </row>
    <row r="13920" spans="1:1" x14ac:dyDescent="0.25">
      <c r="A13920" t="e">
        <v>#N/A</v>
      </c>
    </row>
    <row r="13921" spans="1:1" x14ac:dyDescent="0.25">
      <c r="A13921" t="e">
        <v>#N/A</v>
      </c>
    </row>
    <row r="13922" spans="1:1" x14ac:dyDescent="0.25">
      <c r="A13922" t="e">
        <v>#N/A</v>
      </c>
    </row>
    <row r="13923" spans="1:1" x14ac:dyDescent="0.25">
      <c r="A13923" t="e">
        <v>#N/A</v>
      </c>
    </row>
    <row r="13924" spans="1:1" x14ac:dyDescent="0.25">
      <c r="A13924" t="e">
        <v>#N/A</v>
      </c>
    </row>
    <row r="13925" spans="1:1" x14ac:dyDescent="0.25">
      <c r="A13925" t="e">
        <v>#N/A</v>
      </c>
    </row>
    <row r="13926" spans="1:1" x14ac:dyDescent="0.25">
      <c r="A13926" t="e">
        <v>#N/A</v>
      </c>
    </row>
    <row r="13927" spans="1:1" x14ac:dyDescent="0.25">
      <c r="A13927" t="e">
        <v>#N/A</v>
      </c>
    </row>
    <row r="13928" spans="1:1" x14ac:dyDescent="0.25">
      <c r="A13928" t="e">
        <v>#N/A</v>
      </c>
    </row>
    <row r="13929" spans="1:1" x14ac:dyDescent="0.25">
      <c r="A13929" t="e">
        <v>#N/A</v>
      </c>
    </row>
    <row r="13930" spans="1:1" x14ac:dyDescent="0.25">
      <c r="A13930" t="e">
        <v>#N/A</v>
      </c>
    </row>
    <row r="13931" spans="1:1" x14ac:dyDescent="0.25">
      <c r="A13931" t="e">
        <v>#N/A</v>
      </c>
    </row>
    <row r="13932" spans="1:1" x14ac:dyDescent="0.25">
      <c r="A13932" t="e">
        <v>#N/A</v>
      </c>
    </row>
    <row r="13933" spans="1:1" x14ac:dyDescent="0.25">
      <c r="A13933" t="e">
        <v>#N/A</v>
      </c>
    </row>
    <row r="13934" spans="1:1" x14ac:dyDescent="0.25">
      <c r="A13934" t="e">
        <v>#N/A</v>
      </c>
    </row>
    <row r="13935" spans="1:1" x14ac:dyDescent="0.25">
      <c r="A13935" t="e">
        <v>#N/A</v>
      </c>
    </row>
    <row r="13936" spans="1:1" x14ac:dyDescent="0.25">
      <c r="A13936" t="e">
        <v>#N/A</v>
      </c>
    </row>
    <row r="13937" spans="1:1" x14ac:dyDescent="0.25">
      <c r="A13937" t="e">
        <v>#N/A</v>
      </c>
    </row>
    <row r="13938" spans="1:1" x14ac:dyDescent="0.25">
      <c r="A13938" t="e">
        <v>#N/A</v>
      </c>
    </row>
    <row r="13939" spans="1:1" x14ac:dyDescent="0.25">
      <c r="A13939" t="e">
        <v>#N/A</v>
      </c>
    </row>
    <row r="13940" spans="1:1" x14ac:dyDescent="0.25">
      <c r="A13940" t="e">
        <v>#N/A</v>
      </c>
    </row>
    <row r="13941" spans="1:1" x14ac:dyDescent="0.25">
      <c r="A13941" t="e">
        <v>#N/A</v>
      </c>
    </row>
    <row r="13942" spans="1:1" x14ac:dyDescent="0.25">
      <c r="A13942" t="e">
        <v>#N/A</v>
      </c>
    </row>
    <row r="13943" spans="1:1" x14ac:dyDescent="0.25">
      <c r="A13943" t="e">
        <v>#N/A</v>
      </c>
    </row>
    <row r="13944" spans="1:1" x14ac:dyDescent="0.25">
      <c r="A13944" t="e">
        <v>#N/A</v>
      </c>
    </row>
    <row r="13945" spans="1:1" x14ac:dyDescent="0.25">
      <c r="A13945" t="e">
        <v>#N/A</v>
      </c>
    </row>
    <row r="13946" spans="1:1" x14ac:dyDescent="0.25">
      <c r="A13946" t="e">
        <v>#N/A</v>
      </c>
    </row>
    <row r="13947" spans="1:1" x14ac:dyDescent="0.25">
      <c r="A13947" t="e">
        <v>#N/A</v>
      </c>
    </row>
    <row r="13948" spans="1:1" x14ac:dyDescent="0.25">
      <c r="A13948" t="e">
        <v>#N/A</v>
      </c>
    </row>
    <row r="13949" spans="1:1" x14ac:dyDescent="0.25">
      <c r="A13949" t="e">
        <v>#N/A</v>
      </c>
    </row>
    <row r="13950" spans="1:1" x14ac:dyDescent="0.25">
      <c r="A13950" t="e">
        <v>#N/A</v>
      </c>
    </row>
    <row r="13951" spans="1:1" x14ac:dyDescent="0.25">
      <c r="A13951" t="e">
        <v>#N/A</v>
      </c>
    </row>
    <row r="13952" spans="1:1" x14ac:dyDescent="0.25">
      <c r="A13952" t="e">
        <v>#N/A</v>
      </c>
    </row>
    <row r="13953" spans="1:1" x14ac:dyDescent="0.25">
      <c r="A13953" t="e">
        <v>#N/A</v>
      </c>
    </row>
    <row r="13954" spans="1:1" x14ac:dyDescent="0.25">
      <c r="A13954" t="e">
        <v>#N/A</v>
      </c>
    </row>
    <row r="13955" spans="1:1" x14ac:dyDescent="0.25">
      <c r="A13955" t="e">
        <v>#N/A</v>
      </c>
    </row>
    <row r="13956" spans="1:1" x14ac:dyDescent="0.25">
      <c r="A13956" t="e">
        <v>#N/A</v>
      </c>
    </row>
    <row r="13957" spans="1:1" x14ac:dyDescent="0.25">
      <c r="A13957" t="e">
        <v>#N/A</v>
      </c>
    </row>
    <row r="13958" spans="1:1" x14ac:dyDescent="0.25">
      <c r="A13958" t="e">
        <v>#N/A</v>
      </c>
    </row>
    <row r="13959" spans="1:1" x14ac:dyDescent="0.25">
      <c r="A13959" t="e">
        <v>#N/A</v>
      </c>
    </row>
    <row r="13960" spans="1:1" x14ac:dyDescent="0.25">
      <c r="A13960" t="e">
        <v>#N/A</v>
      </c>
    </row>
    <row r="13961" spans="1:1" x14ac:dyDescent="0.25">
      <c r="A13961" t="e">
        <v>#N/A</v>
      </c>
    </row>
    <row r="13962" spans="1:1" x14ac:dyDescent="0.25">
      <c r="A13962" t="e">
        <v>#N/A</v>
      </c>
    </row>
    <row r="13963" spans="1:1" x14ac:dyDescent="0.25">
      <c r="A13963" t="e">
        <v>#N/A</v>
      </c>
    </row>
    <row r="13964" spans="1:1" x14ac:dyDescent="0.25">
      <c r="A13964" t="e">
        <v>#N/A</v>
      </c>
    </row>
    <row r="13965" spans="1:1" x14ac:dyDescent="0.25">
      <c r="A13965" t="e">
        <v>#N/A</v>
      </c>
    </row>
    <row r="13966" spans="1:1" x14ac:dyDescent="0.25">
      <c r="A13966" t="e">
        <v>#N/A</v>
      </c>
    </row>
    <row r="13967" spans="1:1" x14ac:dyDescent="0.25">
      <c r="A13967" t="e">
        <v>#N/A</v>
      </c>
    </row>
    <row r="13968" spans="1:1" x14ac:dyDescent="0.25">
      <c r="A13968" t="e">
        <v>#N/A</v>
      </c>
    </row>
    <row r="13969" spans="1:1" x14ac:dyDescent="0.25">
      <c r="A13969" t="e">
        <v>#N/A</v>
      </c>
    </row>
    <row r="13970" spans="1:1" x14ac:dyDescent="0.25">
      <c r="A13970" t="e">
        <v>#N/A</v>
      </c>
    </row>
    <row r="13971" spans="1:1" x14ac:dyDescent="0.25">
      <c r="A13971" t="e">
        <v>#N/A</v>
      </c>
    </row>
    <row r="13972" spans="1:1" x14ac:dyDescent="0.25">
      <c r="A13972" t="e">
        <v>#N/A</v>
      </c>
    </row>
    <row r="13973" spans="1:1" x14ac:dyDescent="0.25">
      <c r="A13973" t="e">
        <v>#N/A</v>
      </c>
    </row>
    <row r="13974" spans="1:1" x14ac:dyDescent="0.25">
      <c r="A13974" t="e">
        <v>#N/A</v>
      </c>
    </row>
    <row r="13975" spans="1:1" x14ac:dyDescent="0.25">
      <c r="A13975" t="e">
        <v>#N/A</v>
      </c>
    </row>
    <row r="13976" spans="1:1" x14ac:dyDescent="0.25">
      <c r="A13976" t="e">
        <v>#N/A</v>
      </c>
    </row>
    <row r="13977" spans="1:1" x14ac:dyDescent="0.25">
      <c r="A13977" t="e">
        <v>#N/A</v>
      </c>
    </row>
    <row r="13978" spans="1:1" x14ac:dyDescent="0.25">
      <c r="A13978" t="e">
        <v>#N/A</v>
      </c>
    </row>
    <row r="13979" spans="1:1" x14ac:dyDescent="0.25">
      <c r="A13979" t="e">
        <v>#N/A</v>
      </c>
    </row>
    <row r="13980" spans="1:1" x14ac:dyDescent="0.25">
      <c r="A13980" t="e">
        <v>#N/A</v>
      </c>
    </row>
    <row r="13981" spans="1:1" x14ac:dyDescent="0.25">
      <c r="A13981" t="e">
        <v>#N/A</v>
      </c>
    </row>
    <row r="13982" spans="1:1" x14ac:dyDescent="0.25">
      <c r="A13982" t="e">
        <v>#N/A</v>
      </c>
    </row>
    <row r="13983" spans="1:1" x14ac:dyDescent="0.25">
      <c r="A13983" t="e">
        <v>#N/A</v>
      </c>
    </row>
    <row r="13984" spans="1:1" x14ac:dyDescent="0.25">
      <c r="A13984" t="e">
        <v>#N/A</v>
      </c>
    </row>
    <row r="13985" spans="1:1" x14ac:dyDescent="0.25">
      <c r="A13985" t="e">
        <v>#N/A</v>
      </c>
    </row>
    <row r="13986" spans="1:1" x14ac:dyDescent="0.25">
      <c r="A13986" t="e">
        <v>#N/A</v>
      </c>
    </row>
    <row r="13987" spans="1:1" x14ac:dyDescent="0.25">
      <c r="A13987" t="e">
        <v>#N/A</v>
      </c>
    </row>
    <row r="13988" spans="1:1" x14ac:dyDescent="0.25">
      <c r="A13988" t="e">
        <v>#N/A</v>
      </c>
    </row>
    <row r="13989" spans="1:1" x14ac:dyDescent="0.25">
      <c r="A13989" t="e">
        <v>#N/A</v>
      </c>
    </row>
    <row r="13990" spans="1:1" x14ac:dyDescent="0.25">
      <c r="A13990" t="e">
        <v>#N/A</v>
      </c>
    </row>
    <row r="13991" spans="1:1" x14ac:dyDescent="0.25">
      <c r="A13991" t="e">
        <v>#N/A</v>
      </c>
    </row>
    <row r="13992" spans="1:1" x14ac:dyDescent="0.25">
      <c r="A13992" t="e">
        <v>#N/A</v>
      </c>
    </row>
    <row r="13993" spans="1:1" x14ac:dyDescent="0.25">
      <c r="A13993" t="e">
        <v>#N/A</v>
      </c>
    </row>
    <row r="13994" spans="1:1" x14ac:dyDescent="0.25">
      <c r="A13994" t="e">
        <v>#N/A</v>
      </c>
    </row>
    <row r="13995" spans="1:1" x14ac:dyDescent="0.25">
      <c r="A13995" t="e">
        <v>#N/A</v>
      </c>
    </row>
    <row r="13996" spans="1:1" x14ac:dyDescent="0.25">
      <c r="A13996" t="e">
        <v>#N/A</v>
      </c>
    </row>
    <row r="13997" spans="1:1" x14ac:dyDescent="0.25">
      <c r="A13997" t="e">
        <v>#N/A</v>
      </c>
    </row>
    <row r="13998" spans="1:1" x14ac:dyDescent="0.25">
      <c r="A13998" t="e">
        <v>#N/A</v>
      </c>
    </row>
    <row r="13999" spans="1:1" x14ac:dyDescent="0.25">
      <c r="A13999" t="e">
        <v>#N/A</v>
      </c>
    </row>
    <row r="14000" spans="1:1" x14ac:dyDescent="0.25">
      <c r="A14000" t="e">
        <v>#N/A</v>
      </c>
    </row>
    <row r="14001" spans="1:1" x14ac:dyDescent="0.25">
      <c r="A14001" t="e">
        <v>#N/A</v>
      </c>
    </row>
    <row r="14002" spans="1:1" x14ac:dyDescent="0.25">
      <c r="A14002" t="e">
        <v>#N/A</v>
      </c>
    </row>
    <row r="14003" spans="1:1" x14ac:dyDescent="0.25">
      <c r="A14003" t="e">
        <v>#N/A</v>
      </c>
    </row>
    <row r="14004" spans="1:1" x14ac:dyDescent="0.25">
      <c r="A14004" t="e">
        <v>#N/A</v>
      </c>
    </row>
    <row r="14005" spans="1:1" x14ac:dyDescent="0.25">
      <c r="A14005" t="e">
        <v>#N/A</v>
      </c>
    </row>
    <row r="14006" spans="1:1" x14ac:dyDescent="0.25">
      <c r="A14006" t="e">
        <v>#N/A</v>
      </c>
    </row>
    <row r="14007" spans="1:1" x14ac:dyDescent="0.25">
      <c r="A14007" t="e">
        <v>#N/A</v>
      </c>
    </row>
    <row r="14008" spans="1:1" x14ac:dyDescent="0.25">
      <c r="A14008" t="e">
        <v>#N/A</v>
      </c>
    </row>
    <row r="14009" spans="1:1" x14ac:dyDescent="0.25">
      <c r="A14009" t="e">
        <v>#N/A</v>
      </c>
    </row>
    <row r="14010" spans="1:1" x14ac:dyDescent="0.25">
      <c r="A14010" t="e">
        <v>#N/A</v>
      </c>
    </row>
    <row r="14011" spans="1:1" x14ac:dyDescent="0.25">
      <c r="A14011" t="e">
        <v>#N/A</v>
      </c>
    </row>
    <row r="14012" spans="1:1" x14ac:dyDescent="0.25">
      <c r="A14012" t="e">
        <v>#N/A</v>
      </c>
    </row>
    <row r="14013" spans="1:1" x14ac:dyDescent="0.25">
      <c r="A14013" t="e">
        <v>#N/A</v>
      </c>
    </row>
    <row r="14014" spans="1:1" x14ac:dyDescent="0.25">
      <c r="A14014" t="e">
        <v>#N/A</v>
      </c>
    </row>
    <row r="14015" spans="1:1" x14ac:dyDescent="0.25">
      <c r="A14015" t="e">
        <v>#N/A</v>
      </c>
    </row>
    <row r="14016" spans="1:1" x14ac:dyDescent="0.25">
      <c r="A14016" t="e">
        <v>#N/A</v>
      </c>
    </row>
    <row r="14017" spans="1:1" x14ac:dyDescent="0.25">
      <c r="A14017" t="e">
        <v>#N/A</v>
      </c>
    </row>
    <row r="14018" spans="1:1" x14ac:dyDescent="0.25">
      <c r="A14018" t="e">
        <v>#N/A</v>
      </c>
    </row>
    <row r="14019" spans="1:1" x14ac:dyDescent="0.25">
      <c r="A14019" t="e">
        <v>#N/A</v>
      </c>
    </row>
    <row r="14020" spans="1:1" x14ac:dyDescent="0.25">
      <c r="A14020" t="e">
        <v>#N/A</v>
      </c>
    </row>
    <row r="14021" spans="1:1" x14ac:dyDescent="0.25">
      <c r="A14021" t="e">
        <v>#N/A</v>
      </c>
    </row>
    <row r="14022" spans="1:1" x14ac:dyDescent="0.25">
      <c r="A14022" t="e">
        <v>#N/A</v>
      </c>
    </row>
    <row r="14023" spans="1:1" x14ac:dyDescent="0.25">
      <c r="A14023" t="e">
        <v>#N/A</v>
      </c>
    </row>
    <row r="14024" spans="1:1" x14ac:dyDescent="0.25">
      <c r="A14024" t="e">
        <v>#N/A</v>
      </c>
    </row>
    <row r="14025" spans="1:1" x14ac:dyDescent="0.25">
      <c r="A14025" t="e">
        <v>#N/A</v>
      </c>
    </row>
    <row r="14026" spans="1:1" x14ac:dyDescent="0.25">
      <c r="A14026" t="e">
        <v>#N/A</v>
      </c>
    </row>
    <row r="14027" spans="1:1" x14ac:dyDescent="0.25">
      <c r="A14027" t="e">
        <v>#N/A</v>
      </c>
    </row>
    <row r="14028" spans="1:1" x14ac:dyDescent="0.25">
      <c r="A14028" t="e">
        <v>#N/A</v>
      </c>
    </row>
    <row r="14029" spans="1:1" x14ac:dyDescent="0.25">
      <c r="A14029" t="e">
        <v>#N/A</v>
      </c>
    </row>
    <row r="14030" spans="1:1" x14ac:dyDescent="0.25">
      <c r="A14030" t="e">
        <v>#N/A</v>
      </c>
    </row>
    <row r="14031" spans="1:1" x14ac:dyDescent="0.25">
      <c r="A14031" t="e">
        <v>#N/A</v>
      </c>
    </row>
    <row r="14032" spans="1:1" x14ac:dyDescent="0.25">
      <c r="A14032" t="e">
        <v>#N/A</v>
      </c>
    </row>
    <row r="14033" spans="1:1" x14ac:dyDescent="0.25">
      <c r="A14033" t="e">
        <v>#N/A</v>
      </c>
    </row>
    <row r="14034" spans="1:1" x14ac:dyDescent="0.25">
      <c r="A14034" t="e">
        <v>#N/A</v>
      </c>
    </row>
    <row r="14035" spans="1:1" x14ac:dyDescent="0.25">
      <c r="A14035" t="e">
        <v>#N/A</v>
      </c>
    </row>
    <row r="14036" spans="1:1" x14ac:dyDescent="0.25">
      <c r="A14036" t="e">
        <v>#N/A</v>
      </c>
    </row>
    <row r="14037" spans="1:1" x14ac:dyDescent="0.25">
      <c r="A14037" t="e">
        <v>#N/A</v>
      </c>
    </row>
    <row r="14038" spans="1:1" x14ac:dyDescent="0.25">
      <c r="A14038" t="e">
        <v>#N/A</v>
      </c>
    </row>
    <row r="14039" spans="1:1" x14ac:dyDescent="0.25">
      <c r="A14039" t="e">
        <v>#N/A</v>
      </c>
    </row>
    <row r="14040" spans="1:1" x14ac:dyDescent="0.25">
      <c r="A14040" t="e">
        <v>#N/A</v>
      </c>
    </row>
    <row r="14041" spans="1:1" x14ac:dyDescent="0.25">
      <c r="A14041" t="e">
        <v>#N/A</v>
      </c>
    </row>
    <row r="14042" spans="1:1" x14ac:dyDescent="0.25">
      <c r="A14042" t="e">
        <v>#N/A</v>
      </c>
    </row>
    <row r="14043" spans="1:1" x14ac:dyDescent="0.25">
      <c r="A14043" t="e">
        <v>#N/A</v>
      </c>
    </row>
    <row r="14044" spans="1:1" x14ac:dyDescent="0.25">
      <c r="A14044" t="e">
        <v>#N/A</v>
      </c>
    </row>
    <row r="14045" spans="1:1" x14ac:dyDescent="0.25">
      <c r="A14045" t="e">
        <v>#N/A</v>
      </c>
    </row>
    <row r="14046" spans="1:1" x14ac:dyDescent="0.25">
      <c r="A14046" t="e">
        <v>#N/A</v>
      </c>
    </row>
    <row r="14047" spans="1:1" x14ac:dyDescent="0.25">
      <c r="A14047" t="e">
        <v>#N/A</v>
      </c>
    </row>
    <row r="14048" spans="1:1" x14ac:dyDescent="0.25">
      <c r="A14048" t="e">
        <v>#N/A</v>
      </c>
    </row>
    <row r="14049" spans="1:1" x14ac:dyDescent="0.25">
      <c r="A14049" t="e">
        <v>#N/A</v>
      </c>
    </row>
    <row r="14050" spans="1:1" x14ac:dyDescent="0.25">
      <c r="A14050" t="e">
        <v>#N/A</v>
      </c>
    </row>
    <row r="14051" spans="1:1" x14ac:dyDescent="0.25">
      <c r="A14051" t="e">
        <v>#N/A</v>
      </c>
    </row>
    <row r="14052" spans="1:1" x14ac:dyDescent="0.25">
      <c r="A14052" t="e">
        <v>#N/A</v>
      </c>
    </row>
    <row r="14053" spans="1:1" x14ac:dyDescent="0.25">
      <c r="A14053" t="e">
        <v>#N/A</v>
      </c>
    </row>
    <row r="14054" spans="1:1" x14ac:dyDescent="0.25">
      <c r="A14054" t="e">
        <v>#N/A</v>
      </c>
    </row>
    <row r="14055" spans="1:1" x14ac:dyDescent="0.25">
      <c r="A14055" t="e">
        <v>#N/A</v>
      </c>
    </row>
    <row r="14056" spans="1:1" x14ac:dyDescent="0.25">
      <c r="A14056" t="e">
        <v>#N/A</v>
      </c>
    </row>
    <row r="14057" spans="1:1" x14ac:dyDescent="0.25">
      <c r="A14057" t="e">
        <v>#N/A</v>
      </c>
    </row>
    <row r="14058" spans="1:1" x14ac:dyDescent="0.25">
      <c r="A14058" t="e">
        <v>#N/A</v>
      </c>
    </row>
    <row r="14059" spans="1:1" x14ac:dyDescent="0.25">
      <c r="A14059" t="e">
        <v>#N/A</v>
      </c>
    </row>
    <row r="14060" spans="1:1" x14ac:dyDescent="0.25">
      <c r="A14060" t="e">
        <v>#N/A</v>
      </c>
    </row>
    <row r="14061" spans="1:1" x14ac:dyDescent="0.25">
      <c r="A14061" t="e">
        <v>#N/A</v>
      </c>
    </row>
    <row r="14062" spans="1:1" x14ac:dyDescent="0.25">
      <c r="A14062" t="e">
        <v>#N/A</v>
      </c>
    </row>
    <row r="14063" spans="1:1" x14ac:dyDescent="0.25">
      <c r="A14063" t="e">
        <v>#N/A</v>
      </c>
    </row>
    <row r="14064" spans="1:1" x14ac:dyDescent="0.25">
      <c r="A14064" t="e">
        <v>#N/A</v>
      </c>
    </row>
    <row r="14065" spans="1:1" x14ac:dyDescent="0.25">
      <c r="A14065" t="e">
        <v>#N/A</v>
      </c>
    </row>
    <row r="14066" spans="1:1" x14ac:dyDescent="0.25">
      <c r="A14066" t="e">
        <v>#N/A</v>
      </c>
    </row>
    <row r="14067" spans="1:1" x14ac:dyDescent="0.25">
      <c r="A14067" t="e">
        <v>#N/A</v>
      </c>
    </row>
    <row r="14068" spans="1:1" x14ac:dyDescent="0.25">
      <c r="A14068" t="e">
        <v>#N/A</v>
      </c>
    </row>
    <row r="14069" spans="1:1" x14ac:dyDescent="0.25">
      <c r="A14069" t="e">
        <v>#N/A</v>
      </c>
    </row>
    <row r="14070" spans="1:1" x14ac:dyDescent="0.25">
      <c r="A14070" t="e">
        <v>#N/A</v>
      </c>
    </row>
    <row r="14071" spans="1:1" x14ac:dyDescent="0.25">
      <c r="A14071" t="e">
        <v>#N/A</v>
      </c>
    </row>
    <row r="14072" spans="1:1" x14ac:dyDescent="0.25">
      <c r="A14072" t="e">
        <v>#N/A</v>
      </c>
    </row>
    <row r="14073" spans="1:1" x14ac:dyDescent="0.25">
      <c r="A14073" t="e">
        <v>#N/A</v>
      </c>
    </row>
    <row r="14074" spans="1:1" x14ac:dyDescent="0.25">
      <c r="A14074" t="e">
        <v>#N/A</v>
      </c>
    </row>
    <row r="14075" spans="1:1" x14ac:dyDescent="0.25">
      <c r="A14075" t="e">
        <v>#N/A</v>
      </c>
    </row>
    <row r="14076" spans="1:1" x14ac:dyDescent="0.25">
      <c r="A14076" t="e">
        <v>#N/A</v>
      </c>
    </row>
    <row r="14077" spans="1:1" x14ac:dyDescent="0.25">
      <c r="A14077" t="e">
        <v>#N/A</v>
      </c>
    </row>
    <row r="14078" spans="1:1" x14ac:dyDescent="0.25">
      <c r="A14078" t="e">
        <v>#N/A</v>
      </c>
    </row>
    <row r="14079" spans="1:1" x14ac:dyDescent="0.25">
      <c r="A14079" t="e">
        <v>#N/A</v>
      </c>
    </row>
    <row r="14080" spans="1:1" x14ac:dyDescent="0.25">
      <c r="A14080" t="e">
        <v>#N/A</v>
      </c>
    </row>
    <row r="14081" spans="1:1" x14ac:dyDescent="0.25">
      <c r="A14081" t="e">
        <v>#N/A</v>
      </c>
    </row>
    <row r="14082" spans="1:1" x14ac:dyDescent="0.25">
      <c r="A14082" t="e">
        <v>#N/A</v>
      </c>
    </row>
    <row r="14083" spans="1:1" x14ac:dyDescent="0.25">
      <c r="A14083" t="e">
        <v>#N/A</v>
      </c>
    </row>
    <row r="14084" spans="1:1" x14ac:dyDescent="0.25">
      <c r="A14084" t="e">
        <v>#N/A</v>
      </c>
    </row>
    <row r="14085" spans="1:1" x14ac:dyDescent="0.25">
      <c r="A14085" t="e">
        <v>#N/A</v>
      </c>
    </row>
    <row r="14086" spans="1:1" x14ac:dyDescent="0.25">
      <c r="A14086" t="e">
        <v>#N/A</v>
      </c>
    </row>
    <row r="14087" spans="1:1" x14ac:dyDescent="0.25">
      <c r="A14087" t="e">
        <v>#N/A</v>
      </c>
    </row>
    <row r="14088" spans="1:1" x14ac:dyDescent="0.25">
      <c r="A14088" t="e">
        <v>#N/A</v>
      </c>
    </row>
    <row r="14089" spans="1:1" x14ac:dyDescent="0.25">
      <c r="A14089" t="e">
        <v>#N/A</v>
      </c>
    </row>
    <row r="14090" spans="1:1" x14ac:dyDescent="0.25">
      <c r="A14090" t="e">
        <v>#N/A</v>
      </c>
    </row>
    <row r="14091" spans="1:1" x14ac:dyDescent="0.25">
      <c r="A14091" t="e">
        <v>#N/A</v>
      </c>
    </row>
    <row r="14092" spans="1:1" x14ac:dyDescent="0.25">
      <c r="A14092" t="e">
        <v>#N/A</v>
      </c>
    </row>
    <row r="14093" spans="1:1" x14ac:dyDescent="0.25">
      <c r="A14093" t="e">
        <v>#N/A</v>
      </c>
    </row>
    <row r="14094" spans="1:1" x14ac:dyDescent="0.25">
      <c r="A14094" t="e">
        <v>#N/A</v>
      </c>
    </row>
    <row r="14095" spans="1:1" x14ac:dyDescent="0.25">
      <c r="A14095" t="e">
        <v>#N/A</v>
      </c>
    </row>
    <row r="14096" spans="1:1" x14ac:dyDescent="0.25">
      <c r="A14096" t="e">
        <v>#N/A</v>
      </c>
    </row>
    <row r="14097" spans="1:1" x14ac:dyDescent="0.25">
      <c r="A14097" t="e">
        <v>#N/A</v>
      </c>
    </row>
    <row r="14098" spans="1:1" x14ac:dyDescent="0.25">
      <c r="A14098" t="e">
        <v>#N/A</v>
      </c>
    </row>
    <row r="14099" spans="1:1" x14ac:dyDescent="0.25">
      <c r="A14099" t="e">
        <v>#N/A</v>
      </c>
    </row>
    <row r="14100" spans="1:1" x14ac:dyDescent="0.25">
      <c r="A14100" t="e">
        <v>#N/A</v>
      </c>
    </row>
    <row r="14101" spans="1:1" x14ac:dyDescent="0.25">
      <c r="A14101" t="e">
        <v>#N/A</v>
      </c>
    </row>
    <row r="14102" spans="1:1" x14ac:dyDescent="0.25">
      <c r="A14102" t="e">
        <v>#N/A</v>
      </c>
    </row>
    <row r="14103" spans="1:1" x14ac:dyDescent="0.25">
      <c r="A14103" t="e">
        <v>#N/A</v>
      </c>
    </row>
    <row r="14104" spans="1:1" x14ac:dyDescent="0.25">
      <c r="A14104" t="e">
        <v>#N/A</v>
      </c>
    </row>
    <row r="14105" spans="1:1" x14ac:dyDescent="0.25">
      <c r="A14105" t="e">
        <v>#N/A</v>
      </c>
    </row>
    <row r="14106" spans="1:1" x14ac:dyDescent="0.25">
      <c r="A14106" t="e">
        <v>#N/A</v>
      </c>
    </row>
    <row r="14107" spans="1:1" x14ac:dyDescent="0.25">
      <c r="A14107" t="e">
        <v>#N/A</v>
      </c>
    </row>
    <row r="14108" spans="1:1" x14ac:dyDescent="0.25">
      <c r="A14108" t="e">
        <v>#N/A</v>
      </c>
    </row>
    <row r="14109" spans="1:1" x14ac:dyDescent="0.25">
      <c r="A14109" t="e">
        <v>#N/A</v>
      </c>
    </row>
    <row r="14110" spans="1:1" x14ac:dyDescent="0.25">
      <c r="A14110" t="e">
        <v>#N/A</v>
      </c>
    </row>
    <row r="14111" spans="1:1" x14ac:dyDescent="0.25">
      <c r="A14111" t="e">
        <v>#N/A</v>
      </c>
    </row>
    <row r="14112" spans="1:1" x14ac:dyDescent="0.25">
      <c r="A14112" t="e">
        <v>#N/A</v>
      </c>
    </row>
    <row r="14113" spans="1:1" x14ac:dyDescent="0.25">
      <c r="A14113" t="e">
        <v>#N/A</v>
      </c>
    </row>
    <row r="14114" spans="1:1" x14ac:dyDescent="0.25">
      <c r="A14114" t="e">
        <v>#N/A</v>
      </c>
    </row>
    <row r="14115" spans="1:1" x14ac:dyDescent="0.25">
      <c r="A14115" t="e">
        <v>#N/A</v>
      </c>
    </row>
    <row r="14116" spans="1:1" x14ac:dyDescent="0.25">
      <c r="A14116" t="e">
        <v>#N/A</v>
      </c>
    </row>
    <row r="14117" spans="1:1" x14ac:dyDescent="0.25">
      <c r="A14117" t="e">
        <v>#N/A</v>
      </c>
    </row>
    <row r="14118" spans="1:1" x14ac:dyDescent="0.25">
      <c r="A14118" t="e">
        <v>#N/A</v>
      </c>
    </row>
    <row r="14119" spans="1:1" x14ac:dyDescent="0.25">
      <c r="A14119" t="e">
        <v>#N/A</v>
      </c>
    </row>
    <row r="14120" spans="1:1" x14ac:dyDescent="0.25">
      <c r="A14120" t="e">
        <v>#N/A</v>
      </c>
    </row>
    <row r="14121" spans="1:1" x14ac:dyDescent="0.25">
      <c r="A14121" t="e">
        <v>#N/A</v>
      </c>
    </row>
    <row r="14122" spans="1:1" x14ac:dyDescent="0.25">
      <c r="A14122" t="e">
        <v>#N/A</v>
      </c>
    </row>
    <row r="14123" spans="1:1" x14ac:dyDescent="0.25">
      <c r="A14123" t="e">
        <v>#N/A</v>
      </c>
    </row>
    <row r="14124" spans="1:1" x14ac:dyDescent="0.25">
      <c r="A14124" t="e">
        <v>#N/A</v>
      </c>
    </row>
    <row r="14125" spans="1:1" x14ac:dyDescent="0.25">
      <c r="A14125" t="e">
        <v>#N/A</v>
      </c>
    </row>
    <row r="14126" spans="1:1" x14ac:dyDescent="0.25">
      <c r="A14126" t="e">
        <v>#N/A</v>
      </c>
    </row>
    <row r="14127" spans="1:1" x14ac:dyDescent="0.25">
      <c r="A14127" t="e">
        <v>#N/A</v>
      </c>
    </row>
    <row r="14128" spans="1:1" x14ac:dyDescent="0.25">
      <c r="A14128" t="e">
        <v>#N/A</v>
      </c>
    </row>
    <row r="14129" spans="1:1" x14ac:dyDescent="0.25">
      <c r="A14129" t="e">
        <v>#N/A</v>
      </c>
    </row>
    <row r="14130" spans="1:1" x14ac:dyDescent="0.25">
      <c r="A14130" t="e">
        <v>#N/A</v>
      </c>
    </row>
    <row r="14131" spans="1:1" x14ac:dyDescent="0.25">
      <c r="A14131" t="e">
        <v>#N/A</v>
      </c>
    </row>
    <row r="14132" spans="1:1" x14ac:dyDescent="0.25">
      <c r="A14132" t="e">
        <v>#N/A</v>
      </c>
    </row>
    <row r="14133" spans="1:1" x14ac:dyDescent="0.25">
      <c r="A14133" t="e">
        <v>#N/A</v>
      </c>
    </row>
    <row r="14134" spans="1:1" x14ac:dyDescent="0.25">
      <c r="A14134" t="e">
        <v>#N/A</v>
      </c>
    </row>
    <row r="14135" spans="1:1" x14ac:dyDescent="0.25">
      <c r="A14135" t="e">
        <v>#N/A</v>
      </c>
    </row>
    <row r="14136" spans="1:1" x14ac:dyDescent="0.25">
      <c r="A14136" t="e">
        <v>#N/A</v>
      </c>
    </row>
    <row r="14137" spans="1:1" x14ac:dyDescent="0.25">
      <c r="A14137" t="e">
        <v>#N/A</v>
      </c>
    </row>
    <row r="14138" spans="1:1" x14ac:dyDescent="0.25">
      <c r="A14138" t="e">
        <v>#N/A</v>
      </c>
    </row>
    <row r="14139" spans="1:1" x14ac:dyDescent="0.25">
      <c r="A14139" t="e">
        <v>#N/A</v>
      </c>
    </row>
    <row r="14140" spans="1:1" x14ac:dyDescent="0.25">
      <c r="A14140" t="e">
        <v>#N/A</v>
      </c>
    </row>
    <row r="14141" spans="1:1" x14ac:dyDescent="0.25">
      <c r="A14141" t="e">
        <v>#N/A</v>
      </c>
    </row>
    <row r="14142" spans="1:1" x14ac:dyDescent="0.25">
      <c r="A14142" t="e">
        <v>#N/A</v>
      </c>
    </row>
    <row r="14143" spans="1:1" x14ac:dyDescent="0.25">
      <c r="A14143" t="e">
        <v>#N/A</v>
      </c>
    </row>
    <row r="14144" spans="1:1" x14ac:dyDescent="0.25">
      <c r="A14144" t="e">
        <v>#N/A</v>
      </c>
    </row>
    <row r="14145" spans="1:1" x14ac:dyDescent="0.25">
      <c r="A14145" t="e">
        <v>#N/A</v>
      </c>
    </row>
    <row r="14146" spans="1:1" x14ac:dyDescent="0.25">
      <c r="A14146" t="e">
        <v>#N/A</v>
      </c>
    </row>
    <row r="14147" spans="1:1" x14ac:dyDescent="0.25">
      <c r="A14147" t="e">
        <v>#N/A</v>
      </c>
    </row>
    <row r="14148" spans="1:1" x14ac:dyDescent="0.25">
      <c r="A14148" t="e">
        <v>#N/A</v>
      </c>
    </row>
    <row r="14149" spans="1:1" x14ac:dyDescent="0.25">
      <c r="A14149" t="e">
        <v>#N/A</v>
      </c>
    </row>
    <row r="14150" spans="1:1" x14ac:dyDescent="0.25">
      <c r="A14150" t="e">
        <v>#N/A</v>
      </c>
    </row>
    <row r="14151" spans="1:1" x14ac:dyDescent="0.25">
      <c r="A14151" t="e">
        <v>#N/A</v>
      </c>
    </row>
    <row r="14152" spans="1:1" x14ac:dyDescent="0.25">
      <c r="A14152" t="e">
        <v>#N/A</v>
      </c>
    </row>
    <row r="14153" spans="1:1" x14ac:dyDescent="0.25">
      <c r="A14153" t="e">
        <v>#N/A</v>
      </c>
    </row>
    <row r="14154" spans="1:1" x14ac:dyDescent="0.25">
      <c r="A14154" t="e">
        <v>#N/A</v>
      </c>
    </row>
    <row r="14155" spans="1:1" x14ac:dyDescent="0.25">
      <c r="A14155" t="e">
        <v>#N/A</v>
      </c>
    </row>
    <row r="14156" spans="1:1" x14ac:dyDescent="0.25">
      <c r="A14156" t="e">
        <v>#N/A</v>
      </c>
    </row>
    <row r="14157" spans="1:1" x14ac:dyDescent="0.25">
      <c r="A14157" t="e">
        <v>#N/A</v>
      </c>
    </row>
    <row r="14158" spans="1:1" x14ac:dyDescent="0.25">
      <c r="A14158" t="e">
        <v>#N/A</v>
      </c>
    </row>
    <row r="14159" spans="1:1" x14ac:dyDescent="0.25">
      <c r="A14159" t="e">
        <v>#N/A</v>
      </c>
    </row>
    <row r="14160" spans="1:1" x14ac:dyDescent="0.25">
      <c r="A14160" t="e">
        <v>#N/A</v>
      </c>
    </row>
    <row r="14161" spans="1:1" x14ac:dyDescent="0.25">
      <c r="A14161" t="e">
        <v>#N/A</v>
      </c>
    </row>
    <row r="14162" spans="1:1" x14ac:dyDescent="0.25">
      <c r="A14162" t="e">
        <v>#N/A</v>
      </c>
    </row>
    <row r="14163" spans="1:1" x14ac:dyDescent="0.25">
      <c r="A14163" t="e">
        <v>#N/A</v>
      </c>
    </row>
    <row r="14164" spans="1:1" x14ac:dyDescent="0.25">
      <c r="A14164" t="e">
        <v>#N/A</v>
      </c>
    </row>
    <row r="14165" spans="1:1" x14ac:dyDescent="0.25">
      <c r="A14165" t="e">
        <v>#N/A</v>
      </c>
    </row>
    <row r="14166" spans="1:1" x14ac:dyDescent="0.25">
      <c r="A14166" t="e">
        <v>#N/A</v>
      </c>
    </row>
    <row r="14167" spans="1:1" x14ac:dyDescent="0.25">
      <c r="A14167" t="e">
        <v>#N/A</v>
      </c>
    </row>
    <row r="14168" spans="1:1" x14ac:dyDescent="0.25">
      <c r="A14168" t="e">
        <v>#N/A</v>
      </c>
    </row>
    <row r="14169" spans="1:1" x14ac:dyDescent="0.25">
      <c r="A14169" t="e">
        <v>#N/A</v>
      </c>
    </row>
    <row r="14170" spans="1:1" x14ac:dyDescent="0.25">
      <c r="A14170" t="e">
        <v>#N/A</v>
      </c>
    </row>
    <row r="14171" spans="1:1" x14ac:dyDescent="0.25">
      <c r="A14171" t="e">
        <v>#N/A</v>
      </c>
    </row>
    <row r="14172" spans="1:1" x14ac:dyDescent="0.25">
      <c r="A14172" t="e">
        <v>#N/A</v>
      </c>
    </row>
    <row r="14173" spans="1:1" x14ac:dyDescent="0.25">
      <c r="A14173" t="e">
        <v>#N/A</v>
      </c>
    </row>
    <row r="14174" spans="1:1" x14ac:dyDescent="0.25">
      <c r="A14174" t="e">
        <v>#N/A</v>
      </c>
    </row>
    <row r="14175" spans="1:1" x14ac:dyDescent="0.25">
      <c r="A14175" t="e">
        <v>#N/A</v>
      </c>
    </row>
    <row r="14176" spans="1:1" x14ac:dyDescent="0.25">
      <c r="A14176" t="e">
        <v>#N/A</v>
      </c>
    </row>
    <row r="14177" spans="1:1" x14ac:dyDescent="0.25">
      <c r="A14177" t="e">
        <v>#N/A</v>
      </c>
    </row>
    <row r="14178" spans="1:1" x14ac:dyDescent="0.25">
      <c r="A14178" t="e">
        <v>#N/A</v>
      </c>
    </row>
    <row r="14179" spans="1:1" x14ac:dyDescent="0.25">
      <c r="A14179" t="e">
        <v>#N/A</v>
      </c>
    </row>
    <row r="14180" spans="1:1" x14ac:dyDescent="0.25">
      <c r="A14180" t="e">
        <v>#N/A</v>
      </c>
    </row>
    <row r="14181" spans="1:1" x14ac:dyDescent="0.25">
      <c r="A14181" t="e">
        <v>#N/A</v>
      </c>
    </row>
    <row r="14182" spans="1:1" x14ac:dyDescent="0.25">
      <c r="A14182" t="e">
        <v>#N/A</v>
      </c>
    </row>
    <row r="14183" spans="1:1" x14ac:dyDescent="0.25">
      <c r="A14183" t="e">
        <v>#N/A</v>
      </c>
    </row>
    <row r="14184" spans="1:1" x14ac:dyDescent="0.25">
      <c r="A14184" t="e">
        <v>#N/A</v>
      </c>
    </row>
    <row r="14185" spans="1:1" x14ac:dyDescent="0.25">
      <c r="A14185" t="e">
        <v>#N/A</v>
      </c>
    </row>
    <row r="14186" spans="1:1" x14ac:dyDescent="0.25">
      <c r="A14186" t="e">
        <v>#N/A</v>
      </c>
    </row>
    <row r="14187" spans="1:1" x14ac:dyDescent="0.25">
      <c r="A14187" t="e">
        <v>#N/A</v>
      </c>
    </row>
    <row r="14188" spans="1:1" x14ac:dyDescent="0.25">
      <c r="A14188" t="e">
        <v>#N/A</v>
      </c>
    </row>
    <row r="14189" spans="1:1" x14ac:dyDescent="0.25">
      <c r="A14189" t="e">
        <v>#N/A</v>
      </c>
    </row>
    <row r="14190" spans="1:1" x14ac:dyDescent="0.25">
      <c r="A14190" t="e">
        <v>#N/A</v>
      </c>
    </row>
    <row r="14191" spans="1:1" x14ac:dyDescent="0.25">
      <c r="A14191" t="e">
        <v>#N/A</v>
      </c>
    </row>
    <row r="14192" spans="1:1" x14ac:dyDescent="0.25">
      <c r="A14192" t="e">
        <v>#N/A</v>
      </c>
    </row>
    <row r="14193" spans="1:1" x14ac:dyDescent="0.25">
      <c r="A14193" t="e">
        <v>#N/A</v>
      </c>
    </row>
    <row r="14194" spans="1:1" x14ac:dyDescent="0.25">
      <c r="A14194" t="e">
        <v>#N/A</v>
      </c>
    </row>
    <row r="14195" spans="1:1" x14ac:dyDescent="0.25">
      <c r="A14195" t="e">
        <v>#N/A</v>
      </c>
    </row>
    <row r="14196" spans="1:1" x14ac:dyDescent="0.25">
      <c r="A14196" t="e">
        <v>#N/A</v>
      </c>
    </row>
    <row r="14197" spans="1:1" x14ac:dyDescent="0.25">
      <c r="A14197" t="e">
        <v>#N/A</v>
      </c>
    </row>
    <row r="14198" spans="1:1" x14ac:dyDescent="0.25">
      <c r="A14198" t="e">
        <v>#N/A</v>
      </c>
    </row>
    <row r="14199" spans="1:1" x14ac:dyDescent="0.25">
      <c r="A14199" t="e">
        <v>#N/A</v>
      </c>
    </row>
    <row r="14200" spans="1:1" x14ac:dyDescent="0.25">
      <c r="A14200" t="e">
        <v>#N/A</v>
      </c>
    </row>
    <row r="14201" spans="1:1" x14ac:dyDescent="0.25">
      <c r="A14201" t="e">
        <v>#N/A</v>
      </c>
    </row>
    <row r="14202" spans="1:1" x14ac:dyDescent="0.25">
      <c r="A14202" t="e">
        <v>#N/A</v>
      </c>
    </row>
    <row r="14203" spans="1:1" x14ac:dyDescent="0.25">
      <c r="A14203" t="e">
        <v>#N/A</v>
      </c>
    </row>
    <row r="14204" spans="1:1" x14ac:dyDescent="0.25">
      <c r="A14204" t="e">
        <v>#N/A</v>
      </c>
    </row>
    <row r="14205" spans="1:1" x14ac:dyDescent="0.25">
      <c r="A14205" t="e">
        <v>#N/A</v>
      </c>
    </row>
    <row r="14206" spans="1:1" x14ac:dyDescent="0.25">
      <c r="A14206" t="e">
        <v>#N/A</v>
      </c>
    </row>
    <row r="14207" spans="1:1" x14ac:dyDescent="0.25">
      <c r="A14207" t="e">
        <v>#N/A</v>
      </c>
    </row>
    <row r="14208" spans="1:1" x14ac:dyDescent="0.25">
      <c r="A14208" t="e">
        <v>#N/A</v>
      </c>
    </row>
    <row r="14209" spans="1:1" x14ac:dyDescent="0.25">
      <c r="A14209" t="e">
        <v>#N/A</v>
      </c>
    </row>
    <row r="14210" spans="1:1" x14ac:dyDescent="0.25">
      <c r="A14210" t="e">
        <v>#N/A</v>
      </c>
    </row>
    <row r="14211" spans="1:1" x14ac:dyDescent="0.25">
      <c r="A14211" t="e">
        <v>#N/A</v>
      </c>
    </row>
    <row r="14212" spans="1:1" x14ac:dyDescent="0.25">
      <c r="A14212" t="e">
        <v>#N/A</v>
      </c>
    </row>
    <row r="14213" spans="1:1" x14ac:dyDescent="0.25">
      <c r="A14213" t="e">
        <v>#N/A</v>
      </c>
    </row>
    <row r="14214" spans="1:1" x14ac:dyDescent="0.25">
      <c r="A14214" t="e">
        <v>#N/A</v>
      </c>
    </row>
    <row r="14215" spans="1:1" x14ac:dyDescent="0.25">
      <c r="A14215" t="e">
        <v>#N/A</v>
      </c>
    </row>
    <row r="14216" spans="1:1" x14ac:dyDescent="0.25">
      <c r="A14216" t="e">
        <v>#N/A</v>
      </c>
    </row>
    <row r="14217" spans="1:1" x14ac:dyDescent="0.25">
      <c r="A14217" t="e">
        <v>#N/A</v>
      </c>
    </row>
    <row r="14218" spans="1:1" x14ac:dyDescent="0.25">
      <c r="A14218" t="e">
        <v>#N/A</v>
      </c>
    </row>
    <row r="14219" spans="1:1" x14ac:dyDescent="0.25">
      <c r="A14219" t="e">
        <v>#N/A</v>
      </c>
    </row>
    <row r="14220" spans="1:1" x14ac:dyDescent="0.25">
      <c r="A14220" t="e">
        <v>#N/A</v>
      </c>
    </row>
    <row r="14221" spans="1:1" x14ac:dyDescent="0.25">
      <c r="A14221" t="e">
        <v>#N/A</v>
      </c>
    </row>
    <row r="14222" spans="1:1" x14ac:dyDescent="0.25">
      <c r="A14222" t="e">
        <v>#N/A</v>
      </c>
    </row>
    <row r="14223" spans="1:1" x14ac:dyDescent="0.25">
      <c r="A14223" t="e">
        <v>#N/A</v>
      </c>
    </row>
    <row r="14224" spans="1:1" x14ac:dyDescent="0.25">
      <c r="A14224" t="e">
        <v>#N/A</v>
      </c>
    </row>
    <row r="14225" spans="1:1" x14ac:dyDescent="0.25">
      <c r="A14225" t="e">
        <v>#N/A</v>
      </c>
    </row>
    <row r="14226" spans="1:1" x14ac:dyDescent="0.25">
      <c r="A14226" t="e">
        <v>#N/A</v>
      </c>
    </row>
    <row r="14227" spans="1:1" x14ac:dyDescent="0.25">
      <c r="A14227" t="e">
        <v>#N/A</v>
      </c>
    </row>
    <row r="14228" spans="1:1" x14ac:dyDescent="0.25">
      <c r="A14228" t="e">
        <v>#N/A</v>
      </c>
    </row>
    <row r="14229" spans="1:1" x14ac:dyDescent="0.25">
      <c r="A14229" t="e">
        <v>#N/A</v>
      </c>
    </row>
    <row r="14230" spans="1:1" x14ac:dyDescent="0.25">
      <c r="A14230" t="e">
        <v>#N/A</v>
      </c>
    </row>
    <row r="14231" spans="1:1" x14ac:dyDescent="0.25">
      <c r="A14231" t="e">
        <v>#N/A</v>
      </c>
    </row>
    <row r="14232" spans="1:1" x14ac:dyDescent="0.25">
      <c r="A14232" t="e">
        <v>#N/A</v>
      </c>
    </row>
    <row r="14233" spans="1:1" x14ac:dyDescent="0.25">
      <c r="A14233" t="e">
        <v>#N/A</v>
      </c>
    </row>
    <row r="14234" spans="1:1" x14ac:dyDescent="0.25">
      <c r="A14234" t="e">
        <v>#N/A</v>
      </c>
    </row>
    <row r="14235" spans="1:1" x14ac:dyDescent="0.25">
      <c r="A14235" t="e">
        <v>#N/A</v>
      </c>
    </row>
    <row r="14236" spans="1:1" x14ac:dyDescent="0.25">
      <c r="A14236" t="e">
        <v>#N/A</v>
      </c>
    </row>
    <row r="14237" spans="1:1" x14ac:dyDescent="0.25">
      <c r="A14237" t="e">
        <v>#N/A</v>
      </c>
    </row>
    <row r="14238" spans="1:1" x14ac:dyDescent="0.25">
      <c r="A14238" t="e">
        <v>#N/A</v>
      </c>
    </row>
    <row r="14239" spans="1:1" x14ac:dyDescent="0.25">
      <c r="A14239" t="e">
        <v>#N/A</v>
      </c>
    </row>
    <row r="14240" spans="1:1" x14ac:dyDescent="0.25">
      <c r="A14240" t="e">
        <v>#N/A</v>
      </c>
    </row>
    <row r="14241" spans="1:1" x14ac:dyDescent="0.25">
      <c r="A14241" t="e">
        <v>#N/A</v>
      </c>
    </row>
    <row r="14242" spans="1:1" x14ac:dyDescent="0.25">
      <c r="A14242" t="e">
        <v>#N/A</v>
      </c>
    </row>
    <row r="14243" spans="1:1" x14ac:dyDescent="0.25">
      <c r="A14243" t="e">
        <v>#N/A</v>
      </c>
    </row>
    <row r="14244" spans="1:1" x14ac:dyDescent="0.25">
      <c r="A14244" t="e">
        <v>#N/A</v>
      </c>
    </row>
    <row r="14245" spans="1:1" x14ac:dyDescent="0.25">
      <c r="A14245" t="e">
        <v>#N/A</v>
      </c>
    </row>
    <row r="14246" spans="1:1" x14ac:dyDescent="0.25">
      <c r="A14246" t="e">
        <v>#N/A</v>
      </c>
    </row>
    <row r="14247" spans="1:1" x14ac:dyDescent="0.25">
      <c r="A14247" t="e">
        <v>#N/A</v>
      </c>
    </row>
    <row r="14248" spans="1:1" x14ac:dyDescent="0.25">
      <c r="A14248" t="e">
        <v>#N/A</v>
      </c>
    </row>
    <row r="14249" spans="1:1" x14ac:dyDescent="0.25">
      <c r="A14249" t="e">
        <v>#N/A</v>
      </c>
    </row>
    <row r="14250" spans="1:1" x14ac:dyDescent="0.25">
      <c r="A14250" t="e">
        <v>#N/A</v>
      </c>
    </row>
    <row r="14251" spans="1:1" x14ac:dyDescent="0.25">
      <c r="A14251" t="e">
        <v>#N/A</v>
      </c>
    </row>
    <row r="14252" spans="1:1" x14ac:dyDescent="0.25">
      <c r="A14252" t="e">
        <v>#N/A</v>
      </c>
    </row>
    <row r="14253" spans="1:1" x14ac:dyDescent="0.25">
      <c r="A14253" t="e">
        <v>#N/A</v>
      </c>
    </row>
    <row r="14254" spans="1:1" x14ac:dyDescent="0.25">
      <c r="A14254" t="e">
        <v>#N/A</v>
      </c>
    </row>
    <row r="14255" spans="1:1" x14ac:dyDescent="0.25">
      <c r="A14255" t="e">
        <v>#N/A</v>
      </c>
    </row>
    <row r="14256" spans="1:1" x14ac:dyDescent="0.25">
      <c r="A14256" t="e">
        <v>#N/A</v>
      </c>
    </row>
    <row r="14257" spans="1:1" x14ac:dyDescent="0.25">
      <c r="A14257" t="e">
        <v>#N/A</v>
      </c>
    </row>
    <row r="14258" spans="1:1" x14ac:dyDescent="0.25">
      <c r="A14258" t="e">
        <v>#N/A</v>
      </c>
    </row>
    <row r="14259" spans="1:1" x14ac:dyDescent="0.25">
      <c r="A14259" t="e">
        <v>#N/A</v>
      </c>
    </row>
    <row r="14260" spans="1:1" x14ac:dyDescent="0.25">
      <c r="A14260" t="e">
        <v>#N/A</v>
      </c>
    </row>
    <row r="14261" spans="1:1" x14ac:dyDescent="0.25">
      <c r="A14261" t="e">
        <v>#N/A</v>
      </c>
    </row>
    <row r="14262" spans="1:1" x14ac:dyDescent="0.25">
      <c r="A14262" t="e">
        <v>#N/A</v>
      </c>
    </row>
    <row r="14263" spans="1:1" x14ac:dyDescent="0.25">
      <c r="A14263" t="e">
        <v>#N/A</v>
      </c>
    </row>
    <row r="14264" spans="1:1" x14ac:dyDescent="0.25">
      <c r="A14264" t="e">
        <v>#N/A</v>
      </c>
    </row>
    <row r="14265" spans="1:1" x14ac:dyDescent="0.25">
      <c r="A14265" t="e">
        <v>#N/A</v>
      </c>
    </row>
    <row r="14266" spans="1:1" x14ac:dyDescent="0.25">
      <c r="A14266" t="e">
        <v>#N/A</v>
      </c>
    </row>
    <row r="14267" spans="1:1" x14ac:dyDescent="0.25">
      <c r="A14267" t="e">
        <v>#N/A</v>
      </c>
    </row>
    <row r="14268" spans="1:1" x14ac:dyDescent="0.25">
      <c r="A14268" t="e">
        <v>#N/A</v>
      </c>
    </row>
    <row r="14269" spans="1:1" x14ac:dyDescent="0.25">
      <c r="A14269" t="e">
        <v>#N/A</v>
      </c>
    </row>
    <row r="14270" spans="1:1" x14ac:dyDescent="0.25">
      <c r="A14270" t="e">
        <v>#N/A</v>
      </c>
    </row>
    <row r="14271" spans="1:1" x14ac:dyDescent="0.25">
      <c r="A14271" t="e">
        <v>#N/A</v>
      </c>
    </row>
    <row r="14272" spans="1:1" x14ac:dyDescent="0.25">
      <c r="A14272" t="e">
        <v>#N/A</v>
      </c>
    </row>
    <row r="14273" spans="1:1" x14ac:dyDescent="0.25">
      <c r="A14273" t="e">
        <v>#N/A</v>
      </c>
    </row>
    <row r="14274" spans="1:1" x14ac:dyDescent="0.25">
      <c r="A14274" t="e">
        <v>#N/A</v>
      </c>
    </row>
    <row r="14275" spans="1:1" x14ac:dyDescent="0.25">
      <c r="A14275" t="e">
        <v>#N/A</v>
      </c>
    </row>
    <row r="14276" spans="1:1" x14ac:dyDescent="0.25">
      <c r="A14276" t="e">
        <v>#N/A</v>
      </c>
    </row>
    <row r="14277" spans="1:1" x14ac:dyDescent="0.25">
      <c r="A14277" t="e">
        <v>#N/A</v>
      </c>
    </row>
    <row r="14278" spans="1:1" x14ac:dyDescent="0.25">
      <c r="A14278" t="e">
        <v>#N/A</v>
      </c>
    </row>
    <row r="14279" spans="1:1" x14ac:dyDescent="0.25">
      <c r="A14279" t="e">
        <v>#N/A</v>
      </c>
    </row>
    <row r="14280" spans="1:1" x14ac:dyDescent="0.25">
      <c r="A14280" t="e">
        <v>#N/A</v>
      </c>
    </row>
    <row r="14281" spans="1:1" x14ac:dyDescent="0.25">
      <c r="A14281" t="e">
        <v>#N/A</v>
      </c>
    </row>
    <row r="14282" spans="1:1" x14ac:dyDescent="0.25">
      <c r="A14282" t="e">
        <v>#N/A</v>
      </c>
    </row>
    <row r="14283" spans="1:1" x14ac:dyDescent="0.25">
      <c r="A14283" t="e">
        <v>#N/A</v>
      </c>
    </row>
    <row r="14284" spans="1:1" x14ac:dyDescent="0.25">
      <c r="A14284" t="e">
        <v>#N/A</v>
      </c>
    </row>
    <row r="14285" spans="1:1" x14ac:dyDescent="0.25">
      <c r="A14285" t="e">
        <v>#N/A</v>
      </c>
    </row>
    <row r="14286" spans="1:1" x14ac:dyDescent="0.25">
      <c r="A14286" t="e">
        <v>#N/A</v>
      </c>
    </row>
    <row r="14287" spans="1:1" x14ac:dyDescent="0.25">
      <c r="A14287" t="e">
        <v>#N/A</v>
      </c>
    </row>
    <row r="14288" spans="1:1" x14ac:dyDescent="0.25">
      <c r="A14288" t="e">
        <v>#N/A</v>
      </c>
    </row>
    <row r="14289" spans="1:1" x14ac:dyDescent="0.25">
      <c r="A14289" t="e">
        <v>#N/A</v>
      </c>
    </row>
    <row r="14290" spans="1:1" x14ac:dyDescent="0.25">
      <c r="A14290" t="e">
        <v>#N/A</v>
      </c>
    </row>
    <row r="14291" spans="1:1" x14ac:dyDescent="0.25">
      <c r="A14291" t="e">
        <v>#N/A</v>
      </c>
    </row>
    <row r="14292" spans="1:1" x14ac:dyDescent="0.25">
      <c r="A14292" t="e">
        <v>#N/A</v>
      </c>
    </row>
    <row r="14293" spans="1:1" x14ac:dyDescent="0.25">
      <c r="A14293" t="e">
        <v>#N/A</v>
      </c>
    </row>
    <row r="14294" spans="1:1" x14ac:dyDescent="0.25">
      <c r="A14294" t="e">
        <v>#N/A</v>
      </c>
    </row>
    <row r="14295" spans="1:1" x14ac:dyDescent="0.25">
      <c r="A14295" t="e">
        <v>#N/A</v>
      </c>
    </row>
    <row r="14296" spans="1:1" x14ac:dyDescent="0.25">
      <c r="A14296" t="e">
        <v>#N/A</v>
      </c>
    </row>
    <row r="14297" spans="1:1" x14ac:dyDescent="0.25">
      <c r="A14297" t="e">
        <v>#N/A</v>
      </c>
    </row>
    <row r="14298" spans="1:1" x14ac:dyDescent="0.25">
      <c r="A14298" t="e">
        <v>#N/A</v>
      </c>
    </row>
    <row r="14299" spans="1:1" x14ac:dyDescent="0.25">
      <c r="A14299" t="e">
        <v>#N/A</v>
      </c>
    </row>
    <row r="14300" spans="1:1" x14ac:dyDescent="0.25">
      <c r="A14300" t="e">
        <v>#N/A</v>
      </c>
    </row>
    <row r="14301" spans="1:1" x14ac:dyDescent="0.25">
      <c r="A14301" t="e">
        <v>#N/A</v>
      </c>
    </row>
    <row r="14302" spans="1:1" x14ac:dyDescent="0.25">
      <c r="A14302" t="e">
        <v>#N/A</v>
      </c>
    </row>
    <row r="14303" spans="1:1" x14ac:dyDescent="0.25">
      <c r="A14303" t="e">
        <v>#N/A</v>
      </c>
    </row>
    <row r="14304" spans="1:1" x14ac:dyDescent="0.25">
      <c r="A14304" t="e">
        <v>#N/A</v>
      </c>
    </row>
    <row r="14305" spans="1:1" x14ac:dyDescent="0.25">
      <c r="A14305" t="e">
        <v>#N/A</v>
      </c>
    </row>
    <row r="14306" spans="1:1" x14ac:dyDescent="0.25">
      <c r="A14306" t="e">
        <v>#N/A</v>
      </c>
    </row>
    <row r="14307" spans="1:1" x14ac:dyDescent="0.25">
      <c r="A14307" t="e">
        <v>#N/A</v>
      </c>
    </row>
    <row r="14308" spans="1:1" x14ac:dyDescent="0.25">
      <c r="A14308" t="e">
        <v>#N/A</v>
      </c>
    </row>
    <row r="14309" spans="1:1" x14ac:dyDescent="0.25">
      <c r="A14309" t="e">
        <v>#N/A</v>
      </c>
    </row>
    <row r="14310" spans="1:1" x14ac:dyDescent="0.25">
      <c r="A14310" t="e">
        <v>#N/A</v>
      </c>
    </row>
    <row r="14311" spans="1:1" x14ac:dyDescent="0.25">
      <c r="A14311" t="e">
        <v>#N/A</v>
      </c>
    </row>
    <row r="14312" spans="1:1" x14ac:dyDescent="0.25">
      <c r="A14312" t="e">
        <v>#N/A</v>
      </c>
    </row>
    <row r="14313" spans="1:1" x14ac:dyDescent="0.25">
      <c r="A14313" t="e">
        <v>#N/A</v>
      </c>
    </row>
    <row r="14314" spans="1:1" x14ac:dyDescent="0.25">
      <c r="A14314" t="e">
        <v>#N/A</v>
      </c>
    </row>
    <row r="14315" spans="1:1" x14ac:dyDescent="0.25">
      <c r="A14315" t="e">
        <v>#N/A</v>
      </c>
    </row>
    <row r="14316" spans="1:1" x14ac:dyDescent="0.25">
      <c r="A14316" t="e">
        <v>#N/A</v>
      </c>
    </row>
    <row r="14317" spans="1:1" x14ac:dyDescent="0.25">
      <c r="A14317" t="e">
        <v>#N/A</v>
      </c>
    </row>
    <row r="14318" spans="1:1" x14ac:dyDescent="0.25">
      <c r="A14318" t="e">
        <v>#N/A</v>
      </c>
    </row>
    <row r="14319" spans="1:1" x14ac:dyDescent="0.25">
      <c r="A14319" t="e">
        <v>#N/A</v>
      </c>
    </row>
    <row r="14320" spans="1:1" x14ac:dyDescent="0.25">
      <c r="A14320" t="e">
        <v>#N/A</v>
      </c>
    </row>
    <row r="14321" spans="1:1" x14ac:dyDescent="0.25">
      <c r="A14321" t="e">
        <v>#N/A</v>
      </c>
    </row>
    <row r="14322" spans="1:1" x14ac:dyDescent="0.25">
      <c r="A14322" t="e">
        <v>#N/A</v>
      </c>
    </row>
    <row r="14323" spans="1:1" x14ac:dyDescent="0.25">
      <c r="A14323" t="e">
        <v>#N/A</v>
      </c>
    </row>
    <row r="14324" spans="1:1" x14ac:dyDescent="0.25">
      <c r="A14324" t="e">
        <v>#N/A</v>
      </c>
    </row>
    <row r="14325" spans="1:1" x14ac:dyDescent="0.25">
      <c r="A14325" t="e">
        <v>#N/A</v>
      </c>
    </row>
    <row r="14326" spans="1:1" x14ac:dyDescent="0.25">
      <c r="A14326" t="e">
        <v>#N/A</v>
      </c>
    </row>
    <row r="14327" spans="1:1" x14ac:dyDescent="0.25">
      <c r="A14327" t="e">
        <v>#N/A</v>
      </c>
    </row>
    <row r="14328" spans="1:1" x14ac:dyDescent="0.25">
      <c r="A14328" t="e">
        <v>#N/A</v>
      </c>
    </row>
    <row r="14329" spans="1:1" x14ac:dyDescent="0.25">
      <c r="A14329" t="e">
        <v>#N/A</v>
      </c>
    </row>
    <row r="14330" spans="1:1" x14ac:dyDescent="0.25">
      <c r="A14330" t="e">
        <v>#N/A</v>
      </c>
    </row>
    <row r="14331" spans="1:1" x14ac:dyDescent="0.25">
      <c r="A14331" t="e">
        <v>#N/A</v>
      </c>
    </row>
    <row r="14332" spans="1:1" x14ac:dyDescent="0.25">
      <c r="A14332" t="e">
        <v>#N/A</v>
      </c>
    </row>
    <row r="14333" spans="1:1" x14ac:dyDescent="0.25">
      <c r="A14333" t="e">
        <v>#N/A</v>
      </c>
    </row>
    <row r="14334" spans="1:1" x14ac:dyDescent="0.25">
      <c r="A14334" t="e">
        <v>#N/A</v>
      </c>
    </row>
    <row r="14335" spans="1:1" x14ac:dyDescent="0.25">
      <c r="A14335" t="e">
        <v>#N/A</v>
      </c>
    </row>
    <row r="14336" spans="1:1" x14ac:dyDescent="0.25">
      <c r="A14336" t="e">
        <v>#N/A</v>
      </c>
    </row>
    <row r="14337" spans="1:1" x14ac:dyDescent="0.25">
      <c r="A14337" t="e">
        <v>#N/A</v>
      </c>
    </row>
    <row r="14338" spans="1:1" x14ac:dyDescent="0.25">
      <c r="A14338" t="e">
        <v>#N/A</v>
      </c>
    </row>
    <row r="14339" spans="1:1" x14ac:dyDescent="0.25">
      <c r="A14339" t="e">
        <v>#N/A</v>
      </c>
    </row>
    <row r="14340" spans="1:1" x14ac:dyDescent="0.25">
      <c r="A14340" t="e">
        <v>#N/A</v>
      </c>
    </row>
    <row r="14341" spans="1:1" x14ac:dyDescent="0.25">
      <c r="A14341" t="e">
        <v>#N/A</v>
      </c>
    </row>
    <row r="14342" spans="1:1" x14ac:dyDescent="0.25">
      <c r="A14342" t="e">
        <v>#N/A</v>
      </c>
    </row>
    <row r="14343" spans="1:1" x14ac:dyDescent="0.25">
      <c r="A14343" t="e">
        <v>#N/A</v>
      </c>
    </row>
    <row r="14344" spans="1:1" x14ac:dyDescent="0.25">
      <c r="A14344" t="e">
        <v>#N/A</v>
      </c>
    </row>
    <row r="14345" spans="1:1" x14ac:dyDescent="0.25">
      <c r="A14345" t="e">
        <v>#N/A</v>
      </c>
    </row>
    <row r="14346" spans="1:1" x14ac:dyDescent="0.25">
      <c r="A14346" t="e">
        <v>#N/A</v>
      </c>
    </row>
    <row r="14347" spans="1:1" x14ac:dyDescent="0.25">
      <c r="A14347" t="e">
        <v>#N/A</v>
      </c>
    </row>
    <row r="14348" spans="1:1" x14ac:dyDescent="0.25">
      <c r="A14348" t="e">
        <v>#N/A</v>
      </c>
    </row>
    <row r="14349" spans="1:1" x14ac:dyDescent="0.25">
      <c r="A14349" t="e">
        <v>#N/A</v>
      </c>
    </row>
    <row r="14350" spans="1:1" x14ac:dyDescent="0.25">
      <c r="A14350" t="e">
        <v>#N/A</v>
      </c>
    </row>
    <row r="14351" spans="1:1" x14ac:dyDescent="0.25">
      <c r="A14351" t="e">
        <v>#N/A</v>
      </c>
    </row>
    <row r="14352" spans="1:1" x14ac:dyDescent="0.25">
      <c r="A14352" t="e">
        <v>#N/A</v>
      </c>
    </row>
    <row r="14353" spans="1:1" x14ac:dyDescent="0.25">
      <c r="A14353" t="e">
        <v>#N/A</v>
      </c>
    </row>
    <row r="14354" spans="1:1" x14ac:dyDescent="0.25">
      <c r="A14354" t="e">
        <v>#N/A</v>
      </c>
    </row>
    <row r="14355" spans="1:1" x14ac:dyDescent="0.25">
      <c r="A14355" t="e">
        <v>#N/A</v>
      </c>
    </row>
    <row r="14356" spans="1:1" x14ac:dyDescent="0.25">
      <c r="A14356" t="e">
        <v>#N/A</v>
      </c>
    </row>
    <row r="14357" spans="1:1" x14ac:dyDescent="0.25">
      <c r="A14357" t="e">
        <v>#N/A</v>
      </c>
    </row>
    <row r="14358" spans="1:1" x14ac:dyDescent="0.25">
      <c r="A14358" t="e">
        <v>#N/A</v>
      </c>
    </row>
    <row r="14359" spans="1:1" x14ac:dyDescent="0.25">
      <c r="A14359" t="e">
        <v>#N/A</v>
      </c>
    </row>
    <row r="14360" spans="1:1" x14ac:dyDescent="0.25">
      <c r="A14360" t="e">
        <v>#N/A</v>
      </c>
    </row>
    <row r="14361" spans="1:1" x14ac:dyDescent="0.25">
      <c r="A14361" t="e">
        <v>#N/A</v>
      </c>
    </row>
    <row r="14362" spans="1:1" x14ac:dyDescent="0.25">
      <c r="A14362" t="e">
        <v>#N/A</v>
      </c>
    </row>
    <row r="14363" spans="1:1" x14ac:dyDescent="0.25">
      <c r="A14363" t="e">
        <v>#N/A</v>
      </c>
    </row>
    <row r="14364" spans="1:1" x14ac:dyDescent="0.25">
      <c r="A14364" t="e">
        <v>#N/A</v>
      </c>
    </row>
    <row r="14365" spans="1:1" x14ac:dyDescent="0.25">
      <c r="A14365" t="e">
        <v>#N/A</v>
      </c>
    </row>
    <row r="14366" spans="1:1" x14ac:dyDescent="0.25">
      <c r="A14366" t="e">
        <v>#N/A</v>
      </c>
    </row>
    <row r="14367" spans="1:1" x14ac:dyDescent="0.25">
      <c r="A14367" t="e">
        <v>#N/A</v>
      </c>
    </row>
    <row r="14368" spans="1:1" x14ac:dyDescent="0.25">
      <c r="A14368" t="e">
        <v>#N/A</v>
      </c>
    </row>
    <row r="14369" spans="1:1" x14ac:dyDescent="0.25">
      <c r="A14369" t="e">
        <v>#N/A</v>
      </c>
    </row>
    <row r="14370" spans="1:1" x14ac:dyDescent="0.25">
      <c r="A14370" t="e">
        <v>#N/A</v>
      </c>
    </row>
    <row r="14371" spans="1:1" x14ac:dyDescent="0.25">
      <c r="A14371" t="e">
        <v>#N/A</v>
      </c>
    </row>
    <row r="14372" spans="1:1" x14ac:dyDescent="0.25">
      <c r="A14372" t="e">
        <v>#N/A</v>
      </c>
    </row>
    <row r="14373" spans="1:1" x14ac:dyDescent="0.25">
      <c r="A14373" t="e">
        <v>#N/A</v>
      </c>
    </row>
    <row r="14374" spans="1:1" x14ac:dyDescent="0.25">
      <c r="A14374" t="e">
        <v>#N/A</v>
      </c>
    </row>
    <row r="14375" spans="1:1" x14ac:dyDescent="0.25">
      <c r="A14375" t="e">
        <v>#N/A</v>
      </c>
    </row>
    <row r="14376" spans="1:1" x14ac:dyDescent="0.25">
      <c r="A14376" t="e">
        <v>#N/A</v>
      </c>
    </row>
    <row r="14377" spans="1:1" x14ac:dyDescent="0.25">
      <c r="A14377" t="e">
        <v>#N/A</v>
      </c>
    </row>
    <row r="14378" spans="1:1" x14ac:dyDescent="0.25">
      <c r="A14378" t="e">
        <v>#N/A</v>
      </c>
    </row>
    <row r="14379" spans="1:1" x14ac:dyDescent="0.25">
      <c r="A14379" t="e">
        <v>#N/A</v>
      </c>
    </row>
    <row r="14380" spans="1:1" x14ac:dyDescent="0.25">
      <c r="A14380" t="e">
        <v>#N/A</v>
      </c>
    </row>
    <row r="14381" spans="1:1" x14ac:dyDescent="0.25">
      <c r="A14381" t="e">
        <v>#N/A</v>
      </c>
    </row>
    <row r="14382" spans="1:1" x14ac:dyDescent="0.25">
      <c r="A14382" t="e">
        <v>#N/A</v>
      </c>
    </row>
    <row r="14383" spans="1:1" x14ac:dyDescent="0.25">
      <c r="A14383" t="e">
        <v>#N/A</v>
      </c>
    </row>
    <row r="14384" spans="1:1" x14ac:dyDescent="0.25">
      <c r="A14384" t="e">
        <v>#N/A</v>
      </c>
    </row>
    <row r="14385" spans="1:1" x14ac:dyDescent="0.25">
      <c r="A14385" t="e">
        <v>#N/A</v>
      </c>
    </row>
    <row r="14386" spans="1:1" x14ac:dyDescent="0.25">
      <c r="A14386" t="e">
        <v>#N/A</v>
      </c>
    </row>
    <row r="14387" spans="1:1" x14ac:dyDescent="0.25">
      <c r="A14387" t="e">
        <v>#N/A</v>
      </c>
    </row>
    <row r="14388" spans="1:1" x14ac:dyDescent="0.25">
      <c r="A14388" t="e">
        <v>#N/A</v>
      </c>
    </row>
    <row r="14389" spans="1:1" x14ac:dyDescent="0.25">
      <c r="A14389" t="e">
        <v>#N/A</v>
      </c>
    </row>
    <row r="14390" spans="1:1" x14ac:dyDescent="0.25">
      <c r="A14390" t="e">
        <v>#N/A</v>
      </c>
    </row>
    <row r="14391" spans="1:1" x14ac:dyDescent="0.25">
      <c r="A14391" t="e">
        <v>#N/A</v>
      </c>
    </row>
    <row r="14392" spans="1:1" x14ac:dyDescent="0.25">
      <c r="A14392" t="e">
        <v>#N/A</v>
      </c>
    </row>
    <row r="14393" spans="1:1" x14ac:dyDescent="0.25">
      <c r="A14393" t="e">
        <v>#N/A</v>
      </c>
    </row>
    <row r="14394" spans="1:1" x14ac:dyDescent="0.25">
      <c r="A14394" t="e">
        <v>#N/A</v>
      </c>
    </row>
    <row r="14395" spans="1:1" x14ac:dyDescent="0.25">
      <c r="A14395" t="e">
        <v>#N/A</v>
      </c>
    </row>
    <row r="14396" spans="1:1" x14ac:dyDescent="0.25">
      <c r="A14396" t="e">
        <v>#N/A</v>
      </c>
    </row>
    <row r="14397" spans="1:1" x14ac:dyDescent="0.25">
      <c r="A14397" t="e">
        <v>#N/A</v>
      </c>
    </row>
    <row r="14398" spans="1:1" x14ac:dyDescent="0.25">
      <c r="A14398" t="e">
        <v>#N/A</v>
      </c>
    </row>
    <row r="14399" spans="1:1" x14ac:dyDescent="0.25">
      <c r="A14399" t="e">
        <v>#N/A</v>
      </c>
    </row>
    <row r="14400" spans="1:1" x14ac:dyDescent="0.25">
      <c r="A14400" t="e">
        <v>#N/A</v>
      </c>
    </row>
    <row r="14401" spans="1:1" x14ac:dyDescent="0.25">
      <c r="A14401" t="e">
        <v>#N/A</v>
      </c>
    </row>
    <row r="14402" spans="1:1" x14ac:dyDescent="0.25">
      <c r="A14402" t="e">
        <v>#N/A</v>
      </c>
    </row>
    <row r="14403" spans="1:1" x14ac:dyDescent="0.25">
      <c r="A14403" t="e">
        <v>#N/A</v>
      </c>
    </row>
    <row r="14404" spans="1:1" x14ac:dyDescent="0.25">
      <c r="A14404" t="e">
        <v>#N/A</v>
      </c>
    </row>
    <row r="14405" spans="1:1" x14ac:dyDescent="0.25">
      <c r="A14405" t="e">
        <v>#N/A</v>
      </c>
    </row>
    <row r="14406" spans="1:1" x14ac:dyDescent="0.25">
      <c r="A14406" t="e">
        <v>#N/A</v>
      </c>
    </row>
    <row r="14407" spans="1:1" x14ac:dyDescent="0.25">
      <c r="A14407" t="e">
        <v>#N/A</v>
      </c>
    </row>
    <row r="14408" spans="1:1" x14ac:dyDescent="0.25">
      <c r="A14408" t="e">
        <v>#N/A</v>
      </c>
    </row>
    <row r="14409" spans="1:1" x14ac:dyDescent="0.25">
      <c r="A14409" t="e">
        <v>#N/A</v>
      </c>
    </row>
    <row r="14410" spans="1:1" x14ac:dyDescent="0.25">
      <c r="A14410" t="e">
        <v>#N/A</v>
      </c>
    </row>
    <row r="14411" spans="1:1" x14ac:dyDescent="0.25">
      <c r="A14411" t="e">
        <v>#N/A</v>
      </c>
    </row>
    <row r="14412" spans="1:1" x14ac:dyDescent="0.25">
      <c r="A14412" t="e">
        <v>#N/A</v>
      </c>
    </row>
    <row r="14413" spans="1:1" x14ac:dyDescent="0.25">
      <c r="A14413" t="e">
        <v>#N/A</v>
      </c>
    </row>
    <row r="14414" spans="1:1" x14ac:dyDescent="0.25">
      <c r="A14414" t="e">
        <v>#N/A</v>
      </c>
    </row>
    <row r="14415" spans="1:1" x14ac:dyDescent="0.25">
      <c r="A14415" t="e">
        <v>#N/A</v>
      </c>
    </row>
    <row r="14416" spans="1:1" x14ac:dyDescent="0.25">
      <c r="A14416" t="e">
        <v>#N/A</v>
      </c>
    </row>
    <row r="14417" spans="1:1" x14ac:dyDescent="0.25">
      <c r="A14417" t="e">
        <v>#N/A</v>
      </c>
    </row>
    <row r="14418" spans="1:1" x14ac:dyDescent="0.25">
      <c r="A14418" t="e">
        <v>#N/A</v>
      </c>
    </row>
    <row r="14419" spans="1:1" x14ac:dyDescent="0.25">
      <c r="A14419" t="e">
        <v>#N/A</v>
      </c>
    </row>
    <row r="14420" spans="1:1" x14ac:dyDescent="0.25">
      <c r="A14420" t="e">
        <v>#N/A</v>
      </c>
    </row>
    <row r="14421" spans="1:1" x14ac:dyDescent="0.25">
      <c r="A14421" t="e">
        <v>#N/A</v>
      </c>
    </row>
    <row r="14422" spans="1:1" x14ac:dyDescent="0.25">
      <c r="A14422" t="e">
        <v>#N/A</v>
      </c>
    </row>
    <row r="14423" spans="1:1" x14ac:dyDescent="0.25">
      <c r="A14423" t="e">
        <v>#N/A</v>
      </c>
    </row>
    <row r="14424" spans="1:1" x14ac:dyDescent="0.25">
      <c r="A14424" t="e">
        <v>#N/A</v>
      </c>
    </row>
    <row r="14425" spans="1:1" x14ac:dyDescent="0.25">
      <c r="A14425" t="e">
        <v>#N/A</v>
      </c>
    </row>
    <row r="14426" spans="1:1" x14ac:dyDescent="0.25">
      <c r="A14426" t="e">
        <v>#N/A</v>
      </c>
    </row>
    <row r="14427" spans="1:1" x14ac:dyDescent="0.25">
      <c r="A14427" t="e">
        <v>#N/A</v>
      </c>
    </row>
    <row r="14428" spans="1:1" x14ac:dyDescent="0.25">
      <c r="A14428" t="e">
        <v>#N/A</v>
      </c>
    </row>
    <row r="14429" spans="1:1" x14ac:dyDescent="0.25">
      <c r="A14429" t="e">
        <v>#N/A</v>
      </c>
    </row>
    <row r="14430" spans="1:1" x14ac:dyDescent="0.25">
      <c r="A14430" t="e">
        <v>#N/A</v>
      </c>
    </row>
    <row r="14431" spans="1:1" x14ac:dyDescent="0.25">
      <c r="A14431" t="e">
        <v>#N/A</v>
      </c>
    </row>
    <row r="14432" spans="1:1" x14ac:dyDescent="0.25">
      <c r="A14432" t="e">
        <v>#N/A</v>
      </c>
    </row>
    <row r="14433" spans="1:1" x14ac:dyDescent="0.25">
      <c r="A14433" t="e">
        <v>#N/A</v>
      </c>
    </row>
    <row r="14434" spans="1:1" x14ac:dyDescent="0.25">
      <c r="A14434" t="e">
        <v>#N/A</v>
      </c>
    </row>
    <row r="14435" spans="1:1" x14ac:dyDescent="0.25">
      <c r="A14435" t="e">
        <v>#N/A</v>
      </c>
    </row>
    <row r="14436" spans="1:1" x14ac:dyDescent="0.25">
      <c r="A14436" t="e">
        <v>#N/A</v>
      </c>
    </row>
    <row r="14437" spans="1:1" x14ac:dyDescent="0.25">
      <c r="A14437" t="e">
        <v>#N/A</v>
      </c>
    </row>
    <row r="14438" spans="1:1" x14ac:dyDescent="0.25">
      <c r="A14438" t="e">
        <v>#N/A</v>
      </c>
    </row>
    <row r="14439" spans="1:1" x14ac:dyDescent="0.25">
      <c r="A14439" t="e">
        <v>#N/A</v>
      </c>
    </row>
    <row r="14440" spans="1:1" x14ac:dyDescent="0.25">
      <c r="A14440" t="e">
        <v>#N/A</v>
      </c>
    </row>
    <row r="14441" spans="1:1" x14ac:dyDescent="0.25">
      <c r="A14441" t="e">
        <v>#N/A</v>
      </c>
    </row>
    <row r="14442" spans="1:1" x14ac:dyDescent="0.25">
      <c r="A14442" t="e">
        <v>#N/A</v>
      </c>
    </row>
    <row r="14443" spans="1:1" x14ac:dyDescent="0.25">
      <c r="A14443" t="e">
        <v>#N/A</v>
      </c>
    </row>
    <row r="14444" spans="1:1" x14ac:dyDescent="0.25">
      <c r="A14444" t="e">
        <v>#N/A</v>
      </c>
    </row>
    <row r="14445" spans="1:1" x14ac:dyDescent="0.25">
      <c r="A14445" t="e">
        <v>#N/A</v>
      </c>
    </row>
    <row r="14446" spans="1:1" x14ac:dyDescent="0.25">
      <c r="A14446" t="e">
        <v>#N/A</v>
      </c>
    </row>
    <row r="14447" spans="1:1" x14ac:dyDescent="0.25">
      <c r="A14447" t="e">
        <v>#N/A</v>
      </c>
    </row>
    <row r="14448" spans="1:1" x14ac:dyDescent="0.25">
      <c r="A14448" t="e">
        <v>#N/A</v>
      </c>
    </row>
    <row r="14449" spans="1:1" x14ac:dyDescent="0.25">
      <c r="A14449" t="e">
        <v>#N/A</v>
      </c>
    </row>
    <row r="14450" spans="1:1" x14ac:dyDescent="0.25">
      <c r="A14450" t="e">
        <v>#N/A</v>
      </c>
    </row>
    <row r="14451" spans="1:1" x14ac:dyDescent="0.25">
      <c r="A14451" t="e">
        <v>#N/A</v>
      </c>
    </row>
    <row r="14452" spans="1:1" x14ac:dyDescent="0.25">
      <c r="A14452" t="e">
        <v>#N/A</v>
      </c>
    </row>
    <row r="14453" spans="1:1" x14ac:dyDescent="0.25">
      <c r="A14453" t="e">
        <v>#N/A</v>
      </c>
    </row>
    <row r="14454" spans="1:1" x14ac:dyDescent="0.25">
      <c r="A14454" t="e">
        <v>#N/A</v>
      </c>
    </row>
    <row r="14455" spans="1:1" x14ac:dyDescent="0.25">
      <c r="A14455" t="e">
        <v>#N/A</v>
      </c>
    </row>
    <row r="14456" spans="1:1" x14ac:dyDescent="0.25">
      <c r="A14456" t="e">
        <v>#N/A</v>
      </c>
    </row>
    <row r="14457" spans="1:1" x14ac:dyDescent="0.25">
      <c r="A14457" t="e">
        <v>#N/A</v>
      </c>
    </row>
    <row r="14458" spans="1:1" x14ac:dyDescent="0.25">
      <c r="A14458" t="e">
        <v>#N/A</v>
      </c>
    </row>
    <row r="14459" spans="1:1" x14ac:dyDescent="0.25">
      <c r="A14459" t="e">
        <v>#N/A</v>
      </c>
    </row>
    <row r="14460" spans="1:1" x14ac:dyDescent="0.25">
      <c r="A14460" t="e">
        <v>#N/A</v>
      </c>
    </row>
    <row r="14461" spans="1:1" x14ac:dyDescent="0.25">
      <c r="A14461" t="e">
        <v>#N/A</v>
      </c>
    </row>
    <row r="14462" spans="1:1" x14ac:dyDescent="0.25">
      <c r="A14462" t="e">
        <v>#N/A</v>
      </c>
    </row>
    <row r="14463" spans="1:1" x14ac:dyDescent="0.25">
      <c r="A14463" t="e">
        <v>#N/A</v>
      </c>
    </row>
    <row r="14464" spans="1:1" x14ac:dyDescent="0.25">
      <c r="A14464" t="e">
        <v>#N/A</v>
      </c>
    </row>
    <row r="14465" spans="1:1" x14ac:dyDescent="0.25">
      <c r="A14465" t="e">
        <v>#N/A</v>
      </c>
    </row>
    <row r="14466" spans="1:1" x14ac:dyDescent="0.25">
      <c r="A14466" t="e">
        <v>#N/A</v>
      </c>
    </row>
    <row r="14467" spans="1:1" x14ac:dyDescent="0.25">
      <c r="A14467" t="e">
        <v>#N/A</v>
      </c>
    </row>
    <row r="14468" spans="1:1" x14ac:dyDescent="0.25">
      <c r="A14468" t="e">
        <v>#N/A</v>
      </c>
    </row>
    <row r="14469" spans="1:1" x14ac:dyDescent="0.25">
      <c r="A14469" t="e">
        <v>#N/A</v>
      </c>
    </row>
    <row r="14470" spans="1:1" x14ac:dyDescent="0.25">
      <c r="A14470" t="e">
        <v>#N/A</v>
      </c>
    </row>
    <row r="14471" spans="1:1" x14ac:dyDescent="0.25">
      <c r="A14471" t="e">
        <v>#N/A</v>
      </c>
    </row>
    <row r="14472" spans="1:1" x14ac:dyDescent="0.25">
      <c r="A14472" t="e">
        <v>#N/A</v>
      </c>
    </row>
    <row r="14473" spans="1:1" x14ac:dyDescent="0.25">
      <c r="A14473" t="e">
        <v>#N/A</v>
      </c>
    </row>
    <row r="14474" spans="1:1" x14ac:dyDescent="0.25">
      <c r="A14474" t="e">
        <v>#N/A</v>
      </c>
    </row>
    <row r="14475" spans="1:1" x14ac:dyDescent="0.25">
      <c r="A14475" t="e">
        <v>#N/A</v>
      </c>
    </row>
    <row r="14476" spans="1:1" x14ac:dyDescent="0.25">
      <c r="A14476" t="e">
        <v>#N/A</v>
      </c>
    </row>
    <row r="14477" spans="1:1" x14ac:dyDescent="0.25">
      <c r="A14477" t="e">
        <v>#N/A</v>
      </c>
    </row>
    <row r="14478" spans="1:1" x14ac:dyDescent="0.25">
      <c r="A14478" t="e">
        <v>#N/A</v>
      </c>
    </row>
    <row r="14479" spans="1:1" x14ac:dyDescent="0.25">
      <c r="A14479" t="e">
        <v>#N/A</v>
      </c>
    </row>
    <row r="14480" spans="1:1" x14ac:dyDescent="0.25">
      <c r="A14480" t="e">
        <v>#N/A</v>
      </c>
    </row>
    <row r="14481" spans="1:1" x14ac:dyDescent="0.25">
      <c r="A14481" t="e">
        <v>#N/A</v>
      </c>
    </row>
    <row r="14482" spans="1:1" x14ac:dyDescent="0.25">
      <c r="A14482" t="e">
        <v>#N/A</v>
      </c>
    </row>
    <row r="14483" spans="1:1" x14ac:dyDescent="0.25">
      <c r="A14483" t="e">
        <v>#N/A</v>
      </c>
    </row>
    <row r="14484" spans="1:1" x14ac:dyDescent="0.25">
      <c r="A14484" t="e">
        <v>#N/A</v>
      </c>
    </row>
    <row r="14485" spans="1:1" x14ac:dyDescent="0.25">
      <c r="A14485" t="e">
        <v>#N/A</v>
      </c>
    </row>
    <row r="14486" spans="1:1" x14ac:dyDescent="0.25">
      <c r="A14486" t="e">
        <v>#N/A</v>
      </c>
    </row>
    <row r="14487" spans="1:1" x14ac:dyDescent="0.25">
      <c r="A14487" t="e">
        <v>#N/A</v>
      </c>
    </row>
    <row r="14488" spans="1:1" x14ac:dyDescent="0.25">
      <c r="A14488" t="e">
        <v>#N/A</v>
      </c>
    </row>
    <row r="14489" spans="1:1" x14ac:dyDescent="0.25">
      <c r="A14489" t="e">
        <v>#N/A</v>
      </c>
    </row>
    <row r="14490" spans="1:1" x14ac:dyDescent="0.25">
      <c r="A14490" t="e">
        <v>#N/A</v>
      </c>
    </row>
    <row r="14491" spans="1:1" x14ac:dyDescent="0.25">
      <c r="A14491" t="e">
        <v>#N/A</v>
      </c>
    </row>
    <row r="14492" spans="1:1" x14ac:dyDescent="0.25">
      <c r="A14492" t="e">
        <v>#N/A</v>
      </c>
    </row>
    <row r="14493" spans="1:1" x14ac:dyDescent="0.25">
      <c r="A14493" t="e">
        <v>#N/A</v>
      </c>
    </row>
    <row r="14494" spans="1:1" x14ac:dyDescent="0.25">
      <c r="A14494" t="e">
        <v>#N/A</v>
      </c>
    </row>
    <row r="14495" spans="1:1" x14ac:dyDescent="0.25">
      <c r="A14495" t="e">
        <v>#N/A</v>
      </c>
    </row>
    <row r="14496" spans="1:1" x14ac:dyDescent="0.25">
      <c r="A14496" t="e">
        <v>#N/A</v>
      </c>
    </row>
    <row r="14497" spans="1:1" x14ac:dyDescent="0.25">
      <c r="A14497" t="e">
        <v>#N/A</v>
      </c>
    </row>
    <row r="14498" spans="1:1" x14ac:dyDescent="0.25">
      <c r="A14498" t="e">
        <v>#N/A</v>
      </c>
    </row>
    <row r="14499" spans="1:1" x14ac:dyDescent="0.25">
      <c r="A14499" t="e">
        <v>#N/A</v>
      </c>
    </row>
    <row r="14500" spans="1:1" x14ac:dyDescent="0.25">
      <c r="A14500" t="e">
        <v>#N/A</v>
      </c>
    </row>
    <row r="14501" spans="1:1" x14ac:dyDescent="0.25">
      <c r="A14501" t="e">
        <v>#N/A</v>
      </c>
    </row>
    <row r="14502" spans="1:1" x14ac:dyDescent="0.25">
      <c r="A14502" t="e">
        <v>#N/A</v>
      </c>
    </row>
    <row r="14503" spans="1:1" x14ac:dyDescent="0.25">
      <c r="A14503" t="e">
        <v>#N/A</v>
      </c>
    </row>
    <row r="14504" spans="1:1" x14ac:dyDescent="0.25">
      <c r="A14504" t="e">
        <v>#N/A</v>
      </c>
    </row>
    <row r="14505" spans="1:1" x14ac:dyDescent="0.25">
      <c r="A14505" t="e">
        <v>#N/A</v>
      </c>
    </row>
    <row r="14506" spans="1:1" x14ac:dyDescent="0.25">
      <c r="A14506" t="e">
        <v>#N/A</v>
      </c>
    </row>
    <row r="14507" spans="1:1" x14ac:dyDescent="0.25">
      <c r="A14507" t="e">
        <v>#N/A</v>
      </c>
    </row>
    <row r="14508" spans="1:1" x14ac:dyDescent="0.25">
      <c r="A14508" t="e">
        <v>#N/A</v>
      </c>
    </row>
    <row r="14509" spans="1:1" x14ac:dyDescent="0.25">
      <c r="A14509" t="e">
        <v>#N/A</v>
      </c>
    </row>
    <row r="14510" spans="1:1" x14ac:dyDescent="0.25">
      <c r="A14510" t="e">
        <v>#N/A</v>
      </c>
    </row>
    <row r="14511" spans="1:1" x14ac:dyDescent="0.25">
      <c r="A14511" t="e">
        <v>#N/A</v>
      </c>
    </row>
    <row r="14512" spans="1:1" x14ac:dyDescent="0.25">
      <c r="A14512" t="e">
        <v>#N/A</v>
      </c>
    </row>
    <row r="14513" spans="1:1" x14ac:dyDescent="0.25">
      <c r="A14513" t="e">
        <v>#N/A</v>
      </c>
    </row>
    <row r="14514" spans="1:1" x14ac:dyDescent="0.25">
      <c r="A14514" t="e">
        <v>#N/A</v>
      </c>
    </row>
    <row r="14515" spans="1:1" x14ac:dyDescent="0.25">
      <c r="A14515" t="e">
        <v>#N/A</v>
      </c>
    </row>
    <row r="14516" spans="1:1" x14ac:dyDescent="0.25">
      <c r="A14516" t="e">
        <v>#N/A</v>
      </c>
    </row>
    <row r="14517" spans="1:1" x14ac:dyDescent="0.25">
      <c r="A14517" t="e">
        <v>#N/A</v>
      </c>
    </row>
    <row r="14518" spans="1:1" x14ac:dyDescent="0.25">
      <c r="A14518" t="e">
        <v>#N/A</v>
      </c>
    </row>
    <row r="14519" spans="1:1" x14ac:dyDescent="0.25">
      <c r="A14519" t="e">
        <v>#N/A</v>
      </c>
    </row>
    <row r="14520" spans="1:1" x14ac:dyDescent="0.25">
      <c r="A14520" t="e">
        <v>#N/A</v>
      </c>
    </row>
    <row r="14521" spans="1:1" x14ac:dyDescent="0.25">
      <c r="A14521" t="e">
        <v>#N/A</v>
      </c>
    </row>
    <row r="14522" spans="1:1" x14ac:dyDescent="0.25">
      <c r="A14522" t="e">
        <v>#N/A</v>
      </c>
    </row>
    <row r="14523" spans="1:1" x14ac:dyDescent="0.25">
      <c r="A14523" t="e">
        <v>#N/A</v>
      </c>
    </row>
    <row r="14524" spans="1:1" x14ac:dyDescent="0.25">
      <c r="A14524" t="e">
        <v>#N/A</v>
      </c>
    </row>
    <row r="14525" spans="1:1" x14ac:dyDescent="0.25">
      <c r="A14525" t="e">
        <v>#N/A</v>
      </c>
    </row>
    <row r="14526" spans="1:1" x14ac:dyDescent="0.25">
      <c r="A14526" t="e">
        <v>#N/A</v>
      </c>
    </row>
    <row r="14527" spans="1:1" x14ac:dyDescent="0.25">
      <c r="A14527" t="e">
        <v>#N/A</v>
      </c>
    </row>
    <row r="14528" spans="1:1" x14ac:dyDescent="0.25">
      <c r="A14528" t="e">
        <v>#N/A</v>
      </c>
    </row>
    <row r="14529" spans="1:1" x14ac:dyDescent="0.25">
      <c r="A14529" t="e">
        <v>#N/A</v>
      </c>
    </row>
    <row r="14530" spans="1:1" x14ac:dyDescent="0.25">
      <c r="A14530" t="e">
        <v>#N/A</v>
      </c>
    </row>
    <row r="14531" spans="1:1" x14ac:dyDescent="0.25">
      <c r="A14531" t="e">
        <v>#N/A</v>
      </c>
    </row>
    <row r="14532" spans="1:1" x14ac:dyDescent="0.25">
      <c r="A14532" t="e">
        <v>#N/A</v>
      </c>
    </row>
    <row r="14533" spans="1:1" x14ac:dyDescent="0.25">
      <c r="A14533" t="e">
        <v>#N/A</v>
      </c>
    </row>
    <row r="14534" spans="1:1" x14ac:dyDescent="0.25">
      <c r="A14534" t="e">
        <v>#N/A</v>
      </c>
    </row>
    <row r="14535" spans="1:1" x14ac:dyDescent="0.25">
      <c r="A14535" t="e">
        <v>#N/A</v>
      </c>
    </row>
    <row r="14536" spans="1:1" x14ac:dyDescent="0.25">
      <c r="A14536" t="e">
        <v>#N/A</v>
      </c>
    </row>
    <row r="14537" spans="1:1" x14ac:dyDescent="0.25">
      <c r="A14537" t="e">
        <v>#N/A</v>
      </c>
    </row>
    <row r="14538" spans="1:1" x14ac:dyDescent="0.25">
      <c r="A14538" t="e">
        <v>#N/A</v>
      </c>
    </row>
    <row r="14539" spans="1:1" x14ac:dyDescent="0.25">
      <c r="A14539" t="e">
        <v>#N/A</v>
      </c>
    </row>
    <row r="14540" spans="1:1" x14ac:dyDescent="0.25">
      <c r="A14540" t="e">
        <v>#N/A</v>
      </c>
    </row>
    <row r="14541" spans="1:1" x14ac:dyDescent="0.25">
      <c r="A14541" t="e">
        <v>#N/A</v>
      </c>
    </row>
    <row r="14542" spans="1:1" x14ac:dyDescent="0.25">
      <c r="A14542" t="e">
        <v>#N/A</v>
      </c>
    </row>
    <row r="14543" spans="1:1" x14ac:dyDescent="0.25">
      <c r="A14543" t="e">
        <v>#N/A</v>
      </c>
    </row>
    <row r="14544" spans="1:1" x14ac:dyDescent="0.25">
      <c r="A14544" t="e">
        <v>#N/A</v>
      </c>
    </row>
    <row r="14545" spans="1:1" x14ac:dyDescent="0.25">
      <c r="A14545" t="e">
        <v>#N/A</v>
      </c>
    </row>
    <row r="14546" spans="1:1" x14ac:dyDescent="0.25">
      <c r="A14546" t="e">
        <v>#N/A</v>
      </c>
    </row>
    <row r="14547" spans="1:1" x14ac:dyDescent="0.25">
      <c r="A14547" t="e">
        <v>#N/A</v>
      </c>
    </row>
    <row r="14548" spans="1:1" x14ac:dyDescent="0.25">
      <c r="A14548" t="e">
        <v>#N/A</v>
      </c>
    </row>
    <row r="14549" spans="1:1" x14ac:dyDescent="0.25">
      <c r="A14549" t="e">
        <v>#N/A</v>
      </c>
    </row>
    <row r="14550" spans="1:1" x14ac:dyDescent="0.25">
      <c r="A14550" t="e">
        <v>#N/A</v>
      </c>
    </row>
    <row r="14551" spans="1:1" x14ac:dyDescent="0.25">
      <c r="A14551" t="e">
        <v>#N/A</v>
      </c>
    </row>
    <row r="14552" spans="1:1" x14ac:dyDescent="0.25">
      <c r="A14552" t="e">
        <v>#N/A</v>
      </c>
    </row>
    <row r="14553" spans="1:1" x14ac:dyDescent="0.25">
      <c r="A14553" t="e">
        <v>#N/A</v>
      </c>
    </row>
    <row r="14554" spans="1:1" x14ac:dyDescent="0.25">
      <c r="A14554" t="e">
        <v>#N/A</v>
      </c>
    </row>
    <row r="14555" spans="1:1" x14ac:dyDescent="0.25">
      <c r="A14555" t="e">
        <v>#N/A</v>
      </c>
    </row>
    <row r="14556" spans="1:1" x14ac:dyDescent="0.25">
      <c r="A14556" t="e">
        <v>#N/A</v>
      </c>
    </row>
    <row r="14557" spans="1:1" x14ac:dyDescent="0.25">
      <c r="A14557" t="e">
        <v>#N/A</v>
      </c>
    </row>
    <row r="14558" spans="1:1" x14ac:dyDescent="0.25">
      <c r="A14558" t="e">
        <v>#N/A</v>
      </c>
    </row>
    <row r="14559" spans="1:1" x14ac:dyDescent="0.25">
      <c r="A14559" t="e">
        <v>#N/A</v>
      </c>
    </row>
    <row r="14560" spans="1:1" x14ac:dyDescent="0.25">
      <c r="A14560" t="e">
        <v>#N/A</v>
      </c>
    </row>
    <row r="14561" spans="1:1" x14ac:dyDescent="0.25">
      <c r="A14561" t="e">
        <v>#N/A</v>
      </c>
    </row>
    <row r="14562" spans="1:1" x14ac:dyDescent="0.25">
      <c r="A14562" t="e">
        <v>#N/A</v>
      </c>
    </row>
    <row r="14563" spans="1:1" x14ac:dyDescent="0.25">
      <c r="A14563" t="e">
        <v>#N/A</v>
      </c>
    </row>
    <row r="14564" spans="1:1" x14ac:dyDescent="0.25">
      <c r="A14564" t="e">
        <v>#N/A</v>
      </c>
    </row>
    <row r="14565" spans="1:1" x14ac:dyDescent="0.25">
      <c r="A14565" t="e">
        <v>#N/A</v>
      </c>
    </row>
    <row r="14566" spans="1:1" x14ac:dyDescent="0.25">
      <c r="A14566" t="e">
        <v>#N/A</v>
      </c>
    </row>
    <row r="14567" spans="1:1" x14ac:dyDescent="0.25">
      <c r="A14567" t="e">
        <v>#N/A</v>
      </c>
    </row>
    <row r="14568" spans="1:1" x14ac:dyDescent="0.25">
      <c r="A14568" t="e">
        <v>#N/A</v>
      </c>
    </row>
    <row r="14569" spans="1:1" x14ac:dyDescent="0.25">
      <c r="A14569" t="e">
        <v>#N/A</v>
      </c>
    </row>
    <row r="14570" spans="1:1" x14ac:dyDescent="0.25">
      <c r="A14570" t="e">
        <v>#N/A</v>
      </c>
    </row>
    <row r="14571" spans="1:1" x14ac:dyDescent="0.25">
      <c r="A14571" t="e">
        <v>#N/A</v>
      </c>
    </row>
    <row r="14572" spans="1:1" x14ac:dyDescent="0.25">
      <c r="A14572" t="e">
        <v>#N/A</v>
      </c>
    </row>
    <row r="14573" spans="1:1" x14ac:dyDescent="0.25">
      <c r="A14573" t="e">
        <v>#N/A</v>
      </c>
    </row>
    <row r="14574" spans="1:1" x14ac:dyDescent="0.25">
      <c r="A14574" t="e">
        <v>#N/A</v>
      </c>
    </row>
    <row r="14575" spans="1:1" x14ac:dyDescent="0.25">
      <c r="A14575" t="e">
        <v>#N/A</v>
      </c>
    </row>
    <row r="14576" spans="1:1" x14ac:dyDescent="0.25">
      <c r="A14576" t="e">
        <v>#N/A</v>
      </c>
    </row>
    <row r="14577" spans="1:1" x14ac:dyDescent="0.25">
      <c r="A14577" t="e">
        <v>#N/A</v>
      </c>
    </row>
    <row r="14578" spans="1:1" x14ac:dyDescent="0.25">
      <c r="A14578" t="e">
        <v>#N/A</v>
      </c>
    </row>
    <row r="14579" spans="1:1" x14ac:dyDescent="0.25">
      <c r="A14579" t="e">
        <v>#N/A</v>
      </c>
    </row>
    <row r="14580" spans="1:1" x14ac:dyDescent="0.25">
      <c r="A14580" t="e">
        <v>#N/A</v>
      </c>
    </row>
    <row r="14581" spans="1:1" x14ac:dyDescent="0.25">
      <c r="A14581" t="e">
        <v>#N/A</v>
      </c>
    </row>
    <row r="14582" spans="1:1" x14ac:dyDescent="0.25">
      <c r="A14582" t="e">
        <v>#N/A</v>
      </c>
    </row>
    <row r="14583" spans="1:1" x14ac:dyDescent="0.25">
      <c r="A14583" t="e">
        <v>#N/A</v>
      </c>
    </row>
    <row r="14584" spans="1:1" x14ac:dyDescent="0.25">
      <c r="A14584" t="e">
        <v>#N/A</v>
      </c>
    </row>
    <row r="14585" spans="1:1" x14ac:dyDescent="0.25">
      <c r="A14585" t="e">
        <v>#N/A</v>
      </c>
    </row>
    <row r="14586" spans="1:1" x14ac:dyDescent="0.25">
      <c r="A14586" t="e">
        <v>#N/A</v>
      </c>
    </row>
    <row r="14587" spans="1:1" x14ac:dyDescent="0.25">
      <c r="A14587" t="e">
        <v>#N/A</v>
      </c>
    </row>
    <row r="14588" spans="1:1" x14ac:dyDescent="0.25">
      <c r="A14588" t="e">
        <v>#N/A</v>
      </c>
    </row>
    <row r="14589" spans="1:1" x14ac:dyDescent="0.25">
      <c r="A14589" t="e">
        <v>#N/A</v>
      </c>
    </row>
    <row r="14590" spans="1:1" x14ac:dyDescent="0.25">
      <c r="A14590" t="e">
        <v>#N/A</v>
      </c>
    </row>
    <row r="14591" spans="1:1" x14ac:dyDescent="0.25">
      <c r="A14591" t="e">
        <v>#N/A</v>
      </c>
    </row>
    <row r="14592" spans="1:1" x14ac:dyDescent="0.25">
      <c r="A14592" t="e">
        <v>#N/A</v>
      </c>
    </row>
    <row r="14593" spans="1:1" x14ac:dyDescent="0.25">
      <c r="A14593" t="e">
        <v>#N/A</v>
      </c>
    </row>
    <row r="14594" spans="1:1" x14ac:dyDescent="0.25">
      <c r="A14594" t="e">
        <v>#N/A</v>
      </c>
    </row>
    <row r="14595" spans="1:1" x14ac:dyDescent="0.25">
      <c r="A14595" t="e">
        <v>#N/A</v>
      </c>
    </row>
    <row r="14596" spans="1:1" x14ac:dyDescent="0.25">
      <c r="A14596" t="e">
        <v>#N/A</v>
      </c>
    </row>
    <row r="14597" spans="1:1" x14ac:dyDescent="0.25">
      <c r="A14597" t="e">
        <v>#N/A</v>
      </c>
    </row>
    <row r="14598" spans="1:1" x14ac:dyDescent="0.25">
      <c r="A14598" t="e">
        <v>#N/A</v>
      </c>
    </row>
    <row r="14599" spans="1:1" x14ac:dyDescent="0.25">
      <c r="A14599" t="e">
        <v>#N/A</v>
      </c>
    </row>
    <row r="14600" spans="1:1" x14ac:dyDescent="0.25">
      <c r="A14600" t="e">
        <v>#N/A</v>
      </c>
    </row>
    <row r="14601" spans="1:1" x14ac:dyDescent="0.25">
      <c r="A14601" t="e">
        <v>#N/A</v>
      </c>
    </row>
    <row r="14602" spans="1:1" x14ac:dyDescent="0.25">
      <c r="A14602" t="e">
        <v>#N/A</v>
      </c>
    </row>
    <row r="14603" spans="1:1" x14ac:dyDescent="0.25">
      <c r="A14603" t="e">
        <v>#N/A</v>
      </c>
    </row>
    <row r="14604" spans="1:1" x14ac:dyDescent="0.25">
      <c r="A14604" t="e">
        <v>#N/A</v>
      </c>
    </row>
    <row r="14605" spans="1:1" x14ac:dyDescent="0.25">
      <c r="A14605" t="e">
        <v>#N/A</v>
      </c>
    </row>
    <row r="14606" spans="1:1" x14ac:dyDescent="0.25">
      <c r="A14606" t="e">
        <v>#N/A</v>
      </c>
    </row>
    <row r="14607" spans="1:1" x14ac:dyDescent="0.25">
      <c r="A14607" t="e">
        <v>#N/A</v>
      </c>
    </row>
    <row r="14608" spans="1:1" x14ac:dyDescent="0.25">
      <c r="A14608" t="e">
        <v>#N/A</v>
      </c>
    </row>
    <row r="14609" spans="1:1" x14ac:dyDescent="0.25">
      <c r="A14609" t="e">
        <v>#N/A</v>
      </c>
    </row>
    <row r="14610" spans="1:1" x14ac:dyDescent="0.25">
      <c r="A14610" t="e">
        <v>#N/A</v>
      </c>
    </row>
    <row r="14611" spans="1:1" x14ac:dyDescent="0.25">
      <c r="A14611" t="e">
        <v>#N/A</v>
      </c>
    </row>
    <row r="14612" spans="1:1" x14ac:dyDescent="0.25">
      <c r="A14612" t="e">
        <v>#N/A</v>
      </c>
    </row>
    <row r="14613" spans="1:1" x14ac:dyDescent="0.25">
      <c r="A14613" t="e">
        <v>#N/A</v>
      </c>
    </row>
    <row r="14614" spans="1:1" x14ac:dyDescent="0.25">
      <c r="A14614" t="e">
        <v>#N/A</v>
      </c>
    </row>
    <row r="14615" spans="1:1" x14ac:dyDescent="0.25">
      <c r="A14615" t="e">
        <v>#N/A</v>
      </c>
    </row>
    <row r="14616" spans="1:1" x14ac:dyDescent="0.25">
      <c r="A14616" t="e">
        <v>#N/A</v>
      </c>
    </row>
    <row r="14617" spans="1:1" x14ac:dyDescent="0.25">
      <c r="A14617" t="e">
        <v>#N/A</v>
      </c>
    </row>
    <row r="14618" spans="1:1" x14ac:dyDescent="0.25">
      <c r="A14618" t="e">
        <v>#N/A</v>
      </c>
    </row>
    <row r="14619" spans="1:1" x14ac:dyDescent="0.25">
      <c r="A14619" t="e">
        <v>#N/A</v>
      </c>
    </row>
    <row r="14620" spans="1:1" x14ac:dyDescent="0.25">
      <c r="A14620" t="e">
        <v>#N/A</v>
      </c>
    </row>
    <row r="14621" spans="1:1" x14ac:dyDescent="0.25">
      <c r="A14621" t="e">
        <v>#N/A</v>
      </c>
    </row>
    <row r="14622" spans="1:1" x14ac:dyDescent="0.25">
      <c r="A14622" t="e">
        <v>#N/A</v>
      </c>
    </row>
    <row r="14623" spans="1:1" x14ac:dyDescent="0.25">
      <c r="A14623" t="e">
        <v>#N/A</v>
      </c>
    </row>
    <row r="14624" spans="1:1" x14ac:dyDescent="0.25">
      <c r="A14624" t="e">
        <v>#N/A</v>
      </c>
    </row>
    <row r="14625" spans="1:1" x14ac:dyDescent="0.25">
      <c r="A14625" t="e">
        <v>#N/A</v>
      </c>
    </row>
    <row r="14626" spans="1:1" x14ac:dyDescent="0.25">
      <c r="A14626" t="e">
        <v>#N/A</v>
      </c>
    </row>
    <row r="14627" spans="1:1" x14ac:dyDescent="0.25">
      <c r="A14627" t="e">
        <v>#N/A</v>
      </c>
    </row>
    <row r="14628" spans="1:1" x14ac:dyDescent="0.25">
      <c r="A14628" t="e">
        <v>#N/A</v>
      </c>
    </row>
    <row r="14629" spans="1:1" x14ac:dyDescent="0.25">
      <c r="A14629" t="e">
        <v>#N/A</v>
      </c>
    </row>
    <row r="14630" spans="1:1" x14ac:dyDescent="0.25">
      <c r="A14630" t="e">
        <v>#N/A</v>
      </c>
    </row>
    <row r="14631" spans="1:1" x14ac:dyDescent="0.25">
      <c r="A14631" t="e">
        <v>#N/A</v>
      </c>
    </row>
    <row r="14632" spans="1:1" x14ac:dyDescent="0.25">
      <c r="A14632" t="e">
        <v>#N/A</v>
      </c>
    </row>
    <row r="14633" spans="1:1" x14ac:dyDescent="0.25">
      <c r="A14633" t="e">
        <v>#N/A</v>
      </c>
    </row>
    <row r="14634" spans="1:1" x14ac:dyDescent="0.25">
      <c r="A14634" t="e">
        <v>#N/A</v>
      </c>
    </row>
    <row r="14635" spans="1:1" x14ac:dyDescent="0.25">
      <c r="A14635" t="e">
        <v>#N/A</v>
      </c>
    </row>
    <row r="14636" spans="1:1" x14ac:dyDescent="0.25">
      <c r="A14636" t="e">
        <v>#N/A</v>
      </c>
    </row>
    <row r="14637" spans="1:1" x14ac:dyDescent="0.25">
      <c r="A14637" t="e">
        <v>#N/A</v>
      </c>
    </row>
    <row r="14638" spans="1:1" x14ac:dyDescent="0.25">
      <c r="A14638" t="e">
        <v>#N/A</v>
      </c>
    </row>
    <row r="14639" spans="1:1" x14ac:dyDescent="0.25">
      <c r="A14639" t="e">
        <v>#N/A</v>
      </c>
    </row>
    <row r="14640" spans="1:1" x14ac:dyDescent="0.25">
      <c r="A14640" t="e">
        <v>#N/A</v>
      </c>
    </row>
    <row r="14641" spans="1:1" x14ac:dyDescent="0.25">
      <c r="A14641" t="e">
        <v>#N/A</v>
      </c>
    </row>
    <row r="14642" spans="1:1" x14ac:dyDescent="0.25">
      <c r="A14642" t="e">
        <v>#N/A</v>
      </c>
    </row>
    <row r="14643" spans="1:1" x14ac:dyDescent="0.25">
      <c r="A14643" t="e">
        <v>#N/A</v>
      </c>
    </row>
    <row r="14644" spans="1:1" x14ac:dyDescent="0.25">
      <c r="A14644" t="e">
        <v>#N/A</v>
      </c>
    </row>
    <row r="14645" spans="1:1" x14ac:dyDescent="0.25">
      <c r="A14645" t="e">
        <v>#N/A</v>
      </c>
    </row>
    <row r="14646" spans="1:1" x14ac:dyDescent="0.25">
      <c r="A14646" t="e">
        <v>#N/A</v>
      </c>
    </row>
    <row r="14647" spans="1:1" x14ac:dyDescent="0.25">
      <c r="A14647" t="e">
        <v>#N/A</v>
      </c>
    </row>
    <row r="14648" spans="1:1" x14ac:dyDescent="0.25">
      <c r="A14648" t="e">
        <v>#N/A</v>
      </c>
    </row>
    <row r="14649" spans="1:1" x14ac:dyDescent="0.25">
      <c r="A14649" t="e">
        <v>#N/A</v>
      </c>
    </row>
    <row r="14650" spans="1:1" x14ac:dyDescent="0.25">
      <c r="A14650" t="e">
        <v>#N/A</v>
      </c>
    </row>
    <row r="14651" spans="1:1" x14ac:dyDescent="0.25">
      <c r="A14651" t="e">
        <v>#N/A</v>
      </c>
    </row>
    <row r="14652" spans="1:1" x14ac:dyDescent="0.25">
      <c r="A14652" t="e">
        <v>#N/A</v>
      </c>
    </row>
    <row r="14653" spans="1:1" x14ac:dyDescent="0.25">
      <c r="A14653" t="e">
        <v>#N/A</v>
      </c>
    </row>
    <row r="14654" spans="1:1" x14ac:dyDescent="0.25">
      <c r="A14654" t="e">
        <v>#N/A</v>
      </c>
    </row>
    <row r="14655" spans="1:1" x14ac:dyDescent="0.25">
      <c r="A14655" t="e">
        <v>#N/A</v>
      </c>
    </row>
    <row r="14656" spans="1:1" x14ac:dyDescent="0.25">
      <c r="A14656" t="e">
        <v>#N/A</v>
      </c>
    </row>
    <row r="14657" spans="1:1" x14ac:dyDescent="0.25">
      <c r="A14657" t="e">
        <v>#N/A</v>
      </c>
    </row>
    <row r="14658" spans="1:1" x14ac:dyDescent="0.25">
      <c r="A14658" t="e">
        <v>#N/A</v>
      </c>
    </row>
    <row r="14659" spans="1:1" x14ac:dyDescent="0.25">
      <c r="A14659" t="e">
        <v>#N/A</v>
      </c>
    </row>
    <row r="14660" spans="1:1" x14ac:dyDescent="0.25">
      <c r="A14660" t="e">
        <v>#N/A</v>
      </c>
    </row>
    <row r="14661" spans="1:1" x14ac:dyDescent="0.25">
      <c r="A14661" t="e">
        <v>#N/A</v>
      </c>
    </row>
    <row r="14662" spans="1:1" x14ac:dyDescent="0.25">
      <c r="A14662" t="e">
        <v>#N/A</v>
      </c>
    </row>
    <row r="14663" spans="1:1" x14ac:dyDescent="0.25">
      <c r="A14663" t="e">
        <v>#N/A</v>
      </c>
    </row>
    <row r="14664" spans="1:1" x14ac:dyDescent="0.25">
      <c r="A14664" t="e">
        <v>#N/A</v>
      </c>
    </row>
    <row r="14665" spans="1:1" x14ac:dyDescent="0.25">
      <c r="A14665" t="e">
        <v>#N/A</v>
      </c>
    </row>
    <row r="14666" spans="1:1" x14ac:dyDescent="0.25">
      <c r="A14666" t="e">
        <v>#N/A</v>
      </c>
    </row>
    <row r="14667" spans="1:1" x14ac:dyDescent="0.25">
      <c r="A14667" t="e">
        <v>#N/A</v>
      </c>
    </row>
    <row r="14668" spans="1:1" x14ac:dyDescent="0.25">
      <c r="A14668" t="e">
        <v>#N/A</v>
      </c>
    </row>
    <row r="14669" spans="1:1" x14ac:dyDescent="0.25">
      <c r="A14669" t="e">
        <v>#N/A</v>
      </c>
    </row>
    <row r="14670" spans="1:1" x14ac:dyDescent="0.25">
      <c r="A14670" t="e">
        <v>#N/A</v>
      </c>
    </row>
    <row r="14671" spans="1:1" x14ac:dyDescent="0.25">
      <c r="A14671" t="e">
        <v>#N/A</v>
      </c>
    </row>
    <row r="14672" spans="1:1" x14ac:dyDescent="0.25">
      <c r="A14672" t="e">
        <v>#N/A</v>
      </c>
    </row>
    <row r="14673" spans="1:1" x14ac:dyDescent="0.25">
      <c r="A14673" t="e">
        <v>#N/A</v>
      </c>
    </row>
    <row r="14674" spans="1:1" x14ac:dyDescent="0.25">
      <c r="A14674" t="e">
        <v>#N/A</v>
      </c>
    </row>
    <row r="14675" spans="1:1" x14ac:dyDescent="0.25">
      <c r="A14675" t="e">
        <v>#N/A</v>
      </c>
    </row>
    <row r="14676" spans="1:1" x14ac:dyDescent="0.25">
      <c r="A14676" t="e">
        <v>#N/A</v>
      </c>
    </row>
    <row r="14677" spans="1:1" x14ac:dyDescent="0.25">
      <c r="A14677" t="e">
        <v>#N/A</v>
      </c>
    </row>
    <row r="14678" spans="1:1" x14ac:dyDescent="0.25">
      <c r="A14678" t="e">
        <v>#N/A</v>
      </c>
    </row>
    <row r="14679" spans="1:1" x14ac:dyDescent="0.25">
      <c r="A14679" t="e">
        <v>#N/A</v>
      </c>
    </row>
    <row r="14680" spans="1:1" x14ac:dyDescent="0.25">
      <c r="A14680" t="e">
        <v>#N/A</v>
      </c>
    </row>
    <row r="14681" spans="1:1" x14ac:dyDescent="0.25">
      <c r="A14681" t="e">
        <v>#N/A</v>
      </c>
    </row>
    <row r="14682" spans="1:1" x14ac:dyDescent="0.25">
      <c r="A14682" t="e">
        <v>#N/A</v>
      </c>
    </row>
    <row r="14683" spans="1:1" x14ac:dyDescent="0.25">
      <c r="A14683" t="e">
        <v>#N/A</v>
      </c>
    </row>
    <row r="14684" spans="1:1" x14ac:dyDescent="0.25">
      <c r="A14684" t="e">
        <v>#N/A</v>
      </c>
    </row>
    <row r="14685" spans="1:1" x14ac:dyDescent="0.25">
      <c r="A14685" t="e">
        <v>#N/A</v>
      </c>
    </row>
    <row r="14686" spans="1:1" x14ac:dyDescent="0.25">
      <c r="A14686" t="e">
        <v>#N/A</v>
      </c>
    </row>
    <row r="14687" spans="1:1" x14ac:dyDescent="0.25">
      <c r="A14687" t="e">
        <v>#N/A</v>
      </c>
    </row>
    <row r="14688" spans="1:1" x14ac:dyDescent="0.25">
      <c r="A14688" t="e">
        <v>#N/A</v>
      </c>
    </row>
    <row r="14689" spans="1:1" x14ac:dyDescent="0.25">
      <c r="A14689" t="e">
        <v>#N/A</v>
      </c>
    </row>
    <row r="14690" spans="1:1" x14ac:dyDescent="0.25">
      <c r="A14690" t="e">
        <v>#N/A</v>
      </c>
    </row>
    <row r="14691" spans="1:1" x14ac:dyDescent="0.25">
      <c r="A14691" t="e">
        <v>#N/A</v>
      </c>
    </row>
    <row r="14692" spans="1:1" x14ac:dyDescent="0.25">
      <c r="A14692" t="e">
        <v>#N/A</v>
      </c>
    </row>
    <row r="14693" spans="1:1" x14ac:dyDescent="0.25">
      <c r="A14693" t="e">
        <v>#N/A</v>
      </c>
    </row>
    <row r="14694" spans="1:1" x14ac:dyDescent="0.25">
      <c r="A14694" t="e">
        <v>#N/A</v>
      </c>
    </row>
    <row r="14695" spans="1:1" x14ac:dyDescent="0.25">
      <c r="A14695" t="e">
        <v>#N/A</v>
      </c>
    </row>
    <row r="14696" spans="1:1" x14ac:dyDescent="0.25">
      <c r="A14696" t="e">
        <v>#N/A</v>
      </c>
    </row>
    <row r="14697" spans="1:1" x14ac:dyDescent="0.25">
      <c r="A14697" t="e">
        <v>#N/A</v>
      </c>
    </row>
    <row r="14698" spans="1:1" x14ac:dyDescent="0.25">
      <c r="A14698" t="e">
        <v>#N/A</v>
      </c>
    </row>
    <row r="14699" spans="1:1" x14ac:dyDescent="0.25">
      <c r="A14699" t="e">
        <v>#N/A</v>
      </c>
    </row>
    <row r="14700" spans="1:1" x14ac:dyDescent="0.25">
      <c r="A14700" t="e">
        <v>#N/A</v>
      </c>
    </row>
    <row r="14701" spans="1:1" x14ac:dyDescent="0.25">
      <c r="A14701" t="e">
        <v>#N/A</v>
      </c>
    </row>
    <row r="14702" spans="1:1" x14ac:dyDescent="0.25">
      <c r="A14702" t="e">
        <v>#N/A</v>
      </c>
    </row>
    <row r="14703" spans="1:1" x14ac:dyDescent="0.25">
      <c r="A14703" t="e">
        <v>#N/A</v>
      </c>
    </row>
    <row r="14704" spans="1:1" x14ac:dyDescent="0.25">
      <c r="A14704" t="e">
        <v>#N/A</v>
      </c>
    </row>
    <row r="14705" spans="1:1" x14ac:dyDescent="0.25">
      <c r="A14705" t="e">
        <v>#N/A</v>
      </c>
    </row>
    <row r="14706" spans="1:1" x14ac:dyDescent="0.25">
      <c r="A14706" t="e">
        <v>#N/A</v>
      </c>
    </row>
    <row r="14707" spans="1:1" x14ac:dyDescent="0.25">
      <c r="A14707" t="e">
        <v>#N/A</v>
      </c>
    </row>
    <row r="14708" spans="1:1" x14ac:dyDescent="0.25">
      <c r="A14708" t="e">
        <v>#N/A</v>
      </c>
    </row>
    <row r="14709" spans="1:1" x14ac:dyDescent="0.25">
      <c r="A14709" t="e">
        <v>#N/A</v>
      </c>
    </row>
    <row r="14710" spans="1:1" x14ac:dyDescent="0.25">
      <c r="A14710" t="e">
        <v>#N/A</v>
      </c>
    </row>
    <row r="14711" spans="1:1" x14ac:dyDescent="0.25">
      <c r="A14711" t="e">
        <v>#N/A</v>
      </c>
    </row>
    <row r="14712" spans="1:1" x14ac:dyDescent="0.25">
      <c r="A14712" t="e">
        <v>#N/A</v>
      </c>
    </row>
    <row r="14713" spans="1:1" x14ac:dyDescent="0.25">
      <c r="A14713" t="e">
        <v>#N/A</v>
      </c>
    </row>
    <row r="14714" spans="1:1" x14ac:dyDescent="0.25">
      <c r="A14714" t="e">
        <v>#N/A</v>
      </c>
    </row>
    <row r="14715" spans="1:1" x14ac:dyDescent="0.25">
      <c r="A14715">
        <v>14713</v>
      </c>
    </row>
    <row r="14716" spans="1:1" x14ac:dyDescent="0.25">
      <c r="A14716">
        <v>0</v>
      </c>
    </row>
    <row r="14717" spans="1:1" x14ac:dyDescent="0.25">
      <c r="A14717">
        <v>0</v>
      </c>
    </row>
    <row r="14718" spans="1:1" x14ac:dyDescent="0.25">
      <c r="A14718">
        <v>25</v>
      </c>
    </row>
    <row r="14719" spans="1:1" x14ac:dyDescent="0.25">
      <c r="A14719" t="s">
        <v>172</v>
      </c>
    </row>
    <row r="14720" spans="1:1" x14ac:dyDescent="0.25">
      <c r="A14720" t="e">
        <v>#N/A</v>
      </c>
    </row>
    <row r="14721" spans="1:1" x14ac:dyDescent="0.25">
      <c r="A14721" t="e">
        <v>#N/A</v>
      </c>
    </row>
    <row r="14722" spans="1:1" x14ac:dyDescent="0.25">
      <c r="A14722" t="e">
        <v>#N/A</v>
      </c>
    </row>
    <row r="14723" spans="1:1" x14ac:dyDescent="0.25">
      <c r="A14723" t="e">
        <v>#N/A</v>
      </c>
    </row>
    <row r="14724" spans="1:1" x14ac:dyDescent="0.25">
      <c r="A14724" t="e">
        <v>#N/A</v>
      </c>
    </row>
    <row r="14725" spans="1:1" x14ac:dyDescent="0.25">
      <c r="A14725" t="e">
        <v>#N/A</v>
      </c>
    </row>
    <row r="14726" spans="1:1" x14ac:dyDescent="0.25">
      <c r="A14726" t="e">
        <v>#N/A</v>
      </c>
    </row>
    <row r="14727" spans="1:1" x14ac:dyDescent="0.25">
      <c r="A14727" t="e">
        <v>#N/A</v>
      </c>
    </row>
    <row r="14728" spans="1:1" x14ac:dyDescent="0.25">
      <c r="A14728" t="e">
        <v>#N/A</v>
      </c>
    </row>
    <row r="14729" spans="1:1" x14ac:dyDescent="0.25">
      <c r="A14729" t="e">
        <v>#N/A</v>
      </c>
    </row>
    <row r="14730" spans="1:1" x14ac:dyDescent="0.25">
      <c r="A14730" t="e">
        <v>#N/A</v>
      </c>
    </row>
    <row r="14731" spans="1:1" x14ac:dyDescent="0.25">
      <c r="A14731" t="e">
        <v>#N/A</v>
      </c>
    </row>
    <row r="14732" spans="1:1" x14ac:dyDescent="0.25">
      <c r="A14732" t="e">
        <v>#N/A</v>
      </c>
    </row>
    <row r="14733" spans="1:1" x14ac:dyDescent="0.25">
      <c r="A14733" t="e">
        <v>#N/A</v>
      </c>
    </row>
    <row r="14734" spans="1:1" x14ac:dyDescent="0.25">
      <c r="A14734" t="e">
        <v>#N/A</v>
      </c>
    </row>
    <row r="14735" spans="1:1" x14ac:dyDescent="0.25">
      <c r="A14735" t="e">
        <v>#N/A</v>
      </c>
    </row>
    <row r="14736" spans="1:1" x14ac:dyDescent="0.25">
      <c r="A14736" t="e">
        <v>#N/A</v>
      </c>
    </row>
    <row r="14737" spans="1:1" x14ac:dyDescent="0.25">
      <c r="A14737" t="e">
        <v>#N/A</v>
      </c>
    </row>
    <row r="14738" spans="1:1" x14ac:dyDescent="0.25">
      <c r="A14738" t="e">
        <v>#N/A</v>
      </c>
    </row>
    <row r="14739" spans="1:1" x14ac:dyDescent="0.25">
      <c r="A14739" t="e">
        <v>#N/A</v>
      </c>
    </row>
    <row r="14740" spans="1:1" x14ac:dyDescent="0.25">
      <c r="A14740" t="e">
        <v>#N/A</v>
      </c>
    </row>
    <row r="14741" spans="1:1" x14ac:dyDescent="0.25">
      <c r="A14741" t="e">
        <v>#N/A</v>
      </c>
    </row>
    <row r="14742" spans="1:1" x14ac:dyDescent="0.25">
      <c r="A14742" t="e">
        <v>#N/A</v>
      </c>
    </row>
    <row r="14743" spans="1:1" x14ac:dyDescent="0.25">
      <c r="A14743" t="e">
        <v>#N/A</v>
      </c>
    </row>
    <row r="14744" spans="1:1" x14ac:dyDescent="0.25">
      <c r="A14744" t="e">
        <v>#N/A</v>
      </c>
    </row>
    <row r="14745" spans="1:1" x14ac:dyDescent="0.25">
      <c r="A14745" t="e">
        <v>#N/A</v>
      </c>
    </row>
    <row r="14746" spans="1:1" x14ac:dyDescent="0.25">
      <c r="A14746" t="e">
        <v>#N/A</v>
      </c>
    </row>
    <row r="14747" spans="1:1" x14ac:dyDescent="0.25">
      <c r="A14747" t="e">
        <v>#N/A</v>
      </c>
    </row>
    <row r="14748" spans="1:1" x14ac:dyDescent="0.25">
      <c r="A14748" t="e">
        <v>#N/A</v>
      </c>
    </row>
    <row r="14749" spans="1:1" x14ac:dyDescent="0.25">
      <c r="A14749" t="e">
        <v>#N/A</v>
      </c>
    </row>
    <row r="14750" spans="1:1" x14ac:dyDescent="0.25">
      <c r="A14750" t="e">
        <v>#N/A</v>
      </c>
    </row>
    <row r="14751" spans="1:1" x14ac:dyDescent="0.25">
      <c r="A14751" t="e">
        <v>#N/A</v>
      </c>
    </row>
    <row r="14752" spans="1:1" x14ac:dyDescent="0.25">
      <c r="A14752" t="e">
        <v>#N/A</v>
      </c>
    </row>
    <row r="14753" spans="1:1" x14ac:dyDescent="0.25">
      <c r="A14753" t="e">
        <v>#N/A</v>
      </c>
    </row>
    <row r="14754" spans="1:1" x14ac:dyDescent="0.25">
      <c r="A14754" t="e">
        <v>#N/A</v>
      </c>
    </row>
    <row r="14755" spans="1:1" x14ac:dyDescent="0.25">
      <c r="A14755" t="e">
        <v>#N/A</v>
      </c>
    </row>
    <row r="14756" spans="1:1" x14ac:dyDescent="0.25">
      <c r="A14756" t="e">
        <v>#N/A</v>
      </c>
    </row>
    <row r="14757" spans="1:1" x14ac:dyDescent="0.25">
      <c r="A14757" t="e">
        <v>#N/A</v>
      </c>
    </row>
    <row r="14758" spans="1:1" x14ac:dyDescent="0.25">
      <c r="A14758" t="e">
        <v>#N/A</v>
      </c>
    </row>
    <row r="14759" spans="1:1" x14ac:dyDescent="0.25">
      <c r="A14759" t="e">
        <v>#N/A</v>
      </c>
    </row>
    <row r="14760" spans="1:1" x14ac:dyDescent="0.25">
      <c r="A14760" t="e">
        <v>#N/A</v>
      </c>
    </row>
    <row r="14761" spans="1:1" x14ac:dyDescent="0.25">
      <c r="A14761" t="e">
        <v>#N/A</v>
      </c>
    </row>
    <row r="14762" spans="1:1" x14ac:dyDescent="0.25">
      <c r="A14762" t="e">
        <v>#N/A</v>
      </c>
    </row>
    <row r="14763" spans="1:1" x14ac:dyDescent="0.25">
      <c r="A14763" t="e">
        <v>#N/A</v>
      </c>
    </row>
    <row r="14764" spans="1:1" x14ac:dyDescent="0.25">
      <c r="A14764" t="e">
        <v>#N/A</v>
      </c>
    </row>
    <row r="14765" spans="1:1" x14ac:dyDescent="0.25">
      <c r="A14765" t="e">
        <v>#N/A</v>
      </c>
    </row>
    <row r="14766" spans="1:1" x14ac:dyDescent="0.25">
      <c r="A14766" t="e">
        <v>#N/A</v>
      </c>
    </row>
    <row r="14767" spans="1:1" x14ac:dyDescent="0.25">
      <c r="A14767" t="e">
        <v>#N/A</v>
      </c>
    </row>
    <row r="14768" spans="1:1" x14ac:dyDescent="0.25">
      <c r="A14768" t="e">
        <v>#N/A</v>
      </c>
    </row>
    <row r="14769" spans="1:1" x14ac:dyDescent="0.25">
      <c r="A14769" t="e">
        <v>#N/A</v>
      </c>
    </row>
    <row r="14770" spans="1:1" x14ac:dyDescent="0.25">
      <c r="A14770" t="e">
        <v>#N/A</v>
      </c>
    </row>
    <row r="14771" spans="1:1" x14ac:dyDescent="0.25">
      <c r="A14771" t="e">
        <v>#N/A</v>
      </c>
    </row>
    <row r="14772" spans="1:1" x14ac:dyDescent="0.25">
      <c r="A14772" t="e">
        <v>#N/A</v>
      </c>
    </row>
    <row r="14773" spans="1:1" x14ac:dyDescent="0.25">
      <c r="A14773" t="e">
        <v>#N/A</v>
      </c>
    </row>
    <row r="14774" spans="1:1" x14ac:dyDescent="0.25">
      <c r="A14774" t="e">
        <v>#N/A</v>
      </c>
    </row>
    <row r="14775" spans="1:1" x14ac:dyDescent="0.25">
      <c r="A14775" t="e">
        <v>#N/A</v>
      </c>
    </row>
    <row r="14776" spans="1:1" x14ac:dyDescent="0.25">
      <c r="A14776" t="e">
        <v>#N/A</v>
      </c>
    </row>
    <row r="14777" spans="1:1" x14ac:dyDescent="0.25">
      <c r="A14777" t="e">
        <v>#N/A</v>
      </c>
    </row>
    <row r="14778" spans="1:1" x14ac:dyDescent="0.25">
      <c r="A14778" t="e">
        <v>#N/A</v>
      </c>
    </row>
    <row r="14779" spans="1:1" x14ac:dyDescent="0.25">
      <c r="A14779" t="e">
        <v>#N/A</v>
      </c>
    </row>
    <row r="14780" spans="1:1" x14ac:dyDescent="0.25">
      <c r="A14780" t="e">
        <v>#N/A</v>
      </c>
    </row>
    <row r="14781" spans="1:1" x14ac:dyDescent="0.25">
      <c r="A14781" t="e">
        <v>#N/A</v>
      </c>
    </row>
    <row r="14782" spans="1:1" x14ac:dyDescent="0.25">
      <c r="A14782" t="e">
        <v>#N/A</v>
      </c>
    </row>
    <row r="14783" spans="1:1" x14ac:dyDescent="0.25">
      <c r="A14783" t="e">
        <v>#N/A</v>
      </c>
    </row>
    <row r="14784" spans="1:1" x14ac:dyDescent="0.25">
      <c r="A14784" t="e">
        <v>#N/A</v>
      </c>
    </row>
    <row r="14785" spans="1:1" x14ac:dyDescent="0.25">
      <c r="A14785" t="e">
        <v>#N/A</v>
      </c>
    </row>
    <row r="14786" spans="1:1" x14ac:dyDescent="0.25">
      <c r="A14786" t="e">
        <v>#N/A</v>
      </c>
    </row>
    <row r="14787" spans="1:1" x14ac:dyDescent="0.25">
      <c r="A14787" t="e">
        <v>#N/A</v>
      </c>
    </row>
    <row r="14788" spans="1:1" x14ac:dyDescent="0.25">
      <c r="A14788" t="e">
        <v>#N/A</v>
      </c>
    </row>
    <row r="14789" spans="1:1" x14ac:dyDescent="0.25">
      <c r="A14789" t="e">
        <v>#N/A</v>
      </c>
    </row>
    <row r="14790" spans="1:1" x14ac:dyDescent="0.25">
      <c r="A14790" t="e">
        <v>#N/A</v>
      </c>
    </row>
    <row r="14791" spans="1:1" x14ac:dyDescent="0.25">
      <c r="A14791" t="e">
        <v>#N/A</v>
      </c>
    </row>
    <row r="14792" spans="1:1" x14ac:dyDescent="0.25">
      <c r="A14792" t="e">
        <v>#N/A</v>
      </c>
    </row>
    <row r="14793" spans="1:1" x14ac:dyDescent="0.25">
      <c r="A14793" t="e">
        <v>#N/A</v>
      </c>
    </row>
    <row r="14794" spans="1:1" x14ac:dyDescent="0.25">
      <c r="A14794" t="e">
        <v>#N/A</v>
      </c>
    </row>
    <row r="14795" spans="1:1" x14ac:dyDescent="0.25">
      <c r="A14795" t="e">
        <v>#N/A</v>
      </c>
    </row>
    <row r="14796" spans="1:1" x14ac:dyDescent="0.25">
      <c r="A14796" t="e">
        <v>#N/A</v>
      </c>
    </row>
    <row r="14797" spans="1:1" x14ac:dyDescent="0.25">
      <c r="A14797" t="e">
        <v>#N/A</v>
      </c>
    </row>
    <row r="14798" spans="1:1" x14ac:dyDescent="0.25">
      <c r="A14798" t="e">
        <v>#N/A</v>
      </c>
    </row>
    <row r="14799" spans="1:1" x14ac:dyDescent="0.25">
      <c r="A14799" t="e">
        <v>#N/A</v>
      </c>
    </row>
    <row r="14800" spans="1:1" x14ac:dyDescent="0.25">
      <c r="A14800" t="e">
        <v>#N/A</v>
      </c>
    </row>
    <row r="14801" spans="1:1" x14ac:dyDescent="0.25">
      <c r="A14801" t="e">
        <v>#N/A</v>
      </c>
    </row>
    <row r="14802" spans="1:1" x14ac:dyDescent="0.25">
      <c r="A14802" t="e">
        <v>#N/A</v>
      </c>
    </row>
    <row r="14803" spans="1:1" x14ac:dyDescent="0.25">
      <c r="A14803" t="e">
        <v>#N/A</v>
      </c>
    </row>
    <row r="14804" spans="1:1" x14ac:dyDescent="0.25">
      <c r="A14804" t="e">
        <v>#N/A</v>
      </c>
    </row>
    <row r="14805" spans="1:1" x14ac:dyDescent="0.25">
      <c r="A14805" t="e">
        <v>#N/A</v>
      </c>
    </row>
    <row r="14806" spans="1:1" x14ac:dyDescent="0.25">
      <c r="A14806" t="e">
        <v>#N/A</v>
      </c>
    </row>
    <row r="14807" spans="1:1" x14ac:dyDescent="0.25">
      <c r="A14807" t="e">
        <v>#N/A</v>
      </c>
    </row>
    <row r="14808" spans="1:1" x14ac:dyDescent="0.25">
      <c r="A14808" t="e">
        <v>#N/A</v>
      </c>
    </row>
    <row r="14809" spans="1:1" x14ac:dyDescent="0.25">
      <c r="A14809" t="e">
        <v>#N/A</v>
      </c>
    </row>
    <row r="14810" spans="1:1" x14ac:dyDescent="0.25">
      <c r="A14810" t="e">
        <v>#N/A</v>
      </c>
    </row>
    <row r="14811" spans="1:1" x14ac:dyDescent="0.25">
      <c r="A14811" t="e">
        <v>#N/A</v>
      </c>
    </row>
    <row r="14812" spans="1:1" x14ac:dyDescent="0.25">
      <c r="A14812" t="e">
        <v>#N/A</v>
      </c>
    </row>
    <row r="14813" spans="1:1" x14ac:dyDescent="0.25">
      <c r="A14813" t="e">
        <v>#N/A</v>
      </c>
    </row>
    <row r="14814" spans="1:1" x14ac:dyDescent="0.25">
      <c r="A14814" t="e">
        <v>#N/A</v>
      </c>
    </row>
    <row r="14815" spans="1:1" x14ac:dyDescent="0.25">
      <c r="A14815" t="e">
        <v>#N/A</v>
      </c>
    </row>
    <row r="14816" spans="1:1" x14ac:dyDescent="0.25">
      <c r="A14816" t="e">
        <v>#N/A</v>
      </c>
    </row>
    <row r="14817" spans="1:1" x14ac:dyDescent="0.25">
      <c r="A14817" t="e">
        <v>#N/A</v>
      </c>
    </row>
    <row r="14818" spans="1:1" x14ac:dyDescent="0.25">
      <c r="A14818" t="e">
        <v>#N/A</v>
      </c>
    </row>
    <row r="14819" spans="1:1" x14ac:dyDescent="0.25">
      <c r="A14819" t="e">
        <v>#N/A</v>
      </c>
    </row>
    <row r="14820" spans="1:1" x14ac:dyDescent="0.25">
      <c r="A14820" t="e">
        <v>#N/A</v>
      </c>
    </row>
    <row r="14821" spans="1:1" x14ac:dyDescent="0.25">
      <c r="A14821" t="e">
        <v>#N/A</v>
      </c>
    </row>
    <row r="14822" spans="1:1" x14ac:dyDescent="0.25">
      <c r="A14822" t="e">
        <v>#N/A</v>
      </c>
    </row>
    <row r="14823" spans="1:1" x14ac:dyDescent="0.25">
      <c r="A14823" t="e">
        <v>#N/A</v>
      </c>
    </row>
    <row r="14824" spans="1:1" x14ac:dyDescent="0.25">
      <c r="A14824" t="e">
        <v>#N/A</v>
      </c>
    </row>
    <row r="14825" spans="1:1" x14ac:dyDescent="0.25">
      <c r="A14825" t="e">
        <v>#N/A</v>
      </c>
    </row>
    <row r="14826" spans="1:1" x14ac:dyDescent="0.25">
      <c r="A14826" t="e">
        <v>#N/A</v>
      </c>
    </row>
    <row r="14827" spans="1:1" x14ac:dyDescent="0.25">
      <c r="A14827" t="e">
        <v>#N/A</v>
      </c>
    </row>
    <row r="14828" spans="1:1" x14ac:dyDescent="0.25">
      <c r="A14828" t="e">
        <v>#N/A</v>
      </c>
    </row>
    <row r="14829" spans="1:1" x14ac:dyDescent="0.25">
      <c r="A14829" t="e">
        <v>#N/A</v>
      </c>
    </row>
    <row r="14830" spans="1:1" x14ac:dyDescent="0.25">
      <c r="A14830" t="e">
        <v>#N/A</v>
      </c>
    </row>
    <row r="14831" spans="1:1" x14ac:dyDescent="0.25">
      <c r="A14831" t="e">
        <v>#N/A</v>
      </c>
    </row>
    <row r="14832" spans="1:1" x14ac:dyDescent="0.25">
      <c r="A14832" t="e">
        <v>#N/A</v>
      </c>
    </row>
    <row r="14833" spans="1:1" x14ac:dyDescent="0.25">
      <c r="A14833" t="e">
        <v>#N/A</v>
      </c>
    </row>
    <row r="14834" spans="1:1" x14ac:dyDescent="0.25">
      <c r="A14834" t="e">
        <v>#N/A</v>
      </c>
    </row>
    <row r="14835" spans="1:1" x14ac:dyDescent="0.25">
      <c r="A14835" t="e">
        <v>#N/A</v>
      </c>
    </row>
    <row r="14836" spans="1:1" x14ac:dyDescent="0.25">
      <c r="A14836" t="e">
        <v>#N/A</v>
      </c>
    </row>
    <row r="14837" spans="1:1" x14ac:dyDescent="0.25">
      <c r="A14837" t="e">
        <v>#N/A</v>
      </c>
    </row>
    <row r="14838" spans="1:1" x14ac:dyDescent="0.25">
      <c r="A14838" t="e">
        <v>#N/A</v>
      </c>
    </row>
    <row r="14839" spans="1:1" x14ac:dyDescent="0.25">
      <c r="A14839" t="e">
        <v>#N/A</v>
      </c>
    </row>
    <row r="14840" spans="1:1" x14ac:dyDescent="0.25">
      <c r="A14840" t="e">
        <v>#N/A</v>
      </c>
    </row>
    <row r="14841" spans="1:1" x14ac:dyDescent="0.25">
      <c r="A14841" t="e">
        <v>#N/A</v>
      </c>
    </row>
    <row r="14842" spans="1:1" x14ac:dyDescent="0.25">
      <c r="A14842" t="e">
        <v>#N/A</v>
      </c>
    </row>
    <row r="14843" spans="1:1" x14ac:dyDescent="0.25">
      <c r="A14843" t="e">
        <v>#N/A</v>
      </c>
    </row>
    <row r="14844" spans="1:1" x14ac:dyDescent="0.25">
      <c r="A14844" t="e">
        <v>#N/A</v>
      </c>
    </row>
    <row r="14845" spans="1:1" x14ac:dyDescent="0.25">
      <c r="A14845" t="e">
        <v>#N/A</v>
      </c>
    </row>
    <row r="14846" spans="1:1" x14ac:dyDescent="0.25">
      <c r="A14846" t="e">
        <v>#N/A</v>
      </c>
    </row>
    <row r="14847" spans="1:1" x14ac:dyDescent="0.25">
      <c r="A14847" t="e">
        <v>#N/A</v>
      </c>
    </row>
    <row r="14848" spans="1:1" x14ac:dyDescent="0.25">
      <c r="A14848" t="e">
        <v>#N/A</v>
      </c>
    </row>
    <row r="14849" spans="1:1" x14ac:dyDescent="0.25">
      <c r="A14849" t="e">
        <v>#N/A</v>
      </c>
    </row>
    <row r="14850" spans="1:1" x14ac:dyDescent="0.25">
      <c r="A14850" t="e">
        <v>#N/A</v>
      </c>
    </row>
    <row r="14851" spans="1:1" x14ac:dyDescent="0.25">
      <c r="A14851" t="e">
        <v>#N/A</v>
      </c>
    </row>
    <row r="14852" spans="1:1" x14ac:dyDescent="0.25">
      <c r="A14852" t="e">
        <v>#N/A</v>
      </c>
    </row>
    <row r="14853" spans="1:1" x14ac:dyDescent="0.25">
      <c r="A14853" t="e">
        <v>#N/A</v>
      </c>
    </row>
    <row r="14854" spans="1:1" x14ac:dyDescent="0.25">
      <c r="A14854" t="e">
        <v>#N/A</v>
      </c>
    </row>
    <row r="14855" spans="1:1" x14ac:dyDescent="0.25">
      <c r="A14855" t="e">
        <v>#N/A</v>
      </c>
    </row>
    <row r="14856" spans="1:1" x14ac:dyDescent="0.25">
      <c r="A14856" t="e">
        <v>#N/A</v>
      </c>
    </row>
    <row r="14857" spans="1:1" x14ac:dyDescent="0.25">
      <c r="A14857" t="e">
        <v>#N/A</v>
      </c>
    </row>
    <row r="14858" spans="1:1" x14ac:dyDescent="0.25">
      <c r="A14858" t="e">
        <v>#N/A</v>
      </c>
    </row>
    <row r="14859" spans="1:1" x14ac:dyDescent="0.25">
      <c r="A14859" t="e">
        <v>#N/A</v>
      </c>
    </row>
    <row r="14860" spans="1:1" x14ac:dyDescent="0.25">
      <c r="A14860" t="e">
        <v>#N/A</v>
      </c>
    </row>
    <row r="14861" spans="1:1" x14ac:dyDescent="0.25">
      <c r="A14861" t="e">
        <v>#N/A</v>
      </c>
    </row>
    <row r="14862" spans="1:1" x14ac:dyDescent="0.25">
      <c r="A14862" t="e">
        <v>#N/A</v>
      </c>
    </row>
    <row r="14863" spans="1:1" x14ac:dyDescent="0.25">
      <c r="A14863" t="e">
        <v>#N/A</v>
      </c>
    </row>
    <row r="14864" spans="1:1" x14ac:dyDescent="0.25">
      <c r="A14864" t="e">
        <v>#N/A</v>
      </c>
    </row>
    <row r="14865" spans="1:1" x14ac:dyDescent="0.25">
      <c r="A14865" t="e">
        <v>#N/A</v>
      </c>
    </row>
    <row r="14866" spans="1:1" x14ac:dyDescent="0.25">
      <c r="A14866" t="e">
        <v>#N/A</v>
      </c>
    </row>
    <row r="14867" spans="1:1" x14ac:dyDescent="0.25">
      <c r="A14867" t="e">
        <v>#N/A</v>
      </c>
    </row>
    <row r="14868" spans="1:1" x14ac:dyDescent="0.25">
      <c r="A14868" t="e">
        <v>#N/A</v>
      </c>
    </row>
    <row r="14869" spans="1:1" x14ac:dyDescent="0.25">
      <c r="A14869" t="e">
        <v>#N/A</v>
      </c>
    </row>
    <row r="14870" spans="1:1" x14ac:dyDescent="0.25">
      <c r="A14870" t="e">
        <v>#N/A</v>
      </c>
    </row>
    <row r="14871" spans="1:1" x14ac:dyDescent="0.25">
      <c r="A14871" t="e">
        <v>#N/A</v>
      </c>
    </row>
    <row r="14872" spans="1:1" x14ac:dyDescent="0.25">
      <c r="A14872" t="e">
        <v>#N/A</v>
      </c>
    </row>
    <row r="14873" spans="1:1" x14ac:dyDescent="0.25">
      <c r="A14873" t="e">
        <v>#N/A</v>
      </c>
    </row>
    <row r="14874" spans="1:1" x14ac:dyDescent="0.25">
      <c r="A14874" t="e">
        <v>#N/A</v>
      </c>
    </row>
    <row r="14875" spans="1:1" x14ac:dyDescent="0.25">
      <c r="A14875" t="e">
        <v>#N/A</v>
      </c>
    </row>
    <row r="14876" spans="1:1" x14ac:dyDescent="0.25">
      <c r="A14876" t="e">
        <v>#N/A</v>
      </c>
    </row>
    <row r="14877" spans="1:1" x14ac:dyDescent="0.25">
      <c r="A14877" t="e">
        <v>#N/A</v>
      </c>
    </row>
    <row r="14878" spans="1:1" x14ac:dyDescent="0.25">
      <c r="A14878" t="e">
        <v>#N/A</v>
      </c>
    </row>
    <row r="14879" spans="1:1" x14ac:dyDescent="0.25">
      <c r="A14879" t="e">
        <v>#N/A</v>
      </c>
    </row>
    <row r="14880" spans="1:1" x14ac:dyDescent="0.25">
      <c r="A14880" t="e">
        <v>#N/A</v>
      </c>
    </row>
    <row r="14881" spans="1:1" x14ac:dyDescent="0.25">
      <c r="A14881" t="e">
        <v>#N/A</v>
      </c>
    </row>
    <row r="14882" spans="1:1" x14ac:dyDescent="0.25">
      <c r="A14882" t="e">
        <v>#N/A</v>
      </c>
    </row>
    <row r="14883" spans="1:1" x14ac:dyDescent="0.25">
      <c r="A14883" t="e">
        <v>#N/A</v>
      </c>
    </row>
    <row r="14884" spans="1:1" x14ac:dyDescent="0.25">
      <c r="A14884" t="e">
        <v>#N/A</v>
      </c>
    </row>
    <row r="14885" spans="1:1" x14ac:dyDescent="0.25">
      <c r="A14885" t="e">
        <v>#N/A</v>
      </c>
    </row>
    <row r="14886" spans="1:1" x14ac:dyDescent="0.25">
      <c r="A14886" t="e">
        <v>#N/A</v>
      </c>
    </row>
    <row r="14887" spans="1:1" x14ac:dyDescent="0.25">
      <c r="A14887" t="e">
        <v>#N/A</v>
      </c>
    </row>
    <row r="14888" spans="1:1" x14ac:dyDescent="0.25">
      <c r="A14888" t="e">
        <v>#N/A</v>
      </c>
    </row>
    <row r="14889" spans="1:1" x14ac:dyDescent="0.25">
      <c r="A14889" t="e">
        <v>#N/A</v>
      </c>
    </row>
    <row r="14890" spans="1:1" x14ac:dyDescent="0.25">
      <c r="A14890" t="e">
        <v>#N/A</v>
      </c>
    </row>
    <row r="14891" spans="1:1" x14ac:dyDescent="0.25">
      <c r="A14891" t="e">
        <v>#N/A</v>
      </c>
    </row>
    <row r="14892" spans="1:1" x14ac:dyDescent="0.25">
      <c r="A14892" t="e">
        <v>#N/A</v>
      </c>
    </row>
    <row r="14893" spans="1:1" x14ac:dyDescent="0.25">
      <c r="A14893" t="e">
        <v>#N/A</v>
      </c>
    </row>
    <row r="14894" spans="1:1" x14ac:dyDescent="0.25">
      <c r="A14894" t="e">
        <v>#N/A</v>
      </c>
    </row>
    <row r="14895" spans="1:1" x14ac:dyDescent="0.25">
      <c r="A14895" t="e">
        <v>#N/A</v>
      </c>
    </row>
    <row r="14896" spans="1:1" x14ac:dyDescent="0.25">
      <c r="A14896" t="e">
        <v>#N/A</v>
      </c>
    </row>
    <row r="14897" spans="1:1" x14ac:dyDescent="0.25">
      <c r="A14897" t="e">
        <v>#N/A</v>
      </c>
    </row>
    <row r="14898" spans="1:1" x14ac:dyDescent="0.25">
      <c r="A14898" t="e">
        <v>#N/A</v>
      </c>
    </row>
    <row r="14899" spans="1:1" x14ac:dyDescent="0.25">
      <c r="A14899" t="e">
        <v>#N/A</v>
      </c>
    </row>
    <row r="14900" spans="1:1" x14ac:dyDescent="0.25">
      <c r="A14900" t="e">
        <v>#N/A</v>
      </c>
    </row>
    <row r="14901" spans="1:1" x14ac:dyDescent="0.25">
      <c r="A14901" t="e">
        <v>#N/A</v>
      </c>
    </row>
    <row r="14902" spans="1:1" x14ac:dyDescent="0.25">
      <c r="A14902" t="e">
        <v>#N/A</v>
      </c>
    </row>
    <row r="14903" spans="1:1" x14ac:dyDescent="0.25">
      <c r="A14903" t="e">
        <v>#N/A</v>
      </c>
    </row>
    <row r="14904" spans="1:1" x14ac:dyDescent="0.25">
      <c r="A14904" t="e">
        <v>#N/A</v>
      </c>
    </row>
    <row r="14905" spans="1:1" x14ac:dyDescent="0.25">
      <c r="A14905" t="e">
        <v>#N/A</v>
      </c>
    </row>
    <row r="14906" spans="1:1" x14ac:dyDescent="0.25">
      <c r="A14906" t="e">
        <v>#N/A</v>
      </c>
    </row>
    <row r="14907" spans="1:1" x14ac:dyDescent="0.25">
      <c r="A14907" t="e">
        <v>#N/A</v>
      </c>
    </row>
    <row r="14908" spans="1:1" x14ac:dyDescent="0.25">
      <c r="A14908" t="e">
        <v>#N/A</v>
      </c>
    </row>
    <row r="14909" spans="1:1" x14ac:dyDescent="0.25">
      <c r="A14909" t="e">
        <v>#N/A</v>
      </c>
    </row>
    <row r="14910" spans="1:1" x14ac:dyDescent="0.25">
      <c r="A14910" t="e">
        <v>#N/A</v>
      </c>
    </row>
    <row r="14911" spans="1:1" x14ac:dyDescent="0.25">
      <c r="A14911" t="e">
        <v>#N/A</v>
      </c>
    </row>
    <row r="14912" spans="1:1" x14ac:dyDescent="0.25">
      <c r="A14912" t="e">
        <v>#N/A</v>
      </c>
    </row>
    <row r="14913" spans="1:1" x14ac:dyDescent="0.25">
      <c r="A14913" t="e">
        <v>#N/A</v>
      </c>
    </row>
    <row r="14914" spans="1:1" x14ac:dyDescent="0.25">
      <c r="A14914" t="e">
        <v>#N/A</v>
      </c>
    </row>
    <row r="14915" spans="1:1" x14ac:dyDescent="0.25">
      <c r="A14915" t="e">
        <v>#N/A</v>
      </c>
    </row>
    <row r="14916" spans="1:1" x14ac:dyDescent="0.25">
      <c r="A14916" t="e">
        <v>#N/A</v>
      </c>
    </row>
    <row r="14917" spans="1:1" x14ac:dyDescent="0.25">
      <c r="A14917" t="e">
        <v>#N/A</v>
      </c>
    </row>
    <row r="14918" spans="1:1" x14ac:dyDescent="0.25">
      <c r="A14918" t="e">
        <v>#N/A</v>
      </c>
    </row>
    <row r="14919" spans="1:1" x14ac:dyDescent="0.25">
      <c r="A14919" t="e">
        <v>#N/A</v>
      </c>
    </row>
    <row r="14920" spans="1:1" x14ac:dyDescent="0.25">
      <c r="A14920" t="e">
        <v>#N/A</v>
      </c>
    </row>
    <row r="14921" spans="1:1" x14ac:dyDescent="0.25">
      <c r="A14921" t="e">
        <v>#N/A</v>
      </c>
    </row>
    <row r="14922" spans="1:1" x14ac:dyDescent="0.25">
      <c r="A14922" t="e">
        <v>#N/A</v>
      </c>
    </row>
    <row r="14923" spans="1:1" x14ac:dyDescent="0.25">
      <c r="A14923" t="e">
        <v>#N/A</v>
      </c>
    </row>
    <row r="14924" spans="1:1" x14ac:dyDescent="0.25">
      <c r="A14924" t="e">
        <v>#N/A</v>
      </c>
    </row>
    <row r="14925" spans="1:1" x14ac:dyDescent="0.25">
      <c r="A14925" t="e">
        <v>#N/A</v>
      </c>
    </row>
    <row r="14926" spans="1:1" x14ac:dyDescent="0.25">
      <c r="A14926" t="e">
        <v>#N/A</v>
      </c>
    </row>
    <row r="14927" spans="1:1" x14ac:dyDescent="0.25">
      <c r="A14927" t="e">
        <v>#N/A</v>
      </c>
    </row>
    <row r="14928" spans="1:1" x14ac:dyDescent="0.25">
      <c r="A14928" t="e">
        <v>#N/A</v>
      </c>
    </row>
    <row r="14929" spans="1:1" x14ac:dyDescent="0.25">
      <c r="A14929" t="e">
        <v>#N/A</v>
      </c>
    </row>
    <row r="14930" spans="1:1" x14ac:dyDescent="0.25">
      <c r="A14930" t="e">
        <v>#N/A</v>
      </c>
    </row>
    <row r="14931" spans="1:1" x14ac:dyDescent="0.25">
      <c r="A14931" t="e">
        <v>#N/A</v>
      </c>
    </row>
    <row r="14932" spans="1:1" x14ac:dyDescent="0.25">
      <c r="A14932" t="e">
        <v>#N/A</v>
      </c>
    </row>
    <row r="14933" spans="1:1" x14ac:dyDescent="0.25">
      <c r="A14933" t="e">
        <v>#N/A</v>
      </c>
    </row>
    <row r="14934" spans="1:1" x14ac:dyDescent="0.25">
      <c r="A14934" t="e">
        <v>#N/A</v>
      </c>
    </row>
    <row r="14935" spans="1:1" x14ac:dyDescent="0.25">
      <c r="A14935" t="e">
        <v>#N/A</v>
      </c>
    </row>
    <row r="14936" spans="1:1" x14ac:dyDescent="0.25">
      <c r="A14936" t="e">
        <v>#N/A</v>
      </c>
    </row>
    <row r="14937" spans="1:1" x14ac:dyDescent="0.25">
      <c r="A14937" t="e">
        <v>#N/A</v>
      </c>
    </row>
    <row r="14938" spans="1:1" x14ac:dyDescent="0.25">
      <c r="A14938" t="e">
        <v>#N/A</v>
      </c>
    </row>
    <row r="14939" spans="1:1" x14ac:dyDescent="0.25">
      <c r="A14939" t="e">
        <v>#N/A</v>
      </c>
    </row>
    <row r="14940" spans="1:1" x14ac:dyDescent="0.25">
      <c r="A14940" t="e">
        <v>#N/A</v>
      </c>
    </row>
    <row r="14941" spans="1:1" x14ac:dyDescent="0.25">
      <c r="A14941" t="e">
        <v>#N/A</v>
      </c>
    </row>
    <row r="14942" spans="1:1" x14ac:dyDescent="0.25">
      <c r="A14942" t="e">
        <v>#N/A</v>
      </c>
    </row>
    <row r="14943" spans="1:1" x14ac:dyDescent="0.25">
      <c r="A14943" t="e">
        <v>#N/A</v>
      </c>
    </row>
    <row r="14944" spans="1:1" x14ac:dyDescent="0.25">
      <c r="A14944" t="e">
        <v>#N/A</v>
      </c>
    </row>
    <row r="14945" spans="1:1" x14ac:dyDescent="0.25">
      <c r="A14945" t="e">
        <v>#N/A</v>
      </c>
    </row>
    <row r="14946" spans="1:1" x14ac:dyDescent="0.25">
      <c r="A14946" t="e">
        <v>#N/A</v>
      </c>
    </row>
    <row r="14947" spans="1:1" x14ac:dyDescent="0.25">
      <c r="A14947" t="e">
        <v>#N/A</v>
      </c>
    </row>
    <row r="14948" spans="1:1" x14ac:dyDescent="0.25">
      <c r="A14948" t="e">
        <v>#N/A</v>
      </c>
    </row>
    <row r="14949" spans="1:1" x14ac:dyDescent="0.25">
      <c r="A14949" t="e">
        <v>#N/A</v>
      </c>
    </row>
    <row r="14950" spans="1:1" x14ac:dyDescent="0.25">
      <c r="A14950" t="e">
        <v>#N/A</v>
      </c>
    </row>
    <row r="14951" spans="1:1" x14ac:dyDescent="0.25">
      <c r="A14951" t="e">
        <v>#N/A</v>
      </c>
    </row>
    <row r="14952" spans="1:1" x14ac:dyDescent="0.25">
      <c r="A14952" t="e">
        <v>#N/A</v>
      </c>
    </row>
    <row r="14953" spans="1:1" x14ac:dyDescent="0.25">
      <c r="A14953" t="e">
        <v>#N/A</v>
      </c>
    </row>
    <row r="14954" spans="1:1" x14ac:dyDescent="0.25">
      <c r="A14954" t="e">
        <v>#N/A</v>
      </c>
    </row>
    <row r="14955" spans="1:1" x14ac:dyDescent="0.25">
      <c r="A14955" t="e">
        <v>#N/A</v>
      </c>
    </row>
    <row r="14956" spans="1:1" x14ac:dyDescent="0.25">
      <c r="A14956" t="e">
        <v>#N/A</v>
      </c>
    </row>
    <row r="14957" spans="1:1" x14ac:dyDescent="0.25">
      <c r="A14957" t="e">
        <v>#N/A</v>
      </c>
    </row>
    <row r="14958" spans="1:1" x14ac:dyDescent="0.25">
      <c r="A14958" t="e">
        <v>#N/A</v>
      </c>
    </row>
    <row r="14959" spans="1:1" x14ac:dyDescent="0.25">
      <c r="A14959" t="e">
        <v>#N/A</v>
      </c>
    </row>
    <row r="14960" spans="1:1" x14ac:dyDescent="0.25">
      <c r="A14960" t="e">
        <v>#N/A</v>
      </c>
    </row>
    <row r="14961" spans="1:1" x14ac:dyDescent="0.25">
      <c r="A14961" t="e">
        <v>#N/A</v>
      </c>
    </row>
    <row r="14962" spans="1:1" x14ac:dyDescent="0.25">
      <c r="A14962" t="e">
        <v>#N/A</v>
      </c>
    </row>
    <row r="14963" spans="1:1" x14ac:dyDescent="0.25">
      <c r="A14963" t="e">
        <v>#N/A</v>
      </c>
    </row>
    <row r="14964" spans="1:1" x14ac:dyDescent="0.25">
      <c r="A14964" t="e">
        <v>#N/A</v>
      </c>
    </row>
    <row r="14965" spans="1:1" x14ac:dyDescent="0.25">
      <c r="A14965" t="e">
        <v>#N/A</v>
      </c>
    </row>
    <row r="14966" spans="1:1" x14ac:dyDescent="0.25">
      <c r="A14966" t="e">
        <v>#N/A</v>
      </c>
    </row>
    <row r="14967" spans="1:1" x14ac:dyDescent="0.25">
      <c r="A14967" t="e">
        <v>#N/A</v>
      </c>
    </row>
    <row r="14968" spans="1:1" x14ac:dyDescent="0.25">
      <c r="A14968" t="e">
        <v>#N/A</v>
      </c>
    </row>
    <row r="14969" spans="1:1" x14ac:dyDescent="0.25">
      <c r="A14969" t="e">
        <v>#N/A</v>
      </c>
    </row>
    <row r="14970" spans="1:1" x14ac:dyDescent="0.25">
      <c r="A14970" t="e">
        <v>#N/A</v>
      </c>
    </row>
    <row r="14971" spans="1:1" x14ac:dyDescent="0.25">
      <c r="A14971" t="e">
        <v>#N/A</v>
      </c>
    </row>
    <row r="14972" spans="1:1" x14ac:dyDescent="0.25">
      <c r="A14972" t="e">
        <v>#N/A</v>
      </c>
    </row>
    <row r="14973" spans="1:1" x14ac:dyDescent="0.25">
      <c r="A14973" t="e">
        <v>#N/A</v>
      </c>
    </row>
    <row r="14974" spans="1:1" x14ac:dyDescent="0.25">
      <c r="A14974" t="e">
        <v>#N/A</v>
      </c>
    </row>
    <row r="14975" spans="1:1" x14ac:dyDescent="0.25">
      <c r="A14975" t="e">
        <v>#N/A</v>
      </c>
    </row>
    <row r="14976" spans="1:1" x14ac:dyDescent="0.25">
      <c r="A14976" t="e">
        <v>#N/A</v>
      </c>
    </row>
    <row r="14977" spans="1:1" x14ac:dyDescent="0.25">
      <c r="A14977" t="e">
        <v>#N/A</v>
      </c>
    </row>
    <row r="14978" spans="1:1" x14ac:dyDescent="0.25">
      <c r="A14978" t="e">
        <v>#N/A</v>
      </c>
    </row>
    <row r="14979" spans="1:1" x14ac:dyDescent="0.25">
      <c r="A14979" t="e">
        <v>#N/A</v>
      </c>
    </row>
    <row r="14980" spans="1:1" x14ac:dyDescent="0.25">
      <c r="A14980" t="e">
        <v>#N/A</v>
      </c>
    </row>
    <row r="14981" spans="1:1" x14ac:dyDescent="0.25">
      <c r="A14981" t="e">
        <v>#N/A</v>
      </c>
    </row>
    <row r="14982" spans="1:1" x14ac:dyDescent="0.25">
      <c r="A14982" t="e">
        <v>#N/A</v>
      </c>
    </row>
    <row r="14983" spans="1:1" x14ac:dyDescent="0.25">
      <c r="A14983" t="e">
        <v>#N/A</v>
      </c>
    </row>
    <row r="14984" spans="1:1" x14ac:dyDescent="0.25">
      <c r="A14984" t="e">
        <v>#N/A</v>
      </c>
    </row>
    <row r="14985" spans="1:1" x14ac:dyDescent="0.25">
      <c r="A14985" t="e">
        <v>#N/A</v>
      </c>
    </row>
    <row r="14986" spans="1:1" x14ac:dyDescent="0.25">
      <c r="A14986" t="e">
        <v>#N/A</v>
      </c>
    </row>
    <row r="14987" spans="1:1" x14ac:dyDescent="0.25">
      <c r="A14987" t="e">
        <v>#N/A</v>
      </c>
    </row>
    <row r="14988" spans="1:1" x14ac:dyDescent="0.25">
      <c r="A14988" t="e">
        <v>#N/A</v>
      </c>
    </row>
    <row r="14989" spans="1:1" x14ac:dyDescent="0.25">
      <c r="A14989" t="e">
        <v>#N/A</v>
      </c>
    </row>
    <row r="14990" spans="1:1" x14ac:dyDescent="0.25">
      <c r="A14990" t="e">
        <v>#N/A</v>
      </c>
    </row>
    <row r="14991" spans="1:1" x14ac:dyDescent="0.25">
      <c r="A14991" t="e">
        <v>#N/A</v>
      </c>
    </row>
    <row r="14992" spans="1:1" x14ac:dyDescent="0.25">
      <c r="A14992" t="e">
        <v>#N/A</v>
      </c>
    </row>
    <row r="14993" spans="1:1" x14ac:dyDescent="0.25">
      <c r="A14993" t="e">
        <v>#N/A</v>
      </c>
    </row>
    <row r="14994" spans="1:1" x14ac:dyDescent="0.25">
      <c r="A14994" t="e">
        <v>#N/A</v>
      </c>
    </row>
    <row r="14995" spans="1:1" x14ac:dyDescent="0.25">
      <c r="A14995" t="e">
        <v>#N/A</v>
      </c>
    </row>
    <row r="14996" spans="1:1" x14ac:dyDescent="0.25">
      <c r="A14996" t="e">
        <v>#N/A</v>
      </c>
    </row>
    <row r="14997" spans="1:1" x14ac:dyDescent="0.25">
      <c r="A14997" t="e">
        <v>#N/A</v>
      </c>
    </row>
    <row r="14998" spans="1:1" x14ac:dyDescent="0.25">
      <c r="A14998" t="e">
        <v>#N/A</v>
      </c>
    </row>
    <row r="14999" spans="1:1" x14ac:dyDescent="0.25">
      <c r="A14999" t="e">
        <v>#N/A</v>
      </c>
    </row>
    <row r="15000" spans="1:1" x14ac:dyDescent="0.25">
      <c r="A15000" t="e">
        <v>#N/A</v>
      </c>
    </row>
    <row r="15001" spans="1:1" x14ac:dyDescent="0.25">
      <c r="A15001" t="e">
        <v>#N/A</v>
      </c>
    </row>
    <row r="15002" spans="1:1" x14ac:dyDescent="0.25">
      <c r="A15002" t="e">
        <v>#N/A</v>
      </c>
    </row>
    <row r="15003" spans="1:1" x14ac:dyDescent="0.25">
      <c r="A15003" t="e">
        <v>#N/A</v>
      </c>
    </row>
    <row r="15004" spans="1:1" x14ac:dyDescent="0.25">
      <c r="A15004" t="e">
        <v>#N/A</v>
      </c>
    </row>
    <row r="15005" spans="1:1" x14ac:dyDescent="0.25">
      <c r="A15005" t="e">
        <v>#N/A</v>
      </c>
    </row>
    <row r="15006" spans="1:1" x14ac:dyDescent="0.25">
      <c r="A15006" t="e">
        <v>#N/A</v>
      </c>
    </row>
    <row r="15007" spans="1:1" x14ac:dyDescent="0.25">
      <c r="A15007" t="e">
        <v>#N/A</v>
      </c>
    </row>
    <row r="15008" spans="1:1" x14ac:dyDescent="0.25">
      <c r="A15008" t="e">
        <v>#N/A</v>
      </c>
    </row>
    <row r="15009" spans="1:1" x14ac:dyDescent="0.25">
      <c r="A15009" t="e">
        <v>#N/A</v>
      </c>
    </row>
    <row r="15010" spans="1:1" x14ac:dyDescent="0.25">
      <c r="A15010" t="e">
        <v>#N/A</v>
      </c>
    </row>
    <row r="15011" spans="1:1" x14ac:dyDescent="0.25">
      <c r="A15011" t="e">
        <v>#N/A</v>
      </c>
    </row>
    <row r="15012" spans="1:1" x14ac:dyDescent="0.25">
      <c r="A15012" t="e">
        <v>#N/A</v>
      </c>
    </row>
    <row r="15013" spans="1:1" x14ac:dyDescent="0.25">
      <c r="A15013" t="e">
        <v>#N/A</v>
      </c>
    </row>
    <row r="15014" spans="1:1" x14ac:dyDescent="0.25">
      <c r="A15014" t="e">
        <v>#N/A</v>
      </c>
    </row>
    <row r="15015" spans="1:1" x14ac:dyDescent="0.25">
      <c r="A15015" t="e">
        <v>#N/A</v>
      </c>
    </row>
    <row r="15016" spans="1:1" x14ac:dyDescent="0.25">
      <c r="A15016" t="e">
        <v>#N/A</v>
      </c>
    </row>
    <row r="15017" spans="1:1" x14ac:dyDescent="0.25">
      <c r="A15017" t="e">
        <v>#N/A</v>
      </c>
    </row>
    <row r="15018" spans="1:1" x14ac:dyDescent="0.25">
      <c r="A15018" t="e">
        <v>#N/A</v>
      </c>
    </row>
    <row r="15019" spans="1:1" x14ac:dyDescent="0.25">
      <c r="A15019" t="e">
        <v>#N/A</v>
      </c>
    </row>
    <row r="15020" spans="1:1" x14ac:dyDescent="0.25">
      <c r="A15020" t="e">
        <v>#N/A</v>
      </c>
    </row>
    <row r="15021" spans="1:1" x14ac:dyDescent="0.25">
      <c r="A15021" t="e">
        <v>#N/A</v>
      </c>
    </row>
    <row r="15022" spans="1:1" x14ac:dyDescent="0.25">
      <c r="A15022" t="e">
        <v>#N/A</v>
      </c>
    </row>
    <row r="15023" spans="1:1" x14ac:dyDescent="0.25">
      <c r="A15023" t="e">
        <v>#N/A</v>
      </c>
    </row>
    <row r="15024" spans="1:1" x14ac:dyDescent="0.25">
      <c r="A15024" t="e">
        <v>#N/A</v>
      </c>
    </row>
    <row r="15025" spans="1:1" x14ac:dyDescent="0.25">
      <c r="A15025" t="e">
        <v>#N/A</v>
      </c>
    </row>
    <row r="15026" spans="1:1" x14ac:dyDescent="0.25">
      <c r="A15026" t="e">
        <v>#N/A</v>
      </c>
    </row>
    <row r="15027" spans="1:1" x14ac:dyDescent="0.25">
      <c r="A15027" t="e">
        <v>#N/A</v>
      </c>
    </row>
    <row r="15028" spans="1:1" x14ac:dyDescent="0.25">
      <c r="A15028" t="e">
        <v>#N/A</v>
      </c>
    </row>
    <row r="15029" spans="1:1" x14ac:dyDescent="0.25">
      <c r="A15029" t="e">
        <v>#N/A</v>
      </c>
    </row>
    <row r="15030" spans="1:1" x14ac:dyDescent="0.25">
      <c r="A15030" t="e">
        <v>#N/A</v>
      </c>
    </row>
    <row r="15031" spans="1:1" x14ac:dyDescent="0.25">
      <c r="A15031" t="e">
        <v>#N/A</v>
      </c>
    </row>
    <row r="15032" spans="1:1" x14ac:dyDescent="0.25">
      <c r="A15032" t="e">
        <v>#N/A</v>
      </c>
    </row>
    <row r="15033" spans="1:1" x14ac:dyDescent="0.25">
      <c r="A15033" t="e">
        <v>#N/A</v>
      </c>
    </row>
    <row r="15034" spans="1:1" x14ac:dyDescent="0.25">
      <c r="A15034" t="e">
        <v>#N/A</v>
      </c>
    </row>
    <row r="15035" spans="1:1" x14ac:dyDescent="0.25">
      <c r="A15035" t="e">
        <v>#N/A</v>
      </c>
    </row>
    <row r="15036" spans="1:1" x14ac:dyDescent="0.25">
      <c r="A15036" t="e">
        <v>#N/A</v>
      </c>
    </row>
    <row r="15037" spans="1:1" x14ac:dyDescent="0.25">
      <c r="A15037" t="e">
        <v>#N/A</v>
      </c>
    </row>
    <row r="15038" spans="1:1" x14ac:dyDescent="0.25">
      <c r="A15038" t="e">
        <v>#N/A</v>
      </c>
    </row>
    <row r="15039" spans="1:1" x14ac:dyDescent="0.25">
      <c r="A15039" t="e">
        <v>#N/A</v>
      </c>
    </row>
    <row r="15040" spans="1:1" x14ac:dyDescent="0.25">
      <c r="A15040" t="e">
        <v>#N/A</v>
      </c>
    </row>
    <row r="15041" spans="1:1" x14ac:dyDescent="0.25">
      <c r="A15041" t="e">
        <v>#N/A</v>
      </c>
    </row>
    <row r="15042" spans="1:1" x14ac:dyDescent="0.25">
      <c r="A15042" t="e">
        <v>#N/A</v>
      </c>
    </row>
    <row r="15043" spans="1:1" x14ac:dyDescent="0.25">
      <c r="A15043" t="e">
        <v>#N/A</v>
      </c>
    </row>
    <row r="15044" spans="1:1" x14ac:dyDescent="0.25">
      <c r="A15044" t="e">
        <v>#N/A</v>
      </c>
    </row>
    <row r="15045" spans="1:1" x14ac:dyDescent="0.25">
      <c r="A15045" t="e">
        <v>#N/A</v>
      </c>
    </row>
    <row r="15046" spans="1:1" x14ac:dyDescent="0.25">
      <c r="A15046" t="e">
        <v>#N/A</v>
      </c>
    </row>
    <row r="15047" spans="1:1" x14ac:dyDescent="0.25">
      <c r="A15047" t="e">
        <v>#N/A</v>
      </c>
    </row>
    <row r="15048" spans="1:1" x14ac:dyDescent="0.25">
      <c r="A15048" t="e">
        <v>#N/A</v>
      </c>
    </row>
    <row r="15049" spans="1:1" x14ac:dyDescent="0.25">
      <c r="A15049" t="e">
        <v>#N/A</v>
      </c>
    </row>
    <row r="15050" spans="1:1" x14ac:dyDescent="0.25">
      <c r="A15050" t="e">
        <v>#N/A</v>
      </c>
    </row>
    <row r="15051" spans="1:1" x14ac:dyDescent="0.25">
      <c r="A15051" t="e">
        <v>#N/A</v>
      </c>
    </row>
    <row r="15052" spans="1:1" x14ac:dyDescent="0.25">
      <c r="A15052" t="e">
        <v>#N/A</v>
      </c>
    </row>
    <row r="15053" spans="1:1" x14ac:dyDescent="0.25">
      <c r="A15053" t="e">
        <v>#N/A</v>
      </c>
    </row>
    <row r="15054" spans="1:1" x14ac:dyDescent="0.25">
      <c r="A15054" t="e">
        <v>#N/A</v>
      </c>
    </row>
    <row r="15055" spans="1:1" x14ac:dyDescent="0.25">
      <c r="A15055" t="e">
        <v>#N/A</v>
      </c>
    </row>
    <row r="15056" spans="1:1" x14ac:dyDescent="0.25">
      <c r="A15056" t="e">
        <v>#N/A</v>
      </c>
    </row>
    <row r="15057" spans="1:1" x14ac:dyDescent="0.25">
      <c r="A15057" t="e">
        <v>#N/A</v>
      </c>
    </row>
    <row r="15058" spans="1:1" x14ac:dyDescent="0.25">
      <c r="A15058" t="e">
        <v>#N/A</v>
      </c>
    </row>
    <row r="15059" spans="1:1" x14ac:dyDescent="0.25">
      <c r="A15059" t="e">
        <v>#N/A</v>
      </c>
    </row>
    <row r="15060" spans="1:1" x14ac:dyDescent="0.25">
      <c r="A15060" t="e">
        <v>#N/A</v>
      </c>
    </row>
    <row r="15061" spans="1:1" x14ac:dyDescent="0.25">
      <c r="A15061" t="e">
        <v>#N/A</v>
      </c>
    </row>
    <row r="15062" spans="1:1" x14ac:dyDescent="0.25">
      <c r="A15062" t="e">
        <v>#N/A</v>
      </c>
    </row>
    <row r="15063" spans="1:1" x14ac:dyDescent="0.25">
      <c r="A15063" t="e">
        <v>#N/A</v>
      </c>
    </row>
    <row r="15064" spans="1:1" x14ac:dyDescent="0.25">
      <c r="A15064" t="e">
        <v>#N/A</v>
      </c>
    </row>
    <row r="15065" spans="1:1" x14ac:dyDescent="0.25">
      <c r="A15065" t="e">
        <v>#N/A</v>
      </c>
    </row>
    <row r="15066" spans="1:1" x14ac:dyDescent="0.25">
      <c r="A15066" t="e">
        <v>#N/A</v>
      </c>
    </row>
    <row r="15067" spans="1:1" x14ac:dyDescent="0.25">
      <c r="A15067" t="e">
        <v>#N/A</v>
      </c>
    </row>
    <row r="15068" spans="1:1" x14ac:dyDescent="0.25">
      <c r="A15068" t="e">
        <v>#N/A</v>
      </c>
    </row>
    <row r="15069" spans="1:1" x14ac:dyDescent="0.25">
      <c r="A15069" t="e">
        <v>#N/A</v>
      </c>
    </row>
    <row r="15070" spans="1:1" x14ac:dyDescent="0.25">
      <c r="A15070" t="e">
        <v>#N/A</v>
      </c>
    </row>
    <row r="15071" spans="1:1" x14ac:dyDescent="0.25">
      <c r="A15071" t="e">
        <v>#N/A</v>
      </c>
    </row>
    <row r="15072" spans="1:1" x14ac:dyDescent="0.25">
      <c r="A15072" t="e">
        <v>#N/A</v>
      </c>
    </row>
    <row r="15073" spans="1:1" x14ac:dyDescent="0.25">
      <c r="A15073" t="e">
        <v>#N/A</v>
      </c>
    </row>
    <row r="15074" spans="1:1" x14ac:dyDescent="0.25">
      <c r="A15074" t="e">
        <v>#N/A</v>
      </c>
    </row>
    <row r="15075" spans="1:1" x14ac:dyDescent="0.25">
      <c r="A15075" t="e">
        <v>#N/A</v>
      </c>
    </row>
    <row r="15076" spans="1:1" x14ac:dyDescent="0.25">
      <c r="A15076" t="e">
        <v>#N/A</v>
      </c>
    </row>
    <row r="15077" spans="1:1" x14ac:dyDescent="0.25">
      <c r="A15077" t="e">
        <v>#N/A</v>
      </c>
    </row>
    <row r="15078" spans="1:1" x14ac:dyDescent="0.25">
      <c r="A15078" t="e">
        <v>#N/A</v>
      </c>
    </row>
    <row r="15079" spans="1:1" x14ac:dyDescent="0.25">
      <c r="A15079" t="e">
        <v>#N/A</v>
      </c>
    </row>
    <row r="15080" spans="1:1" x14ac:dyDescent="0.25">
      <c r="A15080" t="e">
        <v>#N/A</v>
      </c>
    </row>
    <row r="15081" spans="1:1" x14ac:dyDescent="0.25">
      <c r="A15081" t="e">
        <v>#N/A</v>
      </c>
    </row>
    <row r="15082" spans="1:1" x14ac:dyDescent="0.25">
      <c r="A15082" t="e">
        <v>#N/A</v>
      </c>
    </row>
    <row r="15083" spans="1:1" x14ac:dyDescent="0.25">
      <c r="A15083" t="e">
        <v>#N/A</v>
      </c>
    </row>
    <row r="15084" spans="1:1" x14ac:dyDescent="0.25">
      <c r="A15084" t="e">
        <v>#N/A</v>
      </c>
    </row>
    <row r="15085" spans="1:1" x14ac:dyDescent="0.25">
      <c r="A15085" t="e">
        <v>#N/A</v>
      </c>
    </row>
    <row r="15086" spans="1:1" x14ac:dyDescent="0.25">
      <c r="A15086" t="e">
        <v>#N/A</v>
      </c>
    </row>
    <row r="15087" spans="1:1" x14ac:dyDescent="0.25">
      <c r="A15087" t="e">
        <v>#N/A</v>
      </c>
    </row>
    <row r="15088" spans="1:1" x14ac:dyDescent="0.25">
      <c r="A15088" t="e">
        <v>#N/A</v>
      </c>
    </row>
    <row r="15089" spans="1:1" x14ac:dyDescent="0.25">
      <c r="A15089" t="e">
        <v>#N/A</v>
      </c>
    </row>
    <row r="15090" spans="1:1" x14ac:dyDescent="0.25">
      <c r="A15090" t="e">
        <v>#N/A</v>
      </c>
    </row>
    <row r="15091" spans="1:1" x14ac:dyDescent="0.25">
      <c r="A15091" t="e">
        <v>#N/A</v>
      </c>
    </row>
    <row r="15092" spans="1:1" x14ac:dyDescent="0.25">
      <c r="A15092" t="e">
        <v>#N/A</v>
      </c>
    </row>
    <row r="15093" spans="1:1" x14ac:dyDescent="0.25">
      <c r="A15093" t="e">
        <v>#N/A</v>
      </c>
    </row>
    <row r="15094" spans="1:1" x14ac:dyDescent="0.25">
      <c r="A15094" t="e">
        <v>#N/A</v>
      </c>
    </row>
    <row r="15095" spans="1:1" x14ac:dyDescent="0.25">
      <c r="A15095" t="e">
        <v>#N/A</v>
      </c>
    </row>
    <row r="15096" spans="1:1" x14ac:dyDescent="0.25">
      <c r="A15096" t="e">
        <v>#N/A</v>
      </c>
    </row>
    <row r="15097" spans="1:1" x14ac:dyDescent="0.25">
      <c r="A15097" t="e">
        <v>#N/A</v>
      </c>
    </row>
    <row r="15098" spans="1:1" x14ac:dyDescent="0.25">
      <c r="A15098" t="e">
        <v>#N/A</v>
      </c>
    </row>
    <row r="15099" spans="1:1" x14ac:dyDescent="0.25">
      <c r="A15099" t="e">
        <v>#N/A</v>
      </c>
    </row>
    <row r="15100" spans="1:1" x14ac:dyDescent="0.25">
      <c r="A15100" t="e">
        <v>#N/A</v>
      </c>
    </row>
    <row r="15101" spans="1:1" x14ac:dyDescent="0.25">
      <c r="A15101" t="e">
        <v>#N/A</v>
      </c>
    </row>
    <row r="15102" spans="1:1" x14ac:dyDescent="0.25">
      <c r="A15102" t="e">
        <v>#N/A</v>
      </c>
    </row>
    <row r="15103" spans="1:1" x14ac:dyDescent="0.25">
      <c r="A15103" t="e">
        <v>#N/A</v>
      </c>
    </row>
    <row r="15104" spans="1:1" x14ac:dyDescent="0.25">
      <c r="A15104" t="e">
        <v>#N/A</v>
      </c>
    </row>
    <row r="15105" spans="1:1" x14ac:dyDescent="0.25">
      <c r="A15105" t="e">
        <v>#N/A</v>
      </c>
    </row>
    <row r="15106" spans="1:1" x14ac:dyDescent="0.25">
      <c r="A15106" t="e">
        <v>#N/A</v>
      </c>
    </row>
    <row r="15107" spans="1:1" x14ac:dyDescent="0.25">
      <c r="A15107" t="e">
        <v>#N/A</v>
      </c>
    </row>
    <row r="15108" spans="1:1" x14ac:dyDescent="0.25">
      <c r="A15108" t="e">
        <v>#N/A</v>
      </c>
    </row>
    <row r="15109" spans="1:1" x14ac:dyDescent="0.25">
      <c r="A15109" t="e">
        <v>#N/A</v>
      </c>
    </row>
    <row r="15110" spans="1:1" x14ac:dyDescent="0.25">
      <c r="A15110" t="e">
        <v>#N/A</v>
      </c>
    </row>
    <row r="15111" spans="1:1" x14ac:dyDescent="0.25">
      <c r="A15111" t="e">
        <v>#N/A</v>
      </c>
    </row>
    <row r="15112" spans="1:1" x14ac:dyDescent="0.25">
      <c r="A15112" t="e">
        <v>#N/A</v>
      </c>
    </row>
    <row r="15113" spans="1:1" x14ac:dyDescent="0.25">
      <c r="A15113" t="e">
        <v>#N/A</v>
      </c>
    </row>
    <row r="15114" spans="1:1" x14ac:dyDescent="0.25">
      <c r="A15114" t="e">
        <v>#N/A</v>
      </c>
    </row>
    <row r="15115" spans="1:1" x14ac:dyDescent="0.25">
      <c r="A15115" t="e">
        <v>#N/A</v>
      </c>
    </row>
    <row r="15116" spans="1:1" x14ac:dyDescent="0.25">
      <c r="A15116" t="e">
        <v>#N/A</v>
      </c>
    </row>
    <row r="15117" spans="1:1" x14ac:dyDescent="0.25">
      <c r="A15117" t="e">
        <v>#N/A</v>
      </c>
    </row>
    <row r="15118" spans="1:1" x14ac:dyDescent="0.25">
      <c r="A15118" t="e">
        <v>#N/A</v>
      </c>
    </row>
    <row r="15119" spans="1:1" x14ac:dyDescent="0.25">
      <c r="A15119" t="e">
        <v>#N/A</v>
      </c>
    </row>
    <row r="15120" spans="1:1" x14ac:dyDescent="0.25">
      <c r="A15120" t="e">
        <v>#N/A</v>
      </c>
    </row>
    <row r="15121" spans="1:1" x14ac:dyDescent="0.25">
      <c r="A15121" t="e">
        <v>#N/A</v>
      </c>
    </row>
    <row r="15122" spans="1:1" x14ac:dyDescent="0.25">
      <c r="A15122" t="e">
        <v>#N/A</v>
      </c>
    </row>
    <row r="15123" spans="1:1" x14ac:dyDescent="0.25">
      <c r="A15123" t="e">
        <v>#N/A</v>
      </c>
    </row>
    <row r="15124" spans="1:1" x14ac:dyDescent="0.25">
      <c r="A15124" t="e">
        <v>#N/A</v>
      </c>
    </row>
    <row r="15125" spans="1:1" x14ac:dyDescent="0.25">
      <c r="A15125" t="e">
        <v>#N/A</v>
      </c>
    </row>
    <row r="15126" spans="1:1" x14ac:dyDescent="0.25">
      <c r="A15126" t="e">
        <v>#N/A</v>
      </c>
    </row>
    <row r="15127" spans="1:1" x14ac:dyDescent="0.25">
      <c r="A15127" t="e">
        <v>#N/A</v>
      </c>
    </row>
    <row r="15128" spans="1:1" x14ac:dyDescent="0.25">
      <c r="A15128" t="e">
        <v>#N/A</v>
      </c>
    </row>
    <row r="15129" spans="1:1" x14ac:dyDescent="0.25">
      <c r="A15129" t="e">
        <v>#N/A</v>
      </c>
    </row>
    <row r="15130" spans="1:1" x14ac:dyDescent="0.25">
      <c r="A15130" t="e">
        <v>#N/A</v>
      </c>
    </row>
    <row r="15131" spans="1:1" x14ac:dyDescent="0.25">
      <c r="A15131" t="e">
        <v>#N/A</v>
      </c>
    </row>
    <row r="15132" spans="1:1" x14ac:dyDescent="0.25">
      <c r="A15132" t="e">
        <v>#N/A</v>
      </c>
    </row>
    <row r="15133" spans="1:1" x14ac:dyDescent="0.25">
      <c r="A15133" t="e">
        <v>#N/A</v>
      </c>
    </row>
    <row r="15134" spans="1:1" x14ac:dyDescent="0.25">
      <c r="A15134" t="e">
        <v>#N/A</v>
      </c>
    </row>
    <row r="15135" spans="1:1" x14ac:dyDescent="0.25">
      <c r="A15135" t="e">
        <v>#N/A</v>
      </c>
    </row>
    <row r="15136" spans="1:1" x14ac:dyDescent="0.25">
      <c r="A15136" t="e">
        <v>#N/A</v>
      </c>
    </row>
    <row r="15137" spans="1:1" x14ac:dyDescent="0.25">
      <c r="A15137" t="e">
        <v>#N/A</v>
      </c>
    </row>
    <row r="15138" spans="1:1" x14ac:dyDescent="0.25">
      <c r="A15138" t="e">
        <v>#N/A</v>
      </c>
    </row>
    <row r="15139" spans="1:1" x14ac:dyDescent="0.25">
      <c r="A15139" t="e">
        <v>#N/A</v>
      </c>
    </row>
    <row r="15140" spans="1:1" x14ac:dyDescent="0.25">
      <c r="A15140" t="e">
        <v>#N/A</v>
      </c>
    </row>
    <row r="15141" spans="1:1" x14ac:dyDescent="0.25">
      <c r="A15141" t="e">
        <v>#N/A</v>
      </c>
    </row>
    <row r="15142" spans="1:1" x14ac:dyDescent="0.25">
      <c r="A15142" t="e">
        <v>#N/A</v>
      </c>
    </row>
    <row r="15143" spans="1:1" x14ac:dyDescent="0.25">
      <c r="A15143" t="e">
        <v>#N/A</v>
      </c>
    </row>
    <row r="15144" spans="1:1" x14ac:dyDescent="0.25">
      <c r="A15144" t="e">
        <v>#N/A</v>
      </c>
    </row>
    <row r="15145" spans="1:1" x14ac:dyDescent="0.25">
      <c r="A15145" t="e">
        <v>#N/A</v>
      </c>
    </row>
    <row r="15146" spans="1:1" x14ac:dyDescent="0.25">
      <c r="A15146" t="e">
        <v>#N/A</v>
      </c>
    </row>
    <row r="15147" spans="1:1" x14ac:dyDescent="0.25">
      <c r="A15147" t="e">
        <v>#N/A</v>
      </c>
    </row>
    <row r="15148" spans="1:1" x14ac:dyDescent="0.25">
      <c r="A15148" t="e">
        <v>#N/A</v>
      </c>
    </row>
    <row r="15149" spans="1:1" x14ac:dyDescent="0.25">
      <c r="A15149" t="e">
        <v>#N/A</v>
      </c>
    </row>
    <row r="15150" spans="1:1" x14ac:dyDescent="0.25">
      <c r="A15150" t="e">
        <v>#N/A</v>
      </c>
    </row>
    <row r="15151" spans="1:1" x14ac:dyDescent="0.25">
      <c r="A15151" t="e">
        <v>#N/A</v>
      </c>
    </row>
    <row r="15152" spans="1:1" x14ac:dyDescent="0.25">
      <c r="A15152" t="e">
        <v>#N/A</v>
      </c>
    </row>
    <row r="15153" spans="1:1" x14ac:dyDescent="0.25">
      <c r="A15153" t="e">
        <v>#N/A</v>
      </c>
    </row>
    <row r="15154" spans="1:1" x14ac:dyDescent="0.25">
      <c r="A15154" t="e">
        <v>#N/A</v>
      </c>
    </row>
    <row r="15155" spans="1:1" x14ac:dyDescent="0.25">
      <c r="A15155" t="e">
        <v>#N/A</v>
      </c>
    </row>
    <row r="15156" spans="1:1" x14ac:dyDescent="0.25">
      <c r="A15156" t="e">
        <v>#N/A</v>
      </c>
    </row>
    <row r="15157" spans="1:1" x14ac:dyDescent="0.25">
      <c r="A15157" t="e">
        <v>#N/A</v>
      </c>
    </row>
    <row r="15158" spans="1:1" x14ac:dyDescent="0.25">
      <c r="A15158" t="e">
        <v>#N/A</v>
      </c>
    </row>
    <row r="15159" spans="1:1" x14ac:dyDescent="0.25">
      <c r="A15159" t="e">
        <v>#N/A</v>
      </c>
    </row>
    <row r="15160" spans="1:1" x14ac:dyDescent="0.25">
      <c r="A15160" t="e">
        <v>#N/A</v>
      </c>
    </row>
    <row r="15161" spans="1:1" x14ac:dyDescent="0.25">
      <c r="A15161" t="e">
        <v>#N/A</v>
      </c>
    </row>
    <row r="15162" spans="1:1" x14ac:dyDescent="0.25">
      <c r="A15162" t="e">
        <v>#N/A</v>
      </c>
    </row>
    <row r="15163" spans="1:1" x14ac:dyDescent="0.25">
      <c r="A15163" t="e">
        <v>#N/A</v>
      </c>
    </row>
    <row r="15164" spans="1:1" x14ac:dyDescent="0.25">
      <c r="A15164" t="e">
        <v>#N/A</v>
      </c>
    </row>
    <row r="15165" spans="1:1" x14ac:dyDescent="0.25">
      <c r="A15165" t="e">
        <v>#N/A</v>
      </c>
    </row>
    <row r="15166" spans="1:1" x14ac:dyDescent="0.25">
      <c r="A15166" t="e">
        <v>#N/A</v>
      </c>
    </row>
    <row r="15167" spans="1:1" x14ac:dyDescent="0.25">
      <c r="A15167" t="e">
        <v>#N/A</v>
      </c>
    </row>
    <row r="15168" spans="1:1" x14ac:dyDescent="0.25">
      <c r="A15168" t="e">
        <v>#N/A</v>
      </c>
    </row>
    <row r="15169" spans="1:1" x14ac:dyDescent="0.25">
      <c r="A15169" t="e">
        <v>#N/A</v>
      </c>
    </row>
    <row r="15170" spans="1:1" x14ac:dyDescent="0.25">
      <c r="A15170" t="e">
        <v>#N/A</v>
      </c>
    </row>
    <row r="15171" spans="1:1" x14ac:dyDescent="0.25">
      <c r="A15171" t="e">
        <v>#N/A</v>
      </c>
    </row>
    <row r="15172" spans="1:1" x14ac:dyDescent="0.25">
      <c r="A15172" t="e">
        <v>#N/A</v>
      </c>
    </row>
    <row r="15173" spans="1:1" x14ac:dyDescent="0.25">
      <c r="A15173" t="e">
        <v>#N/A</v>
      </c>
    </row>
    <row r="15174" spans="1:1" x14ac:dyDescent="0.25">
      <c r="A15174" t="e">
        <v>#N/A</v>
      </c>
    </row>
    <row r="15175" spans="1:1" x14ac:dyDescent="0.25">
      <c r="A15175" t="e">
        <v>#N/A</v>
      </c>
    </row>
    <row r="15176" spans="1:1" x14ac:dyDescent="0.25">
      <c r="A15176" t="e">
        <v>#N/A</v>
      </c>
    </row>
    <row r="15177" spans="1:1" x14ac:dyDescent="0.25">
      <c r="A15177" t="e">
        <v>#N/A</v>
      </c>
    </row>
    <row r="15178" spans="1:1" x14ac:dyDescent="0.25">
      <c r="A15178" t="e">
        <v>#N/A</v>
      </c>
    </row>
    <row r="15179" spans="1:1" x14ac:dyDescent="0.25">
      <c r="A15179" t="e">
        <v>#N/A</v>
      </c>
    </row>
    <row r="15180" spans="1:1" x14ac:dyDescent="0.25">
      <c r="A15180" t="e">
        <v>#N/A</v>
      </c>
    </row>
    <row r="15181" spans="1:1" x14ac:dyDescent="0.25">
      <c r="A15181" t="e">
        <v>#N/A</v>
      </c>
    </row>
    <row r="15182" spans="1:1" x14ac:dyDescent="0.25">
      <c r="A15182" t="e">
        <v>#N/A</v>
      </c>
    </row>
    <row r="15183" spans="1:1" x14ac:dyDescent="0.25">
      <c r="A15183" t="e">
        <v>#N/A</v>
      </c>
    </row>
    <row r="15184" spans="1:1" x14ac:dyDescent="0.25">
      <c r="A15184" t="e">
        <v>#N/A</v>
      </c>
    </row>
    <row r="15185" spans="1:1" x14ac:dyDescent="0.25">
      <c r="A15185" t="e">
        <v>#N/A</v>
      </c>
    </row>
    <row r="15186" spans="1:1" x14ac:dyDescent="0.25">
      <c r="A15186" t="e">
        <v>#N/A</v>
      </c>
    </row>
    <row r="15187" spans="1:1" x14ac:dyDescent="0.25">
      <c r="A15187" t="e">
        <v>#N/A</v>
      </c>
    </row>
    <row r="15188" spans="1:1" x14ac:dyDescent="0.25">
      <c r="A15188" t="e">
        <v>#N/A</v>
      </c>
    </row>
    <row r="15189" spans="1:1" x14ac:dyDescent="0.25">
      <c r="A15189" t="e">
        <v>#N/A</v>
      </c>
    </row>
    <row r="15190" spans="1:1" x14ac:dyDescent="0.25">
      <c r="A15190" t="e">
        <v>#N/A</v>
      </c>
    </row>
    <row r="15191" spans="1:1" x14ac:dyDescent="0.25">
      <c r="A15191" t="e">
        <v>#N/A</v>
      </c>
    </row>
    <row r="15192" spans="1:1" x14ac:dyDescent="0.25">
      <c r="A15192" t="e">
        <v>#N/A</v>
      </c>
    </row>
    <row r="15193" spans="1:1" x14ac:dyDescent="0.25">
      <c r="A15193" t="e">
        <v>#N/A</v>
      </c>
    </row>
    <row r="15194" spans="1:1" x14ac:dyDescent="0.25">
      <c r="A15194" t="e">
        <v>#N/A</v>
      </c>
    </row>
    <row r="15195" spans="1:1" x14ac:dyDescent="0.25">
      <c r="A15195" t="e">
        <v>#N/A</v>
      </c>
    </row>
    <row r="15196" spans="1:1" x14ac:dyDescent="0.25">
      <c r="A15196" t="e">
        <v>#N/A</v>
      </c>
    </row>
    <row r="15197" spans="1:1" x14ac:dyDescent="0.25">
      <c r="A15197" t="e">
        <v>#N/A</v>
      </c>
    </row>
    <row r="15198" spans="1:1" x14ac:dyDescent="0.25">
      <c r="A15198" t="e">
        <v>#N/A</v>
      </c>
    </row>
    <row r="15199" spans="1:1" x14ac:dyDescent="0.25">
      <c r="A15199" t="e">
        <v>#N/A</v>
      </c>
    </row>
    <row r="15200" spans="1:1" x14ac:dyDescent="0.25">
      <c r="A15200" t="e">
        <v>#N/A</v>
      </c>
    </row>
    <row r="15201" spans="1:1" x14ac:dyDescent="0.25">
      <c r="A15201" t="e">
        <v>#N/A</v>
      </c>
    </row>
    <row r="15202" spans="1:1" x14ac:dyDescent="0.25">
      <c r="A15202" t="e">
        <v>#N/A</v>
      </c>
    </row>
    <row r="15203" spans="1:1" x14ac:dyDescent="0.25">
      <c r="A15203" t="e">
        <v>#N/A</v>
      </c>
    </row>
    <row r="15204" spans="1:1" x14ac:dyDescent="0.25">
      <c r="A15204" t="e">
        <v>#N/A</v>
      </c>
    </row>
    <row r="15205" spans="1:1" x14ac:dyDescent="0.25">
      <c r="A15205" t="e">
        <v>#N/A</v>
      </c>
    </row>
    <row r="15206" spans="1:1" x14ac:dyDescent="0.25">
      <c r="A15206" t="e">
        <v>#N/A</v>
      </c>
    </row>
    <row r="15207" spans="1:1" x14ac:dyDescent="0.25">
      <c r="A15207" t="e">
        <v>#N/A</v>
      </c>
    </row>
    <row r="15208" spans="1:1" x14ac:dyDescent="0.25">
      <c r="A15208" t="e">
        <v>#N/A</v>
      </c>
    </row>
    <row r="15209" spans="1:1" x14ac:dyDescent="0.25">
      <c r="A15209" t="e">
        <v>#N/A</v>
      </c>
    </row>
    <row r="15210" spans="1:1" x14ac:dyDescent="0.25">
      <c r="A15210" t="e">
        <v>#N/A</v>
      </c>
    </row>
    <row r="15211" spans="1:1" x14ac:dyDescent="0.25">
      <c r="A15211" t="e">
        <v>#N/A</v>
      </c>
    </row>
    <row r="15212" spans="1:1" x14ac:dyDescent="0.25">
      <c r="A15212" t="e">
        <v>#N/A</v>
      </c>
    </row>
    <row r="15213" spans="1:1" x14ac:dyDescent="0.25">
      <c r="A15213" t="e">
        <v>#N/A</v>
      </c>
    </row>
    <row r="15214" spans="1:1" x14ac:dyDescent="0.25">
      <c r="A15214" t="e">
        <v>#N/A</v>
      </c>
    </row>
    <row r="15215" spans="1:1" x14ac:dyDescent="0.25">
      <c r="A15215" t="e">
        <v>#N/A</v>
      </c>
    </row>
    <row r="15216" spans="1:1" x14ac:dyDescent="0.25">
      <c r="A15216" t="e">
        <v>#N/A</v>
      </c>
    </row>
    <row r="15217" spans="1:1" x14ac:dyDescent="0.25">
      <c r="A15217" t="e">
        <v>#N/A</v>
      </c>
    </row>
    <row r="15218" spans="1:1" x14ac:dyDescent="0.25">
      <c r="A15218" t="e">
        <v>#N/A</v>
      </c>
    </row>
    <row r="15219" spans="1:1" x14ac:dyDescent="0.25">
      <c r="A15219" t="e">
        <v>#N/A</v>
      </c>
    </row>
    <row r="15220" spans="1:1" x14ac:dyDescent="0.25">
      <c r="A15220" t="e">
        <v>#N/A</v>
      </c>
    </row>
    <row r="15221" spans="1:1" x14ac:dyDescent="0.25">
      <c r="A15221" t="e">
        <v>#N/A</v>
      </c>
    </row>
    <row r="15222" spans="1:1" x14ac:dyDescent="0.25">
      <c r="A15222" t="e">
        <v>#N/A</v>
      </c>
    </row>
    <row r="15223" spans="1:1" x14ac:dyDescent="0.25">
      <c r="A15223" t="e">
        <v>#N/A</v>
      </c>
    </row>
    <row r="15224" spans="1:1" x14ac:dyDescent="0.25">
      <c r="A15224" t="e">
        <v>#N/A</v>
      </c>
    </row>
    <row r="15225" spans="1:1" x14ac:dyDescent="0.25">
      <c r="A15225" t="e">
        <v>#N/A</v>
      </c>
    </row>
    <row r="15226" spans="1:1" x14ac:dyDescent="0.25">
      <c r="A15226" t="e">
        <v>#N/A</v>
      </c>
    </row>
    <row r="15227" spans="1:1" x14ac:dyDescent="0.25">
      <c r="A15227" t="e">
        <v>#N/A</v>
      </c>
    </row>
    <row r="15228" spans="1:1" x14ac:dyDescent="0.25">
      <c r="A15228" t="e">
        <v>#N/A</v>
      </c>
    </row>
    <row r="15229" spans="1:1" x14ac:dyDescent="0.25">
      <c r="A15229" t="e">
        <v>#N/A</v>
      </c>
    </row>
    <row r="15230" spans="1:1" x14ac:dyDescent="0.25">
      <c r="A15230" t="e">
        <v>#N/A</v>
      </c>
    </row>
    <row r="15231" spans="1:1" x14ac:dyDescent="0.25">
      <c r="A15231" t="e">
        <v>#N/A</v>
      </c>
    </row>
    <row r="15232" spans="1:1" x14ac:dyDescent="0.25">
      <c r="A15232" t="e">
        <v>#N/A</v>
      </c>
    </row>
    <row r="15233" spans="1:1" x14ac:dyDescent="0.25">
      <c r="A15233" t="e">
        <v>#N/A</v>
      </c>
    </row>
    <row r="15234" spans="1:1" x14ac:dyDescent="0.25">
      <c r="A15234" t="e">
        <v>#N/A</v>
      </c>
    </row>
    <row r="15235" spans="1:1" x14ac:dyDescent="0.25">
      <c r="A15235" t="e">
        <v>#N/A</v>
      </c>
    </row>
    <row r="15236" spans="1:1" x14ac:dyDescent="0.25">
      <c r="A15236" t="e">
        <v>#N/A</v>
      </c>
    </row>
    <row r="15237" spans="1:1" x14ac:dyDescent="0.25">
      <c r="A15237" t="e">
        <v>#N/A</v>
      </c>
    </row>
    <row r="15238" spans="1:1" x14ac:dyDescent="0.25">
      <c r="A15238" t="e">
        <v>#N/A</v>
      </c>
    </row>
    <row r="15239" spans="1:1" x14ac:dyDescent="0.25">
      <c r="A15239" t="e">
        <v>#N/A</v>
      </c>
    </row>
    <row r="15240" spans="1:1" x14ac:dyDescent="0.25">
      <c r="A15240" t="e">
        <v>#N/A</v>
      </c>
    </row>
    <row r="15241" spans="1:1" x14ac:dyDescent="0.25">
      <c r="A15241" t="e">
        <v>#N/A</v>
      </c>
    </row>
    <row r="15242" spans="1:1" x14ac:dyDescent="0.25">
      <c r="A15242" t="e">
        <v>#N/A</v>
      </c>
    </row>
    <row r="15243" spans="1:1" x14ac:dyDescent="0.25">
      <c r="A15243" t="e">
        <v>#N/A</v>
      </c>
    </row>
    <row r="15244" spans="1:1" x14ac:dyDescent="0.25">
      <c r="A15244" t="e">
        <v>#N/A</v>
      </c>
    </row>
    <row r="15245" spans="1:1" x14ac:dyDescent="0.25">
      <c r="A15245" t="e">
        <v>#N/A</v>
      </c>
    </row>
    <row r="15246" spans="1:1" x14ac:dyDescent="0.25">
      <c r="A15246" t="e">
        <v>#N/A</v>
      </c>
    </row>
    <row r="15247" spans="1:1" x14ac:dyDescent="0.25">
      <c r="A15247" t="e">
        <v>#N/A</v>
      </c>
    </row>
    <row r="15248" spans="1:1" x14ac:dyDescent="0.25">
      <c r="A15248" t="e">
        <v>#N/A</v>
      </c>
    </row>
    <row r="15249" spans="1:1" x14ac:dyDescent="0.25">
      <c r="A15249" t="e">
        <v>#N/A</v>
      </c>
    </row>
    <row r="15250" spans="1:1" x14ac:dyDescent="0.25">
      <c r="A15250" t="e">
        <v>#N/A</v>
      </c>
    </row>
    <row r="15251" spans="1:1" x14ac:dyDescent="0.25">
      <c r="A15251" t="e">
        <v>#N/A</v>
      </c>
    </row>
    <row r="15252" spans="1:1" x14ac:dyDescent="0.25">
      <c r="A15252" t="e">
        <v>#N/A</v>
      </c>
    </row>
    <row r="15253" spans="1:1" x14ac:dyDescent="0.25">
      <c r="A15253" t="e">
        <v>#N/A</v>
      </c>
    </row>
    <row r="15254" spans="1:1" x14ac:dyDescent="0.25">
      <c r="A15254" t="e">
        <v>#N/A</v>
      </c>
    </row>
    <row r="15255" spans="1:1" x14ac:dyDescent="0.25">
      <c r="A15255" t="e">
        <v>#N/A</v>
      </c>
    </row>
    <row r="15256" spans="1:1" x14ac:dyDescent="0.25">
      <c r="A15256" t="e">
        <v>#N/A</v>
      </c>
    </row>
    <row r="15257" spans="1:1" x14ac:dyDescent="0.25">
      <c r="A15257" t="e">
        <v>#N/A</v>
      </c>
    </row>
    <row r="15258" spans="1:1" x14ac:dyDescent="0.25">
      <c r="A15258" t="e">
        <v>#N/A</v>
      </c>
    </row>
    <row r="15259" spans="1:1" x14ac:dyDescent="0.25">
      <c r="A15259" t="e">
        <v>#N/A</v>
      </c>
    </row>
    <row r="15260" spans="1:1" x14ac:dyDescent="0.25">
      <c r="A15260" t="e">
        <v>#N/A</v>
      </c>
    </row>
    <row r="15261" spans="1:1" x14ac:dyDescent="0.25">
      <c r="A15261" t="e">
        <v>#N/A</v>
      </c>
    </row>
    <row r="15262" spans="1:1" x14ac:dyDescent="0.25">
      <c r="A15262" t="e">
        <v>#N/A</v>
      </c>
    </row>
    <row r="15263" spans="1:1" x14ac:dyDescent="0.25">
      <c r="A15263" t="e">
        <v>#N/A</v>
      </c>
    </row>
    <row r="15264" spans="1:1" x14ac:dyDescent="0.25">
      <c r="A15264" t="e">
        <v>#N/A</v>
      </c>
    </row>
    <row r="15265" spans="1:1" x14ac:dyDescent="0.25">
      <c r="A15265" t="e">
        <v>#N/A</v>
      </c>
    </row>
    <row r="15266" spans="1:1" x14ac:dyDescent="0.25">
      <c r="A15266" t="e">
        <v>#N/A</v>
      </c>
    </row>
    <row r="15267" spans="1:1" x14ac:dyDescent="0.25">
      <c r="A15267" t="e">
        <v>#N/A</v>
      </c>
    </row>
    <row r="15268" spans="1:1" x14ac:dyDescent="0.25">
      <c r="A15268" t="e">
        <v>#N/A</v>
      </c>
    </row>
    <row r="15269" spans="1:1" x14ac:dyDescent="0.25">
      <c r="A15269" t="e">
        <v>#N/A</v>
      </c>
    </row>
    <row r="15270" spans="1:1" x14ac:dyDescent="0.25">
      <c r="A15270" t="e">
        <v>#N/A</v>
      </c>
    </row>
    <row r="15271" spans="1:1" x14ac:dyDescent="0.25">
      <c r="A15271" t="e">
        <v>#N/A</v>
      </c>
    </row>
    <row r="15272" spans="1:1" x14ac:dyDescent="0.25">
      <c r="A15272" t="e">
        <v>#N/A</v>
      </c>
    </row>
    <row r="15273" spans="1:1" x14ac:dyDescent="0.25">
      <c r="A15273" t="e">
        <v>#N/A</v>
      </c>
    </row>
    <row r="15274" spans="1:1" x14ac:dyDescent="0.25">
      <c r="A15274" t="e">
        <v>#N/A</v>
      </c>
    </row>
    <row r="15275" spans="1:1" x14ac:dyDescent="0.25">
      <c r="A15275" t="e">
        <v>#N/A</v>
      </c>
    </row>
    <row r="15276" spans="1:1" x14ac:dyDescent="0.25">
      <c r="A15276" t="e">
        <v>#N/A</v>
      </c>
    </row>
    <row r="15277" spans="1:1" x14ac:dyDescent="0.25">
      <c r="A15277" t="e">
        <v>#N/A</v>
      </c>
    </row>
    <row r="15278" spans="1:1" x14ac:dyDescent="0.25">
      <c r="A15278" t="e">
        <v>#N/A</v>
      </c>
    </row>
    <row r="15279" spans="1:1" x14ac:dyDescent="0.25">
      <c r="A15279" t="e">
        <v>#N/A</v>
      </c>
    </row>
    <row r="15280" spans="1:1" x14ac:dyDescent="0.25">
      <c r="A15280" t="e">
        <v>#N/A</v>
      </c>
    </row>
    <row r="15281" spans="1:1" x14ac:dyDescent="0.25">
      <c r="A15281" t="e">
        <v>#N/A</v>
      </c>
    </row>
    <row r="15282" spans="1:1" x14ac:dyDescent="0.25">
      <c r="A15282" t="e">
        <v>#N/A</v>
      </c>
    </row>
    <row r="15283" spans="1:1" x14ac:dyDescent="0.25">
      <c r="A15283" t="e">
        <v>#N/A</v>
      </c>
    </row>
    <row r="15284" spans="1:1" x14ac:dyDescent="0.25">
      <c r="A15284" t="e">
        <v>#N/A</v>
      </c>
    </row>
    <row r="15285" spans="1:1" x14ac:dyDescent="0.25">
      <c r="A15285" t="e">
        <v>#N/A</v>
      </c>
    </row>
    <row r="15286" spans="1:1" x14ac:dyDescent="0.25">
      <c r="A15286" t="e">
        <v>#N/A</v>
      </c>
    </row>
    <row r="15287" spans="1:1" x14ac:dyDescent="0.25">
      <c r="A15287" t="e">
        <v>#N/A</v>
      </c>
    </row>
    <row r="15288" spans="1:1" x14ac:dyDescent="0.25">
      <c r="A15288" t="e">
        <v>#N/A</v>
      </c>
    </row>
    <row r="15289" spans="1:1" x14ac:dyDescent="0.25">
      <c r="A15289" t="e">
        <v>#N/A</v>
      </c>
    </row>
    <row r="15290" spans="1:1" x14ac:dyDescent="0.25">
      <c r="A15290" t="e">
        <v>#N/A</v>
      </c>
    </row>
    <row r="15291" spans="1:1" x14ac:dyDescent="0.25">
      <c r="A15291" t="e">
        <v>#N/A</v>
      </c>
    </row>
    <row r="15292" spans="1:1" x14ac:dyDescent="0.25">
      <c r="A15292" t="e">
        <v>#N/A</v>
      </c>
    </row>
    <row r="15293" spans="1:1" x14ac:dyDescent="0.25">
      <c r="A15293" t="e">
        <v>#N/A</v>
      </c>
    </row>
    <row r="15294" spans="1:1" x14ac:dyDescent="0.25">
      <c r="A15294" t="e">
        <v>#N/A</v>
      </c>
    </row>
    <row r="15295" spans="1:1" x14ac:dyDescent="0.25">
      <c r="A15295" t="e">
        <v>#N/A</v>
      </c>
    </row>
    <row r="15296" spans="1:1" x14ac:dyDescent="0.25">
      <c r="A15296" t="e">
        <v>#N/A</v>
      </c>
    </row>
    <row r="15297" spans="1:1" x14ac:dyDescent="0.25">
      <c r="A15297" t="e">
        <v>#N/A</v>
      </c>
    </row>
    <row r="15298" spans="1:1" x14ac:dyDescent="0.25">
      <c r="A15298" t="e">
        <v>#N/A</v>
      </c>
    </row>
    <row r="15299" spans="1:1" x14ac:dyDescent="0.25">
      <c r="A15299" t="e">
        <v>#N/A</v>
      </c>
    </row>
    <row r="15300" spans="1:1" x14ac:dyDescent="0.25">
      <c r="A15300" t="e">
        <v>#N/A</v>
      </c>
    </row>
    <row r="15301" spans="1:1" x14ac:dyDescent="0.25">
      <c r="A15301" t="e">
        <v>#N/A</v>
      </c>
    </row>
    <row r="15302" spans="1:1" x14ac:dyDescent="0.25">
      <c r="A15302" t="e">
        <v>#N/A</v>
      </c>
    </row>
    <row r="15303" spans="1:1" x14ac:dyDescent="0.25">
      <c r="A15303" t="e">
        <v>#N/A</v>
      </c>
    </row>
    <row r="15304" spans="1:1" x14ac:dyDescent="0.25">
      <c r="A15304" t="e">
        <v>#N/A</v>
      </c>
    </row>
    <row r="15305" spans="1:1" x14ac:dyDescent="0.25">
      <c r="A15305" t="e">
        <v>#N/A</v>
      </c>
    </row>
    <row r="15306" spans="1:1" x14ac:dyDescent="0.25">
      <c r="A15306" t="e">
        <v>#N/A</v>
      </c>
    </row>
    <row r="15307" spans="1:1" x14ac:dyDescent="0.25">
      <c r="A15307" t="e">
        <v>#N/A</v>
      </c>
    </row>
    <row r="15308" spans="1:1" x14ac:dyDescent="0.25">
      <c r="A15308" t="e">
        <v>#N/A</v>
      </c>
    </row>
    <row r="15309" spans="1:1" x14ac:dyDescent="0.25">
      <c r="A15309" t="e">
        <v>#N/A</v>
      </c>
    </row>
    <row r="15310" spans="1:1" x14ac:dyDescent="0.25">
      <c r="A15310" t="e">
        <v>#N/A</v>
      </c>
    </row>
    <row r="15311" spans="1:1" x14ac:dyDescent="0.25">
      <c r="A15311" t="e">
        <v>#N/A</v>
      </c>
    </row>
    <row r="15312" spans="1:1" x14ac:dyDescent="0.25">
      <c r="A15312" t="e">
        <v>#N/A</v>
      </c>
    </row>
    <row r="15313" spans="1:1" x14ac:dyDescent="0.25">
      <c r="A15313" t="e">
        <v>#N/A</v>
      </c>
    </row>
    <row r="15314" spans="1:1" x14ac:dyDescent="0.25">
      <c r="A15314" t="e">
        <v>#N/A</v>
      </c>
    </row>
    <row r="15315" spans="1:1" x14ac:dyDescent="0.25">
      <c r="A15315" t="e">
        <v>#N/A</v>
      </c>
    </row>
    <row r="15316" spans="1:1" x14ac:dyDescent="0.25">
      <c r="A15316" t="e">
        <v>#N/A</v>
      </c>
    </row>
    <row r="15317" spans="1:1" x14ac:dyDescent="0.25">
      <c r="A15317" t="e">
        <v>#N/A</v>
      </c>
    </row>
    <row r="15318" spans="1:1" x14ac:dyDescent="0.25">
      <c r="A15318" t="e">
        <v>#N/A</v>
      </c>
    </row>
    <row r="15319" spans="1:1" x14ac:dyDescent="0.25">
      <c r="A15319" t="e">
        <v>#N/A</v>
      </c>
    </row>
    <row r="15320" spans="1:1" x14ac:dyDescent="0.25">
      <c r="A15320" t="e">
        <v>#N/A</v>
      </c>
    </row>
    <row r="15321" spans="1:1" x14ac:dyDescent="0.25">
      <c r="A15321" t="e">
        <v>#N/A</v>
      </c>
    </row>
    <row r="15322" spans="1:1" x14ac:dyDescent="0.25">
      <c r="A15322" t="e">
        <v>#N/A</v>
      </c>
    </row>
    <row r="15323" spans="1:1" x14ac:dyDescent="0.25">
      <c r="A15323" t="e">
        <v>#N/A</v>
      </c>
    </row>
    <row r="15324" spans="1:1" x14ac:dyDescent="0.25">
      <c r="A15324" t="e">
        <v>#N/A</v>
      </c>
    </row>
    <row r="15325" spans="1:1" x14ac:dyDescent="0.25">
      <c r="A15325" t="e">
        <v>#N/A</v>
      </c>
    </row>
    <row r="15326" spans="1:1" x14ac:dyDescent="0.25">
      <c r="A15326" t="e">
        <v>#N/A</v>
      </c>
    </row>
    <row r="15327" spans="1:1" x14ac:dyDescent="0.25">
      <c r="A15327" t="e">
        <v>#N/A</v>
      </c>
    </row>
    <row r="15328" spans="1:1" x14ac:dyDescent="0.25">
      <c r="A15328" t="e">
        <v>#N/A</v>
      </c>
    </row>
    <row r="15329" spans="1:1" x14ac:dyDescent="0.25">
      <c r="A15329" t="e">
        <v>#N/A</v>
      </c>
    </row>
    <row r="15330" spans="1:1" x14ac:dyDescent="0.25">
      <c r="A15330" t="e">
        <v>#N/A</v>
      </c>
    </row>
    <row r="15331" spans="1:1" x14ac:dyDescent="0.25">
      <c r="A15331" t="e">
        <v>#N/A</v>
      </c>
    </row>
    <row r="15332" spans="1:1" x14ac:dyDescent="0.25">
      <c r="A15332" t="e">
        <v>#N/A</v>
      </c>
    </row>
    <row r="15333" spans="1:1" x14ac:dyDescent="0.25">
      <c r="A15333" t="e">
        <v>#N/A</v>
      </c>
    </row>
    <row r="15334" spans="1:1" x14ac:dyDescent="0.25">
      <c r="A15334" t="e">
        <v>#N/A</v>
      </c>
    </row>
    <row r="15335" spans="1:1" x14ac:dyDescent="0.25">
      <c r="A15335" t="e">
        <v>#N/A</v>
      </c>
    </row>
    <row r="15336" spans="1:1" x14ac:dyDescent="0.25">
      <c r="A15336" t="e">
        <v>#N/A</v>
      </c>
    </row>
    <row r="15337" spans="1:1" x14ac:dyDescent="0.25">
      <c r="A15337" t="e">
        <v>#N/A</v>
      </c>
    </row>
    <row r="15338" spans="1:1" x14ac:dyDescent="0.25">
      <c r="A15338" t="e">
        <v>#N/A</v>
      </c>
    </row>
    <row r="15339" spans="1:1" x14ac:dyDescent="0.25">
      <c r="A15339" t="e">
        <v>#N/A</v>
      </c>
    </row>
    <row r="15340" spans="1:1" x14ac:dyDescent="0.25">
      <c r="A15340" t="e">
        <v>#N/A</v>
      </c>
    </row>
    <row r="15341" spans="1:1" x14ac:dyDescent="0.25">
      <c r="A15341" t="e">
        <v>#N/A</v>
      </c>
    </row>
    <row r="15342" spans="1:1" x14ac:dyDescent="0.25">
      <c r="A15342" t="e">
        <v>#N/A</v>
      </c>
    </row>
    <row r="15343" spans="1:1" x14ac:dyDescent="0.25">
      <c r="A15343" t="e">
        <v>#N/A</v>
      </c>
    </row>
    <row r="15344" spans="1:1" x14ac:dyDescent="0.25">
      <c r="A15344" t="e">
        <v>#N/A</v>
      </c>
    </row>
    <row r="15345" spans="1:1" x14ac:dyDescent="0.25">
      <c r="A15345" t="e">
        <v>#N/A</v>
      </c>
    </row>
    <row r="15346" spans="1:1" x14ac:dyDescent="0.25">
      <c r="A15346" t="e">
        <v>#N/A</v>
      </c>
    </row>
    <row r="15347" spans="1:1" x14ac:dyDescent="0.25">
      <c r="A15347" t="e">
        <v>#N/A</v>
      </c>
    </row>
    <row r="15348" spans="1:1" x14ac:dyDescent="0.25">
      <c r="A15348" t="e">
        <v>#N/A</v>
      </c>
    </row>
    <row r="15349" spans="1:1" x14ac:dyDescent="0.25">
      <c r="A15349" t="e">
        <v>#N/A</v>
      </c>
    </row>
    <row r="15350" spans="1:1" x14ac:dyDescent="0.25">
      <c r="A15350" t="e">
        <v>#N/A</v>
      </c>
    </row>
    <row r="15351" spans="1:1" x14ac:dyDescent="0.25">
      <c r="A15351" t="e">
        <v>#N/A</v>
      </c>
    </row>
    <row r="15352" spans="1:1" x14ac:dyDescent="0.25">
      <c r="A15352" t="e">
        <v>#N/A</v>
      </c>
    </row>
    <row r="15353" spans="1:1" x14ac:dyDescent="0.25">
      <c r="A15353" t="e">
        <v>#N/A</v>
      </c>
    </row>
    <row r="15354" spans="1:1" x14ac:dyDescent="0.25">
      <c r="A15354" t="e">
        <v>#N/A</v>
      </c>
    </row>
    <row r="15355" spans="1:1" x14ac:dyDescent="0.25">
      <c r="A15355" t="e">
        <v>#N/A</v>
      </c>
    </row>
    <row r="15356" spans="1:1" x14ac:dyDescent="0.25">
      <c r="A15356" t="e">
        <v>#N/A</v>
      </c>
    </row>
    <row r="15357" spans="1:1" x14ac:dyDescent="0.25">
      <c r="A15357" t="e">
        <v>#N/A</v>
      </c>
    </row>
    <row r="15358" spans="1:1" x14ac:dyDescent="0.25">
      <c r="A15358" t="e">
        <v>#N/A</v>
      </c>
    </row>
    <row r="15359" spans="1:1" x14ac:dyDescent="0.25">
      <c r="A15359" t="e">
        <v>#N/A</v>
      </c>
    </row>
    <row r="15360" spans="1:1" x14ac:dyDescent="0.25">
      <c r="A15360" t="e">
        <v>#N/A</v>
      </c>
    </row>
    <row r="15361" spans="1:1" x14ac:dyDescent="0.25">
      <c r="A15361" t="e">
        <v>#N/A</v>
      </c>
    </row>
    <row r="15362" spans="1:1" x14ac:dyDescent="0.25">
      <c r="A15362" t="e">
        <v>#N/A</v>
      </c>
    </row>
    <row r="15363" spans="1:1" x14ac:dyDescent="0.25">
      <c r="A15363" t="e">
        <v>#N/A</v>
      </c>
    </row>
    <row r="15364" spans="1:1" x14ac:dyDescent="0.25">
      <c r="A15364" t="e">
        <v>#N/A</v>
      </c>
    </row>
    <row r="15365" spans="1:1" x14ac:dyDescent="0.25">
      <c r="A15365" t="e">
        <v>#N/A</v>
      </c>
    </row>
    <row r="15366" spans="1:1" x14ac:dyDescent="0.25">
      <c r="A15366" t="e">
        <v>#N/A</v>
      </c>
    </row>
    <row r="15367" spans="1:1" x14ac:dyDescent="0.25">
      <c r="A15367" t="e">
        <v>#N/A</v>
      </c>
    </row>
    <row r="15368" spans="1:1" x14ac:dyDescent="0.25">
      <c r="A15368" t="e">
        <v>#N/A</v>
      </c>
    </row>
    <row r="15369" spans="1:1" x14ac:dyDescent="0.25">
      <c r="A15369" t="e">
        <v>#N/A</v>
      </c>
    </row>
    <row r="15370" spans="1:1" x14ac:dyDescent="0.25">
      <c r="A15370" t="e">
        <v>#N/A</v>
      </c>
    </row>
    <row r="15371" spans="1:1" x14ac:dyDescent="0.25">
      <c r="A15371" t="e">
        <v>#N/A</v>
      </c>
    </row>
    <row r="15372" spans="1:1" x14ac:dyDescent="0.25">
      <c r="A15372" t="e">
        <v>#N/A</v>
      </c>
    </row>
    <row r="15373" spans="1:1" x14ac:dyDescent="0.25">
      <c r="A15373" t="e">
        <v>#N/A</v>
      </c>
    </row>
    <row r="15374" spans="1:1" x14ac:dyDescent="0.25">
      <c r="A15374" t="e">
        <v>#N/A</v>
      </c>
    </row>
    <row r="15375" spans="1:1" x14ac:dyDescent="0.25">
      <c r="A15375" t="e">
        <v>#N/A</v>
      </c>
    </row>
    <row r="15376" spans="1:1" x14ac:dyDescent="0.25">
      <c r="A15376" t="e">
        <v>#N/A</v>
      </c>
    </row>
    <row r="15377" spans="1:1" x14ac:dyDescent="0.25">
      <c r="A15377" t="e">
        <v>#N/A</v>
      </c>
    </row>
    <row r="15378" spans="1:1" x14ac:dyDescent="0.25">
      <c r="A15378" t="e">
        <v>#N/A</v>
      </c>
    </row>
    <row r="15379" spans="1:1" x14ac:dyDescent="0.25">
      <c r="A15379" t="e">
        <v>#N/A</v>
      </c>
    </row>
    <row r="15380" spans="1:1" x14ac:dyDescent="0.25">
      <c r="A15380" t="e">
        <v>#N/A</v>
      </c>
    </row>
    <row r="15381" spans="1:1" x14ac:dyDescent="0.25">
      <c r="A15381" t="e">
        <v>#N/A</v>
      </c>
    </row>
    <row r="15382" spans="1:1" x14ac:dyDescent="0.25">
      <c r="A15382" t="e">
        <v>#N/A</v>
      </c>
    </row>
    <row r="15383" spans="1:1" x14ac:dyDescent="0.25">
      <c r="A15383" t="e">
        <v>#N/A</v>
      </c>
    </row>
    <row r="15384" spans="1:1" x14ac:dyDescent="0.25">
      <c r="A15384" t="e">
        <v>#N/A</v>
      </c>
    </row>
    <row r="15385" spans="1:1" x14ac:dyDescent="0.25">
      <c r="A15385" t="e">
        <v>#N/A</v>
      </c>
    </row>
    <row r="15386" spans="1:1" x14ac:dyDescent="0.25">
      <c r="A15386" t="e">
        <v>#N/A</v>
      </c>
    </row>
    <row r="15387" spans="1:1" x14ac:dyDescent="0.25">
      <c r="A15387" t="e">
        <v>#N/A</v>
      </c>
    </row>
    <row r="15388" spans="1:1" x14ac:dyDescent="0.25">
      <c r="A15388" t="e">
        <v>#N/A</v>
      </c>
    </row>
    <row r="15389" spans="1:1" x14ac:dyDescent="0.25">
      <c r="A15389" t="e">
        <v>#N/A</v>
      </c>
    </row>
    <row r="15390" spans="1:1" x14ac:dyDescent="0.25">
      <c r="A15390" t="e">
        <v>#N/A</v>
      </c>
    </row>
    <row r="15391" spans="1:1" x14ac:dyDescent="0.25">
      <c r="A15391" t="e">
        <v>#N/A</v>
      </c>
    </row>
    <row r="15392" spans="1:1" x14ac:dyDescent="0.25">
      <c r="A15392" t="e">
        <v>#N/A</v>
      </c>
    </row>
    <row r="15393" spans="1:1" x14ac:dyDescent="0.25">
      <c r="A15393" t="e">
        <v>#N/A</v>
      </c>
    </row>
    <row r="15394" spans="1:1" x14ac:dyDescent="0.25">
      <c r="A15394" t="e">
        <v>#N/A</v>
      </c>
    </row>
    <row r="15395" spans="1:1" x14ac:dyDescent="0.25">
      <c r="A15395" t="e">
        <v>#N/A</v>
      </c>
    </row>
    <row r="15396" spans="1:1" x14ac:dyDescent="0.25">
      <c r="A15396" t="e">
        <v>#N/A</v>
      </c>
    </row>
    <row r="15397" spans="1:1" x14ac:dyDescent="0.25">
      <c r="A15397" t="e">
        <v>#N/A</v>
      </c>
    </row>
    <row r="15398" spans="1:1" x14ac:dyDescent="0.25">
      <c r="A15398" t="e">
        <v>#N/A</v>
      </c>
    </row>
    <row r="15399" spans="1:1" x14ac:dyDescent="0.25">
      <c r="A15399" t="e">
        <v>#N/A</v>
      </c>
    </row>
    <row r="15400" spans="1:1" x14ac:dyDescent="0.25">
      <c r="A15400" t="e">
        <v>#N/A</v>
      </c>
    </row>
    <row r="15401" spans="1:1" x14ac:dyDescent="0.25">
      <c r="A15401" t="e">
        <v>#N/A</v>
      </c>
    </row>
    <row r="15402" spans="1:1" x14ac:dyDescent="0.25">
      <c r="A15402" t="e">
        <v>#N/A</v>
      </c>
    </row>
    <row r="15403" spans="1:1" x14ac:dyDescent="0.25">
      <c r="A15403" t="e">
        <v>#N/A</v>
      </c>
    </row>
    <row r="15404" spans="1:1" x14ac:dyDescent="0.25">
      <c r="A15404" t="e">
        <v>#N/A</v>
      </c>
    </row>
    <row r="15405" spans="1:1" x14ac:dyDescent="0.25">
      <c r="A15405" t="e">
        <v>#N/A</v>
      </c>
    </row>
    <row r="15406" spans="1:1" x14ac:dyDescent="0.25">
      <c r="A15406" t="e">
        <v>#N/A</v>
      </c>
    </row>
    <row r="15407" spans="1:1" x14ac:dyDescent="0.25">
      <c r="A15407" t="e">
        <v>#N/A</v>
      </c>
    </row>
    <row r="15408" spans="1:1" x14ac:dyDescent="0.25">
      <c r="A15408" t="e">
        <v>#N/A</v>
      </c>
    </row>
    <row r="15409" spans="1:1" x14ac:dyDescent="0.25">
      <c r="A15409" t="e">
        <v>#N/A</v>
      </c>
    </row>
    <row r="15410" spans="1:1" x14ac:dyDescent="0.25">
      <c r="A15410" t="e">
        <v>#N/A</v>
      </c>
    </row>
    <row r="15411" spans="1:1" x14ac:dyDescent="0.25">
      <c r="A15411" t="e">
        <v>#N/A</v>
      </c>
    </row>
    <row r="15412" spans="1:1" x14ac:dyDescent="0.25">
      <c r="A15412" t="e">
        <v>#N/A</v>
      </c>
    </row>
    <row r="15413" spans="1:1" x14ac:dyDescent="0.25">
      <c r="A15413" t="e">
        <v>#N/A</v>
      </c>
    </row>
    <row r="15414" spans="1:1" x14ac:dyDescent="0.25">
      <c r="A15414" t="e">
        <v>#N/A</v>
      </c>
    </row>
    <row r="15415" spans="1:1" x14ac:dyDescent="0.25">
      <c r="A15415" t="e">
        <v>#N/A</v>
      </c>
    </row>
    <row r="15416" spans="1:1" x14ac:dyDescent="0.25">
      <c r="A15416" t="e">
        <v>#N/A</v>
      </c>
    </row>
    <row r="15417" spans="1:1" x14ac:dyDescent="0.25">
      <c r="A15417" t="e">
        <v>#N/A</v>
      </c>
    </row>
    <row r="15418" spans="1:1" x14ac:dyDescent="0.25">
      <c r="A15418" t="e">
        <v>#N/A</v>
      </c>
    </row>
    <row r="15419" spans="1:1" x14ac:dyDescent="0.25">
      <c r="A15419" t="e">
        <v>#N/A</v>
      </c>
    </row>
    <row r="15420" spans="1:1" x14ac:dyDescent="0.25">
      <c r="A15420" t="e">
        <v>#N/A</v>
      </c>
    </row>
    <row r="15421" spans="1:1" x14ac:dyDescent="0.25">
      <c r="A15421" t="e">
        <v>#N/A</v>
      </c>
    </row>
    <row r="15422" spans="1:1" x14ac:dyDescent="0.25">
      <c r="A15422" t="e">
        <v>#N/A</v>
      </c>
    </row>
    <row r="15423" spans="1:1" x14ac:dyDescent="0.25">
      <c r="A15423" t="e">
        <v>#N/A</v>
      </c>
    </row>
    <row r="15424" spans="1:1" x14ac:dyDescent="0.25">
      <c r="A15424" t="e">
        <v>#N/A</v>
      </c>
    </row>
    <row r="15425" spans="1:1" x14ac:dyDescent="0.25">
      <c r="A15425" t="e">
        <v>#N/A</v>
      </c>
    </row>
    <row r="15426" spans="1:1" x14ac:dyDescent="0.25">
      <c r="A15426" t="e">
        <v>#N/A</v>
      </c>
    </row>
    <row r="15427" spans="1:1" x14ac:dyDescent="0.25">
      <c r="A15427" t="e">
        <v>#N/A</v>
      </c>
    </row>
    <row r="15428" spans="1:1" x14ac:dyDescent="0.25">
      <c r="A15428" t="e">
        <v>#N/A</v>
      </c>
    </row>
    <row r="15429" spans="1:1" x14ac:dyDescent="0.25">
      <c r="A15429" t="e">
        <v>#N/A</v>
      </c>
    </row>
    <row r="15430" spans="1:1" x14ac:dyDescent="0.25">
      <c r="A15430" t="e">
        <v>#N/A</v>
      </c>
    </row>
    <row r="15431" spans="1:1" x14ac:dyDescent="0.25">
      <c r="A15431" t="e">
        <v>#N/A</v>
      </c>
    </row>
    <row r="15432" spans="1:1" x14ac:dyDescent="0.25">
      <c r="A15432" t="e">
        <v>#N/A</v>
      </c>
    </row>
    <row r="15433" spans="1:1" x14ac:dyDescent="0.25">
      <c r="A15433" t="e">
        <v>#N/A</v>
      </c>
    </row>
    <row r="15434" spans="1:1" x14ac:dyDescent="0.25">
      <c r="A15434" t="e">
        <v>#N/A</v>
      </c>
    </row>
    <row r="15435" spans="1:1" x14ac:dyDescent="0.25">
      <c r="A15435" t="e">
        <v>#N/A</v>
      </c>
    </row>
    <row r="15436" spans="1:1" x14ac:dyDescent="0.25">
      <c r="A15436" t="e">
        <v>#N/A</v>
      </c>
    </row>
    <row r="15437" spans="1:1" x14ac:dyDescent="0.25">
      <c r="A15437" t="e">
        <v>#N/A</v>
      </c>
    </row>
    <row r="15438" spans="1:1" x14ac:dyDescent="0.25">
      <c r="A15438" t="e">
        <v>#N/A</v>
      </c>
    </row>
    <row r="15439" spans="1:1" x14ac:dyDescent="0.25">
      <c r="A15439" t="e">
        <v>#N/A</v>
      </c>
    </row>
    <row r="15440" spans="1:1" x14ac:dyDescent="0.25">
      <c r="A15440" t="e">
        <v>#N/A</v>
      </c>
    </row>
    <row r="15441" spans="1:1" x14ac:dyDescent="0.25">
      <c r="A15441" t="e">
        <v>#N/A</v>
      </c>
    </row>
    <row r="15442" spans="1:1" x14ac:dyDescent="0.25">
      <c r="A15442" t="e">
        <v>#N/A</v>
      </c>
    </row>
    <row r="15443" spans="1:1" x14ac:dyDescent="0.25">
      <c r="A15443" t="e">
        <v>#N/A</v>
      </c>
    </row>
    <row r="15444" spans="1:1" x14ac:dyDescent="0.25">
      <c r="A15444" t="e">
        <v>#N/A</v>
      </c>
    </row>
    <row r="15445" spans="1:1" x14ac:dyDescent="0.25">
      <c r="A15445" t="e">
        <v>#N/A</v>
      </c>
    </row>
    <row r="15446" spans="1:1" x14ac:dyDescent="0.25">
      <c r="A15446" t="e">
        <v>#N/A</v>
      </c>
    </row>
    <row r="15447" spans="1:1" x14ac:dyDescent="0.25">
      <c r="A15447" t="e">
        <v>#N/A</v>
      </c>
    </row>
    <row r="15448" spans="1:1" x14ac:dyDescent="0.25">
      <c r="A15448" t="e">
        <v>#N/A</v>
      </c>
    </row>
    <row r="15449" spans="1:1" x14ac:dyDescent="0.25">
      <c r="A15449" t="e">
        <v>#N/A</v>
      </c>
    </row>
    <row r="15450" spans="1:1" x14ac:dyDescent="0.25">
      <c r="A15450" t="e">
        <v>#N/A</v>
      </c>
    </row>
    <row r="15451" spans="1:1" x14ac:dyDescent="0.25">
      <c r="A15451" t="e">
        <v>#N/A</v>
      </c>
    </row>
    <row r="15452" spans="1:1" x14ac:dyDescent="0.25">
      <c r="A15452" t="e">
        <v>#N/A</v>
      </c>
    </row>
    <row r="15453" spans="1:1" x14ac:dyDescent="0.25">
      <c r="A15453" t="e">
        <v>#N/A</v>
      </c>
    </row>
    <row r="15454" spans="1:1" x14ac:dyDescent="0.25">
      <c r="A15454" t="e">
        <v>#N/A</v>
      </c>
    </row>
    <row r="15455" spans="1:1" x14ac:dyDescent="0.25">
      <c r="A15455" t="e">
        <v>#N/A</v>
      </c>
    </row>
    <row r="15456" spans="1:1" x14ac:dyDescent="0.25">
      <c r="A15456" t="e">
        <v>#N/A</v>
      </c>
    </row>
    <row r="15457" spans="1:1" x14ac:dyDescent="0.25">
      <c r="A15457" t="e">
        <v>#N/A</v>
      </c>
    </row>
    <row r="15458" spans="1:1" x14ac:dyDescent="0.25">
      <c r="A15458" t="e">
        <v>#N/A</v>
      </c>
    </row>
    <row r="15459" spans="1:1" x14ac:dyDescent="0.25">
      <c r="A15459" t="e">
        <v>#N/A</v>
      </c>
    </row>
    <row r="15460" spans="1:1" x14ac:dyDescent="0.25">
      <c r="A15460" t="e">
        <v>#N/A</v>
      </c>
    </row>
    <row r="15461" spans="1:1" x14ac:dyDescent="0.25">
      <c r="A15461" t="e">
        <v>#N/A</v>
      </c>
    </row>
    <row r="15462" spans="1:1" x14ac:dyDescent="0.25">
      <c r="A15462" t="e">
        <v>#N/A</v>
      </c>
    </row>
    <row r="15463" spans="1:1" x14ac:dyDescent="0.25">
      <c r="A15463" t="e">
        <v>#N/A</v>
      </c>
    </row>
    <row r="15464" spans="1:1" x14ac:dyDescent="0.25">
      <c r="A15464" t="e">
        <v>#N/A</v>
      </c>
    </row>
    <row r="15465" spans="1:1" x14ac:dyDescent="0.25">
      <c r="A15465" t="e">
        <v>#N/A</v>
      </c>
    </row>
    <row r="15466" spans="1:1" x14ac:dyDescent="0.25">
      <c r="A15466" t="e">
        <v>#N/A</v>
      </c>
    </row>
    <row r="15467" spans="1:1" x14ac:dyDescent="0.25">
      <c r="A15467" t="e">
        <v>#N/A</v>
      </c>
    </row>
    <row r="15468" spans="1:1" x14ac:dyDescent="0.25">
      <c r="A15468" t="e">
        <v>#N/A</v>
      </c>
    </row>
    <row r="15469" spans="1:1" x14ac:dyDescent="0.25">
      <c r="A15469" t="e">
        <v>#N/A</v>
      </c>
    </row>
    <row r="15470" spans="1:1" x14ac:dyDescent="0.25">
      <c r="A15470" t="e">
        <v>#N/A</v>
      </c>
    </row>
    <row r="15471" spans="1:1" x14ac:dyDescent="0.25">
      <c r="A15471" t="e">
        <v>#N/A</v>
      </c>
    </row>
    <row r="15472" spans="1:1" x14ac:dyDescent="0.25">
      <c r="A15472" t="e">
        <v>#N/A</v>
      </c>
    </row>
    <row r="15473" spans="1:1" x14ac:dyDescent="0.25">
      <c r="A15473" t="e">
        <v>#N/A</v>
      </c>
    </row>
    <row r="15474" spans="1:1" x14ac:dyDescent="0.25">
      <c r="A15474" t="e">
        <v>#N/A</v>
      </c>
    </row>
    <row r="15475" spans="1:1" x14ac:dyDescent="0.25">
      <c r="A15475" t="e">
        <v>#N/A</v>
      </c>
    </row>
    <row r="15476" spans="1:1" x14ac:dyDescent="0.25">
      <c r="A15476" t="e">
        <v>#N/A</v>
      </c>
    </row>
    <row r="15477" spans="1:1" x14ac:dyDescent="0.25">
      <c r="A15477" t="e">
        <v>#N/A</v>
      </c>
    </row>
    <row r="15478" spans="1:1" x14ac:dyDescent="0.25">
      <c r="A15478" t="e">
        <v>#N/A</v>
      </c>
    </row>
    <row r="15479" spans="1:1" x14ac:dyDescent="0.25">
      <c r="A15479" t="e">
        <v>#N/A</v>
      </c>
    </row>
    <row r="15480" spans="1:1" x14ac:dyDescent="0.25">
      <c r="A15480" t="e">
        <v>#N/A</v>
      </c>
    </row>
    <row r="15481" spans="1:1" x14ac:dyDescent="0.25">
      <c r="A15481" t="e">
        <v>#N/A</v>
      </c>
    </row>
    <row r="15482" spans="1:1" x14ac:dyDescent="0.25">
      <c r="A15482" t="e">
        <v>#N/A</v>
      </c>
    </row>
    <row r="15483" spans="1:1" x14ac:dyDescent="0.25">
      <c r="A15483" t="e">
        <v>#N/A</v>
      </c>
    </row>
    <row r="15484" spans="1:1" x14ac:dyDescent="0.25">
      <c r="A15484" t="e">
        <v>#N/A</v>
      </c>
    </row>
    <row r="15485" spans="1:1" x14ac:dyDescent="0.25">
      <c r="A15485" t="e">
        <v>#N/A</v>
      </c>
    </row>
    <row r="15486" spans="1:1" x14ac:dyDescent="0.25">
      <c r="A15486" t="e">
        <v>#N/A</v>
      </c>
    </row>
    <row r="15487" spans="1:1" x14ac:dyDescent="0.25">
      <c r="A15487" t="e">
        <v>#N/A</v>
      </c>
    </row>
    <row r="15488" spans="1:1" x14ac:dyDescent="0.25">
      <c r="A15488" t="e">
        <v>#N/A</v>
      </c>
    </row>
    <row r="15489" spans="1:1" x14ac:dyDescent="0.25">
      <c r="A15489" t="e">
        <v>#N/A</v>
      </c>
    </row>
    <row r="15490" spans="1:1" x14ac:dyDescent="0.25">
      <c r="A15490" t="e">
        <v>#N/A</v>
      </c>
    </row>
    <row r="15491" spans="1:1" x14ac:dyDescent="0.25">
      <c r="A15491" t="e">
        <v>#N/A</v>
      </c>
    </row>
    <row r="15492" spans="1:1" x14ac:dyDescent="0.25">
      <c r="A15492" t="e">
        <v>#N/A</v>
      </c>
    </row>
    <row r="15493" spans="1:1" x14ac:dyDescent="0.25">
      <c r="A15493" t="e">
        <v>#N/A</v>
      </c>
    </row>
    <row r="15494" spans="1:1" x14ac:dyDescent="0.25">
      <c r="A15494" t="e">
        <v>#N/A</v>
      </c>
    </row>
    <row r="15495" spans="1:1" x14ac:dyDescent="0.25">
      <c r="A15495" t="e">
        <v>#N/A</v>
      </c>
    </row>
    <row r="15496" spans="1:1" x14ac:dyDescent="0.25">
      <c r="A15496" t="e">
        <v>#N/A</v>
      </c>
    </row>
    <row r="15497" spans="1:1" x14ac:dyDescent="0.25">
      <c r="A15497" t="e">
        <v>#N/A</v>
      </c>
    </row>
    <row r="15498" spans="1:1" x14ac:dyDescent="0.25">
      <c r="A15498" t="e">
        <v>#N/A</v>
      </c>
    </row>
    <row r="15499" spans="1:1" x14ac:dyDescent="0.25">
      <c r="A15499" t="e">
        <v>#N/A</v>
      </c>
    </row>
    <row r="15500" spans="1:1" x14ac:dyDescent="0.25">
      <c r="A15500" t="e">
        <v>#N/A</v>
      </c>
    </row>
    <row r="15501" spans="1:1" x14ac:dyDescent="0.25">
      <c r="A15501" t="e">
        <v>#N/A</v>
      </c>
    </row>
    <row r="15502" spans="1:1" x14ac:dyDescent="0.25">
      <c r="A15502" t="e">
        <v>#N/A</v>
      </c>
    </row>
    <row r="15503" spans="1:1" x14ac:dyDescent="0.25">
      <c r="A15503" t="e">
        <v>#N/A</v>
      </c>
    </row>
    <row r="15504" spans="1:1" x14ac:dyDescent="0.25">
      <c r="A15504" t="e">
        <v>#N/A</v>
      </c>
    </row>
    <row r="15505" spans="1:1" x14ac:dyDescent="0.25">
      <c r="A15505" t="e">
        <v>#N/A</v>
      </c>
    </row>
    <row r="15506" spans="1:1" x14ac:dyDescent="0.25">
      <c r="A15506" t="e">
        <v>#N/A</v>
      </c>
    </row>
    <row r="15507" spans="1:1" x14ac:dyDescent="0.25">
      <c r="A15507" t="e">
        <v>#N/A</v>
      </c>
    </row>
    <row r="15508" spans="1:1" x14ac:dyDescent="0.25">
      <c r="A15508" t="e">
        <v>#N/A</v>
      </c>
    </row>
    <row r="15509" spans="1:1" x14ac:dyDescent="0.25">
      <c r="A15509" t="e">
        <v>#N/A</v>
      </c>
    </row>
    <row r="15510" spans="1:1" x14ac:dyDescent="0.25">
      <c r="A15510" t="e">
        <v>#N/A</v>
      </c>
    </row>
    <row r="15511" spans="1:1" x14ac:dyDescent="0.25">
      <c r="A15511" t="e">
        <v>#N/A</v>
      </c>
    </row>
    <row r="15512" spans="1:1" x14ac:dyDescent="0.25">
      <c r="A15512" t="e">
        <v>#N/A</v>
      </c>
    </row>
    <row r="15513" spans="1:1" x14ac:dyDescent="0.25">
      <c r="A15513" t="e">
        <v>#N/A</v>
      </c>
    </row>
    <row r="15514" spans="1:1" x14ac:dyDescent="0.25">
      <c r="A15514" t="e">
        <v>#N/A</v>
      </c>
    </row>
    <row r="15515" spans="1:1" x14ac:dyDescent="0.25">
      <c r="A15515" t="e">
        <v>#N/A</v>
      </c>
    </row>
    <row r="15516" spans="1:1" x14ac:dyDescent="0.25">
      <c r="A15516" t="e">
        <v>#N/A</v>
      </c>
    </row>
    <row r="15517" spans="1:1" x14ac:dyDescent="0.25">
      <c r="A15517" t="e">
        <v>#N/A</v>
      </c>
    </row>
    <row r="15518" spans="1:1" x14ac:dyDescent="0.25">
      <c r="A15518" t="e">
        <v>#N/A</v>
      </c>
    </row>
    <row r="15519" spans="1:1" x14ac:dyDescent="0.25">
      <c r="A15519" t="e">
        <v>#N/A</v>
      </c>
    </row>
    <row r="15520" spans="1:1" x14ac:dyDescent="0.25">
      <c r="A15520" t="e">
        <v>#N/A</v>
      </c>
    </row>
    <row r="15521" spans="1:1" x14ac:dyDescent="0.25">
      <c r="A15521" t="e">
        <v>#N/A</v>
      </c>
    </row>
    <row r="15522" spans="1:1" x14ac:dyDescent="0.25">
      <c r="A15522" t="e">
        <v>#N/A</v>
      </c>
    </row>
    <row r="15523" spans="1:1" x14ac:dyDescent="0.25">
      <c r="A15523" t="e">
        <v>#N/A</v>
      </c>
    </row>
    <row r="15524" spans="1:1" x14ac:dyDescent="0.25">
      <c r="A15524" t="e">
        <v>#N/A</v>
      </c>
    </row>
    <row r="15525" spans="1:1" x14ac:dyDescent="0.25">
      <c r="A15525" t="e">
        <v>#N/A</v>
      </c>
    </row>
    <row r="15526" spans="1:1" x14ac:dyDescent="0.25">
      <c r="A15526" t="e">
        <v>#N/A</v>
      </c>
    </row>
    <row r="15527" spans="1:1" x14ac:dyDescent="0.25">
      <c r="A15527" t="e">
        <v>#N/A</v>
      </c>
    </row>
    <row r="15528" spans="1:1" x14ac:dyDescent="0.25">
      <c r="A15528" t="e">
        <v>#N/A</v>
      </c>
    </row>
    <row r="15529" spans="1:1" x14ac:dyDescent="0.25">
      <c r="A15529" t="e">
        <v>#N/A</v>
      </c>
    </row>
    <row r="15530" spans="1:1" x14ac:dyDescent="0.25">
      <c r="A15530" t="e">
        <v>#N/A</v>
      </c>
    </row>
    <row r="15531" spans="1:1" x14ac:dyDescent="0.25">
      <c r="A15531" t="e">
        <v>#N/A</v>
      </c>
    </row>
    <row r="15532" spans="1:1" x14ac:dyDescent="0.25">
      <c r="A15532" t="e">
        <v>#N/A</v>
      </c>
    </row>
    <row r="15533" spans="1:1" x14ac:dyDescent="0.25">
      <c r="A15533" t="e">
        <v>#N/A</v>
      </c>
    </row>
    <row r="15534" spans="1:1" x14ac:dyDescent="0.25">
      <c r="A15534" t="e">
        <v>#N/A</v>
      </c>
    </row>
    <row r="15535" spans="1:1" x14ac:dyDescent="0.25">
      <c r="A15535" t="e">
        <v>#N/A</v>
      </c>
    </row>
    <row r="15536" spans="1:1" x14ac:dyDescent="0.25">
      <c r="A15536" t="e">
        <v>#N/A</v>
      </c>
    </row>
    <row r="15537" spans="1:1" x14ac:dyDescent="0.25">
      <c r="A15537" t="e">
        <v>#N/A</v>
      </c>
    </row>
    <row r="15538" spans="1:1" x14ac:dyDescent="0.25">
      <c r="A15538" t="e">
        <v>#N/A</v>
      </c>
    </row>
    <row r="15539" spans="1:1" x14ac:dyDescent="0.25">
      <c r="A15539" t="e">
        <v>#N/A</v>
      </c>
    </row>
    <row r="15540" spans="1:1" x14ac:dyDescent="0.25">
      <c r="A15540" t="e">
        <v>#N/A</v>
      </c>
    </row>
    <row r="15541" spans="1:1" x14ac:dyDescent="0.25">
      <c r="A15541" t="e">
        <v>#N/A</v>
      </c>
    </row>
    <row r="15542" spans="1:1" x14ac:dyDescent="0.25">
      <c r="A15542" t="e">
        <v>#N/A</v>
      </c>
    </row>
    <row r="15543" spans="1:1" x14ac:dyDescent="0.25">
      <c r="A15543" t="e">
        <v>#N/A</v>
      </c>
    </row>
    <row r="15544" spans="1:1" x14ac:dyDescent="0.25">
      <c r="A15544" t="e">
        <v>#N/A</v>
      </c>
    </row>
    <row r="15545" spans="1:1" x14ac:dyDescent="0.25">
      <c r="A15545" t="e">
        <v>#N/A</v>
      </c>
    </row>
    <row r="15546" spans="1:1" x14ac:dyDescent="0.25">
      <c r="A15546" t="e">
        <v>#N/A</v>
      </c>
    </row>
    <row r="15547" spans="1:1" x14ac:dyDescent="0.25">
      <c r="A15547" t="e">
        <v>#N/A</v>
      </c>
    </row>
    <row r="15548" spans="1:1" x14ac:dyDescent="0.25">
      <c r="A15548" t="e">
        <v>#N/A</v>
      </c>
    </row>
    <row r="15549" spans="1:1" x14ac:dyDescent="0.25">
      <c r="A15549" t="e">
        <v>#N/A</v>
      </c>
    </row>
    <row r="15550" spans="1:1" x14ac:dyDescent="0.25">
      <c r="A15550" t="e">
        <v>#N/A</v>
      </c>
    </row>
    <row r="15551" spans="1:1" x14ac:dyDescent="0.25">
      <c r="A15551" t="e">
        <v>#N/A</v>
      </c>
    </row>
    <row r="15552" spans="1:1" x14ac:dyDescent="0.25">
      <c r="A15552" t="e">
        <v>#N/A</v>
      </c>
    </row>
    <row r="15553" spans="1:1" x14ac:dyDescent="0.25">
      <c r="A15553" t="e">
        <v>#N/A</v>
      </c>
    </row>
    <row r="15554" spans="1:1" x14ac:dyDescent="0.25">
      <c r="A15554" t="e">
        <v>#N/A</v>
      </c>
    </row>
    <row r="15555" spans="1:1" x14ac:dyDescent="0.25">
      <c r="A15555" t="e">
        <v>#N/A</v>
      </c>
    </row>
    <row r="15556" spans="1:1" x14ac:dyDescent="0.25">
      <c r="A15556" t="e">
        <v>#N/A</v>
      </c>
    </row>
    <row r="15557" spans="1:1" x14ac:dyDescent="0.25">
      <c r="A15557" t="e">
        <v>#N/A</v>
      </c>
    </row>
    <row r="15558" spans="1:1" x14ac:dyDescent="0.25">
      <c r="A15558" t="e">
        <v>#N/A</v>
      </c>
    </row>
    <row r="15559" spans="1:1" x14ac:dyDescent="0.25">
      <c r="A15559" t="e">
        <v>#N/A</v>
      </c>
    </row>
    <row r="15560" spans="1:1" x14ac:dyDescent="0.25">
      <c r="A15560" t="e">
        <v>#N/A</v>
      </c>
    </row>
    <row r="15561" spans="1:1" x14ac:dyDescent="0.25">
      <c r="A15561" t="e">
        <v>#N/A</v>
      </c>
    </row>
    <row r="15562" spans="1:1" x14ac:dyDescent="0.25">
      <c r="A15562" t="e">
        <v>#N/A</v>
      </c>
    </row>
    <row r="15563" spans="1:1" x14ac:dyDescent="0.25">
      <c r="A15563" t="e">
        <v>#N/A</v>
      </c>
    </row>
    <row r="15564" spans="1:1" x14ac:dyDescent="0.25">
      <c r="A15564" t="e">
        <v>#N/A</v>
      </c>
    </row>
    <row r="15565" spans="1:1" x14ac:dyDescent="0.25">
      <c r="A15565" t="e">
        <v>#N/A</v>
      </c>
    </row>
    <row r="15566" spans="1:1" x14ac:dyDescent="0.25">
      <c r="A15566" t="e">
        <v>#N/A</v>
      </c>
    </row>
    <row r="15567" spans="1:1" x14ac:dyDescent="0.25">
      <c r="A15567" t="e">
        <v>#N/A</v>
      </c>
    </row>
    <row r="15568" spans="1:1" x14ac:dyDescent="0.25">
      <c r="A15568" t="e">
        <v>#N/A</v>
      </c>
    </row>
    <row r="15569" spans="1:1" x14ac:dyDescent="0.25">
      <c r="A15569" t="e">
        <v>#N/A</v>
      </c>
    </row>
    <row r="15570" spans="1:1" x14ac:dyDescent="0.25">
      <c r="A15570" t="e">
        <v>#N/A</v>
      </c>
    </row>
    <row r="15571" spans="1:1" x14ac:dyDescent="0.25">
      <c r="A15571" t="e">
        <v>#N/A</v>
      </c>
    </row>
    <row r="15572" spans="1:1" x14ac:dyDescent="0.25">
      <c r="A15572" t="e">
        <v>#N/A</v>
      </c>
    </row>
    <row r="15573" spans="1:1" x14ac:dyDescent="0.25">
      <c r="A15573" t="e">
        <v>#N/A</v>
      </c>
    </row>
    <row r="15574" spans="1:1" x14ac:dyDescent="0.25">
      <c r="A15574" t="e">
        <v>#N/A</v>
      </c>
    </row>
    <row r="15575" spans="1:1" x14ac:dyDescent="0.25">
      <c r="A15575" t="e">
        <v>#N/A</v>
      </c>
    </row>
    <row r="15576" spans="1:1" x14ac:dyDescent="0.25">
      <c r="A15576" t="e">
        <v>#N/A</v>
      </c>
    </row>
    <row r="15577" spans="1:1" x14ac:dyDescent="0.25">
      <c r="A15577" t="e">
        <v>#N/A</v>
      </c>
    </row>
    <row r="15578" spans="1:1" x14ac:dyDescent="0.25">
      <c r="A15578" t="e">
        <v>#N/A</v>
      </c>
    </row>
    <row r="15579" spans="1:1" x14ac:dyDescent="0.25">
      <c r="A15579" t="e">
        <v>#N/A</v>
      </c>
    </row>
    <row r="15580" spans="1:1" x14ac:dyDescent="0.25">
      <c r="A15580" t="e">
        <v>#N/A</v>
      </c>
    </row>
    <row r="15581" spans="1:1" x14ac:dyDescent="0.25">
      <c r="A15581" t="e">
        <v>#N/A</v>
      </c>
    </row>
    <row r="15582" spans="1:1" x14ac:dyDescent="0.25">
      <c r="A15582" t="e">
        <v>#N/A</v>
      </c>
    </row>
    <row r="15583" spans="1:1" x14ac:dyDescent="0.25">
      <c r="A15583" t="e">
        <v>#N/A</v>
      </c>
    </row>
    <row r="15584" spans="1:1" x14ac:dyDescent="0.25">
      <c r="A15584" t="e">
        <v>#N/A</v>
      </c>
    </row>
    <row r="15585" spans="1:1" x14ac:dyDescent="0.25">
      <c r="A15585" t="e">
        <v>#N/A</v>
      </c>
    </row>
    <row r="15586" spans="1:1" x14ac:dyDescent="0.25">
      <c r="A15586" t="e">
        <v>#N/A</v>
      </c>
    </row>
    <row r="15587" spans="1:1" x14ac:dyDescent="0.25">
      <c r="A15587" t="e">
        <v>#N/A</v>
      </c>
    </row>
    <row r="15588" spans="1:1" x14ac:dyDescent="0.25">
      <c r="A15588" t="e">
        <v>#N/A</v>
      </c>
    </row>
    <row r="15589" spans="1:1" x14ac:dyDescent="0.25">
      <c r="A15589" t="e">
        <v>#N/A</v>
      </c>
    </row>
    <row r="15590" spans="1:1" x14ac:dyDescent="0.25">
      <c r="A15590" t="e">
        <v>#N/A</v>
      </c>
    </row>
    <row r="15591" spans="1:1" x14ac:dyDescent="0.25">
      <c r="A15591" t="e">
        <v>#N/A</v>
      </c>
    </row>
    <row r="15592" spans="1:1" x14ac:dyDescent="0.25">
      <c r="A15592" t="e">
        <v>#N/A</v>
      </c>
    </row>
    <row r="15593" spans="1:1" x14ac:dyDescent="0.25">
      <c r="A15593" t="e">
        <v>#N/A</v>
      </c>
    </row>
    <row r="15594" spans="1:1" x14ac:dyDescent="0.25">
      <c r="A15594" t="e">
        <v>#N/A</v>
      </c>
    </row>
    <row r="15595" spans="1:1" x14ac:dyDescent="0.25">
      <c r="A15595" t="e">
        <v>#N/A</v>
      </c>
    </row>
    <row r="15596" spans="1:1" x14ac:dyDescent="0.25">
      <c r="A15596" t="e">
        <v>#N/A</v>
      </c>
    </row>
    <row r="15597" spans="1:1" x14ac:dyDescent="0.25">
      <c r="A15597" t="e">
        <v>#N/A</v>
      </c>
    </row>
    <row r="15598" spans="1:1" x14ac:dyDescent="0.25">
      <c r="A15598" t="e">
        <v>#N/A</v>
      </c>
    </row>
    <row r="15599" spans="1:1" x14ac:dyDescent="0.25">
      <c r="A15599" t="e">
        <v>#N/A</v>
      </c>
    </row>
    <row r="15600" spans="1:1" x14ac:dyDescent="0.25">
      <c r="A15600" t="e">
        <v>#N/A</v>
      </c>
    </row>
    <row r="15601" spans="1:1" x14ac:dyDescent="0.25">
      <c r="A15601" t="e">
        <v>#N/A</v>
      </c>
    </row>
    <row r="15602" spans="1:1" x14ac:dyDescent="0.25">
      <c r="A15602" t="e">
        <v>#N/A</v>
      </c>
    </row>
    <row r="15603" spans="1:1" x14ac:dyDescent="0.25">
      <c r="A15603" t="e">
        <v>#N/A</v>
      </c>
    </row>
    <row r="15604" spans="1:1" x14ac:dyDescent="0.25">
      <c r="A15604" t="e">
        <v>#N/A</v>
      </c>
    </row>
    <row r="15605" spans="1:1" x14ac:dyDescent="0.25">
      <c r="A15605" t="e">
        <v>#N/A</v>
      </c>
    </row>
    <row r="15606" spans="1:1" x14ac:dyDescent="0.25">
      <c r="A15606" t="e">
        <v>#N/A</v>
      </c>
    </row>
    <row r="15607" spans="1:1" x14ac:dyDescent="0.25">
      <c r="A15607" t="e">
        <v>#N/A</v>
      </c>
    </row>
    <row r="15608" spans="1:1" x14ac:dyDescent="0.25">
      <c r="A15608" t="e">
        <v>#N/A</v>
      </c>
    </row>
    <row r="15609" spans="1:1" x14ac:dyDescent="0.25">
      <c r="A15609" t="e">
        <v>#N/A</v>
      </c>
    </row>
    <row r="15610" spans="1:1" x14ac:dyDescent="0.25">
      <c r="A15610" t="e">
        <v>#N/A</v>
      </c>
    </row>
    <row r="15611" spans="1:1" x14ac:dyDescent="0.25">
      <c r="A15611" t="e">
        <v>#N/A</v>
      </c>
    </row>
    <row r="15612" spans="1:1" x14ac:dyDescent="0.25">
      <c r="A15612" t="e">
        <v>#N/A</v>
      </c>
    </row>
    <row r="15613" spans="1:1" x14ac:dyDescent="0.25">
      <c r="A15613" t="e">
        <v>#N/A</v>
      </c>
    </row>
    <row r="15614" spans="1:1" x14ac:dyDescent="0.25">
      <c r="A15614" t="e">
        <v>#N/A</v>
      </c>
    </row>
    <row r="15615" spans="1:1" x14ac:dyDescent="0.25">
      <c r="A15615" t="e">
        <v>#N/A</v>
      </c>
    </row>
    <row r="15616" spans="1:1" x14ac:dyDescent="0.25">
      <c r="A15616" t="e">
        <v>#N/A</v>
      </c>
    </row>
    <row r="15617" spans="1:1" x14ac:dyDescent="0.25">
      <c r="A15617" t="e">
        <v>#N/A</v>
      </c>
    </row>
    <row r="15618" spans="1:1" x14ac:dyDescent="0.25">
      <c r="A15618" t="e">
        <v>#N/A</v>
      </c>
    </row>
    <row r="15619" spans="1:1" x14ac:dyDescent="0.25">
      <c r="A15619" t="e">
        <v>#N/A</v>
      </c>
    </row>
    <row r="15620" spans="1:1" x14ac:dyDescent="0.25">
      <c r="A15620" t="e">
        <v>#N/A</v>
      </c>
    </row>
    <row r="15621" spans="1:1" x14ac:dyDescent="0.25">
      <c r="A15621" t="e">
        <v>#N/A</v>
      </c>
    </row>
    <row r="15622" spans="1:1" x14ac:dyDescent="0.25">
      <c r="A15622" t="e">
        <v>#N/A</v>
      </c>
    </row>
    <row r="15623" spans="1:1" x14ac:dyDescent="0.25">
      <c r="A15623" t="e">
        <v>#N/A</v>
      </c>
    </row>
    <row r="15624" spans="1:1" x14ac:dyDescent="0.25">
      <c r="A15624" t="e">
        <v>#N/A</v>
      </c>
    </row>
    <row r="15625" spans="1:1" x14ac:dyDescent="0.25">
      <c r="A15625" t="e">
        <v>#N/A</v>
      </c>
    </row>
    <row r="15626" spans="1:1" x14ac:dyDescent="0.25">
      <c r="A15626" t="e">
        <v>#N/A</v>
      </c>
    </row>
    <row r="15627" spans="1:1" x14ac:dyDescent="0.25">
      <c r="A15627" t="e">
        <v>#N/A</v>
      </c>
    </row>
    <row r="15628" spans="1:1" x14ac:dyDescent="0.25">
      <c r="A15628" t="e">
        <v>#N/A</v>
      </c>
    </row>
    <row r="15629" spans="1:1" x14ac:dyDescent="0.25">
      <c r="A15629" t="e">
        <v>#N/A</v>
      </c>
    </row>
    <row r="15630" spans="1:1" x14ac:dyDescent="0.25">
      <c r="A15630" t="e">
        <v>#N/A</v>
      </c>
    </row>
    <row r="15631" spans="1:1" x14ac:dyDescent="0.25">
      <c r="A15631" t="e">
        <v>#N/A</v>
      </c>
    </row>
    <row r="15632" spans="1:1" x14ac:dyDescent="0.25">
      <c r="A15632" t="e">
        <v>#N/A</v>
      </c>
    </row>
    <row r="15633" spans="1:1" x14ac:dyDescent="0.25">
      <c r="A15633" t="e">
        <v>#N/A</v>
      </c>
    </row>
    <row r="15634" spans="1:1" x14ac:dyDescent="0.25">
      <c r="A15634" t="e">
        <v>#N/A</v>
      </c>
    </row>
    <row r="15635" spans="1:1" x14ac:dyDescent="0.25">
      <c r="A15635" t="e">
        <v>#N/A</v>
      </c>
    </row>
    <row r="15636" spans="1:1" x14ac:dyDescent="0.25">
      <c r="A15636" t="e">
        <v>#N/A</v>
      </c>
    </row>
    <row r="15637" spans="1:1" x14ac:dyDescent="0.25">
      <c r="A15637" t="e">
        <v>#N/A</v>
      </c>
    </row>
    <row r="15638" spans="1:1" x14ac:dyDescent="0.25">
      <c r="A15638" t="e">
        <v>#N/A</v>
      </c>
    </row>
    <row r="15639" spans="1:1" x14ac:dyDescent="0.25">
      <c r="A15639" t="e">
        <v>#N/A</v>
      </c>
    </row>
    <row r="15640" spans="1:1" x14ac:dyDescent="0.25">
      <c r="A15640" t="e">
        <v>#N/A</v>
      </c>
    </row>
    <row r="15641" spans="1:1" x14ac:dyDescent="0.25">
      <c r="A15641" t="e">
        <v>#N/A</v>
      </c>
    </row>
    <row r="15642" spans="1:1" x14ac:dyDescent="0.25">
      <c r="A15642" t="e">
        <v>#N/A</v>
      </c>
    </row>
    <row r="15643" spans="1:1" x14ac:dyDescent="0.25">
      <c r="A15643" t="e">
        <v>#N/A</v>
      </c>
    </row>
    <row r="15644" spans="1:1" x14ac:dyDescent="0.25">
      <c r="A15644" t="e">
        <v>#N/A</v>
      </c>
    </row>
    <row r="15645" spans="1:1" x14ac:dyDescent="0.25">
      <c r="A15645" t="e">
        <v>#N/A</v>
      </c>
    </row>
    <row r="15646" spans="1:1" x14ac:dyDescent="0.25">
      <c r="A15646" t="e">
        <v>#N/A</v>
      </c>
    </row>
    <row r="15647" spans="1:1" x14ac:dyDescent="0.25">
      <c r="A15647" t="e">
        <v>#N/A</v>
      </c>
    </row>
    <row r="15648" spans="1:1" x14ac:dyDescent="0.25">
      <c r="A15648" t="e">
        <v>#N/A</v>
      </c>
    </row>
    <row r="15649" spans="1:1" x14ac:dyDescent="0.25">
      <c r="A15649" t="e">
        <v>#N/A</v>
      </c>
    </row>
    <row r="15650" spans="1:1" x14ac:dyDescent="0.25">
      <c r="A15650" t="e">
        <v>#N/A</v>
      </c>
    </row>
    <row r="15651" spans="1:1" x14ac:dyDescent="0.25">
      <c r="A15651" t="e">
        <v>#N/A</v>
      </c>
    </row>
    <row r="15652" spans="1:1" x14ac:dyDescent="0.25">
      <c r="A15652" t="e">
        <v>#N/A</v>
      </c>
    </row>
    <row r="15653" spans="1:1" x14ac:dyDescent="0.25">
      <c r="A15653" t="e">
        <v>#N/A</v>
      </c>
    </row>
    <row r="15654" spans="1:1" x14ac:dyDescent="0.25">
      <c r="A15654" t="e">
        <v>#N/A</v>
      </c>
    </row>
    <row r="15655" spans="1:1" x14ac:dyDescent="0.25">
      <c r="A15655" t="e">
        <v>#N/A</v>
      </c>
    </row>
    <row r="15656" spans="1:1" x14ac:dyDescent="0.25">
      <c r="A15656" t="e">
        <v>#N/A</v>
      </c>
    </row>
    <row r="15657" spans="1:1" x14ac:dyDescent="0.25">
      <c r="A15657" t="e">
        <v>#N/A</v>
      </c>
    </row>
    <row r="15658" spans="1:1" x14ac:dyDescent="0.25">
      <c r="A15658" t="e">
        <v>#N/A</v>
      </c>
    </row>
    <row r="15659" spans="1:1" x14ac:dyDescent="0.25">
      <c r="A15659" t="e">
        <v>#N/A</v>
      </c>
    </row>
    <row r="15660" spans="1:1" x14ac:dyDescent="0.25">
      <c r="A15660" t="e">
        <v>#N/A</v>
      </c>
    </row>
    <row r="15661" spans="1:1" x14ac:dyDescent="0.25">
      <c r="A15661" t="e">
        <v>#N/A</v>
      </c>
    </row>
    <row r="15662" spans="1:1" x14ac:dyDescent="0.25">
      <c r="A15662" t="e">
        <v>#N/A</v>
      </c>
    </row>
    <row r="15663" spans="1:1" x14ac:dyDescent="0.25">
      <c r="A15663" t="e">
        <v>#N/A</v>
      </c>
    </row>
    <row r="15664" spans="1:1" x14ac:dyDescent="0.25">
      <c r="A15664" t="e">
        <v>#N/A</v>
      </c>
    </row>
    <row r="15665" spans="1:1" x14ac:dyDescent="0.25">
      <c r="A15665" t="e">
        <v>#N/A</v>
      </c>
    </row>
    <row r="15666" spans="1:1" x14ac:dyDescent="0.25">
      <c r="A15666" t="e">
        <v>#N/A</v>
      </c>
    </row>
    <row r="15667" spans="1:1" x14ac:dyDescent="0.25">
      <c r="A15667" t="e">
        <v>#N/A</v>
      </c>
    </row>
    <row r="15668" spans="1:1" x14ac:dyDescent="0.25">
      <c r="A15668" t="e">
        <v>#N/A</v>
      </c>
    </row>
    <row r="15669" spans="1:1" x14ac:dyDescent="0.25">
      <c r="A15669" t="e">
        <v>#N/A</v>
      </c>
    </row>
    <row r="15670" spans="1:1" x14ac:dyDescent="0.25">
      <c r="A15670" t="e">
        <v>#N/A</v>
      </c>
    </row>
    <row r="15671" spans="1:1" x14ac:dyDescent="0.25">
      <c r="A15671" t="e">
        <v>#N/A</v>
      </c>
    </row>
    <row r="15672" spans="1:1" x14ac:dyDescent="0.25">
      <c r="A15672" t="e">
        <v>#N/A</v>
      </c>
    </row>
    <row r="15673" spans="1:1" x14ac:dyDescent="0.25">
      <c r="A15673" t="e">
        <v>#N/A</v>
      </c>
    </row>
    <row r="15674" spans="1:1" x14ac:dyDescent="0.25">
      <c r="A15674" t="e">
        <v>#N/A</v>
      </c>
    </row>
    <row r="15675" spans="1:1" x14ac:dyDescent="0.25">
      <c r="A15675" t="e">
        <v>#N/A</v>
      </c>
    </row>
    <row r="15676" spans="1:1" x14ac:dyDescent="0.25">
      <c r="A15676" t="e">
        <v>#N/A</v>
      </c>
    </row>
    <row r="15677" spans="1:1" x14ac:dyDescent="0.25">
      <c r="A15677" t="e">
        <v>#N/A</v>
      </c>
    </row>
    <row r="15678" spans="1:1" x14ac:dyDescent="0.25">
      <c r="A15678" t="e">
        <v>#N/A</v>
      </c>
    </row>
    <row r="15679" spans="1:1" x14ac:dyDescent="0.25">
      <c r="A15679" t="e">
        <v>#N/A</v>
      </c>
    </row>
    <row r="15680" spans="1:1" x14ac:dyDescent="0.25">
      <c r="A15680" t="e">
        <v>#N/A</v>
      </c>
    </row>
    <row r="15681" spans="1:1" x14ac:dyDescent="0.25">
      <c r="A15681" t="e">
        <v>#N/A</v>
      </c>
    </row>
    <row r="15682" spans="1:1" x14ac:dyDescent="0.25">
      <c r="A15682" t="e">
        <v>#N/A</v>
      </c>
    </row>
    <row r="15683" spans="1:1" x14ac:dyDescent="0.25">
      <c r="A15683" t="e">
        <v>#N/A</v>
      </c>
    </row>
    <row r="15684" spans="1:1" x14ac:dyDescent="0.25">
      <c r="A15684" t="e">
        <v>#N/A</v>
      </c>
    </row>
    <row r="15685" spans="1:1" x14ac:dyDescent="0.25">
      <c r="A15685" t="e">
        <v>#N/A</v>
      </c>
    </row>
    <row r="15686" spans="1:1" x14ac:dyDescent="0.25">
      <c r="A15686" t="e">
        <v>#N/A</v>
      </c>
    </row>
    <row r="15687" spans="1:1" x14ac:dyDescent="0.25">
      <c r="A15687" t="e">
        <v>#N/A</v>
      </c>
    </row>
    <row r="15688" spans="1:1" x14ac:dyDescent="0.25">
      <c r="A15688" t="e">
        <v>#N/A</v>
      </c>
    </row>
    <row r="15689" spans="1:1" x14ac:dyDescent="0.25">
      <c r="A15689" t="e">
        <v>#N/A</v>
      </c>
    </row>
    <row r="15690" spans="1:1" x14ac:dyDescent="0.25">
      <c r="A15690" t="e">
        <v>#N/A</v>
      </c>
    </row>
    <row r="15691" spans="1:1" x14ac:dyDescent="0.25">
      <c r="A15691" t="e">
        <v>#N/A</v>
      </c>
    </row>
    <row r="15692" spans="1:1" x14ac:dyDescent="0.25">
      <c r="A15692" t="e">
        <v>#N/A</v>
      </c>
    </row>
    <row r="15693" spans="1:1" x14ac:dyDescent="0.25">
      <c r="A15693" t="e">
        <v>#N/A</v>
      </c>
    </row>
    <row r="15694" spans="1:1" x14ac:dyDescent="0.25">
      <c r="A15694" t="e">
        <v>#N/A</v>
      </c>
    </row>
    <row r="15695" spans="1:1" x14ac:dyDescent="0.25">
      <c r="A15695" t="e">
        <v>#N/A</v>
      </c>
    </row>
    <row r="15696" spans="1:1" x14ac:dyDescent="0.25">
      <c r="A15696" t="e">
        <v>#N/A</v>
      </c>
    </row>
    <row r="15697" spans="1:1" x14ac:dyDescent="0.25">
      <c r="A15697" t="e">
        <v>#N/A</v>
      </c>
    </row>
    <row r="15698" spans="1:1" x14ac:dyDescent="0.25">
      <c r="A15698" t="e">
        <v>#N/A</v>
      </c>
    </row>
    <row r="15699" spans="1:1" x14ac:dyDescent="0.25">
      <c r="A15699" t="e">
        <v>#N/A</v>
      </c>
    </row>
    <row r="15700" spans="1:1" x14ac:dyDescent="0.25">
      <c r="A15700" t="e">
        <v>#N/A</v>
      </c>
    </row>
    <row r="15701" spans="1:1" x14ac:dyDescent="0.25">
      <c r="A15701" t="e">
        <v>#N/A</v>
      </c>
    </row>
    <row r="15702" spans="1:1" x14ac:dyDescent="0.25">
      <c r="A15702" t="e">
        <v>#N/A</v>
      </c>
    </row>
    <row r="15703" spans="1:1" x14ac:dyDescent="0.25">
      <c r="A15703" t="e">
        <v>#N/A</v>
      </c>
    </row>
    <row r="15704" spans="1:1" x14ac:dyDescent="0.25">
      <c r="A15704" t="e">
        <v>#N/A</v>
      </c>
    </row>
    <row r="15705" spans="1:1" x14ac:dyDescent="0.25">
      <c r="A15705" t="e">
        <v>#N/A</v>
      </c>
    </row>
    <row r="15706" spans="1:1" x14ac:dyDescent="0.25">
      <c r="A15706" t="e">
        <v>#N/A</v>
      </c>
    </row>
    <row r="15707" spans="1:1" x14ac:dyDescent="0.25">
      <c r="A15707" t="e">
        <v>#N/A</v>
      </c>
    </row>
    <row r="15708" spans="1:1" x14ac:dyDescent="0.25">
      <c r="A15708" t="e">
        <v>#N/A</v>
      </c>
    </row>
    <row r="15709" spans="1:1" x14ac:dyDescent="0.25">
      <c r="A15709" t="e">
        <v>#N/A</v>
      </c>
    </row>
    <row r="15710" spans="1:1" x14ac:dyDescent="0.25">
      <c r="A15710" t="e">
        <v>#N/A</v>
      </c>
    </row>
    <row r="15711" spans="1:1" x14ac:dyDescent="0.25">
      <c r="A15711" t="e">
        <v>#N/A</v>
      </c>
    </row>
    <row r="15712" spans="1:1" x14ac:dyDescent="0.25">
      <c r="A15712" t="e">
        <v>#N/A</v>
      </c>
    </row>
    <row r="15713" spans="1:1" x14ac:dyDescent="0.25">
      <c r="A15713" t="e">
        <v>#N/A</v>
      </c>
    </row>
    <row r="15714" spans="1:1" x14ac:dyDescent="0.25">
      <c r="A15714" t="e">
        <v>#N/A</v>
      </c>
    </row>
    <row r="15715" spans="1:1" x14ac:dyDescent="0.25">
      <c r="A15715" t="e">
        <v>#N/A</v>
      </c>
    </row>
    <row r="15716" spans="1:1" x14ac:dyDescent="0.25">
      <c r="A15716" t="e">
        <v>#N/A</v>
      </c>
    </row>
    <row r="15717" spans="1:1" x14ac:dyDescent="0.25">
      <c r="A15717" t="e">
        <v>#N/A</v>
      </c>
    </row>
    <row r="15718" spans="1:1" x14ac:dyDescent="0.25">
      <c r="A15718" t="e">
        <v>#N/A</v>
      </c>
    </row>
    <row r="15719" spans="1:1" x14ac:dyDescent="0.25">
      <c r="A15719" t="e">
        <v>#N/A</v>
      </c>
    </row>
    <row r="15720" spans="1:1" x14ac:dyDescent="0.25">
      <c r="A15720" t="e">
        <v>#N/A</v>
      </c>
    </row>
    <row r="15721" spans="1:1" x14ac:dyDescent="0.25">
      <c r="A15721" t="e">
        <v>#N/A</v>
      </c>
    </row>
    <row r="15722" spans="1:1" x14ac:dyDescent="0.25">
      <c r="A15722" t="e">
        <v>#N/A</v>
      </c>
    </row>
    <row r="15723" spans="1:1" x14ac:dyDescent="0.25">
      <c r="A15723" t="e">
        <v>#N/A</v>
      </c>
    </row>
    <row r="15724" spans="1:1" x14ac:dyDescent="0.25">
      <c r="A15724" t="e">
        <v>#N/A</v>
      </c>
    </row>
    <row r="15725" spans="1:1" x14ac:dyDescent="0.25">
      <c r="A15725" t="e">
        <v>#N/A</v>
      </c>
    </row>
    <row r="15726" spans="1:1" x14ac:dyDescent="0.25">
      <c r="A15726" t="e">
        <v>#N/A</v>
      </c>
    </row>
    <row r="15727" spans="1:1" x14ac:dyDescent="0.25">
      <c r="A15727" t="e">
        <v>#N/A</v>
      </c>
    </row>
    <row r="15728" spans="1:1" x14ac:dyDescent="0.25">
      <c r="A15728" t="e">
        <v>#N/A</v>
      </c>
    </row>
    <row r="15729" spans="1:1" x14ac:dyDescent="0.25">
      <c r="A15729" t="e">
        <v>#N/A</v>
      </c>
    </row>
    <row r="15730" spans="1:1" x14ac:dyDescent="0.25">
      <c r="A15730" t="e">
        <v>#N/A</v>
      </c>
    </row>
    <row r="15731" spans="1:1" x14ac:dyDescent="0.25">
      <c r="A15731" t="e">
        <v>#N/A</v>
      </c>
    </row>
    <row r="15732" spans="1:1" x14ac:dyDescent="0.25">
      <c r="A15732" t="e">
        <v>#N/A</v>
      </c>
    </row>
    <row r="15733" spans="1:1" x14ac:dyDescent="0.25">
      <c r="A15733" t="e">
        <v>#N/A</v>
      </c>
    </row>
    <row r="15734" spans="1:1" x14ac:dyDescent="0.25">
      <c r="A15734" t="e">
        <v>#N/A</v>
      </c>
    </row>
    <row r="15735" spans="1:1" x14ac:dyDescent="0.25">
      <c r="A15735" t="e">
        <v>#N/A</v>
      </c>
    </row>
    <row r="15736" spans="1:1" x14ac:dyDescent="0.25">
      <c r="A15736" t="e">
        <v>#N/A</v>
      </c>
    </row>
    <row r="15737" spans="1:1" x14ac:dyDescent="0.25">
      <c r="A15737" t="e">
        <v>#N/A</v>
      </c>
    </row>
    <row r="15738" spans="1:1" x14ac:dyDescent="0.25">
      <c r="A15738" t="e">
        <v>#N/A</v>
      </c>
    </row>
    <row r="15739" spans="1:1" x14ac:dyDescent="0.25">
      <c r="A15739" t="e">
        <v>#N/A</v>
      </c>
    </row>
    <row r="15740" spans="1:1" x14ac:dyDescent="0.25">
      <c r="A15740" t="e">
        <v>#N/A</v>
      </c>
    </row>
    <row r="15741" spans="1:1" x14ac:dyDescent="0.25">
      <c r="A15741" t="e">
        <v>#N/A</v>
      </c>
    </row>
    <row r="15742" spans="1:1" x14ac:dyDescent="0.25">
      <c r="A15742" t="e">
        <v>#N/A</v>
      </c>
    </row>
    <row r="15743" spans="1:1" x14ac:dyDescent="0.25">
      <c r="A15743" t="e">
        <v>#N/A</v>
      </c>
    </row>
    <row r="15744" spans="1:1" x14ac:dyDescent="0.25">
      <c r="A15744" t="e">
        <v>#N/A</v>
      </c>
    </row>
    <row r="15745" spans="1:1" x14ac:dyDescent="0.25">
      <c r="A15745" t="e">
        <v>#N/A</v>
      </c>
    </row>
    <row r="15746" spans="1:1" x14ac:dyDescent="0.25">
      <c r="A15746" t="e">
        <v>#N/A</v>
      </c>
    </row>
    <row r="15747" spans="1:1" x14ac:dyDescent="0.25">
      <c r="A15747" t="e">
        <v>#N/A</v>
      </c>
    </row>
    <row r="15748" spans="1:1" x14ac:dyDescent="0.25">
      <c r="A15748" t="e">
        <v>#N/A</v>
      </c>
    </row>
    <row r="15749" spans="1:1" x14ac:dyDescent="0.25">
      <c r="A15749" t="e">
        <v>#N/A</v>
      </c>
    </row>
    <row r="15750" spans="1:1" x14ac:dyDescent="0.25">
      <c r="A15750" t="e">
        <v>#N/A</v>
      </c>
    </row>
    <row r="15751" spans="1:1" x14ac:dyDescent="0.25">
      <c r="A15751" t="e">
        <v>#N/A</v>
      </c>
    </row>
    <row r="15752" spans="1:1" x14ac:dyDescent="0.25">
      <c r="A15752" t="e">
        <v>#N/A</v>
      </c>
    </row>
    <row r="15753" spans="1:1" x14ac:dyDescent="0.25">
      <c r="A15753" t="e">
        <v>#N/A</v>
      </c>
    </row>
    <row r="15754" spans="1:1" x14ac:dyDescent="0.25">
      <c r="A15754" t="e">
        <v>#N/A</v>
      </c>
    </row>
    <row r="15755" spans="1:1" x14ac:dyDescent="0.25">
      <c r="A15755" t="e">
        <v>#N/A</v>
      </c>
    </row>
    <row r="15756" spans="1:1" x14ac:dyDescent="0.25">
      <c r="A15756" t="e">
        <v>#N/A</v>
      </c>
    </row>
    <row r="15757" spans="1:1" x14ac:dyDescent="0.25">
      <c r="A15757" t="e">
        <v>#N/A</v>
      </c>
    </row>
    <row r="15758" spans="1:1" x14ac:dyDescent="0.25">
      <c r="A15758" t="e">
        <v>#N/A</v>
      </c>
    </row>
    <row r="15759" spans="1:1" x14ac:dyDescent="0.25">
      <c r="A15759" t="e">
        <v>#N/A</v>
      </c>
    </row>
    <row r="15760" spans="1:1" x14ac:dyDescent="0.25">
      <c r="A15760" t="e">
        <v>#N/A</v>
      </c>
    </row>
    <row r="15761" spans="1:1" x14ac:dyDescent="0.25">
      <c r="A15761" t="e">
        <v>#N/A</v>
      </c>
    </row>
    <row r="15762" spans="1:1" x14ac:dyDescent="0.25">
      <c r="A15762" t="e">
        <v>#N/A</v>
      </c>
    </row>
    <row r="15763" spans="1:1" x14ac:dyDescent="0.25">
      <c r="A15763" t="e">
        <v>#N/A</v>
      </c>
    </row>
    <row r="15764" spans="1:1" x14ac:dyDescent="0.25">
      <c r="A15764" t="e">
        <v>#N/A</v>
      </c>
    </row>
    <row r="15765" spans="1:1" x14ac:dyDescent="0.25">
      <c r="A15765" t="e">
        <v>#N/A</v>
      </c>
    </row>
    <row r="15766" spans="1:1" x14ac:dyDescent="0.25">
      <c r="A15766" t="e">
        <v>#N/A</v>
      </c>
    </row>
    <row r="15767" spans="1:1" x14ac:dyDescent="0.25">
      <c r="A15767" t="e">
        <v>#N/A</v>
      </c>
    </row>
    <row r="15768" spans="1:1" x14ac:dyDescent="0.25">
      <c r="A15768" t="e">
        <v>#N/A</v>
      </c>
    </row>
    <row r="15769" spans="1:1" x14ac:dyDescent="0.25">
      <c r="A15769" t="e">
        <v>#N/A</v>
      </c>
    </row>
    <row r="15770" spans="1:1" x14ac:dyDescent="0.25">
      <c r="A15770" t="e">
        <v>#N/A</v>
      </c>
    </row>
    <row r="15771" spans="1:1" x14ac:dyDescent="0.25">
      <c r="A15771" t="e">
        <v>#N/A</v>
      </c>
    </row>
    <row r="15772" spans="1:1" x14ac:dyDescent="0.25">
      <c r="A15772" t="e">
        <v>#N/A</v>
      </c>
    </row>
    <row r="15773" spans="1:1" x14ac:dyDescent="0.25">
      <c r="A15773" t="e">
        <v>#N/A</v>
      </c>
    </row>
    <row r="15774" spans="1:1" x14ac:dyDescent="0.25">
      <c r="A15774" t="e">
        <v>#N/A</v>
      </c>
    </row>
    <row r="15775" spans="1:1" x14ac:dyDescent="0.25">
      <c r="A15775" t="e">
        <v>#N/A</v>
      </c>
    </row>
    <row r="15776" spans="1:1" x14ac:dyDescent="0.25">
      <c r="A15776" t="e">
        <v>#N/A</v>
      </c>
    </row>
    <row r="15777" spans="1:1" x14ac:dyDescent="0.25">
      <c r="A15777" t="e">
        <v>#N/A</v>
      </c>
    </row>
    <row r="15778" spans="1:1" x14ac:dyDescent="0.25">
      <c r="A15778" t="e">
        <v>#N/A</v>
      </c>
    </row>
    <row r="15779" spans="1:1" x14ac:dyDescent="0.25">
      <c r="A15779" t="e">
        <v>#N/A</v>
      </c>
    </row>
    <row r="15780" spans="1:1" x14ac:dyDescent="0.25">
      <c r="A15780" t="e">
        <v>#N/A</v>
      </c>
    </row>
    <row r="15781" spans="1:1" x14ac:dyDescent="0.25">
      <c r="A15781" t="e">
        <v>#N/A</v>
      </c>
    </row>
    <row r="15782" spans="1:1" x14ac:dyDescent="0.25">
      <c r="A15782" t="e">
        <v>#N/A</v>
      </c>
    </row>
    <row r="15783" spans="1:1" x14ac:dyDescent="0.25">
      <c r="A15783" t="e">
        <v>#N/A</v>
      </c>
    </row>
    <row r="15784" spans="1:1" x14ac:dyDescent="0.25">
      <c r="A15784" t="e">
        <v>#N/A</v>
      </c>
    </row>
    <row r="15785" spans="1:1" x14ac:dyDescent="0.25">
      <c r="A15785" t="e">
        <v>#N/A</v>
      </c>
    </row>
    <row r="15786" spans="1:1" x14ac:dyDescent="0.25">
      <c r="A15786" t="e">
        <v>#N/A</v>
      </c>
    </row>
    <row r="15787" spans="1:1" x14ac:dyDescent="0.25">
      <c r="A15787" t="e">
        <v>#N/A</v>
      </c>
    </row>
    <row r="15788" spans="1:1" x14ac:dyDescent="0.25">
      <c r="A15788" t="e">
        <v>#N/A</v>
      </c>
    </row>
    <row r="15789" spans="1:1" x14ac:dyDescent="0.25">
      <c r="A15789" t="e">
        <v>#N/A</v>
      </c>
    </row>
    <row r="15790" spans="1:1" x14ac:dyDescent="0.25">
      <c r="A15790" t="e">
        <v>#N/A</v>
      </c>
    </row>
    <row r="15791" spans="1:1" x14ac:dyDescent="0.25">
      <c r="A15791" t="e">
        <v>#N/A</v>
      </c>
    </row>
    <row r="15792" spans="1:1" x14ac:dyDescent="0.25">
      <c r="A15792" t="e">
        <v>#N/A</v>
      </c>
    </row>
    <row r="15793" spans="1:1" x14ac:dyDescent="0.25">
      <c r="A15793" t="e">
        <v>#N/A</v>
      </c>
    </row>
    <row r="15794" spans="1:1" x14ac:dyDescent="0.25">
      <c r="A15794" t="e">
        <v>#N/A</v>
      </c>
    </row>
    <row r="15795" spans="1:1" x14ac:dyDescent="0.25">
      <c r="A15795" t="e">
        <v>#N/A</v>
      </c>
    </row>
    <row r="15796" spans="1:1" x14ac:dyDescent="0.25">
      <c r="A15796" t="e">
        <v>#N/A</v>
      </c>
    </row>
    <row r="15797" spans="1:1" x14ac:dyDescent="0.25">
      <c r="A15797" t="e">
        <v>#N/A</v>
      </c>
    </row>
    <row r="15798" spans="1:1" x14ac:dyDescent="0.25">
      <c r="A15798" t="e">
        <v>#N/A</v>
      </c>
    </row>
    <row r="15799" spans="1:1" x14ac:dyDescent="0.25">
      <c r="A15799" t="e">
        <v>#N/A</v>
      </c>
    </row>
    <row r="15800" spans="1:1" x14ac:dyDescent="0.25">
      <c r="A15800" t="e">
        <v>#N/A</v>
      </c>
    </row>
    <row r="15801" spans="1:1" x14ac:dyDescent="0.25">
      <c r="A15801" t="e">
        <v>#N/A</v>
      </c>
    </row>
    <row r="15802" spans="1:1" x14ac:dyDescent="0.25">
      <c r="A15802" t="e">
        <v>#N/A</v>
      </c>
    </row>
    <row r="15803" spans="1:1" x14ac:dyDescent="0.25">
      <c r="A15803" t="e">
        <v>#N/A</v>
      </c>
    </row>
    <row r="15804" spans="1:1" x14ac:dyDescent="0.25">
      <c r="A15804" t="e">
        <v>#N/A</v>
      </c>
    </row>
    <row r="15805" spans="1:1" x14ac:dyDescent="0.25">
      <c r="A15805" t="e">
        <v>#N/A</v>
      </c>
    </row>
    <row r="15806" spans="1:1" x14ac:dyDescent="0.25">
      <c r="A15806" t="e">
        <v>#N/A</v>
      </c>
    </row>
    <row r="15807" spans="1:1" x14ac:dyDescent="0.25">
      <c r="A15807" t="e">
        <v>#N/A</v>
      </c>
    </row>
    <row r="15808" spans="1:1" x14ac:dyDescent="0.25">
      <c r="A15808" t="e">
        <v>#N/A</v>
      </c>
    </row>
    <row r="15809" spans="1:1" x14ac:dyDescent="0.25">
      <c r="A15809" t="e">
        <v>#N/A</v>
      </c>
    </row>
    <row r="15810" spans="1:1" x14ac:dyDescent="0.25">
      <c r="A15810" t="e">
        <v>#N/A</v>
      </c>
    </row>
    <row r="15811" spans="1:1" x14ac:dyDescent="0.25">
      <c r="A15811" t="e">
        <v>#N/A</v>
      </c>
    </row>
    <row r="15812" spans="1:1" x14ac:dyDescent="0.25">
      <c r="A15812" t="e">
        <v>#N/A</v>
      </c>
    </row>
    <row r="15813" spans="1:1" x14ac:dyDescent="0.25">
      <c r="A15813" t="e">
        <v>#N/A</v>
      </c>
    </row>
    <row r="15814" spans="1:1" x14ac:dyDescent="0.25">
      <c r="A15814" t="e">
        <v>#N/A</v>
      </c>
    </row>
    <row r="15815" spans="1:1" x14ac:dyDescent="0.25">
      <c r="A15815" t="e">
        <v>#N/A</v>
      </c>
    </row>
    <row r="15816" spans="1:1" x14ac:dyDescent="0.25">
      <c r="A15816" t="e">
        <v>#N/A</v>
      </c>
    </row>
    <row r="15817" spans="1:1" x14ac:dyDescent="0.25">
      <c r="A15817" t="e">
        <v>#N/A</v>
      </c>
    </row>
    <row r="15818" spans="1:1" x14ac:dyDescent="0.25">
      <c r="A15818" t="e">
        <v>#N/A</v>
      </c>
    </row>
    <row r="15819" spans="1:1" x14ac:dyDescent="0.25">
      <c r="A15819" t="e">
        <v>#N/A</v>
      </c>
    </row>
    <row r="15820" spans="1:1" x14ac:dyDescent="0.25">
      <c r="A15820" t="e">
        <v>#N/A</v>
      </c>
    </row>
    <row r="15821" spans="1:1" x14ac:dyDescent="0.25">
      <c r="A15821" t="e">
        <v>#N/A</v>
      </c>
    </row>
    <row r="15822" spans="1:1" x14ac:dyDescent="0.25">
      <c r="A15822" t="e">
        <v>#N/A</v>
      </c>
    </row>
    <row r="15823" spans="1:1" x14ac:dyDescent="0.25">
      <c r="A15823" t="e">
        <v>#N/A</v>
      </c>
    </row>
    <row r="15824" spans="1:1" x14ac:dyDescent="0.25">
      <c r="A15824" t="e">
        <v>#N/A</v>
      </c>
    </row>
    <row r="15825" spans="1:1" x14ac:dyDescent="0.25">
      <c r="A15825" t="e">
        <v>#N/A</v>
      </c>
    </row>
    <row r="15826" spans="1:1" x14ac:dyDescent="0.25">
      <c r="A15826" t="e">
        <v>#N/A</v>
      </c>
    </row>
    <row r="15827" spans="1:1" x14ac:dyDescent="0.25">
      <c r="A15827" t="e">
        <v>#N/A</v>
      </c>
    </row>
    <row r="15828" spans="1:1" x14ac:dyDescent="0.25">
      <c r="A15828" t="e">
        <v>#N/A</v>
      </c>
    </row>
    <row r="15829" spans="1:1" x14ac:dyDescent="0.25">
      <c r="A15829" t="e">
        <v>#N/A</v>
      </c>
    </row>
    <row r="15830" spans="1:1" x14ac:dyDescent="0.25">
      <c r="A15830" t="e">
        <v>#N/A</v>
      </c>
    </row>
    <row r="15831" spans="1:1" x14ac:dyDescent="0.25">
      <c r="A15831" t="e">
        <v>#N/A</v>
      </c>
    </row>
    <row r="15832" spans="1:1" x14ac:dyDescent="0.25">
      <c r="A15832" t="e">
        <v>#N/A</v>
      </c>
    </row>
    <row r="15833" spans="1:1" x14ac:dyDescent="0.25">
      <c r="A15833" t="e">
        <v>#N/A</v>
      </c>
    </row>
    <row r="15834" spans="1:1" x14ac:dyDescent="0.25">
      <c r="A15834" t="e">
        <v>#N/A</v>
      </c>
    </row>
    <row r="15835" spans="1:1" x14ac:dyDescent="0.25">
      <c r="A15835" t="e">
        <v>#N/A</v>
      </c>
    </row>
    <row r="15836" spans="1:1" x14ac:dyDescent="0.25">
      <c r="A15836" t="e">
        <v>#N/A</v>
      </c>
    </row>
    <row r="15837" spans="1:1" x14ac:dyDescent="0.25">
      <c r="A15837" t="e">
        <v>#N/A</v>
      </c>
    </row>
    <row r="15838" spans="1:1" x14ac:dyDescent="0.25">
      <c r="A15838" t="e">
        <v>#N/A</v>
      </c>
    </row>
    <row r="15839" spans="1:1" x14ac:dyDescent="0.25">
      <c r="A15839" t="e">
        <v>#N/A</v>
      </c>
    </row>
    <row r="15840" spans="1:1" x14ac:dyDescent="0.25">
      <c r="A15840" t="e">
        <v>#N/A</v>
      </c>
    </row>
    <row r="15841" spans="1:1" x14ac:dyDescent="0.25">
      <c r="A15841" t="e">
        <v>#N/A</v>
      </c>
    </row>
    <row r="15842" spans="1:1" x14ac:dyDescent="0.25">
      <c r="A15842" t="e">
        <v>#N/A</v>
      </c>
    </row>
    <row r="15843" spans="1:1" x14ac:dyDescent="0.25">
      <c r="A15843" t="e">
        <v>#N/A</v>
      </c>
    </row>
    <row r="15844" spans="1:1" x14ac:dyDescent="0.25">
      <c r="A15844" t="e">
        <v>#N/A</v>
      </c>
    </row>
    <row r="15845" spans="1:1" x14ac:dyDescent="0.25">
      <c r="A15845" t="e">
        <v>#N/A</v>
      </c>
    </row>
    <row r="15846" spans="1:1" x14ac:dyDescent="0.25">
      <c r="A15846" t="e">
        <v>#N/A</v>
      </c>
    </row>
    <row r="15847" spans="1:1" x14ac:dyDescent="0.25">
      <c r="A15847" t="e">
        <v>#N/A</v>
      </c>
    </row>
    <row r="15848" spans="1:1" x14ac:dyDescent="0.25">
      <c r="A15848" t="e">
        <v>#N/A</v>
      </c>
    </row>
    <row r="15849" spans="1:1" x14ac:dyDescent="0.25">
      <c r="A15849" t="e">
        <v>#N/A</v>
      </c>
    </row>
    <row r="15850" spans="1:1" x14ac:dyDescent="0.25">
      <c r="A15850" t="e">
        <v>#N/A</v>
      </c>
    </row>
    <row r="15851" spans="1:1" x14ac:dyDescent="0.25">
      <c r="A15851" t="e">
        <v>#N/A</v>
      </c>
    </row>
    <row r="15852" spans="1:1" x14ac:dyDescent="0.25">
      <c r="A15852" t="e">
        <v>#N/A</v>
      </c>
    </row>
    <row r="15853" spans="1:1" x14ac:dyDescent="0.25">
      <c r="A15853" t="e">
        <v>#N/A</v>
      </c>
    </row>
    <row r="15854" spans="1:1" x14ac:dyDescent="0.25">
      <c r="A15854" t="e">
        <v>#N/A</v>
      </c>
    </row>
    <row r="15855" spans="1:1" x14ac:dyDescent="0.25">
      <c r="A15855" t="e">
        <v>#N/A</v>
      </c>
    </row>
    <row r="15856" spans="1:1" x14ac:dyDescent="0.25">
      <c r="A15856" t="e">
        <v>#N/A</v>
      </c>
    </row>
    <row r="15857" spans="1:1" x14ac:dyDescent="0.25">
      <c r="A15857" t="e">
        <v>#N/A</v>
      </c>
    </row>
    <row r="15858" spans="1:1" x14ac:dyDescent="0.25">
      <c r="A15858" t="e">
        <v>#N/A</v>
      </c>
    </row>
    <row r="15859" spans="1:1" x14ac:dyDescent="0.25">
      <c r="A15859" t="e">
        <v>#N/A</v>
      </c>
    </row>
    <row r="15860" spans="1:1" x14ac:dyDescent="0.25">
      <c r="A15860" t="e">
        <v>#N/A</v>
      </c>
    </row>
    <row r="15861" spans="1:1" x14ac:dyDescent="0.25">
      <c r="A15861" t="e">
        <v>#N/A</v>
      </c>
    </row>
    <row r="15862" spans="1:1" x14ac:dyDescent="0.25">
      <c r="A15862" t="e">
        <v>#N/A</v>
      </c>
    </row>
    <row r="15863" spans="1:1" x14ac:dyDescent="0.25">
      <c r="A15863" t="e">
        <v>#N/A</v>
      </c>
    </row>
    <row r="15864" spans="1:1" x14ac:dyDescent="0.25">
      <c r="A15864" t="e">
        <v>#N/A</v>
      </c>
    </row>
    <row r="15865" spans="1:1" x14ac:dyDescent="0.25">
      <c r="A15865" t="e">
        <v>#N/A</v>
      </c>
    </row>
    <row r="15866" spans="1:1" x14ac:dyDescent="0.25">
      <c r="A15866" t="e">
        <v>#N/A</v>
      </c>
    </row>
    <row r="15867" spans="1:1" x14ac:dyDescent="0.25">
      <c r="A15867" t="e">
        <v>#N/A</v>
      </c>
    </row>
    <row r="15868" spans="1:1" x14ac:dyDescent="0.25">
      <c r="A15868" t="e">
        <v>#N/A</v>
      </c>
    </row>
    <row r="15869" spans="1:1" x14ac:dyDescent="0.25">
      <c r="A15869" t="e">
        <v>#N/A</v>
      </c>
    </row>
    <row r="15870" spans="1:1" x14ac:dyDescent="0.25">
      <c r="A15870" t="e">
        <v>#N/A</v>
      </c>
    </row>
    <row r="15871" spans="1:1" x14ac:dyDescent="0.25">
      <c r="A15871" t="e">
        <v>#N/A</v>
      </c>
    </row>
    <row r="15872" spans="1:1" x14ac:dyDescent="0.25">
      <c r="A15872" t="e">
        <v>#N/A</v>
      </c>
    </row>
    <row r="15873" spans="1:1" x14ac:dyDescent="0.25">
      <c r="A15873" t="e">
        <v>#N/A</v>
      </c>
    </row>
    <row r="15874" spans="1:1" x14ac:dyDescent="0.25">
      <c r="A15874" t="e">
        <v>#N/A</v>
      </c>
    </row>
    <row r="15875" spans="1:1" x14ac:dyDescent="0.25">
      <c r="A15875" t="e">
        <v>#N/A</v>
      </c>
    </row>
    <row r="15876" spans="1:1" x14ac:dyDescent="0.25">
      <c r="A15876" t="e">
        <v>#N/A</v>
      </c>
    </row>
    <row r="15877" spans="1:1" x14ac:dyDescent="0.25">
      <c r="A15877" t="e">
        <v>#N/A</v>
      </c>
    </row>
    <row r="15878" spans="1:1" x14ac:dyDescent="0.25">
      <c r="A15878" t="e">
        <v>#N/A</v>
      </c>
    </row>
    <row r="15879" spans="1:1" x14ac:dyDescent="0.25">
      <c r="A15879" t="e">
        <v>#N/A</v>
      </c>
    </row>
    <row r="15880" spans="1:1" x14ac:dyDescent="0.25">
      <c r="A15880" t="e">
        <v>#N/A</v>
      </c>
    </row>
    <row r="15881" spans="1:1" x14ac:dyDescent="0.25">
      <c r="A15881" t="e">
        <v>#N/A</v>
      </c>
    </row>
    <row r="15882" spans="1:1" x14ac:dyDescent="0.25">
      <c r="A15882" t="e">
        <v>#N/A</v>
      </c>
    </row>
    <row r="15883" spans="1:1" x14ac:dyDescent="0.25">
      <c r="A15883" t="e">
        <v>#N/A</v>
      </c>
    </row>
    <row r="15884" spans="1:1" x14ac:dyDescent="0.25">
      <c r="A15884" t="e">
        <v>#N/A</v>
      </c>
    </row>
    <row r="15885" spans="1:1" x14ac:dyDescent="0.25">
      <c r="A15885" t="e">
        <v>#N/A</v>
      </c>
    </row>
    <row r="15886" spans="1:1" x14ac:dyDescent="0.25">
      <c r="A15886" t="e">
        <v>#N/A</v>
      </c>
    </row>
    <row r="15887" spans="1:1" x14ac:dyDescent="0.25">
      <c r="A15887" t="e">
        <v>#N/A</v>
      </c>
    </row>
    <row r="15888" spans="1:1" x14ac:dyDescent="0.25">
      <c r="A15888" t="e">
        <v>#N/A</v>
      </c>
    </row>
    <row r="15889" spans="1:1" x14ac:dyDescent="0.25">
      <c r="A15889" t="e">
        <v>#N/A</v>
      </c>
    </row>
    <row r="15890" spans="1:1" x14ac:dyDescent="0.25">
      <c r="A15890" t="e">
        <v>#N/A</v>
      </c>
    </row>
    <row r="15891" spans="1:1" x14ac:dyDescent="0.25">
      <c r="A15891" t="e">
        <v>#N/A</v>
      </c>
    </row>
    <row r="15892" spans="1:1" x14ac:dyDescent="0.25">
      <c r="A15892" t="e">
        <v>#N/A</v>
      </c>
    </row>
    <row r="15893" spans="1:1" x14ac:dyDescent="0.25">
      <c r="A15893" t="e">
        <v>#N/A</v>
      </c>
    </row>
    <row r="15894" spans="1:1" x14ac:dyDescent="0.25">
      <c r="A15894" t="e">
        <v>#N/A</v>
      </c>
    </row>
    <row r="15895" spans="1:1" x14ac:dyDescent="0.25">
      <c r="A15895" t="e">
        <v>#N/A</v>
      </c>
    </row>
    <row r="15896" spans="1:1" x14ac:dyDescent="0.25">
      <c r="A15896" t="e">
        <v>#N/A</v>
      </c>
    </row>
    <row r="15897" spans="1:1" x14ac:dyDescent="0.25">
      <c r="A15897" t="e">
        <v>#N/A</v>
      </c>
    </row>
    <row r="15898" spans="1:1" x14ac:dyDescent="0.25">
      <c r="A15898" t="e">
        <v>#N/A</v>
      </c>
    </row>
    <row r="15899" spans="1:1" x14ac:dyDescent="0.25">
      <c r="A15899" t="e">
        <v>#N/A</v>
      </c>
    </row>
    <row r="15900" spans="1:1" x14ac:dyDescent="0.25">
      <c r="A15900" t="e">
        <v>#N/A</v>
      </c>
    </row>
    <row r="15901" spans="1:1" x14ac:dyDescent="0.25">
      <c r="A15901" t="e">
        <v>#N/A</v>
      </c>
    </row>
    <row r="15902" spans="1:1" x14ac:dyDescent="0.25">
      <c r="A15902" t="e">
        <v>#N/A</v>
      </c>
    </row>
    <row r="15903" spans="1:1" x14ac:dyDescent="0.25">
      <c r="A15903" t="e">
        <v>#N/A</v>
      </c>
    </row>
    <row r="15904" spans="1:1" x14ac:dyDescent="0.25">
      <c r="A15904" t="e">
        <v>#N/A</v>
      </c>
    </row>
    <row r="15905" spans="1:1" x14ac:dyDescent="0.25">
      <c r="A15905" t="e">
        <v>#N/A</v>
      </c>
    </row>
    <row r="15906" spans="1:1" x14ac:dyDescent="0.25">
      <c r="A15906" t="e">
        <v>#N/A</v>
      </c>
    </row>
    <row r="15907" spans="1:1" x14ac:dyDescent="0.25">
      <c r="A15907" t="e">
        <v>#N/A</v>
      </c>
    </row>
    <row r="15908" spans="1:1" x14ac:dyDescent="0.25">
      <c r="A15908" t="e">
        <v>#N/A</v>
      </c>
    </row>
    <row r="15909" spans="1:1" x14ac:dyDescent="0.25">
      <c r="A15909" t="e">
        <v>#N/A</v>
      </c>
    </row>
    <row r="15910" spans="1:1" x14ac:dyDescent="0.25">
      <c r="A15910" t="e">
        <v>#N/A</v>
      </c>
    </row>
    <row r="15911" spans="1:1" x14ac:dyDescent="0.25">
      <c r="A15911" t="e">
        <v>#N/A</v>
      </c>
    </row>
    <row r="15912" spans="1:1" x14ac:dyDescent="0.25">
      <c r="A15912" t="e">
        <v>#N/A</v>
      </c>
    </row>
    <row r="15913" spans="1:1" x14ac:dyDescent="0.25">
      <c r="A15913" t="e">
        <v>#N/A</v>
      </c>
    </row>
    <row r="15914" spans="1:1" x14ac:dyDescent="0.25">
      <c r="A15914" t="e">
        <v>#N/A</v>
      </c>
    </row>
    <row r="15915" spans="1:1" x14ac:dyDescent="0.25">
      <c r="A15915" t="e">
        <v>#N/A</v>
      </c>
    </row>
    <row r="15916" spans="1:1" x14ac:dyDescent="0.25">
      <c r="A15916" t="e">
        <v>#N/A</v>
      </c>
    </row>
    <row r="15917" spans="1:1" x14ac:dyDescent="0.25">
      <c r="A15917" t="e">
        <v>#N/A</v>
      </c>
    </row>
    <row r="15918" spans="1:1" x14ac:dyDescent="0.25">
      <c r="A15918" t="e">
        <v>#N/A</v>
      </c>
    </row>
    <row r="15919" spans="1:1" x14ac:dyDescent="0.25">
      <c r="A15919" t="e">
        <v>#N/A</v>
      </c>
    </row>
    <row r="15920" spans="1:1" x14ac:dyDescent="0.25">
      <c r="A15920" t="e">
        <v>#N/A</v>
      </c>
    </row>
    <row r="15921" spans="1:1" x14ac:dyDescent="0.25">
      <c r="A15921" t="e">
        <v>#N/A</v>
      </c>
    </row>
    <row r="15922" spans="1:1" x14ac:dyDescent="0.25">
      <c r="A15922" t="e">
        <v>#N/A</v>
      </c>
    </row>
    <row r="15923" spans="1:1" x14ac:dyDescent="0.25">
      <c r="A15923" t="e">
        <v>#N/A</v>
      </c>
    </row>
    <row r="15924" spans="1:1" x14ac:dyDescent="0.25">
      <c r="A15924" t="e">
        <v>#N/A</v>
      </c>
    </row>
    <row r="15925" spans="1:1" x14ac:dyDescent="0.25">
      <c r="A15925" t="e">
        <v>#N/A</v>
      </c>
    </row>
    <row r="15926" spans="1:1" x14ac:dyDescent="0.25">
      <c r="A15926" t="e">
        <v>#N/A</v>
      </c>
    </row>
    <row r="15927" spans="1:1" x14ac:dyDescent="0.25">
      <c r="A15927" t="e">
        <v>#N/A</v>
      </c>
    </row>
    <row r="15928" spans="1:1" x14ac:dyDescent="0.25">
      <c r="A15928" t="e">
        <v>#N/A</v>
      </c>
    </row>
    <row r="15929" spans="1:1" x14ac:dyDescent="0.25">
      <c r="A15929" t="e">
        <v>#N/A</v>
      </c>
    </row>
    <row r="15930" spans="1:1" x14ac:dyDescent="0.25">
      <c r="A15930" t="e">
        <v>#N/A</v>
      </c>
    </row>
    <row r="15931" spans="1:1" x14ac:dyDescent="0.25">
      <c r="A15931" t="e">
        <v>#N/A</v>
      </c>
    </row>
    <row r="15932" spans="1:1" x14ac:dyDescent="0.25">
      <c r="A15932" t="e">
        <v>#N/A</v>
      </c>
    </row>
    <row r="15933" spans="1:1" x14ac:dyDescent="0.25">
      <c r="A15933" t="e">
        <v>#N/A</v>
      </c>
    </row>
    <row r="15934" spans="1:1" x14ac:dyDescent="0.25">
      <c r="A15934" t="e">
        <v>#N/A</v>
      </c>
    </row>
    <row r="15935" spans="1:1" x14ac:dyDescent="0.25">
      <c r="A15935" t="e">
        <v>#N/A</v>
      </c>
    </row>
    <row r="15936" spans="1:1" x14ac:dyDescent="0.25">
      <c r="A15936" t="e">
        <v>#N/A</v>
      </c>
    </row>
    <row r="15937" spans="1:1" x14ac:dyDescent="0.25">
      <c r="A15937" t="e">
        <v>#N/A</v>
      </c>
    </row>
    <row r="15938" spans="1:1" x14ac:dyDescent="0.25">
      <c r="A15938" t="e">
        <v>#N/A</v>
      </c>
    </row>
    <row r="15939" spans="1:1" x14ac:dyDescent="0.25">
      <c r="A15939" t="e">
        <v>#N/A</v>
      </c>
    </row>
    <row r="15940" spans="1:1" x14ac:dyDescent="0.25">
      <c r="A15940" t="e">
        <v>#N/A</v>
      </c>
    </row>
    <row r="15941" spans="1:1" x14ac:dyDescent="0.25">
      <c r="A15941" t="e">
        <v>#N/A</v>
      </c>
    </row>
    <row r="15942" spans="1:1" x14ac:dyDescent="0.25">
      <c r="A15942" t="e">
        <v>#N/A</v>
      </c>
    </row>
    <row r="15943" spans="1:1" x14ac:dyDescent="0.25">
      <c r="A15943" t="e">
        <v>#N/A</v>
      </c>
    </row>
    <row r="15944" spans="1:1" x14ac:dyDescent="0.25">
      <c r="A15944" t="e">
        <v>#N/A</v>
      </c>
    </row>
    <row r="15945" spans="1:1" x14ac:dyDescent="0.25">
      <c r="A15945" t="e">
        <v>#N/A</v>
      </c>
    </row>
    <row r="15946" spans="1:1" x14ac:dyDescent="0.25">
      <c r="A15946" t="e">
        <v>#N/A</v>
      </c>
    </row>
    <row r="15947" spans="1:1" x14ac:dyDescent="0.25">
      <c r="A15947" t="e">
        <v>#N/A</v>
      </c>
    </row>
    <row r="15948" spans="1:1" x14ac:dyDescent="0.25">
      <c r="A15948" t="e">
        <v>#N/A</v>
      </c>
    </row>
    <row r="15949" spans="1:1" x14ac:dyDescent="0.25">
      <c r="A15949" t="e">
        <v>#N/A</v>
      </c>
    </row>
    <row r="15950" spans="1:1" x14ac:dyDescent="0.25">
      <c r="A15950" t="e">
        <v>#N/A</v>
      </c>
    </row>
    <row r="15951" spans="1:1" x14ac:dyDescent="0.25">
      <c r="A15951" t="e">
        <v>#N/A</v>
      </c>
    </row>
    <row r="15952" spans="1:1" x14ac:dyDescent="0.25">
      <c r="A15952" t="e">
        <v>#N/A</v>
      </c>
    </row>
    <row r="15953" spans="1:1" x14ac:dyDescent="0.25">
      <c r="A15953" t="e">
        <v>#N/A</v>
      </c>
    </row>
    <row r="15954" spans="1:1" x14ac:dyDescent="0.25">
      <c r="A15954" t="e">
        <v>#N/A</v>
      </c>
    </row>
    <row r="15955" spans="1:1" x14ac:dyDescent="0.25">
      <c r="A15955" t="e">
        <v>#N/A</v>
      </c>
    </row>
    <row r="15956" spans="1:1" x14ac:dyDescent="0.25">
      <c r="A15956" t="e">
        <v>#N/A</v>
      </c>
    </row>
    <row r="15957" spans="1:1" x14ac:dyDescent="0.25">
      <c r="A15957" t="e">
        <v>#N/A</v>
      </c>
    </row>
    <row r="15958" spans="1:1" x14ac:dyDescent="0.25">
      <c r="A15958" t="e">
        <v>#N/A</v>
      </c>
    </row>
    <row r="15959" spans="1:1" x14ac:dyDescent="0.25">
      <c r="A15959" t="e">
        <v>#N/A</v>
      </c>
    </row>
    <row r="15960" spans="1:1" x14ac:dyDescent="0.25">
      <c r="A15960" t="e">
        <v>#N/A</v>
      </c>
    </row>
    <row r="15961" spans="1:1" x14ac:dyDescent="0.25">
      <c r="A15961" t="e">
        <v>#N/A</v>
      </c>
    </row>
    <row r="15962" spans="1:1" x14ac:dyDescent="0.25">
      <c r="A15962" t="e">
        <v>#N/A</v>
      </c>
    </row>
    <row r="15963" spans="1:1" x14ac:dyDescent="0.25">
      <c r="A15963" t="e">
        <v>#N/A</v>
      </c>
    </row>
    <row r="15964" spans="1:1" x14ac:dyDescent="0.25">
      <c r="A15964" t="e">
        <v>#N/A</v>
      </c>
    </row>
    <row r="15965" spans="1:1" x14ac:dyDescent="0.25">
      <c r="A15965" t="e">
        <v>#N/A</v>
      </c>
    </row>
    <row r="15966" spans="1:1" x14ac:dyDescent="0.25">
      <c r="A15966" t="e">
        <v>#N/A</v>
      </c>
    </row>
    <row r="15967" spans="1:1" x14ac:dyDescent="0.25">
      <c r="A15967" t="e">
        <v>#N/A</v>
      </c>
    </row>
    <row r="15968" spans="1:1" x14ac:dyDescent="0.25">
      <c r="A15968" t="e">
        <v>#N/A</v>
      </c>
    </row>
    <row r="15969" spans="1:1" x14ac:dyDescent="0.25">
      <c r="A15969" t="e">
        <v>#N/A</v>
      </c>
    </row>
    <row r="15970" spans="1:1" x14ac:dyDescent="0.25">
      <c r="A15970" t="e">
        <v>#N/A</v>
      </c>
    </row>
    <row r="15971" spans="1:1" x14ac:dyDescent="0.25">
      <c r="A15971" t="e">
        <v>#N/A</v>
      </c>
    </row>
    <row r="15972" spans="1:1" x14ac:dyDescent="0.25">
      <c r="A15972" t="e">
        <v>#N/A</v>
      </c>
    </row>
    <row r="15973" spans="1:1" x14ac:dyDescent="0.25">
      <c r="A15973" t="e">
        <v>#N/A</v>
      </c>
    </row>
    <row r="15974" spans="1:1" x14ac:dyDescent="0.25">
      <c r="A15974" t="e">
        <v>#N/A</v>
      </c>
    </row>
    <row r="15975" spans="1:1" x14ac:dyDescent="0.25">
      <c r="A15975" t="e">
        <v>#N/A</v>
      </c>
    </row>
    <row r="15976" spans="1:1" x14ac:dyDescent="0.25">
      <c r="A15976" t="e">
        <v>#N/A</v>
      </c>
    </row>
    <row r="15977" spans="1:1" x14ac:dyDescent="0.25">
      <c r="A15977" t="e">
        <v>#N/A</v>
      </c>
    </row>
    <row r="15978" spans="1:1" x14ac:dyDescent="0.25">
      <c r="A15978" t="e">
        <v>#N/A</v>
      </c>
    </row>
    <row r="15979" spans="1:1" x14ac:dyDescent="0.25">
      <c r="A15979" t="e">
        <v>#N/A</v>
      </c>
    </row>
    <row r="15980" spans="1:1" x14ac:dyDescent="0.25">
      <c r="A15980" t="e">
        <v>#N/A</v>
      </c>
    </row>
    <row r="15981" spans="1:1" x14ac:dyDescent="0.25">
      <c r="A15981" t="e">
        <v>#N/A</v>
      </c>
    </row>
    <row r="15982" spans="1:1" x14ac:dyDescent="0.25">
      <c r="A15982" t="e">
        <v>#N/A</v>
      </c>
    </row>
    <row r="15983" spans="1:1" x14ac:dyDescent="0.25">
      <c r="A15983" t="e">
        <v>#N/A</v>
      </c>
    </row>
    <row r="15984" spans="1:1" x14ac:dyDescent="0.25">
      <c r="A15984" t="e">
        <v>#N/A</v>
      </c>
    </row>
    <row r="15985" spans="1:1" x14ac:dyDescent="0.25">
      <c r="A15985" t="e">
        <v>#N/A</v>
      </c>
    </row>
    <row r="15986" spans="1:1" x14ac:dyDescent="0.25">
      <c r="A15986" t="e">
        <v>#N/A</v>
      </c>
    </row>
    <row r="15987" spans="1:1" x14ac:dyDescent="0.25">
      <c r="A15987" t="e">
        <v>#N/A</v>
      </c>
    </row>
    <row r="15988" spans="1:1" x14ac:dyDescent="0.25">
      <c r="A15988" t="e">
        <v>#N/A</v>
      </c>
    </row>
    <row r="15989" spans="1:1" x14ac:dyDescent="0.25">
      <c r="A15989" t="e">
        <v>#N/A</v>
      </c>
    </row>
    <row r="15990" spans="1:1" x14ac:dyDescent="0.25">
      <c r="A15990" t="e">
        <v>#N/A</v>
      </c>
    </row>
    <row r="15991" spans="1:1" x14ac:dyDescent="0.25">
      <c r="A15991" t="e">
        <v>#N/A</v>
      </c>
    </row>
    <row r="15992" spans="1:1" x14ac:dyDescent="0.25">
      <c r="A15992" t="e">
        <v>#N/A</v>
      </c>
    </row>
    <row r="15993" spans="1:1" x14ac:dyDescent="0.25">
      <c r="A15993" t="e">
        <v>#N/A</v>
      </c>
    </row>
    <row r="15994" spans="1:1" x14ac:dyDescent="0.25">
      <c r="A15994" t="e">
        <v>#N/A</v>
      </c>
    </row>
    <row r="15995" spans="1:1" x14ac:dyDescent="0.25">
      <c r="A15995" t="e">
        <v>#N/A</v>
      </c>
    </row>
    <row r="15996" spans="1:1" x14ac:dyDescent="0.25">
      <c r="A15996" t="e">
        <v>#N/A</v>
      </c>
    </row>
    <row r="15997" spans="1:1" x14ac:dyDescent="0.25">
      <c r="A15997" t="e">
        <v>#N/A</v>
      </c>
    </row>
    <row r="15998" spans="1:1" x14ac:dyDescent="0.25">
      <c r="A15998" t="e">
        <v>#N/A</v>
      </c>
    </row>
    <row r="15999" spans="1:1" x14ac:dyDescent="0.25">
      <c r="A15999" t="e">
        <v>#N/A</v>
      </c>
    </row>
    <row r="16000" spans="1:1" x14ac:dyDescent="0.25">
      <c r="A16000" t="e">
        <v>#N/A</v>
      </c>
    </row>
    <row r="16001" spans="1:1" x14ac:dyDescent="0.25">
      <c r="A16001" t="e">
        <v>#N/A</v>
      </c>
    </row>
    <row r="16002" spans="1:1" x14ac:dyDescent="0.25">
      <c r="A16002" t="e">
        <v>#N/A</v>
      </c>
    </row>
    <row r="16003" spans="1:1" x14ac:dyDescent="0.25">
      <c r="A16003" t="e">
        <v>#N/A</v>
      </c>
    </row>
    <row r="16004" spans="1:1" x14ac:dyDescent="0.25">
      <c r="A16004" t="e">
        <v>#N/A</v>
      </c>
    </row>
    <row r="16005" spans="1:1" x14ac:dyDescent="0.25">
      <c r="A16005" t="e">
        <v>#N/A</v>
      </c>
    </row>
    <row r="16006" spans="1:1" x14ac:dyDescent="0.25">
      <c r="A16006" t="e">
        <v>#N/A</v>
      </c>
    </row>
    <row r="16007" spans="1:1" x14ac:dyDescent="0.25">
      <c r="A16007" t="e">
        <v>#N/A</v>
      </c>
    </row>
    <row r="16008" spans="1:1" x14ac:dyDescent="0.25">
      <c r="A16008" t="e">
        <v>#N/A</v>
      </c>
    </row>
    <row r="16009" spans="1:1" x14ac:dyDescent="0.25">
      <c r="A16009" t="e">
        <v>#N/A</v>
      </c>
    </row>
    <row r="16010" spans="1:1" x14ac:dyDescent="0.25">
      <c r="A16010" t="e">
        <v>#N/A</v>
      </c>
    </row>
    <row r="16011" spans="1:1" x14ac:dyDescent="0.25">
      <c r="A16011" t="e">
        <v>#N/A</v>
      </c>
    </row>
    <row r="16012" spans="1:1" x14ac:dyDescent="0.25">
      <c r="A16012" t="e">
        <v>#N/A</v>
      </c>
    </row>
    <row r="16013" spans="1:1" x14ac:dyDescent="0.25">
      <c r="A16013" t="e">
        <v>#N/A</v>
      </c>
    </row>
    <row r="16014" spans="1:1" x14ac:dyDescent="0.25">
      <c r="A16014" t="e">
        <v>#N/A</v>
      </c>
    </row>
    <row r="16015" spans="1:1" x14ac:dyDescent="0.25">
      <c r="A16015" t="e">
        <v>#N/A</v>
      </c>
    </row>
    <row r="16016" spans="1:1" x14ac:dyDescent="0.25">
      <c r="A16016" t="e">
        <v>#N/A</v>
      </c>
    </row>
    <row r="16017" spans="1:1" x14ac:dyDescent="0.25">
      <c r="A16017" t="e">
        <v>#N/A</v>
      </c>
    </row>
    <row r="16018" spans="1:1" x14ac:dyDescent="0.25">
      <c r="A16018" t="e">
        <v>#N/A</v>
      </c>
    </row>
    <row r="16019" spans="1:1" x14ac:dyDescent="0.25">
      <c r="A16019" t="e">
        <v>#N/A</v>
      </c>
    </row>
    <row r="16020" spans="1:1" x14ac:dyDescent="0.25">
      <c r="A16020" t="e">
        <v>#N/A</v>
      </c>
    </row>
    <row r="16021" spans="1:1" x14ac:dyDescent="0.25">
      <c r="A16021" t="e">
        <v>#N/A</v>
      </c>
    </row>
    <row r="16022" spans="1:1" x14ac:dyDescent="0.25">
      <c r="A16022" t="e">
        <v>#N/A</v>
      </c>
    </row>
    <row r="16023" spans="1:1" x14ac:dyDescent="0.25">
      <c r="A16023" t="e">
        <v>#N/A</v>
      </c>
    </row>
    <row r="16024" spans="1:1" x14ac:dyDescent="0.25">
      <c r="A16024" t="e">
        <v>#N/A</v>
      </c>
    </row>
    <row r="16025" spans="1:1" x14ac:dyDescent="0.25">
      <c r="A16025" t="e">
        <v>#N/A</v>
      </c>
    </row>
    <row r="16026" spans="1:1" x14ac:dyDescent="0.25">
      <c r="A16026" t="e">
        <v>#N/A</v>
      </c>
    </row>
    <row r="16027" spans="1:1" x14ac:dyDescent="0.25">
      <c r="A16027" t="e">
        <v>#N/A</v>
      </c>
    </row>
    <row r="16028" spans="1:1" x14ac:dyDescent="0.25">
      <c r="A16028" t="e">
        <v>#N/A</v>
      </c>
    </row>
    <row r="16029" spans="1:1" x14ac:dyDescent="0.25">
      <c r="A16029" t="e">
        <v>#N/A</v>
      </c>
    </row>
    <row r="16030" spans="1:1" x14ac:dyDescent="0.25">
      <c r="A16030" t="e">
        <v>#N/A</v>
      </c>
    </row>
    <row r="16031" spans="1:1" x14ac:dyDescent="0.25">
      <c r="A16031" t="e">
        <v>#N/A</v>
      </c>
    </row>
    <row r="16032" spans="1:1" x14ac:dyDescent="0.25">
      <c r="A16032" t="e">
        <v>#N/A</v>
      </c>
    </row>
    <row r="16033" spans="1:1" x14ac:dyDescent="0.25">
      <c r="A16033" t="e">
        <v>#N/A</v>
      </c>
    </row>
    <row r="16034" spans="1:1" x14ac:dyDescent="0.25">
      <c r="A16034" t="e">
        <v>#N/A</v>
      </c>
    </row>
    <row r="16035" spans="1:1" x14ac:dyDescent="0.25">
      <c r="A16035" t="e">
        <v>#N/A</v>
      </c>
    </row>
    <row r="16036" spans="1:1" x14ac:dyDescent="0.25">
      <c r="A16036" t="e">
        <v>#N/A</v>
      </c>
    </row>
    <row r="16037" spans="1:1" x14ac:dyDescent="0.25">
      <c r="A16037" t="e">
        <v>#N/A</v>
      </c>
    </row>
    <row r="16038" spans="1:1" x14ac:dyDescent="0.25">
      <c r="A16038" t="e">
        <v>#N/A</v>
      </c>
    </row>
    <row r="16039" spans="1:1" x14ac:dyDescent="0.25">
      <c r="A16039" t="e">
        <v>#N/A</v>
      </c>
    </row>
    <row r="16040" spans="1:1" x14ac:dyDescent="0.25">
      <c r="A16040" t="e">
        <v>#N/A</v>
      </c>
    </row>
    <row r="16041" spans="1:1" x14ac:dyDescent="0.25">
      <c r="A16041" t="e">
        <v>#N/A</v>
      </c>
    </row>
    <row r="16042" spans="1:1" x14ac:dyDescent="0.25">
      <c r="A16042" t="e">
        <v>#N/A</v>
      </c>
    </row>
    <row r="16043" spans="1:1" x14ac:dyDescent="0.25">
      <c r="A16043" t="e">
        <v>#N/A</v>
      </c>
    </row>
    <row r="16044" spans="1:1" x14ac:dyDescent="0.25">
      <c r="A16044" t="e">
        <v>#N/A</v>
      </c>
    </row>
    <row r="16045" spans="1:1" x14ac:dyDescent="0.25">
      <c r="A16045" t="e">
        <v>#N/A</v>
      </c>
    </row>
    <row r="16046" spans="1:1" x14ac:dyDescent="0.25">
      <c r="A16046" t="e">
        <v>#N/A</v>
      </c>
    </row>
    <row r="16047" spans="1:1" x14ac:dyDescent="0.25">
      <c r="A16047" t="e">
        <v>#N/A</v>
      </c>
    </row>
    <row r="16048" spans="1:1" x14ac:dyDescent="0.25">
      <c r="A16048" t="e">
        <v>#N/A</v>
      </c>
    </row>
    <row r="16049" spans="1:1" x14ac:dyDescent="0.25">
      <c r="A16049" t="e">
        <v>#N/A</v>
      </c>
    </row>
    <row r="16050" spans="1:1" x14ac:dyDescent="0.25">
      <c r="A16050" t="e">
        <v>#N/A</v>
      </c>
    </row>
    <row r="16051" spans="1:1" x14ac:dyDescent="0.25">
      <c r="A16051" t="e">
        <v>#N/A</v>
      </c>
    </row>
    <row r="16052" spans="1:1" x14ac:dyDescent="0.25">
      <c r="A16052" t="e">
        <v>#N/A</v>
      </c>
    </row>
    <row r="16053" spans="1:1" x14ac:dyDescent="0.25">
      <c r="A16053" t="e">
        <v>#N/A</v>
      </c>
    </row>
    <row r="16054" spans="1:1" x14ac:dyDescent="0.25">
      <c r="A16054" t="e">
        <v>#N/A</v>
      </c>
    </row>
    <row r="16055" spans="1:1" x14ac:dyDescent="0.25">
      <c r="A16055" t="e">
        <v>#N/A</v>
      </c>
    </row>
    <row r="16056" spans="1:1" x14ac:dyDescent="0.25">
      <c r="A16056" t="e">
        <v>#N/A</v>
      </c>
    </row>
    <row r="16057" spans="1:1" x14ac:dyDescent="0.25">
      <c r="A16057" t="e">
        <v>#N/A</v>
      </c>
    </row>
    <row r="16058" spans="1:1" x14ac:dyDescent="0.25">
      <c r="A16058" t="e">
        <v>#N/A</v>
      </c>
    </row>
    <row r="16059" spans="1:1" x14ac:dyDescent="0.25">
      <c r="A16059" t="e">
        <v>#N/A</v>
      </c>
    </row>
    <row r="16060" spans="1:1" x14ac:dyDescent="0.25">
      <c r="A16060" t="e">
        <v>#N/A</v>
      </c>
    </row>
    <row r="16061" spans="1:1" x14ac:dyDescent="0.25">
      <c r="A16061" t="e">
        <v>#N/A</v>
      </c>
    </row>
    <row r="16062" spans="1:1" x14ac:dyDescent="0.25">
      <c r="A16062" t="e">
        <v>#N/A</v>
      </c>
    </row>
    <row r="16063" spans="1:1" x14ac:dyDescent="0.25">
      <c r="A16063" t="e">
        <v>#N/A</v>
      </c>
    </row>
    <row r="16064" spans="1:1" x14ac:dyDescent="0.25">
      <c r="A16064" t="e">
        <v>#N/A</v>
      </c>
    </row>
    <row r="16065" spans="1:1" x14ac:dyDescent="0.25">
      <c r="A16065" t="e">
        <v>#N/A</v>
      </c>
    </row>
    <row r="16066" spans="1:1" x14ac:dyDescent="0.25">
      <c r="A16066" t="e">
        <v>#N/A</v>
      </c>
    </row>
    <row r="16067" spans="1:1" x14ac:dyDescent="0.25">
      <c r="A16067" t="e">
        <v>#N/A</v>
      </c>
    </row>
    <row r="16068" spans="1:1" x14ac:dyDescent="0.25">
      <c r="A16068" t="e">
        <v>#N/A</v>
      </c>
    </row>
    <row r="16069" spans="1:1" x14ac:dyDescent="0.25">
      <c r="A16069" t="e">
        <v>#N/A</v>
      </c>
    </row>
    <row r="16070" spans="1:1" x14ac:dyDescent="0.25">
      <c r="A16070" t="e">
        <v>#N/A</v>
      </c>
    </row>
    <row r="16071" spans="1:1" x14ac:dyDescent="0.25">
      <c r="A16071" t="e">
        <v>#N/A</v>
      </c>
    </row>
    <row r="16072" spans="1:1" x14ac:dyDescent="0.25">
      <c r="A16072" t="e">
        <v>#N/A</v>
      </c>
    </row>
    <row r="16073" spans="1:1" x14ac:dyDescent="0.25">
      <c r="A16073" t="e">
        <v>#N/A</v>
      </c>
    </row>
    <row r="16074" spans="1:1" x14ac:dyDescent="0.25">
      <c r="A16074" t="e">
        <v>#N/A</v>
      </c>
    </row>
    <row r="16075" spans="1:1" x14ac:dyDescent="0.25">
      <c r="A16075" t="e">
        <v>#N/A</v>
      </c>
    </row>
    <row r="16076" spans="1:1" x14ac:dyDescent="0.25">
      <c r="A16076" t="e">
        <v>#N/A</v>
      </c>
    </row>
    <row r="16077" spans="1:1" x14ac:dyDescent="0.25">
      <c r="A16077" t="e">
        <v>#N/A</v>
      </c>
    </row>
    <row r="16078" spans="1:1" x14ac:dyDescent="0.25">
      <c r="A16078" t="e">
        <v>#N/A</v>
      </c>
    </row>
    <row r="16079" spans="1:1" x14ac:dyDescent="0.25">
      <c r="A16079" t="e">
        <v>#N/A</v>
      </c>
    </row>
    <row r="16080" spans="1:1" x14ac:dyDescent="0.25">
      <c r="A16080" t="e">
        <v>#N/A</v>
      </c>
    </row>
    <row r="16081" spans="1:1" x14ac:dyDescent="0.25">
      <c r="A16081" t="e">
        <v>#N/A</v>
      </c>
    </row>
    <row r="16082" spans="1:1" x14ac:dyDescent="0.25">
      <c r="A16082" t="e">
        <v>#N/A</v>
      </c>
    </row>
    <row r="16083" spans="1:1" x14ac:dyDescent="0.25">
      <c r="A16083" t="e">
        <v>#N/A</v>
      </c>
    </row>
    <row r="16084" spans="1:1" x14ac:dyDescent="0.25">
      <c r="A16084" t="e">
        <v>#N/A</v>
      </c>
    </row>
    <row r="16085" spans="1:1" x14ac:dyDescent="0.25">
      <c r="A16085" t="e">
        <v>#N/A</v>
      </c>
    </row>
    <row r="16086" spans="1:1" x14ac:dyDescent="0.25">
      <c r="A16086" t="e">
        <v>#N/A</v>
      </c>
    </row>
    <row r="16087" spans="1:1" x14ac:dyDescent="0.25">
      <c r="A16087" t="e">
        <v>#N/A</v>
      </c>
    </row>
    <row r="16088" spans="1:1" x14ac:dyDescent="0.25">
      <c r="A16088" t="e">
        <v>#N/A</v>
      </c>
    </row>
    <row r="16089" spans="1:1" x14ac:dyDescent="0.25">
      <c r="A16089" t="e">
        <v>#N/A</v>
      </c>
    </row>
    <row r="16090" spans="1:1" x14ac:dyDescent="0.25">
      <c r="A16090" t="e">
        <v>#N/A</v>
      </c>
    </row>
    <row r="16091" spans="1:1" x14ac:dyDescent="0.25">
      <c r="A16091" t="e">
        <v>#N/A</v>
      </c>
    </row>
    <row r="16092" spans="1:1" x14ac:dyDescent="0.25">
      <c r="A16092" t="e">
        <v>#N/A</v>
      </c>
    </row>
    <row r="16093" spans="1:1" x14ac:dyDescent="0.25">
      <c r="A16093" t="e">
        <v>#N/A</v>
      </c>
    </row>
    <row r="16094" spans="1:1" x14ac:dyDescent="0.25">
      <c r="A16094" t="e">
        <v>#N/A</v>
      </c>
    </row>
    <row r="16095" spans="1:1" x14ac:dyDescent="0.25">
      <c r="A16095" t="e">
        <v>#N/A</v>
      </c>
    </row>
    <row r="16096" spans="1:1" x14ac:dyDescent="0.25">
      <c r="A16096" t="e">
        <v>#N/A</v>
      </c>
    </row>
    <row r="16097" spans="1:1" x14ac:dyDescent="0.25">
      <c r="A16097" t="e">
        <v>#N/A</v>
      </c>
    </row>
    <row r="16098" spans="1:1" x14ac:dyDescent="0.25">
      <c r="A16098" t="e">
        <v>#N/A</v>
      </c>
    </row>
    <row r="16099" spans="1:1" x14ac:dyDescent="0.25">
      <c r="A16099" t="e">
        <v>#N/A</v>
      </c>
    </row>
    <row r="16100" spans="1:1" x14ac:dyDescent="0.25">
      <c r="A16100" t="e">
        <v>#N/A</v>
      </c>
    </row>
    <row r="16101" spans="1:1" x14ac:dyDescent="0.25">
      <c r="A16101" t="e">
        <v>#N/A</v>
      </c>
    </row>
    <row r="16102" spans="1:1" x14ac:dyDescent="0.25">
      <c r="A16102" t="e">
        <v>#N/A</v>
      </c>
    </row>
    <row r="16103" spans="1:1" x14ac:dyDescent="0.25">
      <c r="A16103" t="e">
        <v>#N/A</v>
      </c>
    </row>
    <row r="16104" spans="1:1" x14ac:dyDescent="0.25">
      <c r="A16104" t="e">
        <v>#N/A</v>
      </c>
    </row>
    <row r="16105" spans="1:1" x14ac:dyDescent="0.25">
      <c r="A16105" t="e">
        <v>#N/A</v>
      </c>
    </row>
    <row r="16106" spans="1:1" x14ac:dyDescent="0.25">
      <c r="A16106" t="e">
        <v>#N/A</v>
      </c>
    </row>
    <row r="16107" spans="1:1" x14ac:dyDescent="0.25">
      <c r="A16107" t="e">
        <v>#N/A</v>
      </c>
    </row>
    <row r="16108" spans="1:1" x14ac:dyDescent="0.25">
      <c r="A16108" t="e">
        <v>#N/A</v>
      </c>
    </row>
    <row r="16109" spans="1:1" x14ac:dyDescent="0.25">
      <c r="A16109" t="e">
        <v>#N/A</v>
      </c>
    </row>
    <row r="16110" spans="1:1" x14ac:dyDescent="0.25">
      <c r="A16110" t="e">
        <v>#N/A</v>
      </c>
    </row>
    <row r="16111" spans="1:1" x14ac:dyDescent="0.25">
      <c r="A16111" t="e">
        <v>#N/A</v>
      </c>
    </row>
    <row r="16112" spans="1:1" x14ac:dyDescent="0.25">
      <c r="A16112" t="e">
        <v>#N/A</v>
      </c>
    </row>
    <row r="16113" spans="1:1" x14ac:dyDescent="0.25">
      <c r="A16113" t="e">
        <v>#N/A</v>
      </c>
    </row>
    <row r="16114" spans="1:1" x14ac:dyDescent="0.25">
      <c r="A16114" t="e">
        <v>#N/A</v>
      </c>
    </row>
    <row r="16115" spans="1:1" x14ac:dyDescent="0.25">
      <c r="A16115" t="e">
        <v>#N/A</v>
      </c>
    </row>
    <row r="16116" spans="1:1" x14ac:dyDescent="0.25">
      <c r="A16116" t="e">
        <v>#N/A</v>
      </c>
    </row>
    <row r="16117" spans="1:1" x14ac:dyDescent="0.25">
      <c r="A16117" t="e">
        <v>#N/A</v>
      </c>
    </row>
    <row r="16118" spans="1:1" x14ac:dyDescent="0.25">
      <c r="A16118" t="e">
        <v>#N/A</v>
      </c>
    </row>
    <row r="16119" spans="1:1" x14ac:dyDescent="0.25">
      <c r="A16119" t="e">
        <v>#N/A</v>
      </c>
    </row>
    <row r="16120" spans="1:1" x14ac:dyDescent="0.25">
      <c r="A16120" t="e">
        <v>#N/A</v>
      </c>
    </row>
    <row r="16121" spans="1:1" x14ac:dyDescent="0.25">
      <c r="A16121" t="e">
        <v>#N/A</v>
      </c>
    </row>
    <row r="16122" spans="1:1" x14ac:dyDescent="0.25">
      <c r="A16122" t="e">
        <v>#N/A</v>
      </c>
    </row>
    <row r="16123" spans="1:1" x14ac:dyDescent="0.25">
      <c r="A16123" t="e">
        <v>#N/A</v>
      </c>
    </row>
    <row r="16124" spans="1:1" x14ac:dyDescent="0.25">
      <c r="A16124" t="e">
        <v>#N/A</v>
      </c>
    </row>
    <row r="16125" spans="1:1" x14ac:dyDescent="0.25">
      <c r="A16125" t="e">
        <v>#N/A</v>
      </c>
    </row>
    <row r="16126" spans="1:1" x14ac:dyDescent="0.25">
      <c r="A16126" t="e">
        <v>#N/A</v>
      </c>
    </row>
    <row r="16127" spans="1:1" x14ac:dyDescent="0.25">
      <c r="A16127" t="e">
        <v>#N/A</v>
      </c>
    </row>
    <row r="16128" spans="1:1" x14ac:dyDescent="0.25">
      <c r="A16128" t="e">
        <v>#N/A</v>
      </c>
    </row>
    <row r="16129" spans="1:1" x14ac:dyDescent="0.25">
      <c r="A16129" t="e">
        <v>#N/A</v>
      </c>
    </row>
    <row r="16130" spans="1:1" x14ac:dyDescent="0.25">
      <c r="A16130" t="e">
        <v>#N/A</v>
      </c>
    </row>
    <row r="16131" spans="1:1" x14ac:dyDescent="0.25">
      <c r="A16131" t="e">
        <v>#N/A</v>
      </c>
    </row>
    <row r="16132" spans="1:1" x14ac:dyDescent="0.25">
      <c r="A16132" t="e">
        <v>#N/A</v>
      </c>
    </row>
    <row r="16133" spans="1:1" x14ac:dyDescent="0.25">
      <c r="A16133" t="e">
        <v>#N/A</v>
      </c>
    </row>
    <row r="16134" spans="1:1" x14ac:dyDescent="0.25">
      <c r="A16134" t="e">
        <v>#N/A</v>
      </c>
    </row>
    <row r="16135" spans="1:1" x14ac:dyDescent="0.25">
      <c r="A16135" t="e">
        <v>#N/A</v>
      </c>
    </row>
    <row r="16136" spans="1:1" x14ac:dyDescent="0.25">
      <c r="A16136" t="e">
        <v>#N/A</v>
      </c>
    </row>
    <row r="16137" spans="1:1" x14ac:dyDescent="0.25">
      <c r="A16137" t="e">
        <v>#N/A</v>
      </c>
    </row>
    <row r="16138" spans="1:1" x14ac:dyDescent="0.25">
      <c r="A16138" t="e">
        <v>#N/A</v>
      </c>
    </row>
    <row r="16139" spans="1:1" x14ac:dyDescent="0.25">
      <c r="A16139" t="e">
        <v>#N/A</v>
      </c>
    </row>
    <row r="16140" spans="1:1" x14ac:dyDescent="0.25">
      <c r="A16140" t="e">
        <v>#N/A</v>
      </c>
    </row>
    <row r="16141" spans="1:1" x14ac:dyDescent="0.25">
      <c r="A16141" t="e">
        <v>#N/A</v>
      </c>
    </row>
    <row r="16142" spans="1:1" x14ac:dyDescent="0.25">
      <c r="A16142" t="e">
        <v>#N/A</v>
      </c>
    </row>
    <row r="16143" spans="1:1" x14ac:dyDescent="0.25">
      <c r="A16143" t="e">
        <v>#N/A</v>
      </c>
    </row>
    <row r="16144" spans="1:1" x14ac:dyDescent="0.25">
      <c r="A16144" t="e">
        <v>#N/A</v>
      </c>
    </row>
    <row r="16145" spans="1:1" x14ac:dyDescent="0.25">
      <c r="A16145" t="e">
        <v>#N/A</v>
      </c>
    </row>
    <row r="16146" spans="1:1" x14ac:dyDescent="0.25">
      <c r="A16146" t="e">
        <v>#N/A</v>
      </c>
    </row>
    <row r="16147" spans="1:1" x14ac:dyDescent="0.25">
      <c r="A16147" t="e">
        <v>#N/A</v>
      </c>
    </row>
    <row r="16148" spans="1:1" x14ac:dyDescent="0.25">
      <c r="A16148" t="e">
        <v>#N/A</v>
      </c>
    </row>
    <row r="16149" spans="1:1" x14ac:dyDescent="0.25">
      <c r="A16149" t="e">
        <v>#N/A</v>
      </c>
    </row>
    <row r="16150" spans="1:1" x14ac:dyDescent="0.25">
      <c r="A16150" t="e">
        <v>#N/A</v>
      </c>
    </row>
    <row r="16151" spans="1:1" x14ac:dyDescent="0.25">
      <c r="A16151" t="e">
        <v>#N/A</v>
      </c>
    </row>
    <row r="16152" spans="1:1" x14ac:dyDescent="0.25">
      <c r="A16152" t="e">
        <v>#N/A</v>
      </c>
    </row>
    <row r="16153" spans="1:1" x14ac:dyDescent="0.25">
      <c r="A16153" t="e">
        <v>#N/A</v>
      </c>
    </row>
    <row r="16154" spans="1:1" x14ac:dyDescent="0.25">
      <c r="A16154" t="e">
        <v>#N/A</v>
      </c>
    </row>
    <row r="16155" spans="1:1" x14ac:dyDescent="0.25">
      <c r="A16155" t="e">
        <v>#N/A</v>
      </c>
    </row>
    <row r="16156" spans="1:1" x14ac:dyDescent="0.25">
      <c r="A16156" t="e">
        <v>#N/A</v>
      </c>
    </row>
    <row r="16157" spans="1:1" x14ac:dyDescent="0.25">
      <c r="A16157" t="e">
        <v>#N/A</v>
      </c>
    </row>
    <row r="16158" spans="1:1" x14ac:dyDescent="0.25">
      <c r="A16158" t="e">
        <v>#N/A</v>
      </c>
    </row>
    <row r="16159" spans="1:1" x14ac:dyDescent="0.25">
      <c r="A16159" t="e">
        <v>#N/A</v>
      </c>
    </row>
    <row r="16160" spans="1:1" x14ac:dyDescent="0.25">
      <c r="A16160" t="e">
        <v>#N/A</v>
      </c>
    </row>
    <row r="16161" spans="1:1" x14ac:dyDescent="0.25">
      <c r="A16161" t="e">
        <v>#N/A</v>
      </c>
    </row>
    <row r="16162" spans="1:1" x14ac:dyDescent="0.25">
      <c r="A16162" t="e">
        <v>#N/A</v>
      </c>
    </row>
    <row r="16163" spans="1:1" x14ac:dyDescent="0.25">
      <c r="A16163" t="e">
        <v>#N/A</v>
      </c>
    </row>
    <row r="16164" spans="1:1" x14ac:dyDescent="0.25">
      <c r="A16164" t="e">
        <v>#N/A</v>
      </c>
    </row>
    <row r="16165" spans="1:1" x14ac:dyDescent="0.25">
      <c r="A16165" t="e">
        <v>#N/A</v>
      </c>
    </row>
    <row r="16166" spans="1:1" x14ac:dyDescent="0.25">
      <c r="A16166" t="e">
        <v>#N/A</v>
      </c>
    </row>
    <row r="16167" spans="1:1" x14ac:dyDescent="0.25">
      <c r="A16167" t="e">
        <v>#N/A</v>
      </c>
    </row>
    <row r="16168" spans="1:1" x14ac:dyDescent="0.25">
      <c r="A16168" t="e">
        <v>#N/A</v>
      </c>
    </row>
    <row r="16169" spans="1:1" x14ac:dyDescent="0.25">
      <c r="A16169" t="e">
        <v>#N/A</v>
      </c>
    </row>
    <row r="16170" spans="1:1" x14ac:dyDescent="0.25">
      <c r="A16170" t="e">
        <v>#N/A</v>
      </c>
    </row>
    <row r="16171" spans="1:1" x14ac:dyDescent="0.25">
      <c r="A16171" t="e">
        <v>#N/A</v>
      </c>
    </row>
    <row r="16172" spans="1:1" x14ac:dyDescent="0.25">
      <c r="A16172" t="e">
        <v>#N/A</v>
      </c>
    </row>
    <row r="16173" spans="1:1" x14ac:dyDescent="0.25">
      <c r="A16173" t="e">
        <v>#N/A</v>
      </c>
    </row>
    <row r="16174" spans="1:1" x14ac:dyDescent="0.25">
      <c r="A16174" t="e">
        <v>#N/A</v>
      </c>
    </row>
    <row r="16175" spans="1:1" x14ac:dyDescent="0.25">
      <c r="A16175" t="e">
        <v>#N/A</v>
      </c>
    </row>
    <row r="16176" spans="1:1" x14ac:dyDescent="0.25">
      <c r="A16176" t="e">
        <v>#N/A</v>
      </c>
    </row>
    <row r="16177" spans="1:1" x14ac:dyDescent="0.25">
      <c r="A16177" t="e">
        <v>#N/A</v>
      </c>
    </row>
    <row r="16178" spans="1:1" x14ac:dyDescent="0.25">
      <c r="A16178" t="e">
        <v>#N/A</v>
      </c>
    </row>
    <row r="16179" spans="1:1" x14ac:dyDescent="0.25">
      <c r="A16179" t="e">
        <v>#N/A</v>
      </c>
    </row>
    <row r="16180" spans="1:1" x14ac:dyDescent="0.25">
      <c r="A16180" t="e">
        <v>#N/A</v>
      </c>
    </row>
    <row r="16181" spans="1:1" x14ac:dyDescent="0.25">
      <c r="A16181" t="e">
        <v>#N/A</v>
      </c>
    </row>
    <row r="16182" spans="1:1" x14ac:dyDescent="0.25">
      <c r="A16182" t="e">
        <v>#N/A</v>
      </c>
    </row>
    <row r="16183" spans="1:1" x14ac:dyDescent="0.25">
      <c r="A16183" t="e">
        <v>#N/A</v>
      </c>
    </row>
    <row r="16184" spans="1:1" x14ac:dyDescent="0.25">
      <c r="A16184" t="e">
        <v>#N/A</v>
      </c>
    </row>
    <row r="16185" spans="1:1" x14ac:dyDescent="0.25">
      <c r="A16185" t="e">
        <v>#N/A</v>
      </c>
    </row>
    <row r="16186" spans="1:1" x14ac:dyDescent="0.25">
      <c r="A16186" t="e">
        <v>#N/A</v>
      </c>
    </row>
    <row r="16187" spans="1:1" x14ac:dyDescent="0.25">
      <c r="A16187" t="e">
        <v>#N/A</v>
      </c>
    </row>
    <row r="16188" spans="1:1" x14ac:dyDescent="0.25">
      <c r="A16188" t="e">
        <v>#N/A</v>
      </c>
    </row>
    <row r="16189" spans="1:1" x14ac:dyDescent="0.25">
      <c r="A16189" t="e">
        <v>#N/A</v>
      </c>
    </row>
    <row r="16190" spans="1:1" x14ac:dyDescent="0.25">
      <c r="A16190" t="e">
        <v>#N/A</v>
      </c>
    </row>
    <row r="16191" spans="1:1" x14ac:dyDescent="0.25">
      <c r="A16191" t="e">
        <v>#N/A</v>
      </c>
    </row>
    <row r="16192" spans="1:1" x14ac:dyDescent="0.25">
      <c r="A16192" t="e">
        <v>#N/A</v>
      </c>
    </row>
    <row r="16193" spans="1:1" x14ac:dyDescent="0.25">
      <c r="A16193" t="e">
        <v>#N/A</v>
      </c>
    </row>
    <row r="16194" spans="1:1" x14ac:dyDescent="0.25">
      <c r="A16194" t="e">
        <v>#N/A</v>
      </c>
    </row>
    <row r="16195" spans="1:1" x14ac:dyDescent="0.25">
      <c r="A16195" t="e">
        <v>#N/A</v>
      </c>
    </row>
    <row r="16196" spans="1:1" x14ac:dyDescent="0.25">
      <c r="A16196" t="e">
        <v>#N/A</v>
      </c>
    </row>
    <row r="16197" spans="1:1" x14ac:dyDescent="0.25">
      <c r="A16197" t="e">
        <v>#N/A</v>
      </c>
    </row>
    <row r="16198" spans="1:1" x14ac:dyDescent="0.25">
      <c r="A16198" t="e">
        <v>#N/A</v>
      </c>
    </row>
    <row r="16199" spans="1:1" x14ac:dyDescent="0.25">
      <c r="A16199" t="e">
        <v>#N/A</v>
      </c>
    </row>
    <row r="16200" spans="1:1" x14ac:dyDescent="0.25">
      <c r="A16200" t="e">
        <v>#N/A</v>
      </c>
    </row>
    <row r="16201" spans="1:1" x14ac:dyDescent="0.25">
      <c r="A16201" t="e">
        <v>#N/A</v>
      </c>
    </row>
    <row r="16202" spans="1:1" x14ac:dyDescent="0.25">
      <c r="A16202" t="e">
        <v>#N/A</v>
      </c>
    </row>
    <row r="16203" spans="1:1" x14ac:dyDescent="0.25">
      <c r="A16203" t="e">
        <v>#N/A</v>
      </c>
    </row>
    <row r="16204" spans="1:1" x14ac:dyDescent="0.25">
      <c r="A16204" t="e">
        <v>#N/A</v>
      </c>
    </row>
    <row r="16205" spans="1:1" x14ac:dyDescent="0.25">
      <c r="A16205" t="e">
        <v>#N/A</v>
      </c>
    </row>
    <row r="16206" spans="1:1" x14ac:dyDescent="0.25">
      <c r="A16206" t="e">
        <v>#N/A</v>
      </c>
    </row>
    <row r="16207" spans="1:1" x14ac:dyDescent="0.25">
      <c r="A16207" t="e">
        <v>#N/A</v>
      </c>
    </row>
    <row r="16208" spans="1:1" x14ac:dyDescent="0.25">
      <c r="A16208" t="e">
        <v>#N/A</v>
      </c>
    </row>
    <row r="16209" spans="1:1" x14ac:dyDescent="0.25">
      <c r="A16209" t="e">
        <v>#N/A</v>
      </c>
    </row>
    <row r="16210" spans="1:1" x14ac:dyDescent="0.25">
      <c r="A16210" t="e">
        <v>#N/A</v>
      </c>
    </row>
    <row r="16211" spans="1:1" x14ac:dyDescent="0.25">
      <c r="A16211" t="e">
        <v>#N/A</v>
      </c>
    </row>
    <row r="16212" spans="1:1" x14ac:dyDescent="0.25">
      <c r="A16212" t="e">
        <v>#N/A</v>
      </c>
    </row>
    <row r="16213" spans="1:1" x14ac:dyDescent="0.25">
      <c r="A16213" t="e">
        <v>#N/A</v>
      </c>
    </row>
    <row r="16214" spans="1:1" x14ac:dyDescent="0.25">
      <c r="A16214" t="e">
        <v>#N/A</v>
      </c>
    </row>
    <row r="16215" spans="1:1" x14ac:dyDescent="0.25">
      <c r="A16215" t="e">
        <v>#N/A</v>
      </c>
    </row>
    <row r="16216" spans="1:1" x14ac:dyDescent="0.25">
      <c r="A16216" t="e">
        <v>#N/A</v>
      </c>
    </row>
    <row r="16217" spans="1:1" x14ac:dyDescent="0.25">
      <c r="A16217" t="e">
        <v>#N/A</v>
      </c>
    </row>
    <row r="16218" spans="1:1" x14ac:dyDescent="0.25">
      <c r="A16218" t="e">
        <v>#N/A</v>
      </c>
    </row>
    <row r="16219" spans="1:1" x14ac:dyDescent="0.25">
      <c r="A16219" t="e">
        <v>#N/A</v>
      </c>
    </row>
    <row r="16220" spans="1:1" x14ac:dyDescent="0.25">
      <c r="A16220" t="e">
        <v>#N/A</v>
      </c>
    </row>
    <row r="16221" spans="1:1" x14ac:dyDescent="0.25">
      <c r="A16221" t="e">
        <v>#N/A</v>
      </c>
    </row>
    <row r="16222" spans="1:1" x14ac:dyDescent="0.25">
      <c r="A16222" t="e">
        <v>#N/A</v>
      </c>
    </row>
    <row r="16223" spans="1:1" x14ac:dyDescent="0.25">
      <c r="A16223" t="e">
        <v>#N/A</v>
      </c>
    </row>
    <row r="16224" spans="1:1" x14ac:dyDescent="0.25">
      <c r="A16224" t="e">
        <v>#N/A</v>
      </c>
    </row>
    <row r="16225" spans="1:1" x14ac:dyDescent="0.25">
      <c r="A16225" t="e">
        <v>#N/A</v>
      </c>
    </row>
    <row r="16226" spans="1:1" x14ac:dyDescent="0.25">
      <c r="A16226" t="e">
        <v>#N/A</v>
      </c>
    </row>
    <row r="16227" spans="1:1" x14ac:dyDescent="0.25">
      <c r="A16227" t="e">
        <v>#N/A</v>
      </c>
    </row>
    <row r="16228" spans="1:1" x14ac:dyDescent="0.25">
      <c r="A16228" t="e">
        <v>#N/A</v>
      </c>
    </row>
    <row r="16229" spans="1:1" x14ac:dyDescent="0.25">
      <c r="A16229" t="e">
        <v>#N/A</v>
      </c>
    </row>
    <row r="16230" spans="1:1" x14ac:dyDescent="0.25">
      <c r="A16230" t="e">
        <v>#N/A</v>
      </c>
    </row>
    <row r="16231" spans="1:1" x14ac:dyDescent="0.25">
      <c r="A16231" t="e">
        <v>#N/A</v>
      </c>
    </row>
    <row r="16232" spans="1:1" x14ac:dyDescent="0.25">
      <c r="A16232" t="e">
        <v>#N/A</v>
      </c>
    </row>
    <row r="16233" spans="1:1" x14ac:dyDescent="0.25">
      <c r="A16233" t="e">
        <v>#N/A</v>
      </c>
    </row>
    <row r="16234" spans="1:1" x14ac:dyDescent="0.25">
      <c r="A16234" t="e">
        <v>#N/A</v>
      </c>
    </row>
    <row r="16235" spans="1:1" x14ac:dyDescent="0.25">
      <c r="A16235" t="e">
        <v>#N/A</v>
      </c>
    </row>
    <row r="16236" spans="1:1" x14ac:dyDescent="0.25">
      <c r="A16236" t="e">
        <v>#N/A</v>
      </c>
    </row>
    <row r="16237" spans="1:1" x14ac:dyDescent="0.25">
      <c r="A16237" t="e">
        <v>#N/A</v>
      </c>
    </row>
    <row r="16238" spans="1:1" x14ac:dyDescent="0.25">
      <c r="A16238" t="e">
        <v>#N/A</v>
      </c>
    </row>
    <row r="16239" spans="1:1" x14ac:dyDescent="0.25">
      <c r="A16239" t="e">
        <v>#N/A</v>
      </c>
    </row>
    <row r="16240" spans="1:1" x14ac:dyDescent="0.25">
      <c r="A16240" t="e">
        <v>#N/A</v>
      </c>
    </row>
    <row r="16241" spans="1:1" x14ac:dyDescent="0.25">
      <c r="A16241" t="e">
        <v>#N/A</v>
      </c>
    </row>
    <row r="16242" spans="1:1" x14ac:dyDescent="0.25">
      <c r="A16242" t="e">
        <v>#N/A</v>
      </c>
    </row>
    <row r="16243" spans="1:1" x14ac:dyDescent="0.25">
      <c r="A16243" t="e">
        <v>#N/A</v>
      </c>
    </row>
    <row r="16244" spans="1:1" x14ac:dyDescent="0.25">
      <c r="A16244" t="e">
        <v>#N/A</v>
      </c>
    </row>
    <row r="16245" spans="1:1" x14ac:dyDescent="0.25">
      <c r="A16245" t="e">
        <v>#N/A</v>
      </c>
    </row>
    <row r="16246" spans="1:1" x14ac:dyDescent="0.25">
      <c r="A16246" t="e">
        <v>#N/A</v>
      </c>
    </row>
    <row r="16247" spans="1:1" x14ac:dyDescent="0.25">
      <c r="A16247" t="e">
        <v>#N/A</v>
      </c>
    </row>
    <row r="16248" spans="1:1" x14ac:dyDescent="0.25">
      <c r="A16248" t="e">
        <v>#N/A</v>
      </c>
    </row>
    <row r="16249" spans="1:1" x14ac:dyDescent="0.25">
      <c r="A16249" t="e">
        <v>#N/A</v>
      </c>
    </row>
    <row r="16250" spans="1:1" x14ac:dyDescent="0.25">
      <c r="A16250" t="e">
        <v>#N/A</v>
      </c>
    </row>
    <row r="16251" spans="1:1" x14ac:dyDescent="0.25">
      <c r="A16251" t="e">
        <v>#N/A</v>
      </c>
    </row>
    <row r="16252" spans="1:1" x14ac:dyDescent="0.25">
      <c r="A16252" t="e">
        <v>#N/A</v>
      </c>
    </row>
    <row r="16253" spans="1:1" x14ac:dyDescent="0.25">
      <c r="A16253" t="e">
        <v>#N/A</v>
      </c>
    </row>
    <row r="16254" spans="1:1" x14ac:dyDescent="0.25">
      <c r="A16254" t="e">
        <v>#N/A</v>
      </c>
    </row>
    <row r="16255" spans="1:1" x14ac:dyDescent="0.25">
      <c r="A16255" t="e">
        <v>#N/A</v>
      </c>
    </row>
    <row r="16256" spans="1:1" x14ac:dyDescent="0.25">
      <c r="A16256" t="e">
        <v>#N/A</v>
      </c>
    </row>
    <row r="16257" spans="1:1" x14ac:dyDescent="0.25">
      <c r="A16257" t="e">
        <v>#N/A</v>
      </c>
    </row>
    <row r="16258" spans="1:1" x14ac:dyDescent="0.25">
      <c r="A16258" t="e">
        <v>#N/A</v>
      </c>
    </row>
    <row r="16259" spans="1:1" x14ac:dyDescent="0.25">
      <c r="A16259" t="e">
        <v>#N/A</v>
      </c>
    </row>
    <row r="16260" spans="1:1" x14ac:dyDescent="0.25">
      <c r="A16260" t="e">
        <v>#N/A</v>
      </c>
    </row>
    <row r="16261" spans="1:1" x14ac:dyDescent="0.25">
      <c r="A16261" t="e">
        <v>#N/A</v>
      </c>
    </row>
    <row r="16262" spans="1:1" x14ac:dyDescent="0.25">
      <c r="A16262" t="e">
        <v>#N/A</v>
      </c>
    </row>
    <row r="16263" spans="1:1" x14ac:dyDescent="0.25">
      <c r="A16263" t="e">
        <v>#N/A</v>
      </c>
    </row>
    <row r="16264" spans="1:1" x14ac:dyDescent="0.25">
      <c r="A16264" t="e">
        <v>#N/A</v>
      </c>
    </row>
    <row r="16265" spans="1:1" x14ac:dyDescent="0.25">
      <c r="A16265" t="e">
        <v>#N/A</v>
      </c>
    </row>
    <row r="16266" spans="1:1" x14ac:dyDescent="0.25">
      <c r="A16266" t="e">
        <v>#N/A</v>
      </c>
    </row>
    <row r="16267" spans="1:1" x14ac:dyDescent="0.25">
      <c r="A16267" t="e">
        <v>#N/A</v>
      </c>
    </row>
    <row r="16268" spans="1:1" x14ac:dyDescent="0.25">
      <c r="A16268" t="e">
        <v>#N/A</v>
      </c>
    </row>
    <row r="16269" spans="1:1" x14ac:dyDescent="0.25">
      <c r="A16269" t="e">
        <v>#N/A</v>
      </c>
    </row>
    <row r="16270" spans="1:1" x14ac:dyDescent="0.25">
      <c r="A16270" t="e">
        <v>#N/A</v>
      </c>
    </row>
    <row r="16271" spans="1:1" x14ac:dyDescent="0.25">
      <c r="A16271" t="e">
        <v>#N/A</v>
      </c>
    </row>
    <row r="16272" spans="1:1" x14ac:dyDescent="0.25">
      <c r="A16272" t="e">
        <v>#N/A</v>
      </c>
    </row>
    <row r="16273" spans="1:1" x14ac:dyDescent="0.25">
      <c r="A16273" t="e">
        <v>#N/A</v>
      </c>
    </row>
    <row r="16274" spans="1:1" x14ac:dyDescent="0.25">
      <c r="A16274" t="e">
        <v>#N/A</v>
      </c>
    </row>
    <row r="16275" spans="1:1" x14ac:dyDescent="0.25">
      <c r="A16275" t="e">
        <v>#N/A</v>
      </c>
    </row>
    <row r="16276" spans="1:1" x14ac:dyDescent="0.25">
      <c r="A16276" t="e">
        <v>#N/A</v>
      </c>
    </row>
    <row r="16277" spans="1:1" x14ac:dyDescent="0.25">
      <c r="A16277" t="e">
        <v>#N/A</v>
      </c>
    </row>
    <row r="16278" spans="1:1" x14ac:dyDescent="0.25">
      <c r="A16278" t="e">
        <v>#N/A</v>
      </c>
    </row>
    <row r="16279" spans="1:1" x14ac:dyDescent="0.25">
      <c r="A16279" t="e">
        <v>#N/A</v>
      </c>
    </row>
    <row r="16280" spans="1:1" x14ac:dyDescent="0.25">
      <c r="A16280" t="e">
        <v>#N/A</v>
      </c>
    </row>
    <row r="16281" spans="1:1" x14ac:dyDescent="0.25">
      <c r="A16281" t="e">
        <v>#N/A</v>
      </c>
    </row>
    <row r="16282" spans="1:1" x14ac:dyDescent="0.25">
      <c r="A16282" t="e">
        <v>#N/A</v>
      </c>
    </row>
    <row r="16283" spans="1:1" x14ac:dyDescent="0.25">
      <c r="A16283" t="e">
        <v>#N/A</v>
      </c>
    </row>
    <row r="16284" spans="1:1" x14ac:dyDescent="0.25">
      <c r="A16284" t="e">
        <v>#N/A</v>
      </c>
    </row>
    <row r="16285" spans="1:1" x14ac:dyDescent="0.25">
      <c r="A16285" t="e">
        <v>#N/A</v>
      </c>
    </row>
    <row r="16286" spans="1:1" x14ac:dyDescent="0.25">
      <c r="A16286" t="e">
        <v>#N/A</v>
      </c>
    </row>
    <row r="16287" spans="1:1" x14ac:dyDescent="0.25">
      <c r="A16287" t="e">
        <v>#N/A</v>
      </c>
    </row>
    <row r="16288" spans="1:1" x14ac:dyDescent="0.25">
      <c r="A16288" t="e">
        <v>#N/A</v>
      </c>
    </row>
    <row r="16289" spans="1:1" x14ac:dyDescent="0.25">
      <c r="A16289" t="e">
        <v>#N/A</v>
      </c>
    </row>
    <row r="16290" spans="1:1" x14ac:dyDescent="0.25">
      <c r="A16290" t="e">
        <v>#N/A</v>
      </c>
    </row>
    <row r="16291" spans="1:1" x14ac:dyDescent="0.25">
      <c r="A16291" t="e">
        <v>#N/A</v>
      </c>
    </row>
    <row r="16292" spans="1:1" x14ac:dyDescent="0.25">
      <c r="A16292" t="e">
        <v>#N/A</v>
      </c>
    </row>
    <row r="16293" spans="1:1" x14ac:dyDescent="0.25">
      <c r="A16293" t="e">
        <v>#N/A</v>
      </c>
    </row>
    <row r="16294" spans="1:1" x14ac:dyDescent="0.25">
      <c r="A16294" t="e">
        <v>#N/A</v>
      </c>
    </row>
    <row r="16295" spans="1:1" x14ac:dyDescent="0.25">
      <c r="A16295" t="e">
        <v>#N/A</v>
      </c>
    </row>
    <row r="16296" spans="1:1" x14ac:dyDescent="0.25">
      <c r="A16296" t="e">
        <v>#N/A</v>
      </c>
    </row>
    <row r="16297" spans="1:1" x14ac:dyDescent="0.25">
      <c r="A16297" t="e">
        <v>#N/A</v>
      </c>
    </row>
    <row r="16298" spans="1:1" x14ac:dyDescent="0.25">
      <c r="A16298" t="e">
        <v>#N/A</v>
      </c>
    </row>
    <row r="16299" spans="1:1" x14ac:dyDescent="0.25">
      <c r="A16299" t="e">
        <v>#N/A</v>
      </c>
    </row>
    <row r="16300" spans="1:1" x14ac:dyDescent="0.25">
      <c r="A16300" t="e">
        <v>#N/A</v>
      </c>
    </row>
    <row r="16301" spans="1:1" x14ac:dyDescent="0.25">
      <c r="A16301" t="e">
        <v>#N/A</v>
      </c>
    </row>
    <row r="16302" spans="1:1" x14ac:dyDescent="0.25">
      <c r="A16302" t="e">
        <v>#N/A</v>
      </c>
    </row>
    <row r="16303" spans="1:1" x14ac:dyDescent="0.25">
      <c r="A16303" t="e">
        <v>#N/A</v>
      </c>
    </row>
    <row r="16304" spans="1:1" x14ac:dyDescent="0.25">
      <c r="A16304" t="e">
        <v>#N/A</v>
      </c>
    </row>
    <row r="16305" spans="1:1" x14ac:dyDescent="0.25">
      <c r="A16305" t="e">
        <v>#N/A</v>
      </c>
    </row>
    <row r="16306" spans="1:1" x14ac:dyDescent="0.25">
      <c r="A16306" t="e">
        <v>#N/A</v>
      </c>
    </row>
    <row r="16307" spans="1:1" x14ac:dyDescent="0.25">
      <c r="A16307" t="e">
        <v>#N/A</v>
      </c>
    </row>
    <row r="16308" spans="1:1" x14ac:dyDescent="0.25">
      <c r="A16308" t="e">
        <v>#N/A</v>
      </c>
    </row>
    <row r="16309" spans="1:1" x14ac:dyDescent="0.25">
      <c r="A16309" t="e">
        <v>#N/A</v>
      </c>
    </row>
    <row r="16310" spans="1:1" x14ac:dyDescent="0.25">
      <c r="A16310" t="e">
        <v>#N/A</v>
      </c>
    </row>
    <row r="16311" spans="1:1" x14ac:dyDescent="0.25">
      <c r="A16311" t="e">
        <v>#N/A</v>
      </c>
    </row>
    <row r="16312" spans="1:1" x14ac:dyDescent="0.25">
      <c r="A16312" t="e">
        <v>#N/A</v>
      </c>
    </row>
    <row r="16313" spans="1:1" x14ac:dyDescent="0.25">
      <c r="A16313" t="e">
        <v>#N/A</v>
      </c>
    </row>
    <row r="16314" spans="1:1" x14ac:dyDescent="0.25">
      <c r="A16314" t="e">
        <v>#N/A</v>
      </c>
    </row>
    <row r="16315" spans="1:1" x14ac:dyDescent="0.25">
      <c r="A16315" t="e">
        <v>#N/A</v>
      </c>
    </row>
    <row r="16316" spans="1:1" x14ac:dyDescent="0.25">
      <c r="A16316" t="e">
        <v>#N/A</v>
      </c>
    </row>
    <row r="16317" spans="1:1" x14ac:dyDescent="0.25">
      <c r="A16317" t="e">
        <v>#N/A</v>
      </c>
    </row>
    <row r="16318" spans="1:1" x14ac:dyDescent="0.25">
      <c r="A16318" t="e">
        <v>#N/A</v>
      </c>
    </row>
    <row r="16319" spans="1:1" x14ac:dyDescent="0.25">
      <c r="A16319" t="e">
        <v>#N/A</v>
      </c>
    </row>
    <row r="16320" spans="1:1" x14ac:dyDescent="0.25">
      <c r="A16320" t="e">
        <v>#N/A</v>
      </c>
    </row>
    <row r="16321" spans="1:1" x14ac:dyDescent="0.25">
      <c r="A16321" t="e">
        <v>#N/A</v>
      </c>
    </row>
    <row r="16322" spans="1:1" x14ac:dyDescent="0.25">
      <c r="A16322" t="e">
        <v>#N/A</v>
      </c>
    </row>
    <row r="16323" spans="1:1" x14ac:dyDescent="0.25">
      <c r="A16323" t="e">
        <v>#N/A</v>
      </c>
    </row>
    <row r="16324" spans="1:1" x14ac:dyDescent="0.25">
      <c r="A16324" t="e">
        <v>#N/A</v>
      </c>
    </row>
    <row r="16325" spans="1:1" x14ac:dyDescent="0.25">
      <c r="A16325" t="e">
        <v>#N/A</v>
      </c>
    </row>
    <row r="16326" spans="1:1" x14ac:dyDescent="0.25">
      <c r="A16326" t="e">
        <v>#N/A</v>
      </c>
    </row>
    <row r="16327" spans="1:1" x14ac:dyDescent="0.25">
      <c r="A16327" t="e">
        <v>#N/A</v>
      </c>
    </row>
    <row r="16328" spans="1:1" x14ac:dyDescent="0.25">
      <c r="A16328" t="e">
        <v>#N/A</v>
      </c>
    </row>
    <row r="16329" spans="1:1" x14ac:dyDescent="0.25">
      <c r="A16329" t="e">
        <v>#N/A</v>
      </c>
    </row>
    <row r="16330" spans="1:1" x14ac:dyDescent="0.25">
      <c r="A16330" t="e">
        <v>#N/A</v>
      </c>
    </row>
    <row r="16331" spans="1:1" x14ac:dyDescent="0.25">
      <c r="A16331" t="e">
        <v>#N/A</v>
      </c>
    </row>
    <row r="16332" spans="1:1" x14ac:dyDescent="0.25">
      <c r="A16332" t="e">
        <v>#N/A</v>
      </c>
    </row>
    <row r="16333" spans="1:1" x14ac:dyDescent="0.25">
      <c r="A16333" t="e">
        <v>#N/A</v>
      </c>
    </row>
    <row r="16334" spans="1:1" x14ac:dyDescent="0.25">
      <c r="A16334" t="e">
        <v>#N/A</v>
      </c>
    </row>
    <row r="16335" spans="1:1" x14ac:dyDescent="0.25">
      <c r="A16335" t="e">
        <v>#N/A</v>
      </c>
    </row>
    <row r="16336" spans="1:1" x14ac:dyDescent="0.25">
      <c r="A16336" t="e">
        <v>#N/A</v>
      </c>
    </row>
    <row r="16337" spans="1:1" x14ac:dyDescent="0.25">
      <c r="A16337" t="e">
        <v>#N/A</v>
      </c>
    </row>
    <row r="16338" spans="1:1" x14ac:dyDescent="0.25">
      <c r="A16338" t="e">
        <v>#N/A</v>
      </c>
    </row>
    <row r="16339" spans="1:1" x14ac:dyDescent="0.25">
      <c r="A16339" t="e">
        <v>#N/A</v>
      </c>
    </row>
    <row r="16340" spans="1:1" x14ac:dyDescent="0.25">
      <c r="A16340" t="e">
        <v>#N/A</v>
      </c>
    </row>
    <row r="16341" spans="1:1" x14ac:dyDescent="0.25">
      <c r="A16341" t="e">
        <v>#N/A</v>
      </c>
    </row>
    <row r="16342" spans="1:1" x14ac:dyDescent="0.25">
      <c r="A16342" t="e">
        <v>#N/A</v>
      </c>
    </row>
    <row r="16343" spans="1:1" x14ac:dyDescent="0.25">
      <c r="A16343" t="e">
        <v>#N/A</v>
      </c>
    </row>
    <row r="16344" spans="1:1" x14ac:dyDescent="0.25">
      <c r="A16344" t="e">
        <v>#N/A</v>
      </c>
    </row>
    <row r="16345" spans="1:1" x14ac:dyDescent="0.25">
      <c r="A16345" t="e">
        <v>#N/A</v>
      </c>
    </row>
    <row r="16346" spans="1:1" x14ac:dyDescent="0.25">
      <c r="A16346" t="e">
        <v>#N/A</v>
      </c>
    </row>
    <row r="16347" spans="1:1" x14ac:dyDescent="0.25">
      <c r="A16347" t="e">
        <v>#N/A</v>
      </c>
    </row>
    <row r="16348" spans="1:1" x14ac:dyDescent="0.25">
      <c r="A16348" t="e">
        <v>#N/A</v>
      </c>
    </row>
    <row r="16349" spans="1:1" x14ac:dyDescent="0.25">
      <c r="A16349" t="e">
        <v>#N/A</v>
      </c>
    </row>
    <row r="16350" spans="1:1" x14ac:dyDescent="0.25">
      <c r="A16350" t="e">
        <v>#N/A</v>
      </c>
    </row>
    <row r="16351" spans="1:1" x14ac:dyDescent="0.25">
      <c r="A16351" t="e">
        <v>#N/A</v>
      </c>
    </row>
    <row r="16352" spans="1:1" x14ac:dyDescent="0.25">
      <c r="A16352" t="e">
        <v>#N/A</v>
      </c>
    </row>
    <row r="16353" spans="1:1" x14ac:dyDescent="0.25">
      <c r="A16353" t="e">
        <v>#N/A</v>
      </c>
    </row>
    <row r="16354" spans="1:1" x14ac:dyDescent="0.25">
      <c r="A16354" t="e">
        <v>#N/A</v>
      </c>
    </row>
    <row r="16355" spans="1:1" x14ac:dyDescent="0.25">
      <c r="A16355" t="e">
        <v>#N/A</v>
      </c>
    </row>
    <row r="16356" spans="1:1" x14ac:dyDescent="0.25">
      <c r="A16356" t="e">
        <v>#N/A</v>
      </c>
    </row>
    <row r="16357" spans="1:1" x14ac:dyDescent="0.25">
      <c r="A16357" t="e">
        <v>#N/A</v>
      </c>
    </row>
    <row r="16358" spans="1:1" x14ac:dyDescent="0.25">
      <c r="A16358" t="e">
        <v>#N/A</v>
      </c>
    </row>
    <row r="16359" spans="1:1" x14ac:dyDescent="0.25">
      <c r="A16359" t="e">
        <v>#N/A</v>
      </c>
    </row>
    <row r="16360" spans="1:1" x14ac:dyDescent="0.25">
      <c r="A16360" t="e">
        <v>#N/A</v>
      </c>
    </row>
    <row r="16361" spans="1:1" x14ac:dyDescent="0.25">
      <c r="A16361" t="e">
        <v>#N/A</v>
      </c>
    </row>
    <row r="16362" spans="1:1" x14ac:dyDescent="0.25">
      <c r="A16362" t="e">
        <v>#N/A</v>
      </c>
    </row>
    <row r="16363" spans="1:1" x14ac:dyDescent="0.25">
      <c r="A16363" t="e">
        <v>#N/A</v>
      </c>
    </row>
    <row r="16364" spans="1:1" x14ac:dyDescent="0.25">
      <c r="A16364" t="e">
        <v>#N/A</v>
      </c>
    </row>
    <row r="16365" spans="1:1" x14ac:dyDescent="0.25">
      <c r="A16365" t="e">
        <v>#N/A</v>
      </c>
    </row>
    <row r="16366" spans="1:1" x14ac:dyDescent="0.25">
      <c r="A16366" t="e">
        <v>#N/A</v>
      </c>
    </row>
    <row r="16367" spans="1:1" x14ac:dyDescent="0.25">
      <c r="A16367" t="e">
        <v>#N/A</v>
      </c>
    </row>
    <row r="16368" spans="1:1" x14ac:dyDescent="0.25">
      <c r="A16368" t="e">
        <v>#N/A</v>
      </c>
    </row>
    <row r="16369" spans="1:1" x14ac:dyDescent="0.25">
      <c r="A16369" t="e">
        <v>#N/A</v>
      </c>
    </row>
    <row r="16370" spans="1:1" x14ac:dyDescent="0.25">
      <c r="A16370" t="e">
        <v>#N/A</v>
      </c>
    </row>
    <row r="16371" spans="1:1" x14ac:dyDescent="0.25">
      <c r="A16371" t="e">
        <v>#N/A</v>
      </c>
    </row>
    <row r="16372" spans="1:1" x14ac:dyDescent="0.25">
      <c r="A16372" t="e">
        <v>#N/A</v>
      </c>
    </row>
    <row r="16373" spans="1:1" x14ac:dyDescent="0.25">
      <c r="A16373" t="e">
        <v>#N/A</v>
      </c>
    </row>
    <row r="16374" spans="1:1" x14ac:dyDescent="0.25">
      <c r="A16374" t="e">
        <v>#N/A</v>
      </c>
    </row>
    <row r="16375" spans="1:1" x14ac:dyDescent="0.25">
      <c r="A16375" t="e">
        <v>#N/A</v>
      </c>
    </row>
    <row r="16376" spans="1:1" x14ac:dyDescent="0.25">
      <c r="A16376" t="e">
        <v>#N/A</v>
      </c>
    </row>
    <row r="16377" spans="1:1" x14ac:dyDescent="0.25">
      <c r="A16377" t="e">
        <v>#N/A</v>
      </c>
    </row>
    <row r="16378" spans="1:1" x14ac:dyDescent="0.25">
      <c r="A16378" t="e">
        <v>#N/A</v>
      </c>
    </row>
    <row r="16379" spans="1:1" x14ac:dyDescent="0.25">
      <c r="A16379" t="e">
        <v>#N/A</v>
      </c>
    </row>
    <row r="16380" spans="1:1" x14ac:dyDescent="0.25">
      <c r="A16380" t="e">
        <v>#N/A</v>
      </c>
    </row>
    <row r="16381" spans="1:1" x14ac:dyDescent="0.25">
      <c r="A16381" t="e">
        <v>#N/A</v>
      </c>
    </row>
    <row r="16382" spans="1:1" x14ac:dyDescent="0.25">
      <c r="A16382" t="e">
        <v>#N/A</v>
      </c>
    </row>
    <row r="16383" spans="1:1" x14ac:dyDescent="0.25">
      <c r="A16383" t="e">
        <v>#N/A</v>
      </c>
    </row>
    <row r="16384" spans="1:1" x14ac:dyDescent="0.25">
      <c r="A16384" t="e">
        <v>#N/A</v>
      </c>
    </row>
    <row r="16385" spans="1:1" x14ac:dyDescent="0.25">
      <c r="A16385" t="e">
        <v>#N/A</v>
      </c>
    </row>
    <row r="16386" spans="1:1" x14ac:dyDescent="0.25">
      <c r="A16386" t="e">
        <v>#N/A</v>
      </c>
    </row>
    <row r="16387" spans="1:1" x14ac:dyDescent="0.25">
      <c r="A16387" t="e">
        <v>#N/A</v>
      </c>
    </row>
    <row r="16388" spans="1:1" x14ac:dyDescent="0.25">
      <c r="A16388" t="e">
        <v>#N/A</v>
      </c>
    </row>
    <row r="16389" spans="1:1" x14ac:dyDescent="0.25">
      <c r="A16389" t="e">
        <v>#N/A</v>
      </c>
    </row>
    <row r="16390" spans="1:1" x14ac:dyDescent="0.25">
      <c r="A16390" t="e">
        <v>#N/A</v>
      </c>
    </row>
    <row r="16391" spans="1:1" x14ac:dyDescent="0.25">
      <c r="A16391" t="e">
        <v>#N/A</v>
      </c>
    </row>
    <row r="16392" spans="1:1" x14ac:dyDescent="0.25">
      <c r="A16392" t="e">
        <v>#N/A</v>
      </c>
    </row>
    <row r="16393" spans="1:1" x14ac:dyDescent="0.25">
      <c r="A16393" t="e">
        <v>#N/A</v>
      </c>
    </row>
    <row r="16394" spans="1:1" x14ac:dyDescent="0.25">
      <c r="A16394" t="e">
        <v>#N/A</v>
      </c>
    </row>
    <row r="16395" spans="1:1" x14ac:dyDescent="0.25">
      <c r="A16395" t="e">
        <v>#N/A</v>
      </c>
    </row>
    <row r="16396" spans="1:1" x14ac:dyDescent="0.25">
      <c r="A16396" t="e">
        <v>#N/A</v>
      </c>
    </row>
    <row r="16397" spans="1:1" x14ac:dyDescent="0.25">
      <c r="A16397" t="e">
        <v>#N/A</v>
      </c>
    </row>
    <row r="16398" spans="1:1" x14ac:dyDescent="0.25">
      <c r="A16398" t="e">
        <v>#N/A</v>
      </c>
    </row>
    <row r="16399" spans="1:1" x14ac:dyDescent="0.25">
      <c r="A16399" t="e">
        <v>#N/A</v>
      </c>
    </row>
    <row r="16400" spans="1:1" x14ac:dyDescent="0.25">
      <c r="A16400" t="e">
        <v>#N/A</v>
      </c>
    </row>
    <row r="16401" spans="1:1" x14ac:dyDescent="0.25">
      <c r="A16401" t="e">
        <v>#N/A</v>
      </c>
    </row>
    <row r="16402" spans="1:1" x14ac:dyDescent="0.25">
      <c r="A16402" t="e">
        <v>#N/A</v>
      </c>
    </row>
    <row r="16403" spans="1:1" x14ac:dyDescent="0.25">
      <c r="A16403" t="e">
        <v>#N/A</v>
      </c>
    </row>
    <row r="16404" spans="1:1" x14ac:dyDescent="0.25">
      <c r="A16404" t="e">
        <v>#N/A</v>
      </c>
    </row>
    <row r="16405" spans="1:1" x14ac:dyDescent="0.25">
      <c r="A16405" t="e">
        <v>#N/A</v>
      </c>
    </row>
    <row r="16406" spans="1:1" x14ac:dyDescent="0.25">
      <c r="A16406" t="e">
        <v>#N/A</v>
      </c>
    </row>
    <row r="16407" spans="1:1" x14ac:dyDescent="0.25">
      <c r="A16407" t="e">
        <v>#N/A</v>
      </c>
    </row>
    <row r="16408" spans="1:1" x14ac:dyDescent="0.25">
      <c r="A16408" t="e">
        <v>#N/A</v>
      </c>
    </row>
    <row r="16409" spans="1:1" x14ac:dyDescent="0.25">
      <c r="A16409" t="e">
        <v>#N/A</v>
      </c>
    </row>
    <row r="16410" spans="1:1" x14ac:dyDescent="0.25">
      <c r="A16410" t="e">
        <v>#N/A</v>
      </c>
    </row>
    <row r="16411" spans="1:1" x14ac:dyDescent="0.25">
      <c r="A16411" t="e">
        <v>#N/A</v>
      </c>
    </row>
    <row r="16412" spans="1:1" x14ac:dyDescent="0.25">
      <c r="A16412" t="e">
        <v>#N/A</v>
      </c>
    </row>
    <row r="16413" spans="1:1" x14ac:dyDescent="0.25">
      <c r="A16413" t="e">
        <v>#N/A</v>
      </c>
    </row>
    <row r="16414" spans="1:1" x14ac:dyDescent="0.25">
      <c r="A16414" t="e">
        <v>#N/A</v>
      </c>
    </row>
    <row r="16415" spans="1:1" x14ac:dyDescent="0.25">
      <c r="A16415" t="e">
        <v>#N/A</v>
      </c>
    </row>
    <row r="16416" spans="1:1" x14ac:dyDescent="0.25">
      <c r="A16416" t="e">
        <v>#N/A</v>
      </c>
    </row>
    <row r="16417" spans="1:1" x14ac:dyDescent="0.25">
      <c r="A16417" t="e">
        <v>#N/A</v>
      </c>
    </row>
    <row r="16418" spans="1:1" x14ac:dyDescent="0.25">
      <c r="A16418" t="e">
        <v>#N/A</v>
      </c>
    </row>
    <row r="16419" spans="1:1" x14ac:dyDescent="0.25">
      <c r="A16419" t="e">
        <v>#N/A</v>
      </c>
    </row>
    <row r="16420" spans="1:1" x14ac:dyDescent="0.25">
      <c r="A16420" t="e">
        <v>#N/A</v>
      </c>
    </row>
    <row r="16421" spans="1:1" x14ac:dyDescent="0.25">
      <c r="A16421" t="e">
        <v>#N/A</v>
      </c>
    </row>
    <row r="16422" spans="1:1" x14ac:dyDescent="0.25">
      <c r="A16422" t="e">
        <v>#N/A</v>
      </c>
    </row>
    <row r="16423" spans="1:1" x14ac:dyDescent="0.25">
      <c r="A16423" t="e">
        <v>#N/A</v>
      </c>
    </row>
    <row r="16424" spans="1:1" x14ac:dyDescent="0.25">
      <c r="A16424" t="e">
        <v>#N/A</v>
      </c>
    </row>
    <row r="16425" spans="1:1" x14ac:dyDescent="0.25">
      <c r="A16425" t="e">
        <v>#N/A</v>
      </c>
    </row>
    <row r="16426" spans="1:1" x14ac:dyDescent="0.25">
      <c r="A16426" t="e">
        <v>#N/A</v>
      </c>
    </row>
    <row r="16427" spans="1:1" x14ac:dyDescent="0.25">
      <c r="A16427" t="e">
        <v>#N/A</v>
      </c>
    </row>
    <row r="16428" spans="1:1" x14ac:dyDescent="0.25">
      <c r="A16428" t="e">
        <v>#N/A</v>
      </c>
    </row>
    <row r="16429" spans="1:1" x14ac:dyDescent="0.25">
      <c r="A16429" t="e">
        <v>#N/A</v>
      </c>
    </row>
    <row r="16430" spans="1:1" x14ac:dyDescent="0.25">
      <c r="A16430" t="e">
        <v>#N/A</v>
      </c>
    </row>
    <row r="16431" spans="1:1" x14ac:dyDescent="0.25">
      <c r="A16431" t="e">
        <v>#N/A</v>
      </c>
    </row>
    <row r="16432" spans="1:1" x14ac:dyDescent="0.25">
      <c r="A16432" t="e">
        <v>#N/A</v>
      </c>
    </row>
    <row r="16433" spans="1:1" x14ac:dyDescent="0.25">
      <c r="A16433" t="e">
        <v>#N/A</v>
      </c>
    </row>
    <row r="16434" spans="1:1" x14ac:dyDescent="0.25">
      <c r="A16434" t="e">
        <v>#N/A</v>
      </c>
    </row>
    <row r="16435" spans="1:1" x14ac:dyDescent="0.25">
      <c r="A16435" t="e">
        <v>#N/A</v>
      </c>
    </row>
    <row r="16436" spans="1:1" x14ac:dyDescent="0.25">
      <c r="A16436" t="e">
        <v>#N/A</v>
      </c>
    </row>
    <row r="16437" spans="1:1" x14ac:dyDescent="0.25">
      <c r="A16437" t="e">
        <v>#N/A</v>
      </c>
    </row>
    <row r="16438" spans="1:1" x14ac:dyDescent="0.25">
      <c r="A16438" t="e">
        <v>#N/A</v>
      </c>
    </row>
    <row r="16439" spans="1:1" x14ac:dyDescent="0.25">
      <c r="A16439" t="e">
        <v>#N/A</v>
      </c>
    </row>
    <row r="16440" spans="1:1" x14ac:dyDescent="0.25">
      <c r="A16440" t="e">
        <v>#N/A</v>
      </c>
    </row>
    <row r="16441" spans="1:1" x14ac:dyDescent="0.25">
      <c r="A16441" t="e">
        <v>#N/A</v>
      </c>
    </row>
    <row r="16442" spans="1:1" x14ac:dyDescent="0.25">
      <c r="A16442" t="e">
        <v>#N/A</v>
      </c>
    </row>
    <row r="16443" spans="1:1" x14ac:dyDescent="0.25">
      <c r="A16443" t="e">
        <v>#N/A</v>
      </c>
    </row>
    <row r="16444" spans="1:1" x14ac:dyDescent="0.25">
      <c r="A16444" t="e">
        <v>#N/A</v>
      </c>
    </row>
    <row r="16445" spans="1:1" x14ac:dyDescent="0.25">
      <c r="A16445" t="e">
        <v>#N/A</v>
      </c>
    </row>
    <row r="16446" spans="1:1" x14ac:dyDescent="0.25">
      <c r="A16446" t="e">
        <v>#N/A</v>
      </c>
    </row>
    <row r="16447" spans="1:1" x14ac:dyDescent="0.25">
      <c r="A16447" t="e">
        <v>#N/A</v>
      </c>
    </row>
    <row r="16448" spans="1:1" x14ac:dyDescent="0.25">
      <c r="A16448" t="e">
        <v>#N/A</v>
      </c>
    </row>
    <row r="16449" spans="1:1" x14ac:dyDescent="0.25">
      <c r="A16449" t="e">
        <v>#N/A</v>
      </c>
    </row>
    <row r="16450" spans="1:1" x14ac:dyDescent="0.25">
      <c r="A16450" t="e">
        <v>#N/A</v>
      </c>
    </row>
    <row r="16451" spans="1:1" x14ac:dyDescent="0.25">
      <c r="A16451" t="e">
        <v>#N/A</v>
      </c>
    </row>
    <row r="16452" spans="1:1" x14ac:dyDescent="0.25">
      <c r="A16452" t="e">
        <v>#N/A</v>
      </c>
    </row>
    <row r="16453" spans="1:1" x14ac:dyDescent="0.25">
      <c r="A16453" t="e">
        <v>#N/A</v>
      </c>
    </row>
    <row r="16454" spans="1:1" x14ac:dyDescent="0.25">
      <c r="A16454" t="e">
        <v>#N/A</v>
      </c>
    </row>
    <row r="16455" spans="1:1" x14ac:dyDescent="0.25">
      <c r="A16455" t="e">
        <v>#N/A</v>
      </c>
    </row>
    <row r="16456" spans="1:1" x14ac:dyDescent="0.25">
      <c r="A16456" t="e">
        <v>#N/A</v>
      </c>
    </row>
    <row r="16457" spans="1:1" x14ac:dyDescent="0.25">
      <c r="A16457" t="e">
        <v>#N/A</v>
      </c>
    </row>
    <row r="16458" spans="1:1" x14ac:dyDescent="0.25">
      <c r="A16458" t="e">
        <v>#N/A</v>
      </c>
    </row>
    <row r="16459" spans="1:1" x14ac:dyDescent="0.25">
      <c r="A16459" t="e">
        <v>#N/A</v>
      </c>
    </row>
    <row r="16460" spans="1:1" x14ac:dyDescent="0.25">
      <c r="A16460" t="e">
        <v>#N/A</v>
      </c>
    </row>
    <row r="16461" spans="1:1" x14ac:dyDescent="0.25">
      <c r="A16461" t="e">
        <v>#N/A</v>
      </c>
    </row>
    <row r="16462" spans="1:1" x14ac:dyDescent="0.25">
      <c r="A16462" t="e">
        <v>#N/A</v>
      </c>
    </row>
    <row r="16463" spans="1:1" x14ac:dyDescent="0.25">
      <c r="A16463" t="e">
        <v>#N/A</v>
      </c>
    </row>
    <row r="16464" spans="1:1" x14ac:dyDescent="0.25">
      <c r="A16464" t="e">
        <v>#N/A</v>
      </c>
    </row>
    <row r="16465" spans="1:1" x14ac:dyDescent="0.25">
      <c r="A16465" t="e">
        <v>#N/A</v>
      </c>
    </row>
    <row r="16466" spans="1:1" x14ac:dyDescent="0.25">
      <c r="A16466" t="e">
        <v>#N/A</v>
      </c>
    </row>
    <row r="16467" spans="1:1" x14ac:dyDescent="0.25">
      <c r="A16467" t="e">
        <v>#N/A</v>
      </c>
    </row>
    <row r="16468" spans="1:1" x14ac:dyDescent="0.25">
      <c r="A16468" t="e">
        <v>#N/A</v>
      </c>
    </row>
    <row r="16469" spans="1:1" x14ac:dyDescent="0.25">
      <c r="A16469" t="e">
        <v>#N/A</v>
      </c>
    </row>
    <row r="16470" spans="1:1" x14ac:dyDescent="0.25">
      <c r="A16470" t="e">
        <v>#N/A</v>
      </c>
    </row>
    <row r="16471" spans="1:1" x14ac:dyDescent="0.25">
      <c r="A16471" t="e">
        <v>#N/A</v>
      </c>
    </row>
    <row r="16472" spans="1:1" x14ac:dyDescent="0.25">
      <c r="A16472" t="e">
        <v>#N/A</v>
      </c>
    </row>
    <row r="16473" spans="1:1" x14ac:dyDescent="0.25">
      <c r="A16473" t="e">
        <v>#N/A</v>
      </c>
    </row>
    <row r="16474" spans="1:1" x14ac:dyDescent="0.25">
      <c r="A16474" t="e">
        <v>#N/A</v>
      </c>
    </row>
    <row r="16475" spans="1:1" x14ac:dyDescent="0.25">
      <c r="A16475" t="e">
        <v>#N/A</v>
      </c>
    </row>
    <row r="16476" spans="1:1" x14ac:dyDescent="0.25">
      <c r="A16476" t="e">
        <v>#N/A</v>
      </c>
    </row>
    <row r="16477" spans="1:1" x14ac:dyDescent="0.25">
      <c r="A16477" t="e">
        <v>#N/A</v>
      </c>
    </row>
    <row r="16478" spans="1:1" x14ac:dyDescent="0.25">
      <c r="A16478" t="e">
        <v>#N/A</v>
      </c>
    </row>
    <row r="16479" spans="1:1" x14ac:dyDescent="0.25">
      <c r="A16479" t="e">
        <v>#N/A</v>
      </c>
    </row>
    <row r="16480" spans="1:1" x14ac:dyDescent="0.25">
      <c r="A16480" t="e">
        <v>#N/A</v>
      </c>
    </row>
    <row r="16481" spans="1:1" x14ac:dyDescent="0.25">
      <c r="A16481" t="e">
        <v>#N/A</v>
      </c>
    </row>
    <row r="16482" spans="1:1" x14ac:dyDescent="0.25">
      <c r="A16482" t="e">
        <v>#N/A</v>
      </c>
    </row>
    <row r="16483" spans="1:1" x14ac:dyDescent="0.25">
      <c r="A16483" t="e">
        <v>#N/A</v>
      </c>
    </row>
    <row r="16484" spans="1:1" x14ac:dyDescent="0.25">
      <c r="A16484" t="e">
        <v>#N/A</v>
      </c>
    </row>
    <row r="16485" spans="1:1" x14ac:dyDescent="0.25">
      <c r="A16485" t="e">
        <v>#N/A</v>
      </c>
    </row>
    <row r="16486" spans="1:1" x14ac:dyDescent="0.25">
      <c r="A16486" t="e">
        <v>#N/A</v>
      </c>
    </row>
    <row r="16487" spans="1:1" x14ac:dyDescent="0.25">
      <c r="A16487" t="e">
        <v>#N/A</v>
      </c>
    </row>
    <row r="16488" spans="1:1" x14ac:dyDescent="0.25">
      <c r="A16488" t="e">
        <v>#N/A</v>
      </c>
    </row>
    <row r="16489" spans="1:1" x14ac:dyDescent="0.25">
      <c r="A16489" t="e">
        <v>#N/A</v>
      </c>
    </row>
    <row r="16490" spans="1:1" x14ac:dyDescent="0.25">
      <c r="A16490" t="e">
        <v>#N/A</v>
      </c>
    </row>
    <row r="16491" spans="1:1" x14ac:dyDescent="0.25">
      <c r="A16491" t="e">
        <v>#N/A</v>
      </c>
    </row>
    <row r="16492" spans="1:1" x14ac:dyDescent="0.25">
      <c r="A16492" t="e">
        <v>#N/A</v>
      </c>
    </row>
    <row r="16493" spans="1:1" x14ac:dyDescent="0.25">
      <c r="A16493" t="e">
        <v>#N/A</v>
      </c>
    </row>
    <row r="16494" spans="1:1" x14ac:dyDescent="0.25">
      <c r="A16494" t="e">
        <v>#N/A</v>
      </c>
    </row>
    <row r="16495" spans="1:1" x14ac:dyDescent="0.25">
      <c r="A16495" t="e">
        <v>#N/A</v>
      </c>
    </row>
    <row r="16496" spans="1:1" x14ac:dyDescent="0.25">
      <c r="A16496" t="e">
        <v>#N/A</v>
      </c>
    </row>
    <row r="16497" spans="1:1" x14ac:dyDescent="0.25">
      <c r="A16497" t="e">
        <v>#N/A</v>
      </c>
    </row>
    <row r="16498" spans="1:1" x14ac:dyDescent="0.25">
      <c r="A16498" t="e">
        <v>#N/A</v>
      </c>
    </row>
    <row r="16499" spans="1:1" x14ac:dyDescent="0.25">
      <c r="A16499" t="e">
        <v>#N/A</v>
      </c>
    </row>
    <row r="16500" spans="1:1" x14ac:dyDescent="0.25">
      <c r="A16500" t="e">
        <v>#N/A</v>
      </c>
    </row>
    <row r="16501" spans="1:1" x14ac:dyDescent="0.25">
      <c r="A16501" t="e">
        <v>#N/A</v>
      </c>
    </row>
    <row r="16502" spans="1:1" x14ac:dyDescent="0.25">
      <c r="A16502" t="e">
        <v>#N/A</v>
      </c>
    </row>
    <row r="16503" spans="1:1" x14ac:dyDescent="0.25">
      <c r="A16503" t="e">
        <v>#N/A</v>
      </c>
    </row>
    <row r="16504" spans="1:1" x14ac:dyDescent="0.25">
      <c r="A16504" t="e">
        <v>#N/A</v>
      </c>
    </row>
    <row r="16505" spans="1:1" x14ac:dyDescent="0.25">
      <c r="A16505" t="e">
        <v>#N/A</v>
      </c>
    </row>
    <row r="16506" spans="1:1" x14ac:dyDescent="0.25">
      <c r="A16506" t="e">
        <v>#N/A</v>
      </c>
    </row>
    <row r="16507" spans="1:1" x14ac:dyDescent="0.25">
      <c r="A16507" t="e">
        <v>#N/A</v>
      </c>
    </row>
    <row r="16508" spans="1:1" x14ac:dyDescent="0.25">
      <c r="A16508" t="e">
        <v>#N/A</v>
      </c>
    </row>
    <row r="16509" spans="1:1" x14ac:dyDescent="0.25">
      <c r="A16509" t="e">
        <v>#N/A</v>
      </c>
    </row>
    <row r="16510" spans="1:1" x14ac:dyDescent="0.25">
      <c r="A16510" t="e">
        <v>#N/A</v>
      </c>
    </row>
    <row r="16511" spans="1:1" x14ac:dyDescent="0.25">
      <c r="A16511" t="e">
        <v>#N/A</v>
      </c>
    </row>
    <row r="16512" spans="1:1" x14ac:dyDescent="0.25">
      <c r="A16512" t="e">
        <v>#N/A</v>
      </c>
    </row>
    <row r="16513" spans="1:1" x14ac:dyDescent="0.25">
      <c r="A16513" t="e">
        <v>#N/A</v>
      </c>
    </row>
    <row r="16514" spans="1:1" x14ac:dyDescent="0.25">
      <c r="A16514" t="e">
        <v>#N/A</v>
      </c>
    </row>
    <row r="16515" spans="1:1" x14ac:dyDescent="0.25">
      <c r="A16515" t="e">
        <v>#N/A</v>
      </c>
    </row>
    <row r="16516" spans="1:1" x14ac:dyDescent="0.25">
      <c r="A16516" t="e">
        <v>#N/A</v>
      </c>
    </row>
    <row r="16517" spans="1:1" x14ac:dyDescent="0.25">
      <c r="A16517" t="e">
        <v>#N/A</v>
      </c>
    </row>
    <row r="16518" spans="1:1" x14ac:dyDescent="0.25">
      <c r="A16518" t="e">
        <v>#N/A</v>
      </c>
    </row>
    <row r="16519" spans="1:1" x14ac:dyDescent="0.25">
      <c r="A16519" t="e">
        <v>#N/A</v>
      </c>
    </row>
    <row r="16520" spans="1:1" x14ac:dyDescent="0.25">
      <c r="A16520" t="e">
        <v>#N/A</v>
      </c>
    </row>
    <row r="16521" spans="1:1" x14ac:dyDescent="0.25">
      <c r="A16521" t="e">
        <v>#N/A</v>
      </c>
    </row>
    <row r="16522" spans="1:1" x14ac:dyDescent="0.25">
      <c r="A16522" t="e">
        <v>#N/A</v>
      </c>
    </row>
    <row r="16523" spans="1:1" x14ac:dyDescent="0.25">
      <c r="A16523" t="e">
        <v>#N/A</v>
      </c>
    </row>
    <row r="16524" spans="1:1" x14ac:dyDescent="0.25">
      <c r="A16524" t="e">
        <v>#N/A</v>
      </c>
    </row>
    <row r="16525" spans="1:1" x14ac:dyDescent="0.25">
      <c r="A16525" t="e">
        <v>#N/A</v>
      </c>
    </row>
    <row r="16526" spans="1:1" x14ac:dyDescent="0.25">
      <c r="A16526" t="e">
        <v>#N/A</v>
      </c>
    </row>
    <row r="16527" spans="1:1" x14ac:dyDescent="0.25">
      <c r="A16527" t="e">
        <v>#N/A</v>
      </c>
    </row>
    <row r="16528" spans="1:1" x14ac:dyDescent="0.25">
      <c r="A16528" t="e">
        <v>#N/A</v>
      </c>
    </row>
    <row r="16529" spans="1:1" x14ac:dyDescent="0.25">
      <c r="A16529" t="e">
        <v>#N/A</v>
      </c>
    </row>
    <row r="16530" spans="1:1" x14ac:dyDescent="0.25">
      <c r="A16530" t="e">
        <v>#N/A</v>
      </c>
    </row>
    <row r="16531" spans="1:1" x14ac:dyDescent="0.25">
      <c r="A16531" t="e">
        <v>#N/A</v>
      </c>
    </row>
    <row r="16532" spans="1:1" x14ac:dyDescent="0.25">
      <c r="A16532" t="e">
        <v>#N/A</v>
      </c>
    </row>
    <row r="16533" spans="1:1" x14ac:dyDescent="0.25">
      <c r="A16533" t="e">
        <v>#N/A</v>
      </c>
    </row>
    <row r="16534" spans="1:1" x14ac:dyDescent="0.25">
      <c r="A16534" t="e">
        <v>#N/A</v>
      </c>
    </row>
    <row r="16535" spans="1:1" x14ac:dyDescent="0.25">
      <c r="A16535" t="e">
        <v>#N/A</v>
      </c>
    </row>
    <row r="16536" spans="1:1" x14ac:dyDescent="0.25">
      <c r="A16536" t="e">
        <v>#N/A</v>
      </c>
    </row>
    <row r="16537" spans="1:1" x14ac:dyDescent="0.25">
      <c r="A16537" t="e">
        <v>#N/A</v>
      </c>
    </row>
    <row r="16538" spans="1:1" x14ac:dyDescent="0.25">
      <c r="A16538" t="e">
        <v>#N/A</v>
      </c>
    </row>
    <row r="16539" spans="1:1" x14ac:dyDescent="0.25">
      <c r="A16539" t="e">
        <v>#N/A</v>
      </c>
    </row>
    <row r="16540" spans="1:1" x14ac:dyDescent="0.25">
      <c r="A16540" t="e">
        <v>#N/A</v>
      </c>
    </row>
    <row r="16541" spans="1:1" x14ac:dyDescent="0.25">
      <c r="A16541" t="e">
        <v>#N/A</v>
      </c>
    </row>
    <row r="16542" spans="1:1" x14ac:dyDescent="0.25">
      <c r="A16542" t="e">
        <v>#N/A</v>
      </c>
    </row>
    <row r="16543" spans="1:1" x14ac:dyDescent="0.25">
      <c r="A16543" t="e">
        <v>#N/A</v>
      </c>
    </row>
    <row r="16544" spans="1:1" x14ac:dyDescent="0.25">
      <c r="A16544" t="e">
        <v>#N/A</v>
      </c>
    </row>
    <row r="16545" spans="1:1" x14ac:dyDescent="0.25">
      <c r="A16545" t="e">
        <v>#N/A</v>
      </c>
    </row>
    <row r="16546" spans="1:1" x14ac:dyDescent="0.25">
      <c r="A16546" t="e">
        <v>#N/A</v>
      </c>
    </row>
    <row r="16547" spans="1:1" x14ac:dyDescent="0.25">
      <c r="A16547" t="e">
        <v>#N/A</v>
      </c>
    </row>
    <row r="16548" spans="1:1" x14ac:dyDescent="0.25">
      <c r="A16548" t="e">
        <v>#N/A</v>
      </c>
    </row>
    <row r="16549" spans="1:1" x14ac:dyDescent="0.25">
      <c r="A16549" t="e">
        <v>#N/A</v>
      </c>
    </row>
    <row r="16550" spans="1:1" x14ac:dyDescent="0.25">
      <c r="A16550" t="e">
        <v>#N/A</v>
      </c>
    </row>
    <row r="16551" spans="1:1" x14ac:dyDescent="0.25">
      <c r="A16551" t="e">
        <v>#N/A</v>
      </c>
    </row>
    <row r="16552" spans="1:1" x14ac:dyDescent="0.25">
      <c r="A16552" t="e">
        <v>#N/A</v>
      </c>
    </row>
    <row r="16553" spans="1:1" x14ac:dyDescent="0.25">
      <c r="A16553" t="e">
        <v>#N/A</v>
      </c>
    </row>
    <row r="16554" spans="1:1" x14ac:dyDescent="0.25">
      <c r="A16554" t="e">
        <v>#N/A</v>
      </c>
    </row>
    <row r="16555" spans="1:1" x14ac:dyDescent="0.25">
      <c r="A16555" t="e">
        <v>#N/A</v>
      </c>
    </row>
    <row r="16556" spans="1:1" x14ac:dyDescent="0.25">
      <c r="A16556" t="e">
        <v>#N/A</v>
      </c>
    </row>
    <row r="16557" spans="1:1" x14ac:dyDescent="0.25">
      <c r="A16557" t="e">
        <v>#N/A</v>
      </c>
    </row>
    <row r="16558" spans="1:1" x14ac:dyDescent="0.25">
      <c r="A16558" t="e">
        <v>#N/A</v>
      </c>
    </row>
    <row r="16559" spans="1:1" x14ac:dyDescent="0.25">
      <c r="A16559" t="e">
        <v>#N/A</v>
      </c>
    </row>
    <row r="16560" spans="1:1" x14ac:dyDescent="0.25">
      <c r="A16560" t="e">
        <v>#N/A</v>
      </c>
    </row>
    <row r="16561" spans="1:1" x14ac:dyDescent="0.25">
      <c r="A16561" t="e">
        <v>#N/A</v>
      </c>
    </row>
    <row r="16562" spans="1:1" x14ac:dyDescent="0.25">
      <c r="A16562" t="e">
        <v>#N/A</v>
      </c>
    </row>
    <row r="16563" spans="1:1" x14ac:dyDescent="0.25">
      <c r="A16563" t="e">
        <v>#N/A</v>
      </c>
    </row>
    <row r="16564" spans="1:1" x14ac:dyDescent="0.25">
      <c r="A16564" t="e">
        <v>#N/A</v>
      </c>
    </row>
    <row r="16565" spans="1:1" x14ac:dyDescent="0.25">
      <c r="A16565" t="e">
        <v>#N/A</v>
      </c>
    </row>
    <row r="16566" spans="1:1" x14ac:dyDescent="0.25">
      <c r="A16566" t="e">
        <v>#N/A</v>
      </c>
    </row>
    <row r="16567" spans="1:1" x14ac:dyDescent="0.25">
      <c r="A16567" t="e">
        <v>#N/A</v>
      </c>
    </row>
    <row r="16568" spans="1:1" x14ac:dyDescent="0.25">
      <c r="A16568" t="e">
        <v>#N/A</v>
      </c>
    </row>
    <row r="16569" spans="1:1" x14ac:dyDescent="0.25">
      <c r="A16569" t="e">
        <v>#N/A</v>
      </c>
    </row>
    <row r="16570" spans="1:1" x14ac:dyDescent="0.25">
      <c r="A16570" t="e">
        <v>#N/A</v>
      </c>
    </row>
    <row r="16571" spans="1:1" x14ac:dyDescent="0.25">
      <c r="A16571" t="e">
        <v>#N/A</v>
      </c>
    </row>
    <row r="16572" spans="1:1" x14ac:dyDescent="0.25">
      <c r="A16572" t="e">
        <v>#N/A</v>
      </c>
    </row>
    <row r="16573" spans="1:1" x14ac:dyDescent="0.25">
      <c r="A16573" t="e">
        <v>#N/A</v>
      </c>
    </row>
    <row r="16574" spans="1:1" x14ac:dyDescent="0.25">
      <c r="A16574" t="e">
        <v>#N/A</v>
      </c>
    </row>
    <row r="16575" spans="1:1" x14ac:dyDescent="0.25">
      <c r="A16575" t="e">
        <v>#N/A</v>
      </c>
    </row>
    <row r="16576" spans="1:1" x14ac:dyDescent="0.25">
      <c r="A16576" t="e">
        <v>#N/A</v>
      </c>
    </row>
    <row r="16577" spans="1:1" x14ac:dyDescent="0.25">
      <c r="A16577" t="e">
        <v>#N/A</v>
      </c>
    </row>
    <row r="16578" spans="1:1" x14ac:dyDescent="0.25">
      <c r="A16578" t="e">
        <v>#N/A</v>
      </c>
    </row>
    <row r="16579" spans="1:1" x14ac:dyDescent="0.25">
      <c r="A16579" t="e">
        <v>#N/A</v>
      </c>
    </row>
    <row r="16580" spans="1:1" x14ac:dyDescent="0.25">
      <c r="A16580" t="e">
        <v>#N/A</v>
      </c>
    </row>
    <row r="16581" spans="1:1" x14ac:dyDescent="0.25">
      <c r="A16581" t="e">
        <v>#N/A</v>
      </c>
    </row>
    <row r="16582" spans="1:1" x14ac:dyDescent="0.25">
      <c r="A16582" t="e">
        <v>#N/A</v>
      </c>
    </row>
    <row r="16583" spans="1:1" x14ac:dyDescent="0.25">
      <c r="A16583" t="e">
        <v>#N/A</v>
      </c>
    </row>
    <row r="16584" spans="1:1" x14ac:dyDescent="0.25">
      <c r="A16584" t="e">
        <v>#N/A</v>
      </c>
    </row>
    <row r="16585" spans="1:1" x14ac:dyDescent="0.25">
      <c r="A16585" t="e">
        <v>#N/A</v>
      </c>
    </row>
    <row r="16586" spans="1:1" x14ac:dyDescent="0.25">
      <c r="A16586" t="e">
        <v>#N/A</v>
      </c>
    </row>
    <row r="16587" spans="1:1" x14ac:dyDescent="0.25">
      <c r="A16587" t="e">
        <v>#N/A</v>
      </c>
    </row>
    <row r="16588" spans="1:1" x14ac:dyDescent="0.25">
      <c r="A16588" t="e">
        <v>#N/A</v>
      </c>
    </row>
    <row r="16589" spans="1:1" x14ac:dyDescent="0.25">
      <c r="A16589" t="e">
        <v>#N/A</v>
      </c>
    </row>
    <row r="16590" spans="1:1" x14ac:dyDescent="0.25">
      <c r="A16590" t="e">
        <v>#N/A</v>
      </c>
    </row>
    <row r="16591" spans="1:1" x14ac:dyDescent="0.25">
      <c r="A16591" t="e">
        <v>#N/A</v>
      </c>
    </row>
    <row r="16592" spans="1:1" x14ac:dyDescent="0.25">
      <c r="A16592" t="e">
        <v>#N/A</v>
      </c>
    </row>
    <row r="16593" spans="1:1" x14ac:dyDescent="0.25">
      <c r="A16593" t="e">
        <v>#N/A</v>
      </c>
    </row>
    <row r="16594" spans="1:1" x14ac:dyDescent="0.25">
      <c r="A16594" t="e">
        <v>#N/A</v>
      </c>
    </row>
    <row r="16595" spans="1:1" x14ac:dyDescent="0.25">
      <c r="A16595" t="e">
        <v>#N/A</v>
      </c>
    </row>
    <row r="16596" spans="1:1" x14ac:dyDescent="0.25">
      <c r="A16596" t="e">
        <v>#N/A</v>
      </c>
    </row>
    <row r="16597" spans="1:1" x14ac:dyDescent="0.25">
      <c r="A16597" t="e">
        <v>#N/A</v>
      </c>
    </row>
    <row r="16598" spans="1:1" x14ac:dyDescent="0.25">
      <c r="A16598" t="e">
        <v>#N/A</v>
      </c>
    </row>
    <row r="16599" spans="1:1" x14ac:dyDescent="0.25">
      <c r="A16599" t="e">
        <v>#N/A</v>
      </c>
    </row>
    <row r="16600" spans="1:1" x14ac:dyDescent="0.25">
      <c r="A16600" t="e">
        <v>#N/A</v>
      </c>
    </row>
    <row r="16601" spans="1:1" x14ac:dyDescent="0.25">
      <c r="A16601" t="e">
        <v>#N/A</v>
      </c>
    </row>
    <row r="16602" spans="1:1" x14ac:dyDescent="0.25">
      <c r="A16602" t="e">
        <v>#N/A</v>
      </c>
    </row>
    <row r="16603" spans="1:1" x14ac:dyDescent="0.25">
      <c r="A16603" t="e">
        <v>#N/A</v>
      </c>
    </row>
    <row r="16604" spans="1:1" x14ac:dyDescent="0.25">
      <c r="A16604" t="e">
        <v>#N/A</v>
      </c>
    </row>
    <row r="16605" spans="1:1" x14ac:dyDescent="0.25">
      <c r="A16605" t="e">
        <v>#N/A</v>
      </c>
    </row>
    <row r="16606" spans="1:1" x14ac:dyDescent="0.25">
      <c r="A16606" t="e">
        <v>#N/A</v>
      </c>
    </row>
    <row r="16607" spans="1:1" x14ac:dyDescent="0.25">
      <c r="A16607" t="e">
        <v>#N/A</v>
      </c>
    </row>
    <row r="16608" spans="1:1" x14ac:dyDescent="0.25">
      <c r="A16608" t="e">
        <v>#N/A</v>
      </c>
    </row>
    <row r="16609" spans="1:1" x14ac:dyDescent="0.25">
      <c r="A16609" t="e">
        <v>#N/A</v>
      </c>
    </row>
    <row r="16610" spans="1:1" x14ac:dyDescent="0.25">
      <c r="A16610" t="e">
        <v>#N/A</v>
      </c>
    </row>
    <row r="16611" spans="1:1" x14ac:dyDescent="0.25">
      <c r="A16611" t="e">
        <v>#N/A</v>
      </c>
    </row>
    <row r="16612" spans="1:1" x14ac:dyDescent="0.25">
      <c r="A16612" t="e">
        <v>#N/A</v>
      </c>
    </row>
    <row r="16613" spans="1:1" x14ac:dyDescent="0.25">
      <c r="A16613" t="e">
        <v>#N/A</v>
      </c>
    </row>
    <row r="16614" spans="1:1" x14ac:dyDescent="0.25">
      <c r="A16614" t="e">
        <v>#N/A</v>
      </c>
    </row>
    <row r="16615" spans="1:1" x14ac:dyDescent="0.25">
      <c r="A16615" t="e">
        <v>#N/A</v>
      </c>
    </row>
    <row r="16616" spans="1:1" x14ac:dyDescent="0.25">
      <c r="A16616" t="e">
        <v>#N/A</v>
      </c>
    </row>
    <row r="16617" spans="1:1" x14ac:dyDescent="0.25">
      <c r="A16617" t="e">
        <v>#N/A</v>
      </c>
    </row>
    <row r="16618" spans="1:1" x14ac:dyDescent="0.25">
      <c r="A16618" t="e">
        <v>#N/A</v>
      </c>
    </row>
    <row r="16619" spans="1:1" x14ac:dyDescent="0.25">
      <c r="A16619" t="e">
        <v>#N/A</v>
      </c>
    </row>
    <row r="16620" spans="1:1" x14ac:dyDescent="0.25">
      <c r="A16620" t="e">
        <v>#N/A</v>
      </c>
    </row>
    <row r="16621" spans="1:1" x14ac:dyDescent="0.25">
      <c r="A16621" t="e">
        <v>#N/A</v>
      </c>
    </row>
    <row r="16622" spans="1:1" x14ac:dyDescent="0.25">
      <c r="A16622" t="e">
        <v>#N/A</v>
      </c>
    </row>
    <row r="16623" spans="1:1" x14ac:dyDescent="0.25">
      <c r="A16623" t="e">
        <v>#N/A</v>
      </c>
    </row>
    <row r="16624" spans="1:1" x14ac:dyDescent="0.25">
      <c r="A16624" t="e">
        <v>#N/A</v>
      </c>
    </row>
    <row r="16625" spans="1:1" x14ac:dyDescent="0.25">
      <c r="A16625" t="e">
        <v>#N/A</v>
      </c>
    </row>
    <row r="16626" spans="1:1" x14ac:dyDescent="0.25">
      <c r="A16626" t="e">
        <v>#N/A</v>
      </c>
    </row>
    <row r="16627" spans="1:1" x14ac:dyDescent="0.25">
      <c r="A16627" t="e">
        <v>#N/A</v>
      </c>
    </row>
    <row r="16628" spans="1:1" x14ac:dyDescent="0.25">
      <c r="A16628" t="e">
        <v>#N/A</v>
      </c>
    </row>
    <row r="16629" spans="1:1" x14ac:dyDescent="0.25">
      <c r="A16629" t="e">
        <v>#N/A</v>
      </c>
    </row>
    <row r="16630" spans="1:1" x14ac:dyDescent="0.25">
      <c r="A16630" t="e">
        <v>#N/A</v>
      </c>
    </row>
    <row r="16631" spans="1:1" x14ac:dyDescent="0.25">
      <c r="A16631" t="e">
        <v>#N/A</v>
      </c>
    </row>
    <row r="16632" spans="1:1" x14ac:dyDescent="0.25">
      <c r="A16632" t="e">
        <v>#N/A</v>
      </c>
    </row>
    <row r="16633" spans="1:1" x14ac:dyDescent="0.25">
      <c r="A16633" t="e">
        <v>#N/A</v>
      </c>
    </row>
    <row r="16634" spans="1:1" x14ac:dyDescent="0.25">
      <c r="A16634" t="e">
        <v>#N/A</v>
      </c>
    </row>
    <row r="16635" spans="1:1" x14ac:dyDescent="0.25">
      <c r="A16635" t="e">
        <v>#N/A</v>
      </c>
    </row>
    <row r="16636" spans="1:1" x14ac:dyDescent="0.25">
      <c r="A16636" t="e">
        <v>#N/A</v>
      </c>
    </row>
    <row r="16637" spans="1:1" x14ac:dyDescent="0.25">
      <c r="A16637" t="e">
        <v>#N/A</v>
      </c>
    </row>
    <row r="16638" spans="1:1" x14ac:dyDescent="0.25">
      <c r="A16638" t="e">
        <v>#N/A</v>
      </c>
    </row>
    <row r="16639" spans="1:1" x14ac:dyDescent="0.25">
      <c r="A16639" t="e">
        <v>#N/A</v>
      </c>
    </row>
    <row r="16640" spans="1:1" x14ac:dyDescent="0.25">
      <c r="A16640" t="e">
        <v>#N/A</v>
      </c>
    </row>
    <row r="16641" spans="1:1" x14ac:dyDescent="0.25">
      <c r="A16641" t="e">
        <v>#N/A</v>
      </c>
    </row>
    <row r="16642" spans="1:1" x14ac:dyDescent="0.25">
      <c r="A16642" t="e">
        <v>#N/A</v>
      </c>
    </row>
    <row r="16643" spans="1:1" x14ac:dyDescent="0.25">
      <c r="A16643" t="e">
        <v>#N/A</v>
      </c>
    </row>
    <row r="16644" spans="1:1" x14ac:dyDescent="0.25">
      <c r="A16644" t="e">
        <v>#N/A</v>
      </c>
    </row>
    <row r="16645" spans="1:1" x14ac:dyDescent="0.25">
      <c r="A16645" t="e">
        <v>#N/A</v>
      </c>
    </row>
    <row r="16646" spans="1:1" x14ac:dyDescent="0.25">
      <c r="A16646" t="e">
        <v>#N/A</v>
      </c>
    </row>
    <row r="16647" spans="1:1" x14ac:dyDescent="0.25">
      <c r="A16647" t="e">
        <v>#N/A</v>
      </c>
    </row>
    <row r="16648" spans="1:1" x14ac:dyDescent="0.25">
      <c r="A16648" t="e">
        <v>#N/A</v>
      </c>
    </row>
    <row r="16649" spans="1:1" x14ac:dyDescent="0.25">
      <c r="A16649" t="e">
        <v>#N/A</v>
      </c>
    </row>
    <row r="16650" spans="1:1" x14ac:dyDescent="0.25">
      <c r="A16650" t="e">
        <v>#N/A</v>
      </c>
    </row>
    <row r="16651" spans="1:1" x14ac:dyDescent="0.25">
      <c r="A16651" t="e">
        <v>#N/A</v>
      </c>
    </row>
    <row r="16652" spans="1:1" x14ac:dyDescent="0.25">
      <c r="A16652" t="e">
        <v>#N/A</v>
      </c>
    </row>
    <row r="16653" spans="1:1" x14ac:dyDescent="0.25">
      <c r="A16653" t="e">
        <v>#N/A</v>
      </c>
    </row>
    <row r="16654" spans="1:1" x14ac:dyDescent="0.25">
      <c r="A16654" t="e">
        <v>#N/A</v>
      </c>
    </row>
    <row r="16655" spans="1:1" x14ac:dyDescent="0.25">
      <c r="A16655" t="e">
        <v>#N/A</v>
      </c>
    </row>
    <row r="16656" spans="1:1" x14ac:dyDescent="0.25">
      <c r="A16656" t="e">
        <v>#N/A</v>
      </c>
    </row>
    <row r="16657" spans="1:1" x14ac:dyDescent="0.25">
      <c r="A16657" t="e">
        <v>#N/A</v>
      </c>
    </row>
    <row r="16658" spans="1:1" x14ac:dyDescent="0.25">
      <c r="A16658" t="e">
        <v>#N/A</v>
      </c>
    </row>
    <row r="16659" spans="1:1" x14ac:dyDescent="0.25">
      <c r="A16659" t="e">
        <v>#N/A</v>
      </c>
    </row>
    <row r="16660" spans="1:1" x14ac:dyDescent="0.25">
      <c r="A16660" t="e">
        <v>#N/A</v>
      </c>
    </row>
    <row r="16661" spans="1:1" x14ac:dyDescent="0.25">
      <c r="A16661" t="e">
        <v>#N/A</v>
      </c>
    </row>
    <row r="16662" spans="1:1" x14ac:dyDescent="0.25">
      <c r="A16662" t="e">
        <v>#N/A</v>
      </c>
    </row>
    <row r="16663" spans="1:1" x14ac:dyDescent="0.25">
      <c r="A16663" t="e">
        <v>#N/A</v>
      </c>
    </row>
    <row r="16664" spans="1:1" x14ac:dyDescent="0.25">
      <c r="A16664" t="e">
        <v>#N/A</v>
      </c>
    </row>
    <row r="16665" spans="1:1" x14ac:dyDescent="0.25">
      <c r="A16665" t="e">
        <v>#N/A</v>
      </c>
    </row>
    <row r="16666" spans="1:1" x14ac:dyDescent="0.25">
      <c r="A16666" t="e">
        <v>#N/A</v>
      </c>
    </row>
    <row r="16667" spans="1:1" x14ac:dyDescent="0.25">
      <c r="A16667" t="e">
        <v>#N/A</v>
      </c>
    </row>
    <row r="16668" spans="1:1" x14ac:dyDescent="0.25">
      <c r="A16668" t="e">
        <v>#N/A</v>
      </c>
    </row>
    <row r="16669" spans="1:1" x14ac:dyDescent="0.25">
      <c r="A16669" t="e">
        <v>#N/A</v>
      </c>
    </row>
    <row r="16670" spans="1:1" x14ac:dyDescent="0.25">
      <c r="A16670" t="e">
        <v>#N/A</v>
      </c>
    </row>
    <row r="16671" spans="1:1" x14ac:dyDescent="0.25">
      <c r="A16671" t="e">
        <v>#N/A</v>
      </c>
    </row>
    <row r="16672" spans="1:1" x14ac:dyDescent="0.25">
      <c r="A16672" t="e">
        <v>#N/A</v>
      </c>
    </row>
    <row r="16673" spans="1:1" x14ac:dyDescent="0.25">
      <c r="A16673" t="e">
        <v>#N/A</v>
      </c>
    </row>
    <row r="16674" spans="1:1" x14ac:dyDescent="0.25">
      <c r="A16674" t="e">
        <v>#N/A</v>
      </c>
    </row>
    <row r="16675" spans="1:1" x14ac:dyDescent="0.25">
      <c r="A16675" t="e">
        <v>#N/A</v>
      </c>
    </row>
    <row r="16676" spans="1:1" x14ac:dyDescent="0.25">
      <c r="A16676" t="e">
        <v>#N/A</v>
      </c>
    </row>
    <row r="16677" spans="1:1" x14ac:dyDescent="0.25">
      <c r="A16677" t="e">
        <v>#N/A</v>
      </c>
    </row>
    <row r="16678" spans="1:1" x14ac:dyDescent="0.25">
      <c r="A16678" t="e">
        <v>#N/A</v>
      </c>
    </row>
    <row r="16679" spans="1:1" x14ac:dyDescent="0.25">
      <c r="A16679" t="e">
        <v>#N/A</v>
      </c>
    </row>
    <row r="16680" spans="1:1" x14ac:dyDescent="0.25">
      <c r="A16680" t="e">
        <v>#N/A</v>
      </c>
    </row>
    <row r="16681" spans="1:1" x14ac:dyDescent="0.25">
      <c r="A16681" t="e">
        <v>#N/A</v>
      </c>
    </row>
    <row r="16682" spans="1:1" x14ac:dyDescent="0.25">
      <c r="A16682" t="e">
        <v>#N/A</v>
      </c>
    </row>
    <row r="16683" spans="1:1" x14ac:dyDescent="0.25">
      <c r="A16683" t="e">
        <v>#N/A</v>
      </c>
    </row>
    <row r="16684" spans="1:1" x14ac:dyDescent="0.25">
      <c r="A16684" t="e">
        <v>#N/A</v>
      </c>
    </row>
    <row r="16685" spans="1:1" x14ac:dyDescent="0.25">
      <c r="A16685" t="e">
        <v>#N/A</v>
      </c>
    </row>
    <row r="16686" spans="1:1" x14ac:dyDescent="0.25">
      <c r="A16686" t="e">
        <v>#N/A</v>
      </c>
    </row>
    <row r="16687" spans="1:1" x14ac:dyDescent="0.25">
      <c r="A16687" t="e">
        <v>#N/A</v>
      </c>
    </row>
    <row r="16688" spans="1:1" x14ac:dyDescent="0.25">
      <c r="A16688" t="e">
        <v>#N/A</v>
      </c>
    </row>
    <row r="16689" spans="1:1" x14ac:dyDescent="0.25">
      <c r="A16689" t="e">
        <v>#N/A</v>
      </c>
    </row>
    <row r="16690" spans="1:1" x14ac:dyDescent="0.25">
      <c r="A16690" t="e">
        <v>#N/A</v>
      </c>
    </row>
    <row r="16691" spans="1:1" x14ac:dyDescent="0.25">
      <c r="A16691" t="e">
        <v>#N/A</v>
      </c>
    </row>
    <row r="16692" spans="1:1" x14ac:dyDescent="0.25">
      <c r="A16692" t="e">
        <v>#N/A</v>
      </c>
    </row>
    <row r="16693" spans="1:1" x14ac:dyDescent="0.25">
      <c r="A16693" t="e">
        <v>#N/A</v>
      </c>
    </row>
    <row r="16694" spans="1:1" x14ac:dyDescent="0.25">
      <c r="A16694" t="e">
        <v>#N/A</v>
      </c>
    </row>
    <row r="16695" spans="1:1" x14ac:dyDescent="0.25">
      <c r="A16695" t="e">
        <v>#N/A</v>
      </c>
    </row>
    <row r="16696" spans="1:1" x14ac:dyDescent="0.25">
      <c r="A16696" t="e">
        <v>#N/A</v>
      </c>
    </row>
    <row r="16697" spans="1:1" x14ac:dyDescent="0.25">
      <c r="A16697" t="e">
        <v>#N/A</v>
      </c>
    </row>
    <row r="16698" spans="1:1" x14ac:dyDescent="0.25">
      <c r="A16698" t="e">
        <v>#N/A</v>
      </c>
    </row>
    <row r="16699" spans="1:1" x14ac:dyDescent="0.25">
      <c r="A16699" t="e">
        <v>#N/A</v>
      </c>
    </row>
    <row r="16700" spans="1:1" x14ac:dyDescent="0.25">
      <c r="A16700" t="e">
        <v>#N/A</v>
      </c>
    </row>
    <row r="16701" spans="1:1" x14ac:dyDescent="0.25">
      <c r="A16701" t="e">
        <v>#N/A</v>
      </c>
    </row>
    <row r="16702" spans="1:1" x14ac:dyDescent="0.25">
      <c r="A16702" t="e">
        <v>#N/A</v>
      </c>
    </row>
    <row r="16703" spans="1:1" x14ac:dyDescent="0.25">
      <c r="A16703" t="e">
        <v>#N/A</v>
      </c>
    </row>
    <row r="16704" spans="1:1" x14ac:dyDescent="0.25">
      <c r="A16704" t="e">
        <v>#N/A</v>
      </c>
    </row>
    <row r="16705" spans="1:1" x14ac:dyDescent="0.25">
      <c r="A16705" t="e">
        <v>#N/A</v>
      </c>
    </row>
    <row r="16706" spans="1:1" x14ac:dyDescent="0.25">
      <c r="A16706" t="e">
        <v>#N/A</v>
      </c>
    </row>
    <row r="16707" spans="1:1" x14ac:dyDescent="0.25">
      <c r="A16707" t="e">
        <v>#N/A</v>
      </c>
    </row>
    <row r="16708" spans="1:1" x14ac:dyDescent="0.25">
      <c r="A16708" t="e">
        <v>#N/A</v>
      </c>
    </row>
    <row r="16709" spans="1:1" x14ac:dyDescent="0.25">
      <c r="A16709" t="e">
        <v>#N/A</v>
      </c>
    </row>
    <row r="16710" spans="1:1" x14ac:dyDescent="0.25">
      <c r="A16710" t="e">
        <v>#N/A</v>
      </c>
    </row>
    <row r="16711" spans="1:1" x14ac:dyDescent="0.25">
      <c r="A16711" t="e">
        <v>#N/A</v>
      </c>
    </row>
    <row r="16712" spans="1:1" x14ac:dyDescent="0.25">
      <c r="A16712" t="e">
        <v>#N/A</v>
      </c>
    </row>
    <row r="16713" spans="1:1" x14ac:dyDescent="0.25">
      <c r="A16713" t="e">
        <v>#N/A</v>
      </c>
    </row>
    <row r="16714" spans="1:1" x14ac:dyDescent="0.25">
      <c r="A16714" t="e">
        <v>#N/A</v>
      </c>
    </row>
    <row r="16715" spans="1:1" x14ac:dyDescent="0.25">
      <c r="A16715" t="e">
        <v>#N/A</v>
      </c>
    </row>
    <row r="16716" spans="1:1" x14ac:dyDescent="0.25">
      <c r="A16716" t="e">
        <v>#N/A</v>
      </c>
    </row>
    <row r="16717" spans="1:1" x14ac:dyDescent="0.25">
      <c r="A16717" t="e">
        <v>#N/A</v>
      </c>
    </row>
    <row r="16718" spans="1:1" x14ac:dyDescent="0.25">
      <c r="A16718" t="e">
        <v>#N/A</v>
      </c>
    </row>
    <row r="16719" spans="1:1" x14ac:dyDescent="0.25">
      <c r="A16719" t="e">
        <v>#N/A</v>
      </c>
    </row>
    <row r="16720" spans="1:1" x14ac:dyDescent="0.25">
      <c r="A16720" t="e">
        <v>#N/A</v>
      </c>
    </row>
    <row r="16721" spans="1:1" x14ac:dyDescent="0.25">
      <c r="A16721" t="e">
        <v>#N/A</v>
      </c>
    </row>
    <row r="16722" spans="1:1" x14ac:dyDescent="0.25">
      <c r="A16722" t="e">
        <v>#N/A</v>
      </c>
    </row>
    <row r="16723" spans="1:1" x14ac:dyDescent="0.25">
      <c r="A16723" t="e">
        <v>#N/A</v>
      </c>
    </row>
    <row r="16724" spans="1:1" x14ac:dyDescent="0.25">
      <c r="A16724" t="e">
        <v>#N/A</v>
      </c>
    </row>
    <row r="16725" spans="1:1" x14ac:dyDescent="0.25">
      <c r="A16725" t="e">
        <v>#N/A</v>
      </c>
    </row>
    <row r="16726" spans="1:1" x14ac:dyDescent="0.25">
      <c r="A16726" t="e">
        <v>#N/A</v>
      </c>
    </row>
    <row r="16727" spans="1:1" x14ac:dyDescent="0.25">
      <c r="A16727" t="e">
        <v>#N/A</v>
      </c>
    </row>
    <row r="16728" spans="1:1" x14ac:dyDescent="0.25">
      <c r="A16728" t="e">
        <v>#N/A</v>
      </c>
    </row>
    <row r="16729" spans="1:1" x14ac:dyDescent="0.25">
      <c r="A16729" t="e">
        <v>#N/A</v>
      </c>
    </row>
    <row r="16730" spans="1:1" x14ac:dyDescent="0.25">
      <c r="A16730" t="e">
        <v>#N/A</v>
      </c>
    </row>
    <row r="16731" spans="1:1" x14ac:dyDescent="0.25">
      <c r="A16731" t="e">
        <v>#N/A</v>
      </c>
    </row>
    <row r="16732" spans="1:1" x14ac:dyDescent="0.25">
      <c r="A16732" t="e">
        <v>#N/A</v>
      </c>
    </row>
    <row r="16733" spans="1:1" x14ac:dyDescent="0.25">
      <c r="A16733" t="e">
        <v>#N/A</v>
      </c>
    </row>
    <row r="16734" spans="1:1" x14ac:dyDescent="0.25">
      <c r="A16734" t="e">
        <v>#N/A</v>
      </c>
    </row>
    <row r="16735" spans="1:1" x14ac:dyDescent="0.25">
      <c r="A16735" t="e">
        <v>#N/A</v>
      </c>
    </row>
    <row r="16736" spans="1:1" x14ac:dyDescent="0.25">
      <c r="A16736" t="e">
        <v>#N/A</v>
      </c>
    </row>
    <row r="16737" spans="1:1" x14ac:dyDescent="0.25">
      <c r="A16737" t="e">
        <v>#N/A</v>
      </c>
    </row>
    <row r="16738" spans="1:1" x14ac:dyDescent="0.25">
      <c r="A16738" t="e">
        <v>#N/A</v>
      </c>
    </row>
    <row r="16739" spans="1:1" x14ac:dyDescent="0.25">
      <c r="A16739" t="e">
        <v>#N/A</v>
      </c>
    </row>
    <row r="16740" spans="1:1" x14ac:dyDescent="0.25">
      <c r="A16740" t="e">
        <v>#N/A</v>
      </c>
    </row>
    <row r="16741" spans="1:1" x14ac:dyDescent="0.25">
      <c r="A16741" t="e">
        <v>#N/A</v>
      </c>
    </row>
    <row r="16742" spans="1:1" x14ac:dyDescent="0.25">
      <c r="A16742" t="e">
        <v>#N/A</v>
      </c>
    </row>
    <row r="16743" spans="1:1" x14ac:dyDescent="0.25">
      <c r="A16743" t="e">
        <v>#N/A</v>
      </c>
    </row>
    <row r="16744" spans="1:1" x14ac:dyDescent="0.25">
      <c r="A16744" t="e">
        <v>#N/A</v>
      </c>
    </row>
    <row r="16745" spans="1:1" x14ac:dyDescent="0.25">
      <c r="A16745" t="e">
        <v>#N/A</v>
      </c>
    </row>
    <row r="16746" spans="1:1" x14ac:dyDescent="0.25">
      <c r="A16746" t="e">
        <v>#N/A</v>
      </c>
    </row>
    <row r="16747" spans="1:1" x14ac:dyDescent="0.25">
      <c r="A16747" t="e">
        <v>#N/A</v>
      </c>
    </row>
    <row r="16748" spans="1:1" x14ac:dyDescent="0.25">
      <c r="A16748" t="e">
        <v>#N/A</v>
      </c>
    </row>
    <row r="16749" spans="1:1" x14ac:dyDescent="0.25">
      <c r="A16749" t="e">
        <v>#N/A</v>
      </c>
    </row>
    <row r="16750" spans="1:1" x14ac:dyDescent="0.25">
      <c r="A16750" t="e">
        <v>#N/A</v>
      </c>
    </row>
    <row r="16751" spans="1:1" x14ac:dyDescent="0.25">
      <c r="A16751" t="e">
        <v>#N/A</v>
      </c>
    </row>
    <row r="16752" spans="1:1" x14ac:dyDescent="0.25">
      <c r="A16752" t="e">
        <v>#N/A</v>
      </c>
    </row>
    <row r="16753" spans="1:1" x14ac:dyDescent="0.25">
      <c r="A16753" t="e">
        <v>#N/A</v>
      </c>
    </row>
    <row r="16754" spans="1:1" x14ac:dyDescent="0.25">
      <c r="A16754" t="e">
        <v>#N/A</v>
      </c>
    </row>
    <row r="16755" spans="1:1" x14ac:dyDescent="0.25">
      <c r="A16755" t="e">
        <v>#N/A</v>
      </c>
    </row>
    <row r="16756" spans="1:1" x14ac:dyDescent="0.25">
      <c r="A16756" t="e">
        <v>#N/A</v>
      </c>
    </row>
    <row r="16757" spans="1:1" x14ac:dyDescent="0.25">
      <c r="A16757" t="e">
        <v>#N/A</v>
      </c>
    </row>
    <row r="16758" spans="1:1" x14ac:dyDescent="0.25">
      <c r="A16758" t="e">
        <v>#N/A</v>
      </c>
    </row>
    <row r="16759" spans="1:1" x14ac:dyDescent="0.25">
      <c r="A16759" t="e">
        <v>#N/A</v>
      </c>
    </row>
    <row r="16760" spans="1:1" x14ac:dyDescent="0.25">
      <c r="A16760" t="e">
        <v>#N/A</v>
      </c>
    </row>
    <row r="16761" spans="1:1" x14ac:dyDescent="0.25">
      <c r="A16761" t="e">
        <v>#N/A</v>
      </c>
    </row>
    <row r="16762" spans="1:1" x14ac:dyDescent="0.25">
      <c r="A16762" t="e">
        <v>#N/A</v>
      </c>
    </row>
    <row r="16763" spans="1:1" x14ac:dyDescent="0.25">
      <c r="A16763" t="e">
        <v>#N/A</v>
      </c>
    </row>
    <row r="16764" spans="1:1" x14ac:dyDescent="0.25">
      <c r="A16764" t="e">
        <v>#N/A</v>
      </c>
    </row>
    <row r="16765" spans="1:1" x14ac:dyDescent="0.25">
      <c r="A16765" t="e">
        <v>#N/A</v>
      </c>
    </row>
    <row r="16766" spans="1:1" x14ac:dyDescent="0.25">
      <c r="A16766" t="e">
        <v>#N/A</v>
      </c>
    </row>
    <row r="16767" spans="1:1" x14ac:dyDescent="0.25">
      <c r="A16767" t="e">
        <v>#N/A</v>
      </c>
    </row>
    <row r="16768" spans="1:1" x14ac:dyDescent="0.25">
      <c r="A16768" t="e">
        <v>#N/A</v>
      </c>
    </row>
    <row r="16769" spans="1:1" x14ac:dyDescent="0.25">
      <c r="A16769" t="e">
        <v>#N/A</v>
      </c>
    </row>
    <row r="16770" spans="1:1" x14ac:dyDescent="0.25">
      <c r="A16770" t="e">
        <v>#N/A</v>
      </c>
    </row>
    <row r="16771" spans="1:1" x14ac:dyDescent="0.25">
      <c r="A16771" t="e">
        <v>#N/A</v>
      </c>
    </row>
    <row r="16772" spans="1:1" x14ac:dyDescent="0.25">
      <c r="A16772" t="e">
        <v>#N/A</v>
      </c>
    </row>
    <row r="16773" spans="1:1" x14ac:dyDescent="0.25">
      <c r="A16773" t="e">
        <v>#N/A</v>
      </c>
    </row>
    <row r="16774" spans="1:1" x14ac:dyDescent="0.25">
      <c r="A16774" t="e">
        <v>#N/A</v>
      </c>
    </row>
    <row r="16775" spans="1:1" x14ac:dyDescent="0.25">
      <c r="A16775" t="e">
        <v>#N/A</v>
      </c>
    </row>
    <row r="16776" spans="1:1" x14ac:dyDescent="0.25">
      <c r="A16776" t="e">
        <v>#N/A</v>
      </c>
    </row>
    <row r="16777" spans="1:1" x14ac:dyDescent="0.25">
      <c r="A16777" t="e">
        <v>#N/A</v>
      </c>
    </row>
    <row r="16778" spans="1:1" x14ac:dyDescent="0.25">
      <c r="A16778" t="e">
        <v>#N/A</v>
      </c>
    </row>
    <row r="16779" spans="1:1" x14ac:dyDescent="0.25">
      <c r="A16779" t="e">
        <v>#N/A</v>
      </c>
    </row>
    <row r="16780" spans="1:1" x14ac:dyDescent="0.25">
      <c r="A16780" t="e">
        <v>#N/A</v>
      </c>
    </row>
    <row r="16781" spans="1:1" x14ac:dyDescent="0.25">
      <c r="A16781" t="e">
        <v>#N/A</v>
      </c>
    </row>
    <row r="16782" spans="1:1" x14ac:dyDescent="0.25">
      <c r="A16782" t="e">
        <v>#N/A</v>
      </c>
    </row>
    <row r="16783" spans="1:1" x14ac:dyDescent="0.25">
      <c r="A16783" t="e">
        <v>#N/A</v>
      </c>
    </row>
    <row r="16784" spans="1:1" x14ac:dyDescent="0.25">
      <c r="A16784" t="e">
        <v>#N/A</v>
      </c>
    </row>
    <row r="16785" spans="1:1" x14ac:dyDescent="0.25">
      <c r="A16785" t="e">
        <v>#N/A</v>
      </c>
    </row>
    <row r="16786" spans="1:1" x14ac:dyDescent="0.25">
      <c r="A16786" t="e">
        <v>#N/A</v>
      </c>
    </row>
    <row r="16787" spans="1:1" x14ac:dyDescent="0.25">
      <c r="A16787" t="e">
        <v>#N/A</v>
      </c>
    </row>
    <row r="16788" spans="1:1" x14ac:dyDescent="0.25">
      <c r="A16788" t="e">
        <v>#N/A</v>
      </c>
    </row>
    <row r="16789" spans="1:1" x14ac:dyDescent="0.25">
      <c r="A16789" t="e">
        <v>#N/A</v>
      </c>
    </row>
    <row r="16790" spans="1:1" x14ac:dyDescent="0.25">
      <c r="A16790" t="e">
        <v>#N/A</v>
      </c>
    </row>
    <row r="16791" spans="1:1" x14ac:dyDescent="0.25">
      <c r="A16791" t="e">
        <v>#N/A</v>
      </c>
    </row>
    <row r="16792" spans="1:1" x14ac:dyDescent="0.25">
      <c r="A16792" t="e">
        <v>#N/A</v>
      </c>
    </row>
    <row r="16793" spans="1:1" x14ac:dyDescent="0.25">
      <c r="A16793" t="e">
        <v>#N/A</v>
      </c>
    </row>
    <row r="16794" spans="1:1" x14ac:dyDescent="0.25">
      <c r="A16794" t="e">
        <v>#N/A</v>
      </c>
    </row>
    <row r="16795" spans="1:1" x14ac:dyDescent="0.25">
      <c r="A16795" t="e">
        <v>#N/A</v>
      </c>
    </row>
    <row r="16796" spans="1:1" x14ac:dyDescent="0.25">
      <c r="A16796" t="e">
        <v>#N/A</v>
      </c>
    </row>
    <row r="16797" spans="1:1" x14ac:dyDescent="0.25">
      <c r="A16797" t="e">
        <v>#N/A</v>
      </c>
    </row>
    <row r="16798" spans="1:1" x14ac:dyDescent="0.25">
      <c r="A16798" t="e">
        <v>#N/A</v>
      </c>
    </row>
    <row r="16799" spans="1:1" x14ac:dyDescent="0.25">
      <c r="A16799" t="e">
        <v>#N/A</v>
      </c>
    </row>
    <row r="16800" spans="1:1" x14ac:dyDescent="0.25">
      <c r="A16800" t="e">
        <v>#N/A</v>
      </c>
    </row>
    <row r="16801" spans="1:1" x14ac:dyDescent="0.25">
      <c r="A16801" t="e">
        <v>#N/A</v>
      </c>
    </row>
    <row r="16802" spans="1:1" x14ac:dyDescent="0.25">
      <c r="A16802" t="e">
        <v>#N/A</v>
      </c>
    </row>
    <row r="16803" spans="1:1" x14ac:dyDescent="0.25">
      <c r="A16803" t="e">
        <v>#N/A</v>
      </c>
    </row>
    <row r="16804" spans="1:1" x14ac:dyDescent="0.25">
      <c r="A16804" t="e">
        <v>#N/A</v>
      </c>
    </row>
    <row r="16805" spans="1:1" x14ac:dyDescent="0.25">
      <c r="A16805" t="e">
        <v>#N/A</v>
      </c>
    </row>
    <row r="16806" spans="1:1" x14ac:dyDescent="0.25">
      <c r="A16806" t="e">
        <v>#N/A</v>
      </c>
    </row>
    <row r="16807" spans="1:1" x14ac:dyDescent="0.25">
      <c r="A16807" t="e">
        <v>#N/A</v>
      </c>
    </row>
    <row r="16808" spans="1:1" x14ac:dyDescent="0.25">
      <c r="A16808" t="e">
        <v>#N/A</v>
      </c>
    </row>
    <row r="16809" spans="1:1" x14ac:dyDescent="0.25">
      <c r="A16809" t="e">
        <v>#N/A</v>
      </c>
    </row>
    <row r="16810" spans="1:1" x14ac:dyDescent="0.25">
      <c r="A16810" t="e">
        <v>#N/A</v>
      </c>
    </row>
    <row r="16811" spans="1:1" x14ac:dyDescent="0.25">
      <c r="A16811" t="e">
        <v>#N/A</v>
      </c>
    </row>
    <row r="16812" spans="1:1" x14ac:dyDescent="0.25">
      <c r="A16812" t="e">
        <v>#N/A</v>
      </c>
    </row>
    <row r="16813" spans="1:1" x14ac:dyDescent="0.25">
      <c r="A16813" t="e">
        <v>#N/A</v>
      </c>
    </row>
    <row r="16814" spans="1:1" x14ac:dyDescent="0.25">
      <c r="A16814" t="e">
        <v>#N/A</v>
      </c>
    </row>
    <row r="16815" spans="1:1" x14ac:dyDescent="0.25">
      <c r="A16815" t="e">
        <v>#N/A</v>
      </c>
    </row>
    <row r="16816" spans="1:1" x14ac:dyDescent="0.25">
      <c r="A16816" t="e">
        <v>#N/A</v>
      </c>
    </row>
    <row r="16817" spans="1:1" x14ac:dyDescent="0.25">
      <c r="A16817" t="e">
        <v>#N/A</v>
      </c>
    </row>
    <row r="16818" spans="1:1" x14ac:dyDescent="0.25">
      <c r="A16818" t="e">
        <v>#N/A</v>
      </c>
    </row>
    <row r="16819" spans="1:1" x14ac:dyDescent="0.25">
      <c r="A16819" t="e">
        <v>#N/A</v>
      </c>
    </row>
    <row r="16820" spans="1:1" x14ac:dyDescent="0.25">
      <c r="A16820" t="e">
        <v>#N/A</v>
      </c>
    </row>
    <row r="16821" spans="1:1" x14ac:dyDescent="0.25">
      <c r="A16821" t="e">
        <v>#N/A</v>
      </c>
    </row>
    <row r="16822" spans="1:1" x14ac:dyDescent="0.25">
      <c r="A16822" t="e">
        <v>#N/A</v>
      </c>
    </row>
    <row r="16823" spans="1:1" x14ac:dyDescent="0.25">
      <c r="A16823" t="e">
        <v>#N/A</v>
      </c>
    </row>
    <row r="16824" spans="1:1" x14ac:dyDescent="0.25">
      <c r="A16824" t="e">
        <v>#N/A</v>
      </c>
    </row>
    <row r="16825" spans="1:1" x14ac:dyDescent="0.25">
      <c r="A16825" t="e">
        <v>#N/A</v>
      </c>
    </row>
    <row r="16826" spans="1:1" x14ac:dyDescent="0.25">
      <c r="A16826" t="e">
        <v>#N/A</v>
      </c>
    </row>
    <row r="16827" spans="1:1" x14ac:dyDescent="0.25">
      <c r="A16827" t="e">
        <v>#N/A</v>
      </c>
    </row>
    <row r="16828" spans="1:1" x14ac:dyDescent="0.25">
      <c r="A16828" t="e">
        <v>#N/A</v>
      </c>
    </row>
    <row r="16829" spans="1:1" x14ac:dyDescent="0.25">
      <c r="A16829" t="e">
        <v>#N/A</v>
      </c>
    </row>
    <row r="16830" spans="1:1" x14ac:dyDescent="0.25">
      <c r="A16830" t="e">
        <v>#N/A</v>
      </c>
    </row>
    <row r="16831" spans="1:1" x14ac:dyDescent="0.25">
      <c r="A16831" t="e">
        <v>#N/A</v>
      </c>
    </row>
    <row r="16832" spans="1:1" x14ac:dyDescent="0.25">
      <c r="A16832" t="e">
        <v>#N/A</v>
      </c>
    </row>
    <row r="16833" spans="1:1" x14ac:dyDescent="0.25">
      <c r="A16833" t="e">
        <v>#N/A</v>
      </c>
    </row>
    <row r="16834" spans="1:1" x14ac:dyDescent="0.25">
      <c r="A16834" t="e">
        <v>#N/A</v>
      </c>
    </row>
    <row r="16835" spans="1:1" x14ac:dyDescent="0.25">
      <c r="A16835" t="e">
        <v>#N/A</v>
      </c>
    </row>
    <row r="16836" spans="1:1" x14ac:dyDescent="0.25">
      <c r="A16836" t="e">
        <v>#N/A</v>
      </c>
    </row>
    <row r="16837" spans="1:1" x14ac:dyDescent="0.25">
      <c r="A16837" t="e">
        <v>#N/A</v>
      </c>
    </row>
    <row r="16838" spans="1:1" x14ac:dyDescent="0.25">
      <c r="A16838" t="e">
        <v>#N/A</v>
      </c>
    </row>
    <row r="16839" spans="1:1" x14ac:dyDescent="0.25">
      <c r="A16839" t="e">
        <v>#N/A</v>
      </c>
    </row>
    <row r="16840" spans="1:1" x14ac:dyDescent="0.25">
      <c r="A16840" t="e">
        <v>#N/A</v>
      </c>
    </row>
    <row r="16841" spans="1:1" x14ac:dyDescent="0.25">
      <c r="A16841" t="e">
        <v>#N/A</v>
      </c>
    </row>
    <row r="16842" spans="1:1" x14ac:dyDescent="0.25">
      <c r="A16842" t="e">
        <v>#N/A</v>
      </c>
    </row>
    <row r="16843" spans="1:1" x14ac:dyDescent="0.25">
      <c r="A16843" t="e">
        <v>#N/A</v>
      </c>
    </row>
    <row r="16844" spans="1:1" x14ac:dyDescent="0.25">
      <c r="A16844" t="e">
        <v>#N/A</v>
      </c>
    </row>
    <row r="16845" spans="1:1" x14ac:dyDescent="0.25">
      <c r="A16845" t="e">
        <v>#N/A</v>
      </c>
    </row>
    <row r="16846" spans="1:1" x14ac:dyDescent="0.25">
      <c r="A16846" t="e">
        <v>#N/A</v>
      </c>
    </row>
    <row r="16847" spans="1:1" x14ac:dyDescent="0.25">
      <c r="A16847" t="e">
        <v>#N/A</v>
      </c>
    </row>
    <row r="16848" spans="1:1" x14ac:dyDescent="0.25">
      <c r="A16848" t="e">
        <v>#N/A</v>
      </c>
    </row>
    <row r="16849" spans="1:1" x14ac:dyDescent="0.25">
      <c r="A16849" t="e">
        <v>#N/A</v>
      </c>
    </row>
    <row r="16850" spans="1:1" x14ac:dyDescent="0.25">
      <c r="A16850" t="e">
        <v>#N/A</v>
      </c>
    </row>
    <row r="16851" spans="1:1" x14ac:dyDescent="0.25">
      <c r="A16851" t="e">
        <v>#N/A</v>
      </c>
    </row>
    <row r="16852" spans="1:1" x14ac:dyDescent="0.25">
      <c r="A16852" t="e">
        <v>#N/A</v>
      </c>
    </row>
    <row r="16853" spans="1:1" x14ac:dyDescent="0.25">
      <c r="A16853" t="e">
        <v>#N/A</v>
      </c>
    </row>
    <row r="16854" spans="1:1" x14ac:dyDescent="0.25">
      <c r="A16854" t="e">
        <v>#N/A</v>
      </c>
    </row>
    <row r="16855" spans="1:1" x14ac:dyDescent="0.25">
      <c r="A16855" t="e">
        <v>#N/A</v>
      </c>
    </row>
    <row r="16856" spans="1:1" x14ac:dyDescent="0.25">
      <c r="A16856" t="e">
        <v>#N/A</v>
      </c>
    </row>
    <row r="16857" spans="1:1" x14ac:dyDescent="0.25">
      <c r="A16857" t="e">
        <v>#N/A</v>
      </c>
    </row>
    <row r="16858" spans="1:1" x14ac:dyDescent="0.25">
      <c r="A16858" t="e">
        <v>#N/A</v>
      </c>
    </row>
    <row r="16859" spans="1:1" x14ac:dyDescent="0.25">
      <c r="A16859" t="e">
        <v>#N/A</v>
      </c>
    </row>
    <row r="16860" spans="1:1" x14ac:dyDescent="0.25">
      <c r="A16860" t="e">
        <v>#N/A</v>
      </c>
    </row>
    <row r="16861" spans="1:1" x14ac:dyDescent="0.25">
      <c r="A16861" t="e">
        <v>#N/A</v>
      </c>
    </row>
    <row r="16862" spans="1:1" x14ac:dyDescent="0.25">
      <c r="A16862" t="e">
        <v>#N/A</v>
      </c>
    </row>
    <row r="16863" spans="1:1" x14ac:dyDescent="0.25">
      <c r="A16863" t="e">
        <v>#N/A</v>
      </c>
    </row>
    <row r="16864" spans="1:1" x14ac:dyDescent="0.25">
      <c r="A16864" t="e">
        <v>#N/A</v>
      </c>
    </row>
    <row r="16865" spans="1:1" x14ac:dyDescent="0.25">
      <c r="A16865" t="e">
        <v>#N/A</v>
      </c>
    </row>
    <row r="16866" spans="1:1" x14ac:dyDescent="0.25">
      <c r="A16866" t="e">
        <v>#N/A</v>
      </c>
    </row>
    <row r="16867" spans="1:1" x14ac:dyDescent="0.25">
      <c r="A16867" t="e">
        <v>#N/A</v>
      </c>
    </row>
    <row r="16868" spans="1:1" x14ac:dyDescent="0.25">
      <c r="A16868" t="e">
        <v>#N/A</v>
      </c>
    </row>
    <row r="16869" spans="1:1" x14ac:dyDescent="0.25">
      <c r="A16869" t="e">
        <v>#N/A</v>
      </c>
    </row>
    <row r="16870" spans="1:1" x14ac:dyDescent="0.25">
      <c r="A16870" t="e">
        <v>#N/A</v>
      </c>
    </row>
    <row r="16871" spans="1:1" x14ac:dyDescent="0.25">
      <c r="A16871" t="e">
        <v>#N/A</v>
      </c>
    </row>
    <row r="16872" spans="1:1" x14ac:dyDescent="0.25">
      <c r="A16872" t="e">
        <v>#N/A</v>
      </c>
    </row>
    <row r="16873" spans="1:1" x14ac:dyDescent="0.25">
      <c r="A16873" t="e">
        <v>#N/A</v>
      </c>
    </row>
    <row r="16874" spans="1:1" x14ac:dyDescent="0.25">
      <c r="A16874" t="e">
        <v>#N/A</v>
      </c>
    </row>
    <row r="16875" spans="1:1" x14ac:dyDescent="0.25">
      <c r="A16875" t="e">
        <v>#N/A</v>
      </c>
    </row>
    <row r="16876" spans="1:1" x14ac:dyDescent="0.25">
      <c r="A16876" t="e">
        <v>#N/A</v>
      </c>
    </row>
    <row r="16877" spans="1:1" x14ac:dyDescent="0.25">
      <c r="A16877" t="e">
        <v>#N/A</v>
      </c>
    </row>
    <row r="16878" spans="1:1" x14ac:dyDescent="0.25">
      <c r="A16878" t="e">
        <v>#N/A</v>
      </c>
    </row>
    <row r="16879" spans="1:1" x14ac:dyDescent="0.25">
      <c r="A16879" t="e">
        <v>#N/A</v>
      </c>
    </row>
    <row r="16880" spans="1:1" x14ac:dyDescent="0.25">
      <c r="A16880" t="e">
        <v>#N/A</v>
      </c>
    </row>
    <row r="16881" spans="1:1" x14ac:dyDescent="0.25">
      <c r="A16881" t="e">
        <v>#N/A</v>
      </c>
    </row>
    <row r="16882" spans="1:1" x14ac:dyDescent="0.25">
      <c r="A16882" t="e">
        <v>#N/A</v>
      </c>
    </row>
    <row r="16883" spans="1:1" x14ac:dyDescent="0.25">
      <c r="A16883" t="e">
        <v>#N/A</v>
      </c>
    </row>
    <row r="16884" spans="1:1" x14ac:dyDescent="0.25">
      <c r="A16884" t="e">
        <v>#N/A</v>
      </c>
    </row>
    <row r="16885" spans="1:1" x14ac:dyDescent="0.25">
      <c r="A16885" t="e">
        <v>#N/A</v>
      </c>
    </row>
    <row r="16886" spans="1:1" x14ac:dyDescent="0.25">
      <c r="A16886" t="e">
        <v>#N/A</v>
      </c>
    </row>
    <row r="16887" spans="1:1" x14ac:dyDescent="0.25">
      <c r="A16887" t="e">
        <v>#N/A</v>
      </c>
    </row>
    <row r="16888" spans="1:1" x14ac:dyDescent="0.25">
      <c r="A16888" t="e">
        <v>#N/A</v>
      </c>
    </row>
    <row r="16889" spans="1:1" x14ac:dyDescent="0.25">
      <c r="A16889" t="e">
        <v>#N/A</v>
      </c>
    </row>
    <row r="16890" spans="1:1" x14ac:dyDescent="0.25">
      <c r="A16890" t="e">
        <v>#N/A</v>
      </c>
    </row>
    <row r="16891" spans="1:1" x14ac:dyDescent="0.25">
      <c r="A16891" t="e">
        <v>#N/A</v>
      </c>
    </row>
    <row r="16892" spans="1:1" x14ac:dyDescent="0.25">
      <c r="A16892" t="e">
        <v>#N/A</v>
      </c>
    </row>
    <row r="16893" spans="1:1" x14ac:dyDescent="0.25">
      <c r="A16893" t="e">
        <v>#N/A</v>
      </c>
    </row>
    <row r="16894" spans="1:1" x14ac:dyDescent="0.25">
      <c r="A16894" t="e">
        <v>#N/A</v>
      </c>
    </row>
    <row r="16895" spans="1:1" x14ac:dyDescent="0.25">
      <c r="A16895" t="e">
        <v>#N/A</v>
      </c>
    </row>
    <row r="16896" spans="1:1" x14ac:dyDescent="0.25">
      <c r="A16896" t="e">
        <v>#N/A</v>
      </c>
    </row>
    <row r="16897" spans="1:1" x14ac:dyDescent="0.25">
      <c r="A16897" t="e">
        <v>#N/A</v>
      </c>
    </row>
    <row r="16898" spans="1:1" x14ac:dyDescent="0.25">
      <c r="A16898" t="e">
        <v>#N/A</v>
      </c>
    </row>
    <row r="16899" spans="1:1" x14ac:dyDescent="0.25">
      <c r="A16899" t="e">
        <v>#N/A</v>
      </c>
    </row>
    <row r="16900" spans="1:1" x14ac:dyDescent="0.25">
      <c r="A16900" t="e">
        <v>#N/A</v>
      </c>
    </row>
    <row r="16901" spans="1:1" x14ac:dyDescent="0.25">
      <c r="A16901" t="e">
        <v>#N/A</v>
      </c>
    </row>
    <row r="16902" spans="1:1" x14ac:dyDescent="0.25">
      <c r="A16902" t="e">
        <v>#N/A</v>
      </c>
    </row>
    <row r="16903" spans="1:1" x14ac:dyDescent="0.25">
      <c r="A16903" t="e">
        <v>#N/A</v>
      </c>
    </row>
    <row r="16904" spans="1:1" x14ac:dyDescent="0.25">
      <c r="A16904" t="e">
        <v>#N/A</v>
      </c>
    </row>
    <row r="16905" spans="1:1" x14ac:dyDescent="0.25">
      <c r="A16905" t="e">
        <v>#N/A</v>
      </c>
    </row>
    <row r="16906" spans="1:1" x14ac:dyDescent="0.25">
      <c r="A16906" t="e">
        <v>#N/A</v>
      </c>
    </row>
    <row r="16907" spans="1:1" x14ac:dyDescent="0.25">
      <c r="A16907" t="e">
        <v>#N/A</v>
      </c>
    </row>
    <row r="16908" spans="1:1" x14ac:dyDescent="0.25">
      <c r="A16908" t="e">
        <v>#N/A</v>
      </c>
    </row>
    <row r="16909" spans="1:1" x14ac:dyDescent="0.25">
      <c r="A16909" t="e">
        <v>#N/A</v>
      </c>
    </row>
    <row r="16910" spans="1:1" x14ac:dyDescent="0.25">
      <c r="A16910" t="e">
        <v>#N/A</v>
      </c>
    </row>
    <row r="16911" spans="1:1" x14ac:dyDescent="0.25">
      <c r="A16911" t="e">
        <v>#N/A</v>
      </c>
    </row>
    <row r="16912" spans="1:1" x14ac:dyDescent="0.25">
      <c r="A16912" t="e">
        <v>#N/A</v>
      </c>
    </row>
    <row r="16913" spans="1:1" x14ac:dyDescent="0.25">
      <c r="A16913" t="e">
        <v>#N/A</v>
      </c>
    </row>
    <row r="16914" spans="1:1" x14ac:dyDescent="0.25">
      <c r="A16914" t="e">
        <v>#N/A</v>
      </c>
    </row>
    <row r="16915" spans="1:1" x14ac:dyDescent="0.25">
      <c r="A16915" t="e">
        <v>#N/A</v>
      </c>
    </row>
    <row r="16916" spans="1:1" x14ac:dyDescent="0.25">
      <c r="A16916" t="e">
        <v>#N/A</v>
      </c>
    </row>
    <row r="16917" spans="1:1" x14ac:dyDescent="0.25">
      <c r="A16917" t="e">
        <v>#N/A</v>
      </c>
    </row>
    <row r="16918" spans="1:1" x14ac:dyDescent="0.25">
      <c r="A16918" t="e">
        <v>#N/A</v>
      </c>
    </row>
    <row r="16919" spans="1:1" x14ac:dyDescent="0.25">
      <c r="A16919" t="e">
        <v>#N/A</v>
      </c>
    </row>
    <row r="16920" spans="1:1" x14ac:dyDescent="0.25">
      <c r="A16920" t="e">
        <v>#N/A</v>
      </c>
    </row>
    <row r="16921" spans="1:1" x14ac:dyDescent="0.25">
      <c r="A16921" t="e">
        <v>#N/A</v>
      </c>
    </row>
    <row r="16922" spans="1:1" x14ac:dyDescent="0.25">
      <c r="A16922" t="e">
        <v>#N/A</v>
      </c>
    </row>
    <row r="16923" spans="1:1" x14ac:dyDescent="0.25">
      <c r="A16923" t="e">
        <v>#N/A</v>
      </c>
    </row>
    <row r="16924" spans="1:1" x14ac:dyDescent="0.25">
      <c r="A16924" t="e">
        <v>#N/A</v>
      </c>
    </row>
    <row r="16925" spans="1:1" x14ac:dyDescent="0.25">
      <c r="A16925" t="e">
        <v>#N/A</v>
      </c>
    </row>
    <row r="16926" spans="1:1" x14ac:dyDescent="0.25">
      <c r="A16926" t="e">
        <v>#N/A</v>
      </c>
    </row>
    <row r="16927" spans="1:1" x14ac:dyDescent="0.25">
      <c r="A16927" t="e">
        <v>#N/A</v>
      </c>
    </row>
    <row r="16928" spans="1:1" x14ac:dyDescent="0.25">
      <c r="A16928" t="e">
        <v>#N/A</v>
      </c>
    </row>
    <row r="16929" spans="1:1" x14ac:dyDescent="0.25">
      <c r="A16929" t="e">
        <v>#N/A</v>
      </c>
    </row>
    <row r="16930" spans="1:1" x14ac:dyDescent="0.25">
      <c r="A16930" t="e">
        <v>#N/A</v>
      </c>
    </row>
    <row r="16931" spans="1:1" x14ac:dyDescent="0.25">
      <c r="A16931" t="e">
        <v>#N/A</v>
      </c>
    </row>
    <row r="16932" spans="1:1" x14ac:dyDescent="0.25">
      <c r="A16932" t="e">
        <v>#N/A</v>
      </c>
    </row>
    <row r="16933" spans="1:1" x14ac:dyDescent="0.25">
      <c r="A16933" t="e">
        <v>#N/A</v>
      </c>
    </row>
    <row r="16934" spans="1:1" x14ac:dyDescent="0.25">
      <c r="A16934" t="e">
        <v>#N/A</v>
      </c>
    </row>
    <row r="16935" spans="1:1" x14ac:dyDescent="0.25">
      <c r="A16935" t="e">
        <v>#N/A</v>
      </c>
    </row>
    <row r="16936" spans="1:1" x14ac:dyDescent="0.25">
      <c r="A16936" t="e">
        <v>#N/A</v>
      </c>
    </row>
    <row r="16937" spans="1:1" x14ac:dyDescent="0.25">
      <c r="A16937" t="e">
        <v>#N/A</v>
      </c>
    </row>
    <row r="16938" spans="1:1" x14ac:dyDescent="0.25">
      <c r="A16938" t="e">
        <v>#N/A</v>
      </c>
    </row>
    <row r="16939" spans="1:1" x14ac:dyDescent="0.25">
      <c r="A16939" t="e">
        <v>#N/A</v>
      </c>
    </row>
    <row r="16940" spans="1:1" x14ac:dyDescent="0.25">
      <c r="A16940" t="e">
        <v>#N/A</v>
      </c>
    </row>
    <row r="16941" spans="1:1" x14ac:dyDescent="0.25">
      <c r="A16941" t="e">
        <v>#N/A</v>
      </c>
    </row>
    <row r="16942" spans="1:1" x14ac:dyDescent="0.25">
      <c r="A16942" t="e">
        <v>#N/A</v>
      </c>
    </row>
    <row r="16943" spans="1:1" x14ac:dyDescent="0.25">
      <c r="A16943" t="e">
        <v>#N/A</v>
      </c>
    </row>
    <row r="16944" spans="1:1" x14ac:dyDescent="0.25">
      <c r="A16944" t="e">
        <v>#N/A</v>
      </c>
    </row>
    <row r="16945" spans="1:1" x14ac:dyDescent="0.25">
      <c r="A16945" t="e">
        <v>#N/A</v>
      </c>
    </row>
    <row r="16946" spans="1:1" x14ac:dyDescent="0.25">
      <c r="A16946" t="e">
        <v>#N/A</v>
      </c>
    </row>
    <row r="16947" spans="1:1" x14ac:dyDescent="0.25">
      <c r="A16947" t="e">
        <v>#N/A</v>
      </c>
    </row>
    <row r="16948" spans="1:1" x14ac:dyDescent="0.25">
      <c r="A16948" t="e">
        <v>#N/A</v>
      </c>
    </row>
    <row r="16949" spans="1:1" x14ac:dyDescent="0.25">
      <c r="A16949" t="e">
        <v>#N/A</v>
      </c>
    </row>
    <row r="16950" spans="1:1" x14ac:dyDescent="0.25">
      <c r="A16950" t="e">
        <v>#N/A</v>
      </c>
    </row>
    <row r="16951" spans="1:1" x14ac:dyDescent="0.25">
      <c r="A16951" t="e">
        <v>#N/A</v>
      </c>
    </row>
    <row r="16952" spans="1:1" x14ac:dyDescent="0.25">
      <c r="A16952" t="e">
        <v>#N/A</v>
      </c>
    </row>
    <row r="16953" spans="1:1" x14ac:dyDescent="0.25">
      <c r="A16953" t="e">
        <v>#N/A</v>
      </c>
    </row>
    <row r="16954" spans="1:1" x14ac:dyDescent="0.25">
      <c r="A16954" t="e">
        <v>#N/A</v>
      </c>
    </row>
    <row r="16955" spans="1:1" x14ac:dyDescent="0.25">
      <c r="A16955" t="e">
        <v>#N/A</v>
      </c>
    </row>
    <row r="16956" spans="1:1" x14ac:dyDescent="0.25">
      <c r="A16956" t="e">
        <v>#N/A</v>
      </c>
    </row>
    <row r="16957" spans="1:1" x14ac:dyDescent="0.25">
      <c r="A16957" t="e">
        <v>#N/A</v>
      </c>
    </row>
    <row r="16958" spans="1:1" x14ac:dyDescent="0.25">
      <c r="A16958" t="e">
        <v>#N/A</v>
      </c>
    </row>
    <row r="16959" spans="1:1" x14ac:dyDescent="0.25">
      <c r="A16959" t="e">
        <v>#N/A</v>
      </c>
    </row>
    <row r="16960" spans="1:1" x14ac:dyDescent="0.25">
      <c r="A16960" t="e">
        <v>#N/A</v>
      </c>
    </row>
    <row r="16961" spans="1:1" x14ac:dyDescent="0.25">
      <c r="A16961" t="e">
        <v>#N/A</v>
      </c>
    </row>
    <row r="16962" spans="1:1" x14ac:dyDescent="0.25">
      <c r="A16962" t="e">
        <v>#N/A</v>
      </c>
    </row>
    <row r="16963" spans="1:1" x14ac:dyDescent="0.25">
      <c r="A16963" t="e">
        <v>#N/A</v>
      </c>
    </row>
    <row r="16964" spans="1:1" x14ac:dyDescent="0.25">
      <c r="A16964" t="e">
        <v>#N/A</v>
      </c>
    </row>
    <row r="16965" spans="1:1" x14ac:dyDescent="0.25">
      <c r="A16965" t="e">
        <v>#N/A</v>
      </c>
    </row>
    <row r="16966" spans="1:1" x14ac:dyDescent="0.25">
      <c r="A16966" t="e">
        <v>#N/A</v>
      </c>
    </row>
    <row r="16967" spans="1:1" x14ac:dyDescent="0.25">
      <c r="A16967" t="e">
        <v>#N/A</v>
      </c>
    </row>
    <row r="16968" spans="1:1" x14ac:dyDescent="0.25">
      <c r="A16968" t="e">
        <v>#N/A</v>
      </c>
    </row>
    <row r="16969" spans="1:1" x14ac:dyDescent="0.25">
      <c r="A16969" t="e">
        <v>#N/A</v>
      </c>
    </row>
    <row r="16970" spans="1:1" x14ac:dyDescent="0.25">
      <c r="A16970" t="e">
        <v>#N/A</v>
      </c>
    </row>
    <row r="16971" spans="1:1" x14ac:dyDescent="0.25">
      <c r="A16971" t="e">
        <v>#N/A</v>
      </c>
    </row>
    <row r="16972" spans="1:1" x14ac:dyDescent="0.25">
      <c r="A16972" t="e">
        <v>#N/A</v>
      </c>
    </row>
    <row r="16973" spans="1:1" x14ac:dyDescent="0.25">
      <c r="A16973" t="e">
        <v>#N/A</v>
      </c>
    </row>
    <row r="16974" spans="1:1" x14ac:dyDescent="0.25">
      <c r="A16974" t="e">
        <v>#N/A</v>
      </c>
    </row>
    <row r="16975" spans="1:1" x14ac:dyDescent="0.25">
      <c r="A16975" t="e">
        <v>#N/A</v>
      </c>
    </row>
    <row r="16976" spans="1:1" x14ac:dyDescent="0.25">
      <c r="A16976" t="e">
        <v>#N/A</v>
      </c>
    </row>
    <row r="16977" spans="1:1" x14ac:dyDescent="0.25">
      <c r="A16977" t="e">
        <v>#N/A</v>
      </c>
    </row>
    <row r="16978" spans="1:1" x14ac:dyDescent="0.25">
      <c r="A16978" t="e">
        <v>#N/A</v>
      </c>
    </row>
    <row r="16979" spans="1:1" x14ac:dyDescent="0.25">
      <c r="A16979" t="e">
        <v>#N/A</v>
      </c>
    </row>
    <row r="16980" spans="1:1" x14ac:dyDescent="0.25">
      <c r="A16980" t="e">
        <v>#N/A</v>
      </c>
    </row>
    <row r="16981" spans="1:1" x14ac:dyDescent="0.25">
      <c r="A16981" t="e">
        <v>#N/A</v>
      </c>
    </row>
    <row r="16982" spans="1:1" x14ac:dyDescent="0.25">
      <c r="A16982" t="e">
        <v>#N/A</v>
      </c>
    </row>
    <row r="16983" spans="1:1" x14ac:dyDescent="0.25">
      <c r="A16983" t="e">
        <v>#N/A</v>
      </c>
    </row>
    <row r="16984" spans="1:1" x14ac:dyDescent="0.25">
      <c r="A16984" t="e">
        <v>#N/A</v>
      </c>
    </row>
    <row r="16985" spans="1:1" x14ac:dyDescent="0.25">
      <c r="A16985" t="e">
        <v>#N/A</v>
      </c>
    </row>
    <row r="16986" spans="1:1" x14ac:dyDescent="0.25">
      <c r="A16986" t="e">
        <v>#N/A</v>
      </c>
    </row>
    <row r="16987" spans="1:1" x14ac:dyDescent="0.25">
      <c r="A16987" t="e">
        <v>#N/A</v>
      </c>
    </row>
    <row r="16988" spans="1:1" x14ac:dyDescent="0.25">
      <c r="A16988" t="e">
        <v>#N/A</v>
      </c>
    </row>
    <row r="16989" spans="1:1" x14ac:dyDescent="0.25">
      <c r="A16989" t="e">
        <v>#N/A</v>
      </c>
    </row>
    <row r="16990" spans="1:1" x14ac:dyDescent="0.25">
      <c r="A16990" t="e">
        <v>#N/A</v>
      </c>
    </row>
    <row r="16991" spans="1:1" x14ac:dyDescent="0.25">
      <c r="A16991" t="e">
        <v>#N/A</v>
      </c>
    </row>
    <row r="16992" spans="1:1" x14ac:dyDescent="0.25">
      <c r="A16992" t="e">
        <v>#N/A</v>
      </c>
    </row>
    <row r="16993" spans="1:1" x14ac:dyDescent="0.25">
      <c r="A16993" t="e">
        <v>#N/A</v>
      </c>
    </row>
    <row r="16994" spans="1:1" x14ac:dyDescent="0.25">
      <c r="A16994" t="e">
        <v>#N/A</v>
      </c>
    </row>
    <row r="16995" spans="1:1" x14ac:dyDescent="0.25">
      <c r="A16995" t="e">
        <v>#N/A</v>
      </c>
    </row>
    <row r="16996" spans="1:1" x14ac:dyDescent="0.25">
      <c r="A16996" t="e">
        <v>#N/A</v>
      </c>
    </row>
    <row r="16997" spans="1:1" x14ac:dyDescent="0.25">
      <c r="A16997" t="e">
        <v>#N/A</v>
      </c>
    </row>
    <row r="16998" spans="1:1" x14ac:dyDescent="0.25">
      <c r="A16998" t="e">
        <v>#N/A</v>
      </c>
    </row>
    <row r="16999" spans="1:1" x14ac:dyDescent="0.25">
      <c r="A16999" t="e">
        <v>#N/A</v>
      </c>
    </row>
    <row r="17000" spans="1:1" x14ac:dyDescent="0.25">
      <c r="A17000" t="e">
        <v>#N/A</v>
      </c>
    </row>
    <row r="17001" spans="1:1" x14ac:dyDescent="0.25">
      <c r="A17001" t="e">
        <v>#N/A</v>
      </c>
    </row>
    <row r="17002" spans="1:1" x14ac:dyDescent="0.25">
      <c r="A17002" t="e">
        <v>#N/A</v>
      </c>
    </row>
    <row r="17003" spans="1:1" x14ac:dyDescent="0.25">
      <c r="A17003" t="e">
        <v>#N/A</v>
      </c>
    </row>
    <row r="17004" spans="1:1" x14ac:dyDescent="0.25">
      <c r="A17004" t="e">
        <v>#N/A</v>
      </c>
    </row>
    <row r="17005" spans="1:1" x14ac:dyDescent="0.25">
      <c r="A17005" t="e">
        <v>#N/A</v>
      </c>
    </row>
    <row r="17006" spans="1:1" x14ac:dyDescent="0.25">
      <c r="A17006" t="e">
        <v>#N/A</v>
      </c>
    </row>
    <row r="17007" spans="1:1" x14ac:dyDescent="0.25">
      <c r="A17007" t="e">
        <v>#N/A</v>
      </c>
    </row>
    <row r="17008" spans="1:1" x14ac:dyDescent="0.25">
      <c r="A17008" t="e">
        <v>#N/A</v>
      </c>
    </row>
    <row r="17009" spans="1:1" x14ac:dyDescent="0.25">
      <c r="A17009" t="e">
        <v>#N/A</v>
      </c>
    </row>
    <row r="17010" spans="1:1" x14ac:dyDescent="0.25">
      <c r="A17010" t="e">
        <v>#N/A</v>
      </c>
    </row>
    <row r="17011" spans="1:1" x14ac:dyDescent="0.25">
      <c r="A17011" t="e">
        <v>#N/A</v>
      </c>
    </row>
    <row r="17012" spans="1:1" x14ac:dyDescent="0.25">
      <c r="A17012" t="e">
        <v>#N/A</v>
      </c>
    </row>
    <row r="17013" spans="1:1" x14ac:dyDescent="0.25">
      <c r="A17013" t="e">
        <v>#N/A</v>
      </c>
    </row>
    <row r="17014" spans="1:1" x14ac:dyDescent="0.25">
      <c r="A17014" t="e">
        <v>#N/A</v>
      </c>
    </row>
    <row r="17015" spans="1:1" x14ac:dyDescent="0.25">
      <c r="A17015" t="e">
        <v>#N/A</v>
      </c>
    </row>
    <row r="17016" spans="1:1" x14ac:dyDescent="0.25">
      <c r="A17016" t="e">
        <v>#N/A</v>
      </c>
    </row>
    <row r="17017" spans="1:1" x14ac:dyDescent="0.25">
      <c r="A17017" t="e">
        <v>#N/A</v>
      </c>
    </row>
    <row r="17018" spans="1:1" x14ac:dyDescent="0.25">
      <c r="A17018" t="e">
        <v>#N/A</v>
      </c>
    </row>
    <row r="17019" spans="1:1" x14ac:dyDescent="0.25">
      <c r="A17019" t="e">
        <v>#N/A</v>
      </c>
    </row>
    <row r="17020" spans="1:1" x14ac:dyDescent="0.25">
      <c r="A17020" t="e">
        <v>#N/A</v>
      </c>
    </row>
    <row r="17021" spans="1:1" x14ac:dyDescent="0.25">
      <c r="A17021" t="e">
        <v>#N/A</v>
      </c>
    </row>
    <row r="17022" spans="1:1" x14ac:dyDescent="0.25">
      <c r="A17022" t="e">
        <v>#N/A</v>
      </c>
    </row>
    <row r="17023" spans="1:1" x14ac:dyDescent="0.25">
      <c r="A17023" t="e">
        <v>#N/A</v>
      </c>
    </row>
    <row r="17024" spans="1:1" x14ac:dyDescent="0.25">
      <c r="A17024" t="e">
        <v>#N/A</v>
      </c>
    </row>
    <row r="17025" spans="1:1" x14ac:dyDescent="0.25">
      <c r="A17025" t="e">
        <v>#N/A</v>
      </c>
    </row>
    <row r="17026" spans="1:1" x14ac:dyDescent="0.25">
      <c r="A17026" t="e">
        <v>#N/A</v>
      </c>
    </row>
    <row r="17027" spans="1:1" x14ac:dyDescent="0.25">
      <c r="A17027" t="e">
        <v>#N/A</v>
      </c>
    </row>
    <row r="17028" spans="1:1" x14ac:dyDescent="0.25">
      <c r="A17028" t="e">
        <v>#N/A</v>
      </c>
    </row>
    <row r="17029" spans="1:1" x14ac:dyDescent="0.25">
      <c r="A17029" t="e">
        <v>#N/A</v>
      </c>
    </row>
    <row r="17030" spans="1:1" x14ac:dyDescent="0.25">
      <c r="A17030" t="e">
        <v>#N/A</v>
      </c>
    </row>
    <row r="17031" spans="1:1" x14ac:dyDescent="0.25">
      <c r="A17031" t="e">
        <v>#N/A</v>
      </c>
    </row>
    <row r="17032" spans="1:1" x14ac:dyDescent="0.25">
      <c r="A17032" t="e">
        <v>#N/A</v>
      </c>
    </row>
    <row r="17033" spans="1:1" x14ac:dyDescent="0.25">
      <c r="A17033" t="e">
        <v>#N/A</v>
      </c>
    </row>
    <row r="17034" spans="1:1" x14ac:dyDescent="0.25">
      <c r="A17034" t="e">
        <v>#N/A</v>
      </c>
    </row>
    <row r="17035" spans="1:1" x14ac:dyDescent="0.25">
      <c r="A17035" t="e">
        <v>#N/A</v>
      </c>
    </row>
    <row r="17036" spans="1:1" x14ac:dyDescent="0.25">
      <c r="A17036" t="e">
        <v>#N/A</v>
      </c>
    </row>
    <row r="17037" spans="1:1" x14ac:dyDescent="0.25">
      <c r="A17037" t="e">
        <v>#N/A</v>
      </c>
    </row>
    <row r="17038" spans="1:1" x14ac:dyDescent="0.25">
      <c r="A17038" t="e">
        <v>#N/A</v>
      </c>
    </row>
    <row r="17039" spans="1:1" x14ac:dyDescent="0.25">
      <c r="A17039" t="e">
        <v>#N/A</v>
      </c>
    </row>
    <row r="17040" spans="1:1" x14ac:dyDescent="0.25">
      <c r="A17040" t="e">
        <v>#N/A</v>
      </c>
    </row>
    <row r="17041" spans="1:1" x14ac:dyDescent="0.25">
      <c r="A17041" t="e">
        <v>#N/A</v>
      </c>
    </row>
    <row r="17042" spans="1:1" x14ac:dyDescent="0.25">
      <c r="A17042" t="e">
        <v>#N/A</v>
      </c>
    </row>
    <row r="17043" spans="1:1" x14ac:dyDescent="0.25">
      <c r="A17043" t="e">
        <v>#N/A</v>
      </c>
    </row>
    <row r="17044" spans="1:1" x14ac:dyDescent="0.25">
      <c r="A17044" t="e">
        <v>#N/A</v>
      </c>
    </row>
    <row r="17045" spans="1:1" x14ac:dyDescent="0.25">
      <c r="A17045" t="e">
        <v>#N/A</v>
      </c>
    </row>
    <row r="17046" spans="1:1" x14ac:dyDescent="0.25">
      <c r="A17046" t="e">
        <v>#N/A</v>
      </c>
    </row>
    <row r="17047" spans="1:1" x14ac:dyDescent="0.25">
      <c r="A17047" t="e">
        <v>#N/A</v>
      </c>
    </row>
    <row r="17048" spans="1:1" x14ac:dyDescent="0.25">
      <c r="A17048" t="e">
        <v>#N/A</v>
      </c>
    </row>
    <row r="17049" spans="1:1" x14ac:dyDescent="0.25">
      <c r="A17049" t="e">
        <v>#N/A</v>
      </c>
    </row>
    <row r="17050" spans="1:1" x14ac:dyDescent="0.25">
      <c r="A17050" t="e">
        <v>#N/A</v>
      </c>
    </row>
    <row r="17051" spans="1:1" x14ac:dyDescent="0.25">
      <c r="A17051" t="e">
        <v>#N/A</v>
      </c>
    </row>
    <row r="17052" spans="1:1" x14ac:dyDescent="0.25">
      <c r="A17052" t="e">
        <v>#N/A</v>
      </c>
    </row>
    <row r="17053" spans="1:1" x14ac:dyDescent="0.25">
      <c r="A17053" t="e">
        <v>#N/A</v>
      </c>
    </row>
    <row r="17054" spans="1:1" x14ac:dyDescent="0.25">
      <c r="A17054" t="e">
        <v>#N/A</v>
      </c>
    </row>
    <row r="17055" spans="1:1" x14ac:dyDescent="0.25">
      <c r="A17055" t="e">
        <v>#N/A</v>
      </c>
    </row>
    <row r="17056" spans="1:1" x14ac:dyDescent="0.25">
      <c r="A17056" t="e">
        <v>#N/A</v>
      </c>
    </row>
    <row r="17057" spans="1:1" x14ac:dyDescent="0.25">
      <c r="A17057" t="e">
        <v>#N/A</v>
      </c>
    </row>
    <row r="17058" spans="1:1" x14ac:dyDescent="0.25">
      <c r="A17058" t="e">
        <v>#N/A</v>
      </c>
    </row>
    <row r="17059" spans="1:1" x14ac:dyDescent="0.25">
      <c r="A17059" t="e">
        <v>#N/A</v>
      </c>
    </row>
    <row r="17060" spans="1:1" x14ac:dyDescent="0.25">
      <c r="A17060" t="e">
        <v>#N/A</v>
      </c>
    </row>
    <row r="17061" spans="1:1" x14ac:dyDescent="0.25">
      <c r="A17061" t="e">
        <v>#N/A</v>
      </c>
    </row>
    <row r="17062" spans="1:1" x14ac:dyDescent="0.25">
      <c r="A17062" t="e">
        <v>#N/A</v>
      </c>
    </row>
    <row r="17063" spans="1:1" x14ac:dyDescent="0.25">
      <c r="A17063" t="e">
        <v>#N/A</v>
      </c>
    </row>
    <row r="17064" spans="1:1" x14ac:dyDescent="0.25">
      <c r="A17064" t="e">
        <v>#N/A</v>
      </c>
    </row>
    <row r="17065" spans="1:1" x14ac:dyDescent="0.25">
      <c r="A17065" t="e">
        <v>#N/A</v>
      </c>
    </row>
    <row r="17066" spans="1:1" x14ac:dyDescent="0.25">
      <c r="A17066" t="e">
        <v>#N/A</v>
      </c>
    </row>
    <row r="17067" spans="1:1" x14ac:dyDescent="0.25">
      <c r="A17067" t="e">
        <v>#N/A</v>
      </c>
    </row>
    <row r="17068" spans="1:1" x14ac:dyDescent="0.25">
      <c r="A17068" t="e">
        <v>#N/A</v>
      </c>
    </row>
    <row r="17069" spans="1:1" x14ac:dyDescent="0.25">
      <c r="A17069" t="e">
        <v>#N/A</v>
      </c>
    </row>
    <row r="17070" spans="1:1" x14ac:dyDescent="0.25">
      <c r="A17070" t="e">
        <v>#N/A</v>
      </c>
    </row>
    <row r="17071" spans="1:1" x14ac:dyDescent="0.25">
      <c r="A17071" t="e">
        <v>#N/A</v>
      </c>
    </row>
    <row r="17072" spans="1:1" x14ac:dyDescent="0.25">
      <c r="A17072" t="e">
        <v>#N/A</v>
      </c>
    </row>
    <row r="17073" spans="1:1" x14ac:dyDescent="0.25">
      <c r="A17073" t="e">
        <v>#N/A</v>
      </c>
    </row>
    <row r="17074" spans="1:1" x14ac:dyDescent="0.25">
      <c r="A17074" t="e">
        <v>#N/A</v>
      </c>
    </row>
    <row r="17075" spans="1:1" x14ac:dyDescent="0.25">
      <c r="A17075" t="e">
        <v>#N/A</v>
      </c>
    </row>
    <row r="17076" spans="1:1" x14ac:dyDescent="0.25">
      <c r="A17076" t="e">
        <v>#N/A</v>
      </c>
    </row>
    <row r="17077" spans="1:1" x14ac:dyDescent="0.25">
      <c r="A17077" t="e">
        <v>#N/A</v>
      </c>
    </row>
    <row r="17078" spans="1:1" x14ac:dyDescent="0.25">
      <c r="A17078" t="e">
        <v>#N/A</v>
      </c>
    </row>
    <row r="17079" spans="1:1" x14ac:dyDescent="0.25">
      <c r="A17079" t="e">
        <v>#N/A</v>
      </c>
    </row>
    <row r="17080" spans="1:1" x14ac:dyDescent="0.25">
      <c r="A17080" t="e">
        <v>#N/A</v>
      </c>
    </row>
    <row r="17081" spans="1:1" x14ac:dyDescent="0.25">
      <c r="A17081" t="e">
        <v>#N/A</v>
      </c>
    </row>
    <row r="17082" spans="1:1" x14ac:dyDescent="0.25">
      <c r="A17082" t="e">
        <v>#N/A</v>
      </c>
    </row>
    <row r="17083" spans="1:1" x14ac:dyDescent="0.25">
      <c r="A17083" t="e">
        <v>#N/A</v>
      </c>
    </row>
    <row r="17084" spans="1:1" x14ac:dyDescent="0.25">
      <c r="A17084" t="e">
        <v>#N/A</v>
      </c>
    </row>
    <row r="17085" spans="1:1" x14ac:dyDescent="0.25">
      <c r="A17085" t="e">
        <v>#N/A</v>
      </c>
    </row>
    <row r="17086" spans="1:1" x14ac:dyDescent="0.25">
      <c r="A17086" t="e">
        <v>#N/A</v>
      </c>
    </row>
    <row r="17087" spans="1:1" x14ac:dyDescent="0.25">
      <c r="A17087" t="e">
        <v>#N/A</v>
      </c>
    </row>
    <row r="17088" spans="1:1" x14ac:dyDescent="0.25">
      <c r="A17088" t="e">
        <v>#N/A</v>
      </c>
    </row>
    <row r="17089" spans="1:1" x14ac:dyDescent="0.25">
      <c r="A17089" t="e">
        <v>#N/A</v>
      </c>
    </row>
    <row r="17090" spans="1:1" x14ac:dyDescent="0.25">
      <c r="A17090" t="e">
        <v>#N/A</v>
      </c>
    </row>
    <row r="17091" spans="1:1" x14ac:dyDescent="0.25">
      <c r="A17091" t="e">
        <v>#N/A</v>
      </c>
    </row>
    <row r="17092" spans="1:1" x14ac:dyDescent="0.25">
      <c r="A17092" t="e">
        <v>#N/A</v>
      </c>
    </row>
    <row r="17093" spans="1:1" x14ac:dyDescent="0.25">
      <c r="A17093" t="e">
        <v>#N/A</v>
      </c>
    </row>
    <row r="17094" spans="1:1" x14ac:dyDescent="0.25">
      <c r="A17094" t="e">
        <v>#N/A</v>
      </c>
    </row>
    <row r="17095" spans="1:1" x14ac:dyDescent="0.25">
      <c r="A17095" t="e">
        <v>#N/A</v>
      </c>
    </row>
    <row r="17096" spans="1:1" x14ac:dyDescent="0.25">
      <c r="A17096" t="e">
        <v>#N/A</v>
      </c>
    </row>
    <row r="17097" spans="1:1" x14ac:dyDescent="0.25">
      <c r="A17097" t="e">
        <v>#N/A</v>
      </c>
    </row>
    <row r="17098" spans="1:1" x14ac:dyDescent="0.25">
      <c r="A17098" t="e">
        <v>#N/A</v>
      </c>
    </row>
    <row r="17099" spans="1:1" x14ac:dyDescent="0.25">
      <c r="A17099" t="e">
        <v>#N/A</v>
      </c>
    </row>
    <row r="17100" spans="1:1" x14ac:dyDescent="0.25">
      <c r="A17100" t="e">
        <v>#N/A</v>
      </c>
    </row>
    <row r="17101" spans="1:1" x14ac:dyDescent="0.25">
      <c r="A17101" t="e">
        <v>#N/A</v>
      </c>
    </row>
    <row r="17102" spans="1:1" x14ac:dyDescent="0.25">
      <c r="A17102" t="e">
        <v>#N/A</v>
      </c>
    </row>
    <row r="17103" spans="1:1" x14ac:dyDescent="0.25">
      <c r="A17103" t="e">
        <v>#N/A</v>
      </c>
    </row>
    <row r="17104" spans="1:1" x14ac:dyDescent="0.25">
      <c r="A17104" t="e">
        <v>#N/A</v>
      </c>
    </row>
    <row r="17105" spans="1:1" x14ac:dyDescent="0.25">
      <c r="A17105" t="e">
        <v>#N/A</v>
      </c>
    </row>
    <row r="17106" spans="1:1" x14ac:dyDescent="0.25">
      <c r="A17106" t="e">
        <v>#N/A</v>
      </c>
    </row>
    <row r="17107" spans="1:1" x14ac:dyDescent="0.25">
      <c r="A17107" t="e">
        <v>#N/A</v>
      </c>
    </row>
    <row r="17108" spans="1:1" x14ac:dyDescent="0.25">
      <c r="A17108" t="e">
        <v>#N/A</v>
      </c>
    </row>
    <row r="17109" spans="1:1" x14ac:dyDescent="0.25">
      <c r="A17109" t="e">
        <v>#N/A</v>
      </c>
    </row>
    <row r="17110" spans="1:1" x14ac:dyDescent="0.25">
      <c r="A17110" t="e">
        <v>#N/A</v>
      </c>
    </row>
    <row r="17111" spans="1:1" x14ac:dyDescent="0.25">
      <c r="A17111" t="e">
        <v>#N/A</v>
      </c>
    </row>
    <row r="17112" spans="1:1" x14ac:dyDescent="0.25">
      <c r="A17112" t="e">
        <v>#N/A</v>
      </c>
    </row>
    <row r="17113" spans="1:1" x14ac:dyDescent="0.25">
      <c r="A17113" t="e">
        <v>#N/A</v>
      </c>
    </row>
    <row r="17114" spans="1:1" x14ac:dyDescent="0.25">
      <c r="A17114" t="e">
        <v>#N/A</v>
      </c>
    </row>
    <row r="17115" spans="1:1" x14ac:dyDescent="0.25">
      <c r="A17115" t="e">
        <v>#N/A</v>
      </c>
    </row>
    <row r="17116" spans="1:1" x14ac:dyDescent="0.25">
      <c r="A17116" t="e">
        <v>#N/A</v>
      </c>
    </row>
    <row r="17117" spans="1:1" x14ac:dyDescent="0.25">
      <c r="A17117" t="e">
        <v>#N/A</v>
      </c>
    </row>
    <row r="17118" spans="1:1" x14ac:dyDescent="0.25">
      <c r="A17118" t="e">
        <v>#N/A</v>
      </c>
    </row>
    <row r="17119" spans="1:1" x14ac:dyDescent="0.25">
      <c r="A17119" t="e">
        <v>#N/A</v>
      </c>
    </row>
    <row r="17120" spans="1:1" x14ac:dyDescent="0.25">
      <c r="A17120" t="e">
        <v>#N/A</v>
      </c>
    </row>
    <row r="17121" spans="1:1" x14ac:dyDescent="0.25">
      <c r="A17121" t="e">
        <v>#N/A</v>
      </c>
    </row>
    <row r="17122" spans="1:1" x14ac:dyDescent="0.25">
      <c r="A17122" t="e">
        <v>#N/A</v>
      </c>
    </row>
    <row r="17123" spans="1:1" x14ac:dyDescent="0.25">
      <c r="A17123" t="e">
        <v>#N/A</v>
      </c>
    </row>
    <row r="17124" spans="1:1" x14ac:dyDescent="0.25">
      <c r="A17124" t="e">
        <v>#N/A</v>
      </c>
    </row>
    <row r="17125" spans="1:1" x14ac:dyDescent="0.25">
      <c r="A17125" t="e">
        <v>#N/A</v>
      </c>
    </row>
    <row r="17126" spans="1:1" x14ac:dyDescent="0.25">
      <c r="A17126" t="e">
        <v>#N/A</v>
      </c>
    </row>
    <row r="17127" spans="1:1" x14ac:dyDescent="0.25">
      <c r="A17127" t="e">
        <v>#N/A</v>
      </c>
    </row>
    <row r="17128" spans="1:1" x14ac:dyDescent="0.25">
      <c r="A17128" t="e">
        <v>#N/A</v>
      </c>
    </row>
    <row r="17129" spans="1:1" x14ac:dyDescent="0.25">
      <c r="A17129" t="e">
        <v>#N/A</v>
      </c>
    </row>
    <row r="17130" spans="1:1" x14ac:dyDescent="0.25">
      <c r="A17130" t="e">
        <v>#N/A</v>
      </c>
    </row>
    <row r="17131" spans="1:1" x14ac:dyDescent="0.25">
      <c r="A17131" t="e">
        <v>#N/A</v>
      </c>
    </row>
    <row r="17132" spans="1:1" x14ac:dyDescent="0.25">
      <c r="A17132" t="e">
        <v>#N/A</v>
      </c>
    </row>
    <row r="17133" spans="1:1" x14ac:dyDescent="0.25">
      <c r="A17133" t="e">
        <v>#N/A</v>
      </c>
    </row>
    <row r="17134" spans="1:1" x14ac:dyDescent="0.25">
      <c r="A17134" t="e">
        <v>#N/A</v>
      </c>
    </row>
    <row r="17135" spans="1:1" x14ac:dyDescent="0.25">
      <c r="A17135" t="e">
        <v>#N/A</v>
      </c>
    </row>
    <row r="17136" spans="1:1" x14ac:dyDescent="0.25">
      <c r="A17136" t="e">
        <v>#N/A</v>
      </c>
    </row>
    <row r="17137" spans="1:1" x14ac:dyDescent="0.25">
      <c r="A17137" t="e">
        <v>#N/A</v>
      </c>
    </row>
    <row r="17138" spans="1:1" x14ac:dyDescent="0.25">
      <c r="A17138" t="e">
        <v>#N/A</v>
      </c>
    </row>
    <row r="17139" spans="1:1" x14ac:dyDescent="0.25">
      <c r="A17139" t="e">
        <v>#N/A</v>
      </c>
    </row>
    <row r="17140" spans="1:1" x14ac:dyDescent="0.25">
      <c r="A17140" t="e">
        <v>#N/A</v>
      </c>
    </row>
    <row r="17141" spans="1:1" x14ac:dyDescent="0.25">
      <c r="A17141" t="e">
        <v>#N/A</v>
      </c>
    </row>
    <row r="17142" spans="1:1" x14ac:dyDescent="0.25">
      <c r="A17142" t="e">
        <v>#N/A</v>
      </c>
    </row>
    <row r="17143" spans="1:1" x14ac:dyDescent="0.25">
      <c r="A17143" t="e">
        <v>#N/A</v>
      </c>
    </row>
    <row r="17144" spans="1:1" x14ac:dyDescent="0.25">
      <c r="A17144" t="e">
        <v>#N/A</v>
      </c>
    </row>
    <row r="17145" spans="1:1" x14ac:dyDescent="0.25">
      <c r="A17145" t="e">
        <v>#N/A</v>
      </c>
    </row>
    <row r="17146" spans="1:1" x14ac:dyDescent="0.25">
      <c r="A17146" t="e">
        <v>#N/A</v>
      </c>
    </row>
    <row r="17147" spans="1:1" x14ac:dyDescent="0.25">
      <c r="A17147" t="e">
        <v>#N/A</v>
      </c>
    </row>
    <row r="17148" spans="1:1" x14ac:dyDescent="0.25">
      <c r="A17148" t="e">
        <v>#N/A</v>
      </c>
    </row>
    <row r="17149" spans="1:1" x14ac:dyDescent="0.25">
      <c r="A17149" t="e">
        <v>#N/A</v>
      </c>
    </row>
    <row r="17150" spans="1:1" x14ac:dyDescent="0.25">
      <c r="A17150" t="e">
        <v>#N/A</v>
      </c>
    </row>
    <row r="17151" spans="1:1" x14ac:dyDescent="0.25">
      <c r="A17151" t="e">
        <v>#N/A</v>
      </c>
    </row>
    <row r="17152" spans="1:1" x14ac:dyDescent="0.25">
      <c r="A17152" t="e">
        <v>#N/A</v>
      </c>
    </row>
    <row r="17153" spans="1:1" x14ac:dyDescent="0.25">
      <c r="A17153" t="e">
        <v>#N/A</v>
      </c>
    </row>
    <row r="17154" spans="1:1" x14ac:dyDescent="0.25">
      <c r="A17154" t="e">
        <v>#N/A</v>
      </c>
    </row>
    <row r="17155" spans="1:1" x14ac:dyDescent="0.25">
      <c r="A17155" t="e">
        <v>#N/A</v>
      </c>
    </row>
    <row r="17156" spans="1:1" x14ac:dyDescent="0.25">
      <c r="A17156" t="e">
        <v>#N/A</v>
      </c>
    </row>
    <row r="17157" spans="1:1" x14ac:dyDescent="0.25">
      <c r="A17157" t="e">
        <v>#N/A</v>
      </c>
    </row>
    <row r="17158" spans="1:1" x14ac:dyDescent="0.25">
      <c r="A17158" t="e">
        <v>#N/A</v>
      </c>
    </row>
    <row r="17159" spans="1:1" x14ac:dyDescent="0.25">
      <c r="A17159" t="e">
        <v>#N/A</v>
      </c>
    </row>
    <row r="17160" spans="1:1" x14ac:dyDescent="0.25">
      <c r="A17160" t="e">
        <v>#N/A</v>
      </c>
    </row>
    <row r="17161" spans="1:1" x14ac:dyDescent="0.25">
      <c r="A17161" t="e">
        <v>#N/A</v>
      </c>
    </row>
    <row r="17162" spans="1:1" x14ac:dyDescent="0.25">
      <c r="A17162" t="e">
        <v>#N/A</v>
      </c>
    </row>
    <row r="17163" spans="1:1" x14ac:dyDescent="0.25">
      <c r="A17163" t="e">
        <v>#N/A</v>
      </c>
    </row>
    <row r="17164" spans="1:1" x14ac:dyDescent="0.25">
      <c r="A17164" t="e">
        <v>#N/A</v>
      </c>
    </row>
    <row r="17165" spans="1:1" x14ac:dyDescent="0.25">
      <c r="A17165" t="e">
        <v>#N/A</v>
      </c>
    </row>
    <row r="17166" spans="1:1" x14ac:dyDescent="0.25">
      <c r="A17166" t="e">
        <v>#N/A</v>
      </c>
    </row>
    <row r="17167" spans="1:1" x14ac:dyDescent="0.25">
      <c r="A17167" t="e">
        <v>#N/A</v>
      </c>
    </row>
    <row r="17168" spans="1:1" x14ac:dyDescent="0.25">
      <c r="A17168" t="e">
        <v>#N/A</v>
      </c>
    </row>
    <row r="17169" spans="1:1" x14ac:dyDescent="0.25">
      <c r="A17169" t="e">
        <v>#N/A</v>
      </c>
    </row>
    <row r="17170" spans="1:1" x14ac:dyDescent="0.25">
      <c r="A17170" t="e">
        <v>#N/A</v>
      </c>
    </row>
    <row r="17171" spans="1:1" x14ac:dyDescent="0.25">
      <c r="A17171" t="e">
        <v>#N/A</v>
      </c>
    </row>
    <row r="17172" spans="1:1" x14ac:dyDescent="0.25">
      <c r="A17172" t="e">
        <v>#N/A</v>
      </c>
    </row>
    <row r="17173" spans="1:1" x14ac:dyDescent="0.25">
      <c r="A17173" t="e">
        <v>#N/A</v>
      </c>
    </row>
    <row r="17174" spans="1:1" x14ac:dyDescent="0.25">
      <c r="A17174" t="e">
        <v>#N/A</v>
      </c>
    </row>
    <row r="17175" spans="1:1" x14ac:dyDescent="0.25">
      <c r="A17175" t="e">
        <v>#N/A</v>
      </c>
    </row>
    <row r="17176" spans="1:1" x14ac:dyDescent="0.25">
      <c r="A17176" t="e">
        <v>#N/A</v>
      </c>
    </row>
    <row r="17177" spans="1:1" x14ac:dyDescent="0.25">
      <c r="A17177" t="e">
        <v>#N/A</v>
      </c>
    </row>
    <row r="17178" spans="1:1" x14ac:dyDescent="0.25">
      <c r="A17178" t="e">
        <v>#N/A</v>
      </c>
    </row>
    <row r="17179" spans="1:1" x14ac:dyDescent="0.25">
      <c r="A17179" t="e">
        <v>#N/A</v>
      </c>
    </row>
    <row r="17180" spans="1:1" x14ac:dyDescent="0.25">
      <c r="A17180" t="e">
        <v>#N/A</v>
      </c>
    </row>
    <row r="17181" spans="1:1" x14ac:dyDescent="0.25">
      <c r="A17181" t="e">
        <v>#N/A</v>
      </c>
    </row>
    <row r="17182" spans="1:1" x14ac:dyDescent="0.25">
      <c r="A17182" t="e">
        <v>#N/A</v>
      </c>
    </row>
    <row r="17183" spans="1:1" x14ac:dyDescent="0.25">
      <c r="A17183" t="e">
        <v>#N/A</v>
      </c>
    </row>
    <row r="17184" spans="1:1" x14ac:dyDescent="0.25">
      <c r="A17184" t="e">
        <v>#N/A</v>
      </c>
    </row>
    <row r="17185" spans="1:1" x14ac:dyDescent="0.25">
      <c r="A17185" t="e">
        <v>#N/A</v>
      </c>
    </row>
    <row r="17186" spans="1:1" x14ac:dyDescent="0.25">
      <c r="A17186" t="e">
        <v>#N/A</v>
      </c>
    </row>
    <row r="17187" spans="1:1" x14ac:dyDescent="0.25">
      <c r="A17187" t="e">
        <v>#N/A</v>
      </c>
    </row>
    <row r="17188" spans="1:1" x14ac:dyDescent="0.25">
      <c r="A17188" t="e">
        <v>#N/A</v>
      </c>
    </row>
    <row r="17189" spans="1:1" x14ac:dyDescent="0.25">
      <c r="A17189" t="e">
        <v>#N/A</v>
      </c>
    </row>
    <row r="17190" spans="1:1" x14ac:dyDescent="0.25">
      <c r="A17190" t="e">
        <v>#N/A</v>
      </c>
    </row>
    <row r="17191" spans="1:1" x14ac:dyDescent="0.25">
      <c r="A17191" t="e">
        <v>#N/A</v>
      </c>
    </row>
    <row r="17192" spans="1:1" x14ac:dyDescent="0.25">
      <c r="A17192" t="e">
        <v>#N/A</v>
      </c>
    </row>
    <row r="17193" spans="1:1" x14ac:dyDescent="0.25">
      <c r="A17193" t="e">
        <v>#N/A</v>
      </c>
    </row>
    <row r="17194" spans="1:1" x14ac:dyDescent="0.25">
      <c r="A17194" t="e">
        <v>#N/A</v>
      </c>
    </row>
    <row r="17195" spans="1:1" x14ac:dyDescent="0.25">
      <c r="A17195" t="e">
        <v>#N/A</v>
      </c>
    </row>
    <row r="17196" spans="1:1" x14ac:dyDescent="0.25">
      <c r="A17196" t="e">
        <v>#N/A</v>
      </c>
    </row>
    <row r="17197" spans="1:1" x14ac:dyDescent="0.25">
      <c r="A17197" t="e">
        <v>#N/A</v>
      </c>
    </row>
    <row r="17198" spans="1:1" x14ac:dyDescent="0.25">
      <c r="A17198" t="e">
        <v>#N/A</v>
      </c>
    </row>
    <row r="17199" spans="1:1" x14ac:dyDescent="0.25">
      <c r="A17199" t="e">
        <v>#N/A</v>
      </c>
    </row>
    <row r="17200" spans="1:1" x14ac:dyDescent="0.25">
      <c r="A17200" t="e">
        <v>#N/A</v>
      </c>
    </row>
    <row r="17201" spans="1:1" x14ac:dyDescent="0.25">
      <c r="A17201" t="e">
        <v>#N/A</v>
      </c>
    </row>
    <row r="17202" spans="1:1" x14ac:dyDescent="0.25">
      <c r="A17202" t="e">
        <v>#N/A</v>
      </c>
    </row>
    <row r="17203" spans="1:1" x14ac:dyDescent="0.25">
      <c r="A17203" t="e">
        <v>#N/A</v>
      </c>
    </row>
    <row r="17204" spans="1:1" x14ac:dyDescent="0.25">
      <c r="A17204" t="e">
        <v>#N/A</v>
      </c>
    </row>
    <row r="17205" spans="1:1" x14ac:dyDescent="0.25">
      <c r="A17205" t="e">
        <v>#N/A</v>
      </c>
    </row>
    <row r="17206" spans="1:1" x14ac:dyDescent="0.25">
      <c r="A17206" t="e">
        <v>#N/A</v>
      </c>
    </row>
    <row r="17207" spans="1:1" x14ac:dyDescent="0.25">
      <c r="A17207" t="e">
        <v>#N/A</v>
      </c>
    </row>
    <row r="17208" spans="1:1" x14ac:dyDescent="0.25">
      <c r="A17208" t="e">
        <v>#N/A</v>
      </c>
    </row>
    <row r="17209" spans="1:1" x14ac:dyDescent="0.25">
      <c r="A17209" t="e">
        <v>#N/A</v>
      </c>
    </row>
    <row r="17210" spans="1:1" x14ac:dyDescent="0.25">
      <c r="A17210" t="e">
        <v>#N/A</v>
      </c>
    </row>
    <row r="17211" spans="1:1" x14ac:dyDescent="0.25">
      <c r="A17211" t="e">
        <v>#N/A</v>
      </c>
    </row>
    <row r="17212" spans="1:1" x14ac:dyDescent="0.25">
      <c r="A17212" t="e">
        <v>#N/A</v>
      </c>
    </row>
    <row r="17213" spans="1:1" x14ac:dyDescent="0.25">
      <c r="A17213" t="e">
        <v>#N/A</v>
      </c>
    </row>
    <row r="17214" spans="1:1" x14ac:dyDescent="0.25">
      <c r="A17214" t="e">
        <v>#N/A</v>
      </c>
    </row>
    <row r="17215" spans="1:1" x14ac:dyDescent="0.25">
      <c r="A17215" t="e">
        <v>#N/A</v>
      </c>
    </row>
    <row r="17216" spans="1:1" x14ac:dyDescent="0.25">
      <c r="A17216" t="e">
        <v>#N/A</v>
      </c>
    </row>
    <row r="17217" spans="1:1" x14ac:dyDescent="0.25">
      <c r="A17217" t="e">
        <v>#N/A</v>
      </c>
    </row>
    <row r="17218" spans="1:1" x14ac:dyDescent="0.25">
      <c r="A17218" t="e">
        <v>#N/A</v>
      </c>
    </row>
    <row r="17219" spans="1:1" x14ac:dyDescent="0.25">
      <c r="A17219" t="e">
        <v>#N/A</v>
      </c>
    </row>
    <row r="17220" spans="1:1" x14ac:dyDescent="0.25">
      <c r="A17220" t="e">
        <v>#N/A</v>
      </c>
    </row>
    <row r="17221" spans="1:1" x14ac:dyDescent="0.25">
      <c r="A17221" t="e">
        <v>#N/A</v>
      </c>
    </row>
    <row r="17222" spans="1:1" x14ac:dyDescent="0.25">
      <c r="A17222" t="e">
        <v>#N/A</v>
      </c>
    </row>
    <row r="17223" spans="1:1" x14ac:dyDescent="0.25">
      <c r="A17223" t="e">
        <v>#N/A</v>
      </c>
    </row>
    <row r="17224" spans="1:1" x14ac:dyDescent="0.25">
      <c r="A17224" t="e">
        <v>#N/A</v>
      </c>
    </row>
    <row r="17225" spans="1:1" x14ac:dyDescent="0.25">
      <c r="A17225" t="e">
        <v>#N/A</v>
      </c>
    </row>
    <row r="17226" spans="1:1" x14ac:dyDescent="0.25">
      <c r="A17226" t="e">
        <v>#N/A</v>
      </c>
    </row>
    <row r="17227" spans="1:1" x14ac:dyDescent="0.25">
      <c r="A17227" t="e">
        <v>#N/A</v>
      </c>
    </row>
    <row r="17228" spans="1:1" x14ac:dyDescent="0.25">
      <c r="A17228" t="e">
        <v>#N/A</v>
      </c>
    </row>
    <row r="17229" spans="1:1" x14ac:dyDescent="0.25">
      <c r="A17229" t="e">
        <v>#N/A</v>
      </c>
    </row>
    <row r="17230" spans="1:1" x14ac:dyDescent="0.25">
      <c r="A17230" t="e">
        <v>#N/A</v>
      </c>
    </row>
    <row r="17231" spans="1:1" x14ac:dyDescent="0.25">
      <c r="A17231" t="e">
        <v>#N/A</v>
      </c>
    </row>
    <row r="17232" spans="1:1" x14ac:dyDescent="0.25">
      <c r="A17232" t="e">
        <v>#N/A</v>
      </c>
    </row>
    <row r="17233" spans="1:1" x14ac:dyDescent="0.25">
      <c r="A17233" t="e">
        <v>#N/A</v>
      </c>
    </row>
    <row r="17234" spans="1:1" x14ac:dyDescent="0.25">
      <c r="A17234" t="e">
        <v>#N/A</v>
      </c>
    </row>
    <row r="17235" spans="1:1" x14ac:dyDescent="0.25">
      <c r="A17235" t="e">
        <v>#N/A</v>
      </c>
    </row>
    <row r="17236" spans="1:1" x14ac:dyDescent="0.25">
      <c r="A17236" t="e">
        <v>#N/A</v>
      </c>
    </row>
    <row r="17237" spans="1:1" x14ac:dyDescent="0.25">
      <c r="A17237" t="e">
        <v>#N/A</v>
      </c>
    </row>
    <row r="17238" spans="1:1" x14ac:dyDescent="0.25">
      <c r="A17238" t="e">
        <v>#N/A</v>
      </c>
    </row>
    <row r="17239" spans="1:1" x14ac:dyDescent="0.25">
      <c r="A17239" t="e">
        <v>#N/A</v>
      </c>
    </row>
    <row r="17240" spans="1:1" x14ac:dyDescent="0.25">
      <c r="A17240" t="e">
        <v>#N/A</v>
      </c>
    </row>
    <row r="17241" spans="1:1" x14ac:dyDescent="0.25">
      <c r="A17241" t="e">
        <v>#N/A</v>
      </c>
    </row>
    <row r="17242" spans="1:1" x14ac:dyDescent="0.25">
      <c r="A17242" t="e">
        <v>#N/A</v>
      </c>
    </row>
    <row r="17243" spans="1:1" x14ac:dyDescent="0.25">
      <c r="A17243" t="e">
        <v>#N/A</v>
      </c>
    </row>
    <row r="17244" spans="1:1" x14ac:dyDescent="0.25">
      <c r="A17244" t="e">
        <v>#N/A</v>
      </c>
    </row>
    <row r="17245" spans="1:1" x14ac:dyDescent="0.25">
      <c r="A17245" t="e">
        <v>#N/A</v>
      </c>
    </row>
    <row r="17246" spans="1:1" x14ac:dyDescent="0.25">
      <c r="A17246" t="e">
        <v>#N/A</v>
      </c>
    </row>
    <row r="17247" spans="1:1" x14ac:dyDescent="0.25">
      <c r="A17247" t="e">
        <v>#N/A</v>
      </c>
    </row>
    <row r="17248" spans="1:1" x14ac:dyDescent="0.25">
      <c r="A17248" t="e">
        <v>#N/A</v>
      </c>
    </row>
    <row r="17249" spans="1:1" x14ac:dyDescent="0.25">
      <c r="A17249" t="e">
        <v>#N/A</v>
      </c>
    </row>
    <row r="17250" spans="1:1" x14ac:dyDescent="0.25">
      <c r="A17250" t="e">
        <v>#N/A</v>
      </c>
    </row>
    <row r="17251" spans="1:1" x14ac:dyDescent="0.25">
      <c r="A17251" t="e">
        <v>#N/A</v>
      </c>
    </row>
    <row r="17252" spans="1:1" x14ac:dyDescent="0.25">
      <c r="A17252" t="e">
        <v>#N/A</v>
      </c>
    </row>
    <row r="17253" spans="1:1" x14ac:dyDescent="0.25">
      <c r="A17253" t="e">
        <v>#N/A</v>
      </c>
    </row>
    <row r="17254" spans="1:1" x14ac:dyDescent="0.25">
      <c r="A17254" t="e">
        <v>#N/A</v>
      </c>
    </row>
    <row r="17255" spans="1:1" x14ac:dyDescent="0.25">
      <c r="A17255" t="e">
        <v>#N/A</v>
      </c>
    </row>
    <row r="17256" spans="1:1" x14ac:dyDescent="0.25">
      <c r="A17256" t="e">
        <v>#N/A</v>
      </c>
    </row>
    <row r="17257" spans="1:1" x14ac:dyDescent="0.25">
      <c r="A17257" t="e">
        <v>#N/A</v>
      </c>
    </row>
    <row r="17258" spans="1:1" x14ac:dyDescent="0.25">
      <c r="A17258" t="e">
        <v>#N/A</v>
      </c>
    </row>
    <row r="17259" spans="1:1" x14ac:dyDescent="0.25">
      <c r="A17259" t="e">
        <v>#N/A</v>
      </c>
    </row>
    <row r="17260" spans="1:1" x14ac:dyDescent="0.25">
      <c r="A17260" t="e">
        <v>#N/A</v>
      </c>
    </row>
    <row r="17261" spans="1:1" x14ac:dyDescent="0.25">
      <c r="A17261" t="e">
        <v>#N/A</v>
      </c>
    </row>
    <row r="17262" spans="1:1" x14ac:dyDescent="0.25">
      <c r="A17262" t="e">
        <v>#N/A</v>
      </c>
    </row>
    <row r="17263" spans="1:1" x14ac:dyDescent="0.25">
      <c r="A17263" t="e">
        <v>#N/A</v>
      </c>
    </row>
    <row r="17264" spans="1:1" x14ac:dyDescent="0.25">
      <c r="A17264" t="e">
        <v>#N/A</v>
      </c>
    </row>
    <row r="17265" spans="1:1" x14ac:dyDescent="0.25">
      <c r="A17265" t="e">
        <v>#N/A</v>
      </c>
    </row>
    <row r="17266" spans="1:1" x14ac:dyDescent="0.25">
      <c r="A17266" t="e">
        <v>#N/A</v>
      </c>
    </row>
    <row r="17267" spans="1:1" x14ac:dyDescent="0.25">
      <c r="A17267" t="e">
        <v>#N/A</v>
      </c>
    </row>
    <row r="17268" spans="1:1" x14ac:dyDescent="0.25">
      <c r="A17268" t="e">
        <v>#N/A</v>
      </c>
    </row>
    <row r="17269" spans="1:1" x14ac:dyDescent="0.25">
      <c r="A17269" t="e">
        <v>#N/A</v>
      </c>
    </row>
    <row r="17270" spans="1:1" x14ac:dyDescent="0.25">
      <c r="A17270" t="e">
        <v>#N/A</v>
      </c>
    </row>
    <row r="17271" spans="1:1" x14ac:dyDescent="0.25">
      <c r="A17271" t="e">
        <v>#N/A</v>
      </c>
    </row>
    <row r="17272" spans="1:1" x14ac:dyDescent="0.25">
      <c r="A17272" t="e">
        <v>#N/A</v>
      </c>
    </row>
    <row r="17273" spans="1:1" x14ac:dyDescent="0.25">
      <c r="A17273" t="e">
        <v>#N/A</v>
      </c>
    </row>
    <row r="17274" spans="1:1" x14ac:dyDescent="0.25">
      <c r="A17274" t="e">
        <v>#N/A</v>
      </c>
    </row>
    <row r="17275" spans="1:1" x14ac:dyDescent="0.25">
      <c r="A17275" t="e">
        <v>#N/A</v>
      </c>
    </row>
    <row r="17276" spans="1:1" x14ac:dyDescent="0.25">
      <c r="A17276" t="e">
        <v>#N/A</v>
      </c>
    </row>
    <row r="17277" spans="1:1" x14ac:dyDescent="0.25">
      <c r="A17277" t="e">
        <v>#N/A</v>
      </c>
    </row>
    <row r="17278" spans="1:1" x14ac:dyDescent="0.25">
      <c r="A17278" t="e">
        <v>#N/A</v>
      </c>
    </row>
    <row r="17279" spans="1:1" x14ac:dyDescent="0.25">
      <c r="A17279" t="e">
        <v>#N/A</v>
      </c>
    </row>
    <row r="17280" spans="1:1" x14ac:dyDescent="0.25">
      <c r="A17280" t="e">
        <v>#N/A</v>
      </c>
    </row>
    <row r="17281" spans="1:1" x14ac:dyDescent="0.25">
      <c r="A17281" t="e">
        <v>#N/A</v>
      </c>
    </row>
    <row r="17282" spans="1:1" x14ac:dyDescent="0.25">
      <c r="A17282" t="e">
        <v>#N/A</v>
      </c>
    </row>
    <row r="17283" spans="1:1" x14ac:dyDescent="0.25">
      <c r="A17283" t="e">
        <v>#N/A</v>
      </c>
    </row>
    <row r="17284" spans="1:1" x14ac:dyDescent="0.25">
      <c r="A17284" t="e">
        <v>#N/A</v>
      </c>
    </row>
    <row r="17285" spans="1:1" x14ac:dyDescent="0.25">
      <c r="A17285" t="e">
        <v>#N/A</v>
      </c>
    </row>
    <row r="17286" spans="1:1" x14ac:dyDescent="0.25">
      <c r="A17286" t="e">
        <v>#N/A</v>
      </c>
    </row>
    <row r="17287" spans="1:1" x14ac:dyDescent="0.25">
      <c r="A17287" t="e">
        <v>#N/A</v>
      </c>
    </row>
    <row r="17288" spans="1:1" x14ac:dyDescent="0.25">
      <c r="A17288" t="e">
        <v>#N/A</v>
      </c>
    </row>
    <row r="17289" spans="1:1" x14ac:dyDescent="0.25">
      <c r="A17289" t="e">
        <v>#N/A</v>
      </c>
    </row>
    <row r="17290" spans="1:1" x14ac:dyDescent="0.25">
      <c r="A17290" t="e">
        <v>#N/A</v>
      </c>
    </row>
    <row r="17291" spans="1:1" x14ac:dyDescent="0.25">
      <c r="A17291" t="e">
        <v>#N/A</v>
      </c>
    </row>
    <row r="17292" spans="1:1" x14ac:dyDescent="0.25">
      <c r="A17292" t="e">
        <v>#N/A</v>
      </c>
    </row>
    <row r="17293" spans="1:1" x14ac:dyDescent="0.25">
      <c r="A17293" t="e">
        <v>#N/A</v>
      </c>
    </row>
    <row r="17294" spans="1:1" x14ac:dyDescent="0.25">
      <c r="A17294" t="e">
        <v>#N/A</v>
      </c>
    </row>
    <row r="17295" spans="1:1" x14ac:dyDescent="0.25">
      <c r="A17295" t="e">
        <v>#N/A</v>
      </c>
    </row>
    <row r="17296" spans="1:1" x14ac:dyDescent="0.25">
      <c r="A17296" t="e">
        <v>#N/A</v>
      </c>
    </row>
    <row r="17297" spans="1:1" x14ac:dyDescent="0.25">
      <c r="A17297" t="e">
        <v>#N/A</v>
      </c>
    </row>
    <row r="17298" spans="1:1" x14ac:dyDescent="0.25">
      <c r="A17298" t="e">
        <v>#N/A</v>
      </c>
    </row>
    <row r="17299" spans="1:1" x14ac:dyDescent="0.25">
      <c r="A17299" t="e">
        <v>#N/A</v>
      </c>
    </row>
    <row r="17300" spans="1:1" x14ac:dyDescent="0.25">
      <c r="A17300" t="e">
        <v>#N/A</v>
      </c>
    </row>
    <row r="17301" spans="1:1" x14ac:dyDescent="0.25">
      <c r="A17301" t="e">
        <v>#N/A</v>
      </c>
    </row>
    <row r="17302" spans="1:1" x14ac:dyDescent="0.25">
      <c r="A17302" t="e">
        <v>#N/A</v>
      </c>
    </row>
    <row r="17303" spans="1:1" x14ac:dyDescent="0.25">
      <c r="A17303" t="e">
        <v>#N/A</v>
      </c>
    </row>
    <row r="17304" spans="1:1" x14ac:dyDescent="0.25">
      <c r="A17304" t="e">
        <v>#N/A</v>
      </c>
    </row>
    <row r="17305" spans="1:1" x14ac:dyDescent="0.25">
      <c r="A17305" t="e">
        <v>#N/A</v>
      </c>
    </row>
    <row r="17306" spans="1:1" x14ac:dyDescent="0.25">
      <c r="A17306" t="e">
        <v>#N/A</v>
      </c>
    </row>
    <row r="17307" spans="1:1" x14ac:dyDescent="0.25">
      <c r="A17307" t="e">
        <v>#N/A</v>
      </c>
    </row>
    <row r="17308" spans="1:1" x14ac:dyDescent="0.25">
      <c r="A17308" t="e">
        <v>#N/A</v>
      </c>
    </row>
    <row r="17309" spans="1:1" x14ac:dyDescent="0.25">
      <c r="A17309" t="e">
        <v>#N/A</v>
      </c>
    </row>
    <row r="17310" spans="1:1" x14ac:dyDescent="0.25">
      <c r="A17310" t="e">
        <v>#N/A</v>
      </c>
    </row>
    <row r="17311" spans="1:1" x14ac:dyDescent="0.25">
      <c r="A17311" t="e">
        <v>#N/A</v>
      </c>
    </row>
    <row r="17312" spans="1:1" x14ac:dyDescent="0.25">
      <c r="A17312" t="e">
        <v>#N/A</v>
      </c>
    </row>
    <row r="17313" spans="1:1" x14ac:dyDescent="0.25">
      <c r="A17313" t="e">
        <v>#N/A</v>
      </c>
    </row>
    <row r="17314" spans="1:1" x14ac:dyDescent="0.25">
      <c r="A17314" t="e">
        <v>#N/A</v>
      </c>
    </row>
    <row r="17315" spans="1:1" x14ac:dyDescent="0.25">
      <c r="A17315" t="e">
        <v>#N/A</v>
      </c>
    </row>
    <row r="17316" spans="1:1" x14ac:dyDescent="0.25">
      <c r="A17316" t="e">
        <v>#N/A</v>
      </c>
    </row>
    <row r="17317" spans="1:1" x14ac:dyDescent="0.25">
      <c r="A17317" t="e">
        <v>#N/A</v>
      </c>
    </row>
    <row r="17318" spans="1:1" x14ac:dyDescent="0.25">
      <c r="A17318" t="e">
        <v>#N/A</v>
      </c>
    </row>
    <row r="17319" spans="1:1" x14ac:dyDescent="0.25">
      <c r="A17319" t="e">
        <v>#N/A</v>
      </c>
    </row>
    <row r="17320" spans="1:1" x14ac:dyDescent="0.25">
      <c r="A17320" t="e">
        <v>#N/A</v>
      </c>
    </row>
    <row r="17321" spans="1:1" x14ac:dyDescent="0.25">
      <c r="A17321" t="e">
        <v>#N/A</v>
      </c>
    </row>
    <row r="17322" spans="1:1" x14ac:dyDescent="0.25">
      <c r="A17322" t="e">
        <v>#N/A</v>
      </c>
    </row>
    <row r="17323" spans="1:1" x14ac:dyDescent="0.25">
      <c r="A17323" t="e">
        <v>#N/A</v>
      </c>
    </row>
    <row r="17324" spans="1:1" x14ac:dyDescent="0.25">
      <c r="A17324" t="e">
        <v>#N/A</v>
      </c>
    </row>
    <row r="17325" spans="1:1" x14ac:dyDescent="0.25">
      <c r="A17325" t="e">
        <v>#N/A</v>
      </c>
    </row>
    <row r="17326" spans="1:1" x14ac:dyDescent="0.25">
      <c r="A17326" t="e">
        <v>#N/A</v>
      </c>
    </row>
    <row r="17327" spans="1:1" x14ac:dyDescent="0.25">
      <c r="A17327" t="e">
        <v>#N/A</v>
      </c>
    </row>
    <row r="17328" spans="1:1" x14ac:dyDescent="0.25">
      <c r="A17328" t="e">
        <v>#N/A</v>
      </c>
    </row>
    <row r="17329" spans="1:1" x14ac:dyDescent="0.25">
      <c r="A17329" t="e">
        <v>#N/A</v>
      </c>
    </row>
    <row r="17330" spans="1:1" x14ac:dyDescent="0.25">
      <c r="A17330" t="e">
        <v>#N/A</v>
      </c>
    </row>
    <row r="17331" spans="1:1" x14ac:dyDescent="0.25">
      <c r="A17331" t="e">
        <v>#N/A</v>
      </c>
    </row>
    <row r="17332" spans="1:1" x14ac:dyDescent="0.25">
      <c r="A17332" t="e">
        <v>#N/A</v>
      </c>
    </row>
    <row r="17333" spans="1:1" x14ac:dyDescent="0.25">
      <c r="A17333" t="e">
        <v>#N/A</v>
      </c>
    </row>
    <row r="17334" spans="1:1" x14ac:dyDescent="0.25">
      <c r="A17334" t="e">
        <v>#N/A</v>
      </c>
    </row>
    <row r="17335" spans="1:1" x14ac:dyDescent="0.25">
      <c r="A17335" t="e">
        <v>#N/A</v>
      </c>
    </row>
    <row r="17336" spans="1:1" x14ac:dyDescent="0.25">
      <c r="A17336" t="e">
        <v>#N/A</v>
      </c>
    </row>
    <row r="17337" spans="1:1" x14ac:dyDescent="0.25">
      <c r="A17337" t="e">
        <v>#N/A</v>
      </c>
    </row>
    <row r="17338" spans="1:1" x14ac:dyDescent="0.25">
      <c r="A17338" t="e">
        <v>#N/A</v>
      </c>
    </row>
    <row r="17339" spans="1:1" x14ac:dyDescent="0.25">
      <c r="A17339" t="e">
        <v>#N/A</v>
      </c>
    </row>
    <row r="17340" spans="1:1" x14ac:dyDescent="0.25">
      <c r="A17340" t="e">
        <v>#N/A</v>
      </c>
    </row>
    <row r="17341" spans="1:1" x14ac:dyDescent="0.25">
      <c r="A17341" t="e">
        <v>#N/A</v>
      </c>
    </row>
    <row r="17342" spans="1:1" x14ac:dyDescent="0.25">
      <c r="A17342" t="e">
        <v>#N/A</v>
      </c>
    </row>
    <row r="17343" spans="1:1" x14ac:dyDescent="0.25">
      <c r="A17343" t="e">
        <v>#N/A</v>
      </c>
    </row>
    <row r="17344" spans="1:1" x14ac:dyDescent="0.25">
      <c r="A17344" t="e">
        <v>#N/A</v>
      </c>
    </row>
    <row r="17345" spans="1:1" x14ac:dyDescent="0.25">
      <c r="A17345" t="e">
        <v>#N/A</v>
      </c>
    </row>
    <row r="17346" spans="1:1" x14ac:dyDescent="0.25">
      <c r="A17346" t="e">
        <v>#N/A</v>
      </c>
    </row>
    <row r="17347" spans="1:1" x14ac:dyDescent="0.25">
      <c r="A17347" t="e">
        <v>#N/A</v>
      </c>
    </row>
    <row r="17348" spans="1:1" x14ac:dyDescent="0.25">
      <c r="A17348" t="e">
        <v>#N/A</v>
      </c>
    </row>
    <row r="17349" spans="1:1" x14ac:dyDescent="0.25">
      <c r="A17349" t="e">
        <v>#N/A</v>
      </c>
    </row>
    <row r="17350" spans="1:1" x14ac:dyDescent="0.25">
      <c r="A17350" t="e">
        <v>#N/A</v>
      </c>
    </row>
    <row r="17351" spans="1:1" x14ac:dyDescent="0.25">
      <c r="A17351" t="e">
        <v>#N/A</v>
      </c>
    </row>
    <row r="17352" spans="1:1" x14ac:dyDescent="0.25">
      <c r="A17352" t="e">
        <v>#N/A</v>
      </c>
    </row>
    <row r="17353" spans="1:1" x14ac:dyDescent="0.25">
      <c r="A17353" t="e">
        <v>#N/A</v>
      </c>
    </row>
    <row r="17354" spans="1:1" x14ac:dyDescent="0.25">
      <c r="A17354" t="e">
        <v>#N/A</v>
      </c>
    </row>
    <row r="17355" spans="1:1" x14ac:dyDescent="0.25">
      <c r="A17355" t="e">
        <v>#N/A</v>
      </c>
    </row>
    <row r="17356" spans="1:1" x14ac:dyDescent="0.25">
      <c r="A17356" t="e">
        <v>#N/A</v>
      </c>
    </row>
    <row r="17357" spans="1:1" x14ac:dyDescent="0.25">
      <c r="A17357" t="e">
        <v>#N/A</v>
      </c>
    </row>
    <row r="17358" spans="1:1" x14ac:dyDescent="0.25">
      <c r="A17358" t="e">
        <v>#N/A</v>
      </c>
    </row>
    <row r="17359" spans="1:1" x14ac:dyDescent="0.25">
      <c r="A17359" t="e">
        <v>#N/A</v>
      </c>
    </row>
    <row r="17360" spans="1:1" x14ac:dyDescent="0.25">
      <c r="A17360" t="e">
        <v>#N/A</v>
      </c>
    </row>
    <row r="17361" spans="1:1" x14ac:dyDescent="0.25">
      <c r="A17361" t="e">
        <v>#N/A</v>
      </c>
    </row>
    <row r="17362" spans="1:1" x14ac:dyDescent="0.25">
      <c r="A17362" t="e">
        <v>#N/A</v>
      </c>
    </row>
    <row r="17363" spans="1:1" x14ac:dyDescent="0.25">
      <c r="A17363" t="e">
        <v>#N/A</v>
      </c>
    </row>
    <row r="17364" spans="1:1" x14ac:dyDescent="0.25">
      <c r="A17364" t="e">
        <v>#N/A</v>
      </c>
    </row>
    <row r="17365" spans="1:1" x14ac:dyDescent="0.25">
      <c r="A17365" t="e">
        <v>#N/A</v>
      </c>
    </row>
    <row r="17366" spans="1:1" x14ac:dyDescent="0.25">
      <c r="A17366" t="e">
        <v>#N/A</v>
      </c>
    </row>
    <row r="17367" spans="1:1" x14ac:dyDescent="0.25">
      <c r="A17367" t="e">
        <v>#N/A</v>
      </c>
    </row>
    <row r="17368" spans="1:1" x14ac:dyDescent="0.25">
      <c r="A17368" t="e">
        <v>#N/A</v>
      </c>
    </row>
    <row r="17369" spans="1:1" x14ac:dyDescent="0.25">
      <c r="A17369" t="e">
        <v>#N/A</v>
      </c>
    </row>
    <row r="17370" spans="1:1" x14ac:dyDescent="0.25">
      <c r="A17370" t="e">
        <v>#N/A</v>
      </c>
    </row>
    <row r="17371" spans="1:1" x14ac:dyDescent="0.25">
      <c r="A17371" t="e">
        <v>#N/A</v>
      </c>
    </row>
    <row r="17372" spans="1:1" x14ac:dyDescent="0.25">
      <c r="A17372" t="e">
        <v>#N/A</v>
      </c>
    </row>
    <row r="17373" spans="1:1" x14ac:dyDescent="0.25">
      <c r="A17373" t="e">
        <v>#N/A</v>
      </c>
    </row>
    <row r="17374" spans="1:1" x14ac:dyDescent="0.25">
      <c r="A17374" t="e">
        <v>#N/A</v>
      </c>
    </row>
    <row r="17375" spans="1:1" x14ac:dyDescent="0.25">
      <c r="A17375" t="e">
        <v>#N/A</v>
      </c>
    </row>
    <row r="17376" spans="1:1" x14ac:dyDescent="0.25">
      <c r="A17376" t="e">
        <v>#N/A</v>
      </c>
    </row>
    <row r="17377" spans="1:1" x14ac:dyDescent="0.25">
      <c r="A17377" t="e">
        <v>#N/A</v>
      </c>
    </row>
    <row r="17378" spans="1:1" x14ac:dyDescent="0.25">
      <c r="A17378" t="e">
        <v>#N/A</v>
      </c>
    </row>
    <row r="17379" spans="1:1" x14ac:dyDescent="0.25">
      <c r="A17379" t="e">
        <v>#N/A</v>
      </c>
    </row>
    <row r="17380" spans="1:1" x14ac:dyDescent="0.25">
      <c r="A17380" t="e">
        <v>#N/A</v>
      </c>
    </row>
    <row r="17381" spans="1:1" x14ac:dyDescent="0.25">
      <c r="A17381" t="e">
        <v>#N/A</v>
      </c>
    </row>
    <row r="17382" spans="1:1" x14ac:dyDescent="0.25">
      <c r="A17382" t="e">
        <v>#N/A</v>
      </c>
    </row>
    <row r="17383" spans="1:1" x14ac:dyDescent="0.25">
      <c r="A17383" t="e">
        <v>#N/A</v>
      </c>
    </row>
    <row r="17384" spans="1:1" x14ac:dyDescent="0.25">
      <c r="A17384" t="e">
        <v>#N/A</v>
      </c>
    </row>
    <row r="17385" spans="1:1" x14ac:dyDescent="0.25">
      <c r="A17385" t="e">
        <v>#N/A</v>
      </c>
    </row>
    <row r="17386" spans="1:1" x14ac:dyDescent="0.25">
      <c r="A17386" t="e">
        <v>#N/A</v>
      </c>
    </row>
    <row r="17387" spans="1:1" x14ac:dyDescent="0.25">
      <c r="A17387" t="e">
        <v>#N/A</v>
      </c>
    </row>
    <row r="17388" spans="1:1" x14ac:dyDescent="0.25">
      <c r="A17388" t="e">
        <v>#N/A</v>
      </c>
    </row>
    <row r="17389" spans="1:1" x14ac:dyDescent="0.25">
      <c r="A17389" t="e">
        <v>#N/A</v>
      </c>
    </row>
    <row r="17390" spans="1:1" x14ac:dyDescent="0.25">
      <c r="A17390" t="e">
        <v>#N/A</v>
      </c>
    </row>
    <row r="17391" spans="1:1" x14ac:dyDescent="0.25">
      <c r="A17391" t="e">
        <v>#N/A</v>
      </c>
    </row>
    <row r="17392" spans="1:1" x14ac:dyDescent="0.25">
      <c r="A17392" t="e">
        <v>#N/A</v>
      </c>
    </row>
    <row r="17393" spans="1:1" x14ac:dyDescent="0.25">
      <c r="A17393" t="e">
        <v>#N/A</v>
      </c>
    </row>
    <row r="17394" spans="1:1" x14ac:dyDescent="0.25">
      <c r="A17394" t="e">
        <v>#N/A</v>
      </c>
    </row>
    <row r="17395" spans="1:1" x14ac:dyDescent="0.25">
      <c r="A17395" t="e">
        <v>#N/A</v>
      </c>
    </row>
    <row r="17396" spans="1:1" x14ac:dyDescent="0.25">
      <c r="A17396" t="e">
        <v>#N/A</v>
      </c>
    </row>
    <row r="17397" spans="1:1" x14ac:dyDescent="0.25">
      <c r="A17397" t="e">
        <v>#N/A</v>
      </c>
    </row>
    <row r="17398" spans="1:1" x14ac:dyDescent="0.25">
      <c r="A17398" t="e">
        <v>#N/A</v>
      </c>
    </row>
    <row r="17399" spans="1:1" x14ac:dyDescent="0.25">
      <c r="A17399" t="e">
        <v>#N/A</v>
      </c>
    </row>
    <row r="17400" spans="1:1" x14ac:dyDescent="0.25">
      <c r="A17400" t="e">
        <v>#N/A</v>
      </c>
    </row>
    <row r="17401" spans="1:1" x14ac:dyDescent="0.25">
      <c r="A17401" t="e">
        <v>#N/A</v>
      </c>
    </row>
    <row r="17402" spans="1:1" x14ac:dyDescent="0.25">
      <c r="A17402" t="e">
        <v>#N/A</v>
      </c>
    </row>
    <row r="17403" spans="1:1" x14ac:dyDescent="0.25">
      <c r="A17403" t="e">
        <v>#N/A</v>
      </c>
    </row>
    <row r="17404" spans="1:1" x14ac:dyDescent="0.25">
      <c r="A17404" t="e">
        <v>#N/A</v>
      </c>
    </row>
    <row r="17405" spans="1:1" x14ac:dyDescent="0.25">
      <c r="A17405" t="e">
        <v>#N/A</v>
      </c>
    </row>
    <row r="17406" spans="1:1" x14ac:dyDescent="0.25">
      <c r="A17406" t="e">
        <v>#N/A</v>
      </c>
    </row>
    <row r="17407" spans="1:1" x14ac:dyDescent="0.25">
      <c r="A17407" t="e">
        <v>#N/A</v>
      </c>
    </row>
    <row r="17408" spans="1:1" x14ac:dyDescent="0.25">
      <c r="A17408" t="e">
        <v>#N/A</v>
      </c>
    </row>
    <row r="17409" spans="1:1" x14ac:dyDescent="0.25">
      <c r="A17409" t="e">
        <v>#N/A</v>
      </c>
    </row>
    <row r="17410" spans="1:1" x14ac:dyDescent="0.25">
      <c r="A17410" t="e">
        <v>#N/A</v>
      </c>
    </row>
    <row r="17411" spans="1:1" x14ac:dyDescent="0.25">
      <c r="A17411" t="e">
        <v>#N/A</v>
      </c>
    </row>
    <row r="17412" spans="1:1" x14ac:dyDescent="0.25">
      <c r="A17412" t="e">
        <v>#N/A</v>
      </c>
    </row>
    <row r="17413" spans="1:1" x14ac:dyDescent="0.25">
      <c r="A17413" t="e">
        <v>#N/A</v>
      </c>
    </row>
    <row r="17414" spans="1:1" x14ac:dyDescent="0.25">
      <c r="A17414" t="e">
        <v>#N/A</v>
      </c>
    </row>
    <row r="17415" spans="1:1" x14ac:dyDescent="0.25">
      <c r="A17415" t="e">
        <v>#N/A</v>
      </c>
    </row>
    <row r="17416" spans="1:1" x14ac:dyDescent="0.25">
      <c r="A17416" t="e">
        <v>#N/A</v>
      </c>
    </row>
    <row r="17417" spans="1:1" x14ac:dyDescent="0.25">
      <c r="A17417" t="e">
        <v>#N/A</v>
      </c>
    </row>
    <row r="17418" spans="1:1" x14ac:dyDescent="0.25">
      <c r="A17418" t="e">
        <v>#N/A</v>
      </c>
    </row>
    <row r="17419" spans="1:1" x14ac:dyDescent="0.25">
      <c r="A17419" t="e">
        <v>#N/A</v>
      </c>
    </row>
    <row r="17420" spans="1:1" x14ac:dyDescent="0.25">
      <c r="A17420" t="e">
        <v>#N/A</v>
      </c>
    </row>
    <row r="17421" spans="1:1" x14ac:dyDescent="0.25">
      <c r="A17421" t="e">
        <v>#N/A</v>
      </c>
    </row>
    <row r="17422" spans="1:1" x14ac:dyDescent="0.25">
      <c r="A17422" t="e">
        <v>#N/A</v>
      </c>
    </row>
    <row r="17423" spans="1:1" x14ac:dyDescent="0.25">
      <c r="A17423" t="e">
        <v>#N/A</v>
      </c>
    </row>
    <row r="17424" spans="1:1" x14ac:dyDescent="0.25">
      <c r="A17424" t="e">
        <v>#N/A</v>
      </c>
    </row>
    <row r="17425" spans="1:1" x14ac:dyDescent="0.25">
      <c r="A17425" t="e">
        <v>#N/A</v>
      </c>
    </row>
    <row r="17426" spans="1:1" x14ac:dyDescent="0.25">
      <c r="A17426" t="e">
        <v>#N/A</v>
      </c>
    </row>
    <row r="17427" spans="1:1" x14ac:dyDescent="0.25">
      <c r="A17427" t="e">
        <v>#N/A</v>
      </c>
    </row>
    <row r="17428" spans="1:1" x14ac:dyDescent="0.25">
      <c r="A17428" t="e">
        <v>#N/A</v>
      </c>
    </row>
    <row r="17429" spans="1:1" x14ac:dyDescent="0.25">
      <c r="A17429" t="e">
        <v>#N/A</v>
      </c>
    </row>
    <row r="17430" spans="1:1" x14ac:dyDescent="0.25">
      <c r="A17430" t="e">
        <v>#N/A</v>
      </c>
    </row>
    <row r="17431" spans="1:1" x14ac:dyDescent="0.25">
      <c r="A17431" t="e">
        <v>#N/A</v>
      </c>
    </row>
    <row r="17432" spans="1:1" x14ac:dyDescent="0.25">
      <c r="A17432" t="e">
        <v>#N/A</v>
      </c>
    </row>
    <row r="17433" spans="1:1" x14ac:dyDescent="0.25">
      <c r="A17433" t="e">
        <v>#N/A</v>
      </c>
    </row>
    <row r="17434" spans="1:1" x14ac:dyDescent="0.25">
      <c r="A17434" t="e">
        <v>#N/A</v>
      </c>
    </row>
    <row r="17435" spans="1:1" x14ac:dyDescent="0.25">
      <c r="A17435" t="e">
        <v>#N/A</v>
      </c>
    </row>
    <row r="17436" spans="1:1" x14ac:dyDescent="0.25">
      <c r="A17436" t="e">
        <v>#N/A</v>
      </c>
    </row>
    <row r="17437" spans="1:1" x14ac:dyDescent="0.25">
      <c r="A17437" t="e">
        <v>#N/A</v>
      </c>
    </row>
    <row r="17438" spans="1:1" x14ac:dyDescent="0.25">
      <c r="A17438" t="e">
        <v>#N/A</v>
      </c>
    </row>
    <row r="17439" spans="1:1" x14ac:dyDescent="0.25">
      <c r="A17439" t="e">
        <v>#N/A</v>
      </c>
    </row>
    <row r="17440" spans="1:1" x14ac:dyDescent="0.25">
      <c r="A17440" t="e">
        <v>#N/A</v>
      </c>
    </row>
    <row r="17441" spans="1:1" x14ac:dyDescent="0.25">
      <c r="A17441" t="e">
        <v>#N/A</v>
      </c>
    </row>
    <row r="17442" spans="1:1" x14ac:dyDescent="0.25">
      <c r="A17442" t="e">
        <v>#N/A</v>
      </c>
    </row>
    <row r="17443" spans="1:1" x14ac:dyDescent="0.25">
      <c r="A17443" t="e">
        <v>#N/A</v>
      </c>
    </row>
    <row r="17444" spans="1:1" x14ac:dyDescent="0.25">
      <c r="A17444" t="e">
        <v>#N/A</v>
      </c>
    </row>
    <row r="17445" spans="1:1" x14ac:dyDescent="0.25">
      <c r="A17445" t="e">
        <v>#N/A</v>
      </c>
    </row>
    <row r="17446" spans="1:1" x14ac:dyDescent="0.25">
      <c r="A17446" t="e">
        <v>#N/A</v>
      </c>
    </row>
    <row r="17447" spans="1:1" x14ac:dyDescent="0.25">
      <c r="A17447" t="e">
        <v>#N/A</v>
      </c>
    </row>
    <row r="17448" spans="1:1" x14ac:dyDescent="0.25">
      <c r="A17448" t="e">
        <v>#N/A</v>
      </c>
    </row>
    <row r="17449" spans="1:1" x14ac:dyDescent="0.25">
      <c r="A17449" t="e">
        <v>#N/A</v>
      </c>
    </row>
    <row r="17450" spans="1:1" x14ac:dyDescent="0.25">
      <c r="A17450" t="e">
        <v>#N/A</v>
      </c>
    </row>
    <row r="17451" spans="1:1" x14ac:dyDescent="0.25">
      <c r="A17451" t="e">
        <v>#N/A</v>
      </c>
    </row>
    <row r="17452" spans="1:1" x14ac:dyDescent="0.25">
      <c r="A17452" t="e">
        <v>#N/A</v>
      </c>
    </row>
    <row r="17453" spans="1:1" x14ac:dyDescent="0.25">
      <c r="A17453" t="e">
        <v>#N/A</v>
      </c>
    </row>
    <row r="17454" spans="1:1" x14ac:dyDescent="0.25">
      <c r="A17454" t="e">
        <v>#N/A</v>
      </c>
    </row>
    <row r="17455" spans="1:1" x14ac:dyDescent="0.25">
      <c r="A17455" t="e">
        <v>#N/A</v>
      </c>
    </row>
    <row r="17456" spans="1:1" x14ac:dyDescent="0.25">
      <c r="A17456" t="e">
        <v>#N/A</v>
      </c>
    </row>
    <row r="17457" spans="1:1" x14ac:dyDescent="0.25">
      <c r="A17457" t="e">
        <v>#N/A</v>
      </c>
    </row>
    <row r="17458" spans="1:1" x14ac:dyDescent="0.25">
      <c r="A17458" t="e">
        <v>#N/A</v>
      </c>
    </row>
    <row r="17459" spans="1:1" x14ac:dyDescent="0.25">
      <c r="A17459" t="e">
        <v>#N/A</v>
      </c>
    </row>
    <row r="17460" spans="1:1" x14ac:dyDescent="0.25">
      <c r="A17460" t="e">
        <v>#N/A</v>
      </c>
    </row>
    <row r="17461" spans="1:1" x14ac:dyDescent="0.25">
      <c r="A17461" t="e">
        <v>#N/A</v>
      </c>
    </row>
    <row r="17462" spans="1:1" x14ac:dyDescent="0.25">
      <c r="A17462" t="e">
        <v>#N/A</v>
      </c>
    </row>
    <row r="17463" spans="1:1" x14ac:dyDescent="0.25">
      <c r="A17463" t="e">
        <v>#N/A</v>
      </c>
    </row>
    <row r="17464" spans="1:1" x14ac:dyDescent="0.25">
      <c r="A17464" t="e">
        <v>#N/A</v>
      </c>
    </row>
    <row r="17465" spans="1:1" x14ac:dyDescent="0.25">
      <c r="A17465" t="e">
        <v>#N/A</v>
      </c>
    </row>
    <row r="17466" spans="1:1" x14ac:dyDescent="0.25">
      <c r="A17466" t="e">
        <v>#N/A</v>
      </c>
    </row>
    <row r="17467" spans="1:1" x14ac:dyDescent="0.25">
      <c r="A17467" t="e">
        <v>#N/A</v>
      </c>
    </row>
    <row r="17468" spans="1:1" x14ac:dyDescent="0.25">
      <c r="A17468" t="e">
        <v>#N/A</v>
      </c>
    </row>
    <row r="17469" spans="1:1" x14ac:dyDescent="0.25">
      <c r="A17469" t="e">
        <v>#N/A</v>
      </c>
    </row>
    <row r="17470" spans="1:1" x14ac:dyDescent="0.25">
      <c r="A17470" t="e">
        <v>#N/A</v>
      </c>
    </row>
    <row r="17471" spans="1:1" x14ac:dyDescent="0.25">
      <c r="A17471" t="e">
        <v>#N/A</v>
      </c>
    </row>
    <row r="17472" spans="1:1" x14ac:dyDescent="0.25">
      <c r="A17472" t="e">
        <v>#N/A</v>
      </c>
    </row>
    <row r="17473" spans="1:1" x14ac:dyDescent="0.25">
      <c r="A17473" t="e">
        <v>#N/A</v>
      </c>
    </row>
    <row r="17474" spans="1:1" x14ac:dyDescent="0.25">
      <c r="A17474" t="e">
        <v>#N/A</v>
      </c>
    </row>
    <row r="17475" spans="1:1" x14ac:dyDescent="0.25">
      <c r="A17475" t="e">
        <v>#N/A</v>
      </c>
    </row>
    <row r="17476" spans="1:1" x14ac:dyDescent="0.25">
      <c r="A17476" t="e">
        <v>#N/A</v>
      </c>
    </row>
    <row r="17477" spans="1:1" x14ac:dyDescent="0.25">
      <c r="A17477" t="e">
        <v>#N/A</v>
      </c>
    </row>
    <row r="17478" spans="1:1" x14ac:dyDescent="0.25">
      <c r="A17478" t="e">
        <v>#N/A</v>
      </c>
    </row>
    <row r="17479" spans="1:1" x14ac:dyDescent="0.25">
      <c r="A17479" t="e">
        <v>#N/A</v>
      </c>
    </row>
    <row r="17480" spans="1:1" x14ac:dyDescent="0.25">
      <c r="A17480" t="e">
        <v>#N/A</v>
      </c>
    </row>
    <row r="17481" spans="1:1" x14ac:dyDescent="0.25">
      <c r="A17481" t="e">
        <v>#N/A</v>
      </c>
    </row>
    <row r="17482" spans="1:1" x14ac:dyDescent="0.25">
      <c r="A17482" t="e">
        <v>#N/A</v>
      </c>
    </row>
    <row r="17483" spans="1:1" x14ac:dyDescent="0.25">
      <c r="A17483" t="e">
        <v>#N/A</v>
      </c>
    </row>
    <row r="17484" spans="1:1" x14ac:dyDescent="0.25">
      <c r="A17484" t="e">
        <v>#N/A</v>
      </c>
    </row>
    <row r="17485" spans="1:1" x14ac:dyDescent="0.25">
      <c r="A17485" t="e">
        <v>#N/A</v>
      </c>
    </row>
    <row r="17486" spans="1:1" x14ac:dyDescent="0.25">
      <c r="A17486" t="e">
        <v>#N/A</v>
      </c>
    </row>
    <row r="17487" spans="1:1" x14ac:dyDescent="0.25">
      <c r="A17487" t="e">
        <v>#N/A</v>
      </c>
    </row>
    <row r="17488" spans="1:1" x14ac:dyDescent="0.25">
      <c r="A17488" t="e">
        <v>#N/A</v>
      </c>
    </row>
    <row r="17489" spans="1:1" x14ac:dyDescent="0.25">
      <c r="A17489" t="e">
        <v>#N/A</v>
      </c>
    </row>
    <row r="17490" spans="1:1" x14ac:dyDescent="0.25">
      <c r="A17490" t="e">
        <v>#N/A</v>
      </c>
    </row>
    <row r="17491" spans="1:1" x14ac:dyDescent="0.25">
      <c r="A17491" t="e">
        <v>#N/A</v>
      </c>
    </row>
    <row r="17492" spans="1:1" x14ac:dyDescent="0.25">
      <c r="A17492" t="e">
        <v>#N/A</v>
      </c>
    </row>
    <row r="17493" spans="1:1" x14ac:dyDescent="0.25">
      <c r="A17493" t="e">
        <v>#N/A</v>
      </c>
    </row>
    <row r="17494" spans="1:1" x14ac:dyDescent="0.25">
      <c r="A17494" t="e">
        <v>#N/A</v>
      </c>
    </row>
    <row r="17495" spans="1:1" x14ac:dyDescent="0.25">
      <c r="A17495" t="e">
        <v>#N/A</v>
      </c>
    </row>
    <row r="17496" spans="1:1" x14ac:dyDescent="0.25">
      <c r="A17496" t="e">
        <v>#N/A</v>
      </c>
    </row>
    <row r="17497" spans="1:1" x14ac:dyDescent="0.25">
      <c r="A17497" t="e">
        <v>#N/A</v>
      </c>
    </row>
    <row r="17498" spans="1:1" x14ac:dyDescent="0.25">
      <c r="A17498" t="e">
        <v>#N/A</v>
      </c>
    </row>
    <row r="17499" spans="1:1" x14ac:dyDescent="0.25">
      <c r="A17499" t="e">
        <v>#N/A</v>
      </c>
    </row>
    <row r="17500" spans="1:1" x14ac:dyDescent="0.25">
      <c r="A17500" t="e">
        <v>#N/A</v>
      </c>
    </row>
    <row r="17501" spans="1:1" x14ac:dyDescent="0.25">
      <c r="A17501" t="e">
        <v>#N/A</v>
      </c>
    </row>
    <row r="17502" spans="1:1" x14ac:dyDescent="0.25">
      <c r="A17502" t="e">
        <v>#N/A</v>
      </c>
    </row>
    <row r="17503" spans="1:1" x14ac:dyDescent="0.25">
      <c r="A17503" t="e">
        <v>#N/A</v>
      </c>
    </row>
    <row r="17504" spans="1:1" x14ac:dyDescent="0.25">
      <c r="A17504" t="e">
        <v>#N/A</v>
      </c>
    </row>
    <row r="17505" spans="1:1" x14ac:dyDescent="0.25">
      <c r="A17505" t="e">
        <v>#N/A</v>
      </c>
    </row>
    <row r="17506" spans="1:1" x14ac:dyDescent="0.25">
      <c r="A17506" t="e">
        <v>#N/A</v>
      </c>
    </row>
    <row r="17507" spans="1:1" x14ac:dyDescent="0.25">
      <c r="A17507" t="e">
        <v>#N/A</v>
      </c>
    </row>
    <row r="17508" spans="1:1" x14ac:dyDescent="0.25">
      <c r="A17508" t="e">
        <v>#N/A</v>
      </c>
    </row>
    <row r="17509" spans="1:1" x14ac:dyDescent="0.25">
      <c r="A17509" t="e">
        <v>#N/A</v>
      </c>
    </row>
    <row r="17510" spans="1:1" x14ac:dyDescent="0.25">
      <c r="A17510" t="e">
        <v>#N/A</v>
      </c>
    </row>
    <row r="17511" spans="1:1" x14ac:dyDescent="0.25">
      <c r="A17511" t="e">
        <v>#N/A</v>
      </c>
    </row>
    <row r="17512" spans="1:1" x14ac:dyDescent="0.25">
      <c r="A17512" t="e">
        <v>#N/A</v>
      </c>
    </row>
    <row r="17513" spans="1:1" x14ac:dyDescent="0.25">
      <c r="A17513" t="e">
        <v>#N/A</v>
      </c>
    </row>
    <row r="17514" spans="1:1" x14ac:dyDescent="0.25">
      <c r="A17514" t="e">
        <v>#N/A</v>
      </c>
    </row>
    <row r="17515" spans="1:1" x14ac:dyDescent="0.25">
      <c r="A17515" t="e">
        <v>#N/A</v>
      </c>
    </row>
    <row r="17516" spans="1:1" x14ac:dyDescent="0.25">
      <c r="A17516" t="e">
        <v>#N/A</v>
      </c>
    </row>
    <row r="17517" spans="1:1" x14ac:dyDescent="0.25">
      <c r="A17517" t="e">
        <v>#N/A</v>
      </c>
    </row>
    <row r="17518" spans="1:1" x14ac:dyDescent="0.25">
      <c r="A17518" t="e">
        <v>#N/A</v>
      </c>
    </row>
    <row r="17519" spans="1:1" x14ac:dyDescent="0.25">
      <c r="A17519" t="e">
        <v>#N/A</v>
      </c>
    </row>
    <row r="17520" spans="1:1" x14ac:dyDescent="0.25">
      <c r="A17520" t="e">
        <v>#N/A</v>
      </c>
    </row>
    <row r="17521" spans="1:1" x14ac:dyDescent="0.25">
      <c r="A17521" t="e">
        <v>#N/A</v>
      </c>
    </row>
    <row r="17522" spans="1:1" x14ac:dyDescent="0.25">
      <c r="A17522" t="e">
        <v>#N/A</v>
      </c>
    </row>
    <row r="17523" spans="1:1" x14ac:dyDescent="0.25">
      <c r="A17523" t="e">
        <v>#N/A</v>
      </c>
    </row>
    <row r="17524" spans="1:1" x14ac:dyDescent="0.25">
      <c r="A17524" t="e">
        <v>#N/A</v>
      </c>
    </row>
    <row r="17525" spans="1:1" x14ac:dyDescent="0.25">
      <c r="A17525" t="e">
        <v>#N/A</v>
      </c>
    </row>
    <row r="17526" spans="1:1" x14ac:dyDescent="0.25">
      <c r="A17526" t="e">
        <v>#N/A</v>
      </c>
    </row>
    <row r="17527" spans="1:1" x14ac:dyDescent="0.25">
      <c r="A17527" t="e">
        <v>#N/A</v>
      </c>
    </row>
    <row r="17528" spans="1:1" x14ac:dyDescent="0.25">
      <c r="A17528" t="e">
        <v>#N/A</v>
      </c>
    </row>
    <row r="17529" spans="1:1" x14ac:dyDescent="0.25">
      <c r="A17529" t="e">
        <v>#N/A</v>
      </c>
    </row>
    <row r="17530" spans="1:1" x14ac:dyDescent="0.25">
      <c r="A17530" t="e">
        <v>#N/A</v>
      </c>
    </row>
    <row r="17531" spans="1:1" x14ac:dyDescent="0.25">
      <c r="A17531" t="e">
        <v>#N/A</v>
      </c>
    </row>
    <row r="17532" spans="1:1" x14ac:dyDescent="0.25">
      <c r="A17532" t="e">
        <v>#N/A</v>
      </c>
    </row>
    <row r="17533" spans="1:1" x14ac:dyDescent="0.25">
      <c r="A17533" t="e">
        <v>#N/A</v>
      </c>
    </row>
    <row r="17534" spans="1:1" x14ac:dyDescent="0.25">
      <c r="A17534" t="e">
        <v>#N/A</v>
      </c>
    </row>
    <row r="17535" spans="1:1" x14ac:dyDescent="0.25">
      <c r="A17535" t="e">
        <v>#N/A</v>
      </c>
    </row>
    <row r="17536" spans="1:1" x14ac:dyDescent="0.25">
      <c r="A17536" t="e">
        <v>#N/A</v>
      </c>
    </row>
    <row r="17537" spans="1:1" x14ac:dyDescent="0.25">
      <c r="A17537" t="e">
        <v>#N/A</v>
      </c>
    </row>
    <row r="17538" spans="1:1" x14ac:dyDescent="0.25">
      <c r="A17538" t="e">
        <v>#N/A</v>
      </c>
    </row>
    <row r="17539" spans="1:1" x14ac:dyDescent="0.25">
      <c r="A17539" t="e">
        <v>#N/A</v>
      </c>
    </row>
    <row r="17540" spans="1:1" x14ac:dyDescent="0.25">
      <c r="A17540" t="e">
        <v>#N/A</v>
      </c>
    </row>
    <row r="17541" spans="1:1" x14ac:dyDescent="0.25">
      <c r="A17541" t="e">
        <v>#N/A</v>
      </c>
    </row>
    <row r="17542" spans="1:1" x14ac:dyDescent="0.25">
      <c r="A17542" t="e">
        <v>#N/A</v>
      </c>
    </row>
    <row r="17543" spans="1:1" x14ac:dyDescent="0.25">
      <c r="A17543" t="e">
        <v>#N/A</v>
      </c>
    </row>
    <row r="17544" spans="1:1" x14ac:dyDescent="0.25">
      <c r="A17544" t="e">
        <v>#N/A</v>
      </c>
    </row>
    <row r="17545" spans="1:1" x14ac:dyDescent="0.25">
      <c r="A17545" t="e">
        <v>#N/A</v>
      </c>
    </row>
    <row r="17546" spans="1:1" x14ac:dyDescent="0.25">
      <c r="A17546" t="e">
        <v>#N/A</v>
      </c>
    </row>
    <row r="17547" spans="1:1" x14ac:dyDescent="0.25">
      <c r="A17547" t="e">
        <v>#N/A</v>
      </c>
    </row>
    <row r="17548" spans="1:1" x14ac:dyDescent="0.25">
      <c r="A17548" t="e">
        <v>#N/A</v>
      </c>
    </row>
    <row r="17549" spans="1:1" x14ac:dyDescent="0.25">
      <c r="A17549" t="e">
        <v>#N/A</v>
      </c>
    </row>
    <row r="17550" spans="1:1" x14ac:dyDescent="0.25">
      <c r="A17550" t="e">
        <v>#N/A</v>
      </c>
    </row>
    <row r="17551" spans="1:1" x14ac:dyDescent="0.25">
      <c r="A17551" t="e">
        <v>#N/A</v>
      </c>
    </row>
    <row r="17552" spans="1:1" x14ac:dyDescent="0.25">
      <c r="A17552" t="e">
        <v>#N/A</v>
      </c>
    </row>
    <row r="17553" spans="1:1" x14ac:dyDescent="0.25">
      <c r="A17553" t="e">
        <v>#N/A</v>
      </c>
    </row>
    <row r="17554" spans="1:1" x14ac:dyDescent="0.25">
      <c r="A17554" t="e">
        <v>#N/A</v>
      </c>
    </row>
    <row r="17555" spans="1:1" x14ac:dyDescent="0.25">
      <c r="A17555" t="e">
        <v>#N/A</v>
      </c>
    </row>
    <row r="17556" spans="1:1" x14ac:dyDescent="0.25">
      <c r="A17556" t="e">
        <v>#N/A</v>
      </c>
    </row>
    <row r="17557" spans="1:1" x14ac:dyDescent="0.25">
      <c r="A17557" t="e">
        <v>#N/A</v>
      </c>
    </row>
    <row r="17558" spans="1:1" x14ac:dyDescent="0.25">
      <c r="A17558" t="e">
        <v>#N/A</v>
      </c>
    </row>
    <row r="17559" spans="1:1" x14ac:dyDescent="0.25">
      <c r="A17559" t="e">
        <v>#N/A</v>
      </c>
    </row>
    <row r="17560" spans="1:1" x14ac:dyDescent="0.25">
      <c r="A17560" t="e">
        <v>#N/A</v>
      </c>
    </row>
    <row r="17561" spans="1:1" x14ac:dyDescent="0.25">
      <c r="A17561" t="e">
        <v>#N/A</v>
      </c>
    </row>
    <row r="17562" spans="1:1" x14ac:dyDescent="0.25">
      <c r="A17562" t="e">
        <v>#N/A</v>
      </c>
    </row>
    <row r="17563" spans="1:1" x14ac:dyDescent="0.25">
      <c r="A17563" t="e">
        <v>#N/A</v>
      </c>
    </row>
    <row r="17564" spans="1:1" x14ac:dyDescent="0.25">
      <c r="A17564" t="e">
        <v>#N/A</v>
      </c>
    </row>
    <row r="17565" spans="1:1" x14ac:dyDescent="0.25">
      <c r="A17565" t="e">
        <v>#N/A</v>
      </c>
    </row>
    <row r="17566" spans="1:1" x14ac:dyDescent="0.25">
      <c r="A17566" t="e">
        <v>#N/A</v>
      </c>
    </row>
    <row r="17567" spans="1:1" x14ac:dyDescent="0.25">
      <c r="A17567" t="e">
        <v>#N/A</v>
      </c>
    </row>
    <row r="17568" spans="1:1" x14ac:dyDescent="0.25">
      <c r="A17568" t="e">
        <v>#N/A</v>
      </c>
    </row>
    <row r="17569" spans="1:1" x14ac:dyDescent="0.25">
      <c r="A17569" t="e">
        <v>#N/A</v>
      </c>
    </row>
    <row r="17570" spans="1:1" x14ac:dyDescent="0.25">
      <c r="A17570" t="e">
        <v>#N/A</v>
      </c>
    </row>
    <row r="17571" spans="1:1" x14ac:dyDescent="0.25">
      <c r="A17571" t="e">
        <v>#N/A</v>
      </c>
    </row>
    <row r="17572" spans="1:1" x14ac:dyDescent="0.25">
      <c r="A17572" t="e">
        <v>#N/A</v>
      </c>
    </row>
    <row r="17573" spans="1:1" x14ac:dyDescent="0.25">
      <c r="A17573" t="e">
        <v>#N/A</v>
      </c>
    </row>
    <row r="17574" spans="1:1" x14ac:dyDescent="0.25">
      <c r="A17574" t="e">
        <v>#N/A</v>
      </c>
    </row>
    <row r="17575" spans="1:1" x14ac:dyDescent="0.25">
      <c r="A17575" t="e">
        <v>#N/A</v>
      </c>
    </row>
    <row r="17576" spans="1:1" x14ac:dyDescent="0.25">
      <c r="A17576" t="e">
        <v>#N/A</v>
      </c>
    </row>
    <row r="17577" spans="1:1" x14ac:dyDescent="0.25">
      <c r="A17577" t="e">
        <v>#N/A</v>
      </c>
    </row>
    <row r="17578" spans="1:1" x14ac:dyDescent="0.25">
      <c r="A17578" t="e">
        <v>#N/A</v>
      </c>
    </row>
    <row r="17579" spans="1:1" x14ac:dyDescent="0.25">
      <c r="A17579" t="e">
        <v>#N/A</v>
      </c>
    </row>
    <row r="17580" spans="1:1" x14ac:dyDescent="0.25">
      <c r="A17580" t="e">
        <v>#N/A</v>
      </c>
    </row>
    <row r="17581" spans="1:1" x14ac:dyDescent="0.25">
      <c r="A17581" t="e">
        <v>#N/A</v>
      </c>
    </row>
    <row r="17582" spans="1:1" x14ac:dyDescent="0.25">
      <c r="A17582" t="e">
        <v>#N/A</v>
      </c>
    </row>
    <row r="17583" spans="1:1" x14ac:dyDescent="0.25">
      <c r="A17583" t="e">
        <v>#N/A</v>
      </c>
    </row>
    <row r="17584" spans="1:1" x14ac:dyDescent="0.25">
      <c r="A17584" t="e">
        <v>#N/A</v>
      </c>
    </row>
    <row r="17585" spans="1:1" x14ac:dyDescent="0.25">
      <c r="A17585" t="e">
        <v>#N/A</v>
      </c>
    </row>
    <row r="17586" spans="1:1" x14ac:dyDescent="0.25">
      <c r="A17586" t="e">
        <v>#N/A</v>
      </c>
    </row>
    <row r="17587" spans="1:1" x14ac:dyDescent="0.25">
      <c r="A17587" t="e">
        <v>#N/A</v>
      </c>
    </row>
    <row r="17588" spans="1:1" x14ac:dyDescent="0.25">
      <c r="A17588" t="e">
        <v>#N/A</v>
      </c>
    </row>
    <row r="17589" spans="1:1" x14ac:dyDescent="0.25">
      <c r="A17589" t="e">
        <v>#N/A</v>
      </c>
    </row>
    <row r="17590" spans="1:1" x14ac:dyDescent="0.25">
      <c r="A17590" t="e">
        <v>#N/A</v>
      </c>
    </row>
    <row r="17591" spans="1:1" x14ac:dyDescent="0.25">
      <c r="A17591" t="e">
        <v>#N/A</v>
      </c>
    </row>
    <row r="17592" spans="1:1" x14ac:dyDescent="0.25">
      <c r="A17592" t="e">
        <v>#N/A</v>
      </c>
    </row>
    <row r="17593" spans="1:1" x14ac:dyDescent="0.25">
      <c r="A17593" t="e">
        <v>#N/A</v>
      </c>
    </row>
    <row r="17594" spans="1:1" x14ac:dyDescent="0.25">
      <c r="A17594" t="e">
        <v>#N/A</v>
      </c>
    </row>
    <row r="17595" spans="1:1" x14ac:dyDescent="0.25">
      <c r="A17595" t="e">
        <v>#N/A</v>
      </c>
    </row>
    <row r="17596" spans="1:1" x14ac:dyDescent="0.25">
      <c r="A17596" t="e">
        <v>#N/A</v>
      </c>
    </row>
    <row r="17597" spans="1:1" x14ac:dyDescent="0.25">
      <c r="A17597" t="e">
        <v>#N/A</v>
      </c>
    </row>
    <row r="17598" spans="1:1" x14ac:dyDescent="0.25">
      <c r="A17598" t="e">
        <v>#N/A</v>
      </c>
    </row>
    <row r="17599" spans="1:1" x14ac:dyDescent="0.25">
      <c r="A17599" t="e">
        <v>#N/A</v>
      </c>
    </row>
    <row r="17600" spans="1:1" x14ac:dyDescent="0.25">
      <c r="A17600" t="e">
        <v>#N/A</v>
      </c>
    </row>
    <row r="17601" spans="1:1" x14ac:dyDescent="0.25">
      <c r="A17601" t="e">
        <v>#N/A</v>
      </c>
    </row>
    <row r="17602" spans="1:1" x14ac:dyDescent="0.25">
      <c r="A17602" t="e">
        <v>#N/A</v>
      </c>
    </row>
    <row r="17603" spans="1:1" x14ac:dyDescent="0.25">
      <c r="A17603" t="e">
        <v>#N/A</v>
      </c>
    </row>
    <row r="17604" spans="1:1" x14ac:dyDescent="0.25">
      <c r="A17604" t="e">
        <v>#N/A</v>
      </c>
    </row>
    <row r="17605" spans="1:1" x14ac:dyDescent="0.25">
      <c r="A17605" t="e">
        <v>#N/A</v>
      </c>
    </row>
    <row r="17606" spans="1:1" x14ac:dyDescent="0.25">
      <c r="A17606" t="e">
        <v>#N/A</v>
      </c>
    </row>
    <row r="17607" spans="1:1" x14ac:dyDescent="0.25">
      <c r="A17607" t="e">
        <v>#N/A</v>
      </c>
    </row>
    <row r="17608" spans="1:1" x14ac:dyDescent="0.25">
      <c r="A17608" t="e">
        <v>#N/A</v>
      </c>
    </row>
    <row r="17609" spans="1:1" x14ac:dyDescent="0.25">
      <c r="A17609" t="e">
        <v>#N/A</v>
      </c>
    </row>
    <row r="17610" spans="1:1" x14ac:dyDescent="0.25">
      <c r="A17610" t="e">
        <v>#N/A</v>
      </c>
    </row>
    <row r="17611" spans="1:1" x14ac:dyDescent="0.25">
      <c r="A17611" t="e">
        <v>#N/A</v>
      </c>
    </row>
    <row r="17612" spans="1:1" x14ac:dyDescent="0.25">
      <c r="A17612" t="e">
        <v>#N/A</v>
      </c>
    </row>
    <row r="17613" spans="1:1" x14ac:dyDescent="0.25">
      <c r="A17613" t="e">
        <v>#N/A</v>
      </c>
    </row>
    <row r="17614" spans="1:1" x14ac:dyDescent="0.25">
      <c r="A17614" t="e">
        <v>#N/A</v>
      </c>
    </row>
    <row r="17615" spans="1:1" x14ac:dyDescent="0.25">
      <c r="A17615" t="e">
        <v>#N/A</v>
      </c>
    </row>
    <row r="17616" spans="1:1" x14ac:dyDescent="0.25">
      <c r="A17616" t="e">
        <v>#N/A</v>
      </c>
    </row>
    <row r="17617" spans="1:1" x14ac:dyDescent="0.25">
      <c r="A17617" t="e">
        <v>#N/A</v>
      </c>
    </row>
    <row r="17618" spans="1:1" x14ac:dyDescent="0.25">
      <c r="A17618" t="e">
        <v>#N/A</v>
      </c>
    </row>
    <row r="17619" spans="1:1" x14ac:dyDescent="0.25">
      <c r="A17619" t="e">
        <v>#N/A</v>
      </c>
    </row>
    <row r="17620" spans="1:1" x14ac:dyDescent="0.25">
      <c r="A17620" t="e">
        <v>#N/A</v>
      </c>
    </row>
    <row r="17621" spans="1:1" x14ac:dyDescent="0.25">
      <c r="A17621" t="e">
        <v>#N/A</v>
      </c>
    </row>
    <row r="17622" spans="1:1" x14ac:dyDescent="0.25">
      <c r="A17622" t="e">
        <v>#N/A</v>
      </c>
    </row>
    <row r="17623" spans="1:1" x14ac:dyDescent="0.25">
      <c r="A17623" t="e">
        <v>#N/A</v>
      </c>
    </row>
    <row r="17624" spans="1:1" x14ac:dyDescent="0.25">
      <c r="A17624" t="e">
        <v>#N/A</v>
      </c>
    </row>
    <row r="17625" spans="1:1" x14ac:dyDescent="0.25">
      <c r="A17625" t="e">
        <v>#N/A</v>
      </c>
    </row>
    <row r="17626" spans="1:1" x14ac:dyDescent="0.25">
      <c r="A17626" t="e">
        <v>#N/A</v>
      </c>
    </row>
    <row r="17627" spans="1:1" x14ac:dyDescent="0.25">
      <c r="A17627" t="e">
        <v>#N/A</v>
      </c>
    </row>
    <row r="17628" spans="1:1" x14ac:dyDescent="0.25">
      <c r="A17628" t="e">
        <v>#N/A</v>
      </c>
    </row>
    <row r="17629" spans="1:1" x14ac:dyDescent="0.25">
      <c r="A17629" t="e">
        <v>#N/A</v>
      </c>
    </row>
    <row r="17630" spans="1:1" x14ac:dyDescent="0.25">
      <c r="A17630" t="e">
        <v>#N/A</v>
      </c>
    </row>
    <row r="17631" spans="1:1" x14ac:dyDescent="0.25">
      <c r="A17631" t="e">
        <v>#N/A</v>
      </c>
    </row>
    <row r="17632" spans="1:1" x14ac:dyDescent="0.25">
      <c r="A17632" t="e">
        <v>#N/A</v>
      </c>
    </row>
    <row r="17633" spans="1:1" x14ac:dyDescent="0.25">
      <c r="A17633" t="e">
        <v>#N/A</v>
      </c>
    </row>
    <row r="17634" spans="1:1" x14ac:dyDescent="0.25">
      <c r="A17634" t="e">
        <v>#N/A</v>
      </c>
    </row>
    <row r="17635" spans="1:1" x14ac:dyDescent="0.25">
      <c r="A17635" t="e">
        <v>#N/A</v>
      </c>
    </row>
    <row r="17636" spans="1:1" x14ac:dyDescent="0.25">
      <c r="A17636" t="e">
        <v>#N/A</v>
      </c>
    </row>
    <row r="17637" spans="1:1" x14ac:dyDescent="0.25">
      <c r="A17637" t="e">
        <v>#N/A</v>
      </c>
    </row>
    <row r="17638" spans="1:1" x14ac:dyDescent="0.25">
      <c r="A17638" t="e">
        <v>#N/A</v>
      </c>
    </row>
    <row r="17639" spans="1:1" x14ac:dyDescent="0.25">
      <c r="A17639" t="e">
        <v>#N/A</v>
      </c>
    </row>
    <row r="17640" spans="1:1" x14ac:dyDescent="0.25">
      <c r="A17640" t="e">
        <v>#N/A</v>
      </c>
    </row>
    <row r="17641" spans="1:1" x14ac:dyDescent="0.25">
      <c r="A17641" t="e">
        <v>#N/A</v>
      </c>
    </row>
    <row r="17642" spans="1:1" x14ac:dyDescent="0.25">
      <c r="A17642" t="e">
        <v>#N/A</v>
      </c>
    </row>
    <row r="17643" spans="1:1" x14ac:dyDescent="0.25">
      <c r="A17643" t="e">
        <v>#N/A</v>
      </c>
    </row>
    <row r="17644" spans="1:1" x14ac:dyDescent="0.25">
      <c r="A17644" t="e">
        <v>#N/A</v>
      </c>
    </row>
    <row r="17645" spans="1:1" x14ac:dyDescent="0.25">
      <c r="A17645" t="e">
        <v>#N/A</v>
      </c>
    </row>
    <row r="17646" spans="1:1" x14ac:dyDescent="0.25">
      <c r="A17646" t="e">
        <v>#N/A</v>
      </c>
    </row>
    <row r="17647" spans="1:1" x14ac:dyDescent="0.25">
      <c r="A17647" t="e">
        <v>#N/A</v>
      </c>
    </row>
    <row r="17648" spans="1:1" x14ac:dyDescent="0.25">
      <c r="A17648" t="e">
        <v>#N/A</v>
      </c>
    </row>
    <row r="17649" spans="1:1" x14ac:dyDescent="0.25">
      <c r="A17649" t="e">
        <v>#N/A</v>
      </c>
    </row>
    <row r="17650" spans="1:1" x14ac:dyDescent="0.25">
      <c r="A17650" t="e">
        <v>#N/A</v>
      </c>
    </row>
    <row r="17651" spans="1:1" x14ac:dyDescent="0.25">
      <c r="A17651" t="e">
        <v>#N/A</v>
      </c>
    </row>
    <row r="17652" spans="1:1" x14ac:dyDescent="0.25">
      <c r="A17652" t="e">
        <v>#N/A</v>
      </c>
    </row>
    <row r="17653" spans="1:1" x14ac:dyDescent="0.25">
      <c r="A17653" t="e">
        <v>#N/A</v>
      </c>
    </row>
    <row r="17654" spans="1:1" x14ac:dyDescent="0.25">
      <c r="A17654" t="e">
        <v>#N/A</v>
      </c>
    </row>
    <row r="17655" spans="1:1" x14ac:dyDescent="0.25">
      <c r="A17655" t="e">
        <v>#N/A</v>
      </c>
    </row>
    <row r="17656" spans="1:1" x14ac:dyDescent="0.25">
      <c r="A17656" t="e">
        <v>#N/A</v>
      </c>
    </row>
    <row r="17657" spans="1:1" x14ac:dyDescent="0.25">
      <c r="A17657" t="e">
        <v>#N/A</v>
      </c>
    </row>
    <row r="17658" spans="1:1" x14ac:dyDescent="0.25">
      <c r="A17658" t="e">
        <v>#N/A</v>
      </c>
    </row>
    <row r="17659" spans="1:1" x14ac:dyDescent="0.25">
      <c r="A17659" t="e">
        <v>#N/A</v>
      </c>
    </row>
    <row r="17660" spans="1:1" x14ac:dyDescent="0.25">
      <c r="A17660" t="e">
        <v>#N/A</v>
      </c>
    </row>
    <row r="17661" spans="1:1" x14ac:dyDescent="0.25">
      <c r="A17661" t="e">
        <v>#N/A</v>
      </c>
    </row>
    <row r="17662" spans="1:1" x14ac:dyDescent="0.25">
      <c r="A17662" t="e">
        <v>#N/A</v>
      </c>
    </row>
    <row r="17663" spans="1:1" x14ac:dyDescent="0.25">
      <c r="A17663" t="e">
        <v>#N/A</v>
      </c>
    </row>
    <row r="17664" spans="1:1" x14ac:dyDescent="0.25">
      <c r="A17664" t="e">
        <v>#N/A</v>
      </c>
    </row>
    <row r="17665" spans="1:1" x14ac:dyDescent="0.25">
      <c r="A17665" t="e">
        <v>#N/A</v>
      </c>
    </row>
    <row r="17666" spans="1:1" x14ac:dyDescent="0.25">
      <c r="A17666" t="e">
        <v>#N/A</v>
      </c>
    </row>
    <row r="17667" spans="1:1" x14ac:dyDescent="0.25">
      <c r="A17667" t="e">
        <v>#N/A</v>
      </c>
    </row>
    <row r="17668" spans="1:1" x14ac:dyDescent="0.25">
      <c r="A17668" t="e">
        <v>#N/A</v>
      </c>
    </row>
    <row r="17669" spans="1:1" x14ac:dyDescent="0.25">
      <c r="A17669" t="e">
        <v>#N/A</v>
      </c>
    </row>
    <row r="17670" spans="1:1" x14ac:dyDescent="0.25">
      <c r="A17670" t="e">
        <v>#N/A</v>
      </c>
    </row>
    <row r="17671" spans="1:1" x14ac:dyDescent="0.25">
      <c r="A17671" t="e">
        <v>#N/A</v>
      </c>
    </row>
    <row r="17672" spans="1:1" x14ac:dyDescent="0.25">
      <c r="A17672" t="e">
        <v>#N/A</v>
      </c>
    </row>
    <row r="17673" spans="1:1" x14ac:dyDescent="0.25">
      <c r="A17673" t="e">
        <v>#N/A</v>
      </c>
    </row>
    <row r="17674" spans="1:1" x14ac:dyDescent="0.25">
      <c r="A17674" t="e">
        <v>#N/A</v>
      </c>
    </row>
    <row r="17675" spans="1:1" x14ac:dyDescent="0.25">
      <c r="A17675" t="e">
        <v>#N/A</v>
      </c>
    </row>
    <row r="17676" spans="1:1" x14ac:dyDescent="0.25">
      <c r="A17676" t="e">
        <v>#N/A</v>
      </c>
    </row>
    <row r="17677" spans="1:1" x14ac:dyDescent="0.25">
      <c r="A17677" t="e">
        <v>#N/A</v>
      </c>
    </row>
    <row r="17678" spans="1:1" x14ac:dyDescent="0.25">
      <c r="A17678" t="e">
        <v>#N/A</v>
      </c>
    </row>
    <row r="17679" spans="1:1" x14ac:dyDescent="0.25">
      <c r="A17679" t="e">
        <v>#N/A</v>
      </c>
    </row>
    <row r="17680" spans="1:1" x14ac:dyDescent="0.25">
      <c r="A17680" t="e">
        <v>#N/A</v>
      </c>
    </row>
    <row r="17681" spans="1:1" x14ac:dyDescent="0.25">
      <c r="A17681" t="e">
        <v>#N/A</v>
      </c>
    </row>
    <row r="17682" spans="1:1" x14ac:dyDescent="0.25">
      <c r="A17682" t="e">
        <v>#N/A</v>
      </c>
    </row>
    <row r="17683" spans="1:1" x14ac:dyDescent="0.25">
      <c r="A17683" t="e">
        <v>#N/A</v>
      </c>
    </row>
    <row r="17684" spans="1:1" x14ac:dyDescent="0.25">
      <c r="A17684" t="e">
        <v>#N/A</v>
      </c>
    </row>
    <row r="17685" spans="1:1" x14ac:dyDescent="0.25">
      <c r="A17685" t="e">
        <v>#N/A</v>
      </c>
    </row>
    <row r="17686" spans="1:1" x14ac:dyDescent="0.25">
      <c r="A17686" t="e">
        <v>#N/A</v>
      </c>
    </row>
    <row r="17687" spans="1:1" x14ac:dyDescent="0.25">
      <c r="A17687" t="e">
        <v>#N/A</v>
      </c>
    </row>
    <row r="17688" spans="1:1" x14ac:dyDescent="0.25">
      <c r="A17688" t="e">
        <v>#N/A</v>
      </c>
    </row>
    <row r="17689" spans="1:1" x14ac:dyDescent="0.25">
      <c r="A17689" t="e">
        <v>#N/A</v>
      </c>
    </row>
    <row r="17690" spans="1:1" x14ac:dyDescent="0.25">
      <c r="A17690" t="e">
        <v>#N/A</v>
      </c>
    </row>
    <row r="17691" spans="1:1" x14ac:dyDescent="0.25">
      <c r="A17691" t="e">
        <v>#N/A</v>
      </c>
    </row>
    <row r="17692" spans="1:1" x14ac:dyDescent="0.25">
      <c r="A17692" t="e">
        <v>#N/A</v>
      </c>
    </row>
    <row r="17693" spans="1:1" x14ac:dyDescent="0.25">
      <c r="A17693" t="e">
        <v>#N/A</v>
      </c>
    </row>
    <row r="17694" spans="1:1" x14ac:dyDescent="0.25">
      <c r="A17694" t="e">
        <v>#N/A</v>
      </c>
    </row>
    <row r="17695" spans="1:1" x14ac:dyDescent="0.25">
      <c r="A17695" t="e">
        <v>#N/A</v>
      </c>
    </row>
    <row r="17696" spans="1:1" x14ac:dyDescent="0.25">
      <c r="A17696" t="e">
        <v>#N/A</v>
      </c>
    </row>
    <row r="17697" spans="1:1" x14ac:dyDescent="0.25">
      <c r="A17697" t="e">
        <v>#N/A</v>
      </c>
    </row>
    <row r="17698" spans="1:1" x14ac:dyDescent="0.25">
      <c r="A17698" t="e">
        <v>#N/A</v>
      </c>
    </row>
    <row r="17699" spans="1:1" x14ac:dyDescent="0.25">
      <c r="A17699" t="e">
        <v>#N/A</v>
      </c>
    </row>
    <row r="17700" spans="1:1" x14ac:dyDescent="0.25">
      <c r="A17700" t="e">
        <v>#N/A</v>
      </c>
    </row>
    <row r="17701" spans="1:1" x14ac:dyDescent="0.25">
      <c r="A17701" t="e">
        <v>#N/A</v>
      </c>
    </row>
    <row r="17702" spans="1:1" x14ac:dyDescent="0.25">
      <c r="A17702" t="e">
        <v>#N/A</v>
      </c>
    </row>
    <row r="17703" spans="1:1" x14ac:dyDescent="0.25">
      <c r="A17703" t="e">
        <v>#N/A</v>
      </c>
    </row>
    <row r="17704" spans="1:1" x14ac:dyDescent="0.25">
      <c r="A17704" t="e">
        <v>#N/A</v>
      </c>
    </row>
    <row r="17705" spans="1:1" x14ac:dyDescent="0.25">
      <c r="A17705" t="e">
        <v>#N/A</v>
      </c>
    </row>
    <row r="17706" spans="1:1" x14ac:dyDescent="0.25">
      <c r="A17706" t="e">
        <v>#N/A</v>
      </c>
    </row>
    <row r="17707" spans="1:1" x14ac:dyDescent="0.25">
      <c r="A17707" t="e">
        <v>#N/A</v>
      </c>
    </row>
    <row r="17708" spans="1:1" x14ac:dyDescent="0.25">
      <c r="A17708" t="e">
        <v>#N/A</v>
      </c>
    </row>
    <row r="17709" spans="1:1" x14ac:dyDescent="0.25">
      <c r="A17709" t="e">
        <v>#N/A</v>
      </c>
    </row>
    <row r="17710" spans="1:1" x14ac:dyDescent="0.25">
      <c r="A17710" t="e">
        <v>#N/A</v>
      </c>
    </row>
    <row r="17711" spans="1:1" x14ac:dyDescent="0.25">
      <c r="A17711" t="e">
        <v>#N/A</v>
      </c>
    </row>
    <row r="17712" spans="1:1" x14ac:dyDescent="0.25">
      <c r="A17712" t="e">
        <v>#N/A</v>
      </c>
    </row>
    <row r="17713" spans="1:1" x14ac:dyDescent="0.25">
      <c r="A17713" t="e">
        <v>#N/A</v>
      </c>
    </row>
    <row r="17714" spans="1:1" x14ac:dyDescent="0.25">
      <c r="A17714" t="e">
        <v>#N/A</v>
      </c>
    </row>
    <row r="17715" spans="1:1" x14ac:dyDescent="0.25">
      <c r="A17715" t="e">
        <v>#N/A</v>
      </c>
    </row>
    <row r="17716" spans="1:1" x14ac:dyDescent="0.25">
      <c r="A17716" t="e">
        <v>#N/A</v>
      </c>
    </row>
    <row r="17717" spans="1:1" x14ac:dyDescent="0.25">
      <c r="A17717" t="e">
        <v>#N/A</v>
      </c>
    </row>
    <row r="17718" spans="1:1" x14ac:dyDescent="0.25">
      <c r="A17718" t="e">
        <v>#N/A</v>
      </c>
    </row>
    <row r="17719" spans="1:1" x14ac:dyDescent="0.25">
      <c r="A17719" t="e">
        <v>#N/A</v>
      </c>
    </row>
    <row r="17720" spans="1:1" x14ac:dyDescent="0.25">
      <c r="A17720" t="e">
        <v>#N/A</v>
      </c>
    </row>
    <row r="17721" spans="1:1" x14ac:dyDescent="0.25">
      <c r="A17721" t="e">
        <v>#N/A</v>
      </c>
    </row>
    <row r="17722" spans="1:1" x14ac:dyDescent="0.25">
      <c r="A17722" t="e">
        <v>#N/A</v>
      </c>
    </row>
    <row r="17723" spans="1:1" x14ac:dyDescent="0.25">
      <c r="A17723" t="e">
        <v>#N/A</v>
      </c>
    </row>
    <row r="17724" spans="1:1" x14ac:dyDescent="0.25">
      <c r="A17724" t="e">
        <v>#N/A</v>
      </c>
    </row>
    <row r="17725" spans="1:1" x14ac:dyDescent="0.25">
      <c r="A17725" t="e">
        <v>#N/A</v>
      </c>
    </row>
    <row r="17726" spans="1:1" x14ac:dyDescent="0.25">
      <c r="A17726" t="e">
        <v>#N/A</v>
      </c>
    </row>
    <row r="17727" spans="1:1" x14ac:dyDescent="0.25">
      <c r="A17727" t="e">
        <v>#N/A</v>
      </c>
    </row>
    <row r="17728" spans="1:1" x14ac:dyDescent="0.25">
      <c r="A17728" t="e">
        <v>#N/A</v>
      </c>
    </row>
    <row r="17729" spans="1:1" x14ac:dyDescent="0.25">
      <c r="A17729" t="e">
        <v>#N/A</v>
      </c>
    </row>
    <row r="17730" spans="1:1" x14ac:dyDescent="0.25">
      <c r="A17730" t="e">
        <v>#N/A</v>
      </c>
    </row>
    <row r="17731" spans="1:1" x14ac:dyDescent="0.25">
      <c r="A17731" t="e">
        <v>#N/A</v>
      </c>
    </row>
    <row r="17732" spans="1:1" x14ac:dyDescent="0.25">
      <c r="A17732" t="e">
        <v>#N/A</v>
      </c>
    </row>
    <row r="17733" spans="1:1" x14ac:dyDescent="0.25">
      <c r="A17733" t="e">
        <v>#N/A</v>
      </c>
    </row>
    <row r="17734" spans="1:1" x14ac:dyDescent="0.25">
      <c r="A17734" t="e">
        <v>#N/A</v>
      </c>
    </row>
    <row r="17735" spans="1:1" x14ac:dyDescent="0.25">
      <c r="A17735" t="e">
        <v>#N/A</v>
      </c>
    </row>
    <row r="17736" spans="1:1" x14ac:dyDescent="0.25">
      <c r="A17736" t="e">
        <v>#N/A</v>
      </c>
    </row>
    <row r="17737" spans="1:1" x14ac:dyDescent="0.25">
      <c r="A17737" t="e">
        <v>#N/A</v>
      </c>
    </row>
    <row r="17738" spans="1:1" x14ac:dyDescent="0.25">
      <c r="A17738" t="e">
        <v>#N/A</v>
      </c>
    </row>
    <row r="17739" spans="1:1" x14ac:dyDescent="0.25">
      <c r="A17739" t="e">
        <v>#N/A</v>
      </c>
    </row>
    <row r="17740" spans="1:1" x14ac:dyDescent="0.25">
      <c r="A17740" t="e">
        <v>#N/A</v>
      </c>
    </row>
    <row r="17741" spans="1:1" x14ac:dyDescent="0.25">
      <c r="A17741" t="e">
        <v>#N/A</v>
      </c>
    </row>
    <row r="17742" spans="1:1" x14ac:dyDescent="0.25">
      <c r="A17742" t="e">
        <v>#N/A</v>
      </c>
    </row>
    <row r="17743" spans="1:1" x14ac:dyDescent="0.25">
      <c r="A17743" t="e">
        <v>#N/A</v>
      </c>
    </row>
    <row r="17744" spans="1:1" x14ac:dyDescent="0.25">
      <c r="A17744" t="e">
        <v>#N/A</v>
      </c>
    </row>
    <row r="17745" spans="1:1" x14ac:dyDescent="0.25">
      <c r="A17745" t="e">
        <v>#N/A</v>
      </c>
    </row>
    <row r="17746" spans="1:1" x14ac:dyDescent="0.25">
      <c r="A17746" t="e">
        <v>#N/A</v>
      </c>
    </row>
    <row r="17747" spans="1:1" x14ac:dyDescent="0.25">
      <c r="A17747" t="e">
        <v>#N/A</v>
      </c>
    </row>
    <row r="17748" spans="1:1" x14ac:dyDescent="0.25">
      <c r="A17748" t="e">
        <v>#N/A</v>
      </c>
    </row>
    <row r="17749" spans="1:1" x14ac:dyDescent="0.25">
      <c r="A17749" t="e">
        <v>#N/A</v>
      </c>
    </row>
    <row r="17750" spans="1:1" x14ac:dyDescent="0.25">
      <c r="A17750" t="e">
        <v>#N/A</v>
      </c>
    </row>
    <row r="17751" spans="1:1" x14ac:dyDescent="0.25">
      <c r="A17751" t="e">
        <v>#N/A</v>
      </c>
    </row>
    <row r="17752" spans="1:1" x14ac:dyDescent="0.25">
      <c r="A17752" t="e">
        <v>#N/A</v>
      </c>
    </row>
    <row r="17753" spans="1:1" x14ac:dyDescent="0.25">
      <c r="A17753" t="e">
        <v>#N/A</v>
      </c>
    </row>
    <row r="17754" spans="1:1" x14ac:dyDescent="0.25">
      <c r="A17754" t="e">
        <v>#N/A</v>
      </c>
    </row>
    <row r="17755" spans="1:1" x14ac:dyDescent="0.25">
      <c r="A17755" t="e">
        <v>#N/A</v>
      </c>
    </row>
    <row r="17756" spans="1:1" x14ac:dyDescent="0.25">
      <c r="A17756" t="e">
        <v>#N/A</v>
      </c>
    </row>
    <row r="17757" spans="1:1" x14ac:dyDescent="0.25">
      <c r="A17757" t="e">
        <v>#N/A</v>
      </c>
    </row>
    <row r="17758" spans="1:1" x14ac:dyDescent="0.25">
      <c r="A17758" t="e">
        <v>#N/A</v>
      </c>
    </row>
    <row r="17759" spans="1:1" x14ac:dyDescent="0.25">
      <c r="A17759" t="e">
        <v>#N/A</v>
      </c>
    </row>
    <row r="17760" spans="1:1" x14ac:dyDescent="0.25">
      <c r="A17760" t="e">
        <v>#N/A</v>
      </c>
    </row>
    <row r="17761" spans="1:1" x14ac:dyDescent="0.25">
      <c r="A17761" t="e">
        <v>#N/A</v>
      </c>
    </row>
    <row r="17762" spans="1:1" x14ac:dyDescent="0.25">
      <c r="A17762" t="e">
        <v>#N/A</v>
      </c>
    </row>
    <row r="17763" spans="1:1" x14ac:dyDescent="0.25">
      <c r="A17763" t="e">
        <v>#N/A</v>
      </c>
    </row>
    <row r="17764" spans="1:1" x14ac:dyDescent="0.25">
      <c r="A17764" t="e">
        <v>#N/A</v>
      </c>
    </row>
    <row r="17765" spans="1:1" x14ac:dyDescent="0.25">
      <c r="A17765" t="e">
        <v>#N/A</v>
      </c>
    </row>
    <row r="17766" spans="1:1" x14ac:dyDescent="0.25">
      <c r="A17766" t="e">
        <v>#N/A</v>
      </c>
    </row>
    <row r="17767" spans="1:1" x14ac:dyDescent="0.25">
      <c r="A17767" t="e">
        <v>#N/A</v>
      </c>
    </row>
    <row r="17768" spans="1:1" x14ac:dyDescent="0.25">
      <c r="A17768" t="e">
        <v>#N/A</v>
      </c>
    </row>
    <row r="17769" spans="1:1" x14ac:dyDescent="0.25">
      <c r="A17769" t="e">
        <v>#N/A</v>
      </c>
    </row>
    <row r="17770" spans="1:1" x14ac:dyDescent="0.25">
      <c r="A17770" t="e">
        <v>#N/A</v>
      </c>
    </row>
    <row r="17771" spans="1:1" x14ac:dyDescent="0.25">
      <c r="A17771" t="e">
        <v>#N/A</v>
      </c>
    </row>
    <row r="17772" spans="1:1" x14ac:dyDescent="0.25">
      <c r="A17772" t="e">
        <v>#N/A</v>
      </c>
    </row>
    <row r="17773" spans="1:1" x14ac:dyDescent="0.25">
      <c r="A17773" t="e">
        <v>#N/A</v>
      </c>
    </row>
    <row r="17774" spans="1:1" x14ac:dyDescent="0.25">
      <c r="A17774" t="e">
        <v>#N/A</v>
      </c>
    </row>
    <row r="17775" spans="1:1" x14ac:dyDescent="0.25">
      <c r="A17775" t="e">
        <v>#N/A</v>
      </c>
    </row>
    <row r="17776" spans="1:1" x14ac:dyDescent="0.25">
      <c r="A17776" t="e">
        <v>#N/A</v>
      </c>
    </row>
    <row r="17777" spans="1:1" x14ac:dyDescent="0.25">
      <c r="A17777" t="e">
        <v>#N/A</v>
      </c>
    </row>
    <row r="17778" spans="1:1" x14ac:dyDescent="0.25">
      <c r="A17778" t="e">
        <v>#N/A</v>
      </c>
    </row>
    <row r="17779" spans="1:1" x14ac:dyDescent="0.25">
      <c r="A17779" t="e">
        <v>#N/A</v>
      </c>
    </row>
    <row r="17780" spans="1:1" x14ac:dyDescent="0.25">
      <c r="A17780" t="e">
        <v>#N/A</v>
      </c>
    </row>
    <row r="17781" spans="1:1" x14ac:dyDescent="0.25">
      <c r="A17781" t="e">
        <v>#N/A</v>
      </c>
    </row>
    <row r="17782" spans="1:1" x14ac:dyDescent="0.25">
      <c r="A17782" t="e">
        <v>#N/A</v>
      </c>
    </row>
    <row r="17783" spans="1:1" x14ac:dyDescent="0.25">
      <c r="A17783" t="e">
        <v>#N/A</v>
      </c>
    </row>
    <row r="17784" spans="1:1" x14ac:dyDescent="0.25">
      <c r="A17784" t="e">
        <v>#N/A</v>
      </c>
    </row>
    <row r="17785" spans="1:1" x14ac:dyDescent="0.25">
      <c r="A17785" t="e">
        <v>#N/A</v>
      </c>
    </row>
    <row r="17786" spans="1:1" x14ac:dyDescent="0.25">
      <c r="A17786" t="e">
        <v>#N/A</v>
      </c>
    </row>
    <row r="17787" spans="1:1" x14ac:dyDescent="0.25">
      <c r="A17787" t="e">
        <v>#N/A</v>
      </c>
    </row>
    <row r="17788" spans="1:1" x14ac:dyDescent="0.25">
      <c r="A17788" t="e">
        <v>#N/A</v>
      </c>
    </row>
    <row r="17789" spans="1:1" x14ac:dyDescent="0.25">
      <c r="A17789" t="e">
        <v>#N/A</v>
      </c>
    </row>
    <row r="17790" spans="1:1" x14ac:dyDescent="0.25">
      <c r="A17790" t="e">
        <v>#N/A</v>
      </c>
    </row>
    <row r="17791" spans="1:1" x14ac:dyDescent="0.25">
      <c r="A17791" t="e">
        <v>#N/A</v>
      </c>
    </row>
    <row r="17792" spans="1:1" x14ac:dyDescent="0.25">
      <c r="A17792" t="e">
        <v>#N/A</v>
      </c>
    </row>
    <row r="17793" spans="1:1" x14ac:dyDescent="0.25">
      <c r="A17793" t="e">
        <v>#N/A</v>
      </c>
    </row>
    <row r="17794" spans="1:1" x14ac:dyDescent="0.25">
      <c r="A17794" t="e">
        <v>#N/A</v>
      </c>
    </row>
    <row r="17795" spans="1:1" x14ac:dyDescent="0.25">
      <c r="A17795" t="e">
        <v>#N/A</v>
      </c>
    </row>
    <row r="17796" spans="1:1" x14ac:dyDescent="0.25">
      <c r="A17796" t="e">
        <v>#N/A</v>
      </c>
    </row>
    <row r="17797" spans="1:1" x14ac:dyDescent="0.25">
      <c r="A17797" t="e">
        <v>#N/A</v>
      </c>
    </row>
    <row r="17798" spans="1:1" x14ac:dyDescent="0.25">
      <c r="A17798" t="e">
        <v>#N/A</v>
      </c>
    </row>
    <row r="17799" spans="1:1" x14ac:dyDescent="0.25">
      <c r="A17799" t="e">
        <v>#N/A</v>
      </c>
    </row>
    <row r="17800" spans="1:1" x14ac:dyDescent="0.25">
      <c r="A17800" t="e">
        <v>#N/A</v>
      </c>
    </row>
    <row r="17801" spans="1:1" x14ac:dyDescent="0.25">
      <c r="A17801" t="e">
        <v>#N/A</v>
      </c>
    </row>
    <row r="17802" spans="1:1" x14ac:dyDescent="0.25">
      <c r="A17802" t="e">
        <v>#N/A</v>
      </c>
    </row>
    <row r="17803" spans="1:1" x14ac:dyDescent="0.25">
      <c r="A17803" t="e">
        <v>#N/A</v>
      </c>
    </row>
    <row r="17804" spans="1:1" x14ac:dyDescent="0.25">
      <c r="A17804" t="e">
        <v>#N/A</v>
      </c>
    </row>
    <row r="17805" spans="1:1" x14ac:dyDescent="0.25">
      <c r="A17805" t="e">
        <v>#N/A</v>
      </c>
    </row>
    <row r="17806" spans="1:1" x14ac:dyDescent="0.25">
      <c r="A17806" t="e">
        <v>#N/A</v>
      </c>
    </row>
    <row r="17807" spans="1:1" x14ac:dyDescent="0.25">
      <c r="A17807" t="e">
        <v>#N/A</v>
      </c>
    </row>
    <row r="17808" spans="1:1" x14ac:dyDescent="0.25">
      <c r="A17808" t="e">
        <v>#N/A</v>
      </c>
    </row>
    <row r="17809" spans="1:1" x14ac:dyDescent="0.25">
      <c r="A17809" t="e">
        <v>#N/A</v>
      </c>
    </row>
    <row r="17810" spans="1:1" x14ac:dyDescent="0.25">
      <c r="A17810" t="e">
        <v>#N/A</v>
      </c>
    </row>
    <row r="17811" spans="1:1" x14ac:dyDescent="0.25">
      <c r="A17811" t="e">
        <v>#N/A</v>
      </c>
    </row>
    <row r="17812" spans="1:1" x14ac:dyDescent="0.25">
      <c r="A17812" t="e">
        <v>#N/A</v>
      </c>
    </row>
    <row r="17813" spans="1:1" x14ac:dyDescent="0.25">
      <c r="A17813" t="e">
        <v>#N/A</v>
      </c>
    </row>
    <row r="17814" spans="1:1" x14ac:dyDescent="0.25">
      <c r="A17814" t="e">
        <v>#N/A</v>
      </c>
    </row>
    <row r="17815" spans="1:1" x14ac:dyDescent="0.25">
      <c r="A17815" t="e">
        <v>#N/A</v>
      </c>
    </row>
    <row r="17816" spans="1:1" x14ac:dyDescent="0.25">
      <c r="A17816" t="e">
        <v>#N/A</v>
      </c>
    </row>
    <row r="17817" spans="1:1" x14ac:dyDescent="0.25">
      <c r="A17817" t="e">
        <v>#N/A</v>
      </c>
    </row>
    <row r="17818" spans="1:1" x14ac:dyDescent="0.25">
      <c r="A17818" t="e">
        <v>#N/A</v>
      </c>
    </row>
    <row r="17819" spans="1:1" x14ac:dyDescent="0.25">
      <c r="A17819" t="e">
        <v>#N/A</v>
      </c>
    </row>
    <row r="17820" spans="1:1" x14ac:dyDescent="0.25">
      <c r="A17820" t="e">
        <v>#N/A</v>
      </c>
    </row>
    <row r="17821" spans="1:1" x14ac:dyDescent="0.25">
      <c r="A17821" t="e">
        <v>#N/A</v>
      </c>
    </row>
    <row r="17822" spans="1:1" x14ac:dyDescent="0.25">
      <c r="A17822" t="e">
        <v>#N/A</v>
      </c>
    </row>
    <row r="17823" spans="1:1" x14ac:dyDescent="0.25">
      <c r="A17823" t="e">
        <v>#N/A</v>
      </c>
    </row>
    <row r="17824" spans="1:1" x14ac:dyDescent="0.25">
      <c r="A17824" t="e">
        <v>#N/A</v>
      </c>
    </row>
    <row r="17825" spans="1:1" x14ac:dyDescent="0.25">
      <c r="A17825" t="e">
        <v>#N/A</v>
      </c>
    </row>
    <row r="17826" spans="1:1" x14ac:dyDescent="0.25">
      <c r="A17826" t="e">
        <v>#N/A</v>
      </c>
    </row>
    <row r="17827" spans="1:1" x14ac:dyDescent="0.25">
      <c r="A17827" t="e">
        <v>#N/A</v>
      </c>
    </row>
    <row r="17828" spans="1:1" x14ac:dyDescent="0.25">
      <c r="A17828" t="e">
        <v>#N/A</v>
      </c>
    </row>
    <row r="17829" spans="1:1" x14ac:dyDescent="0.25">
      <c r="A17829" t="e">
        <v>#N/A</v>
      </c>
    </row>
    <row r="17830" spans="1:1" x14ac:dyDescent="0.25">
      <c r="A17830" t="e">
        <v>#N/A</v>
      </c>
    </row>
    <row r="17831" spans="1:1" x14ac:dyDescent="0.25">
      <c r="A17831" t="e">
        <v>#N/A</v>
      </c>
    </row>
    <row r="17832" spans="1:1" x14ac:dyDescent="0.25">
      <c r="A17832" t="e">
        <v>#N/A</v>
      </c>
    </row>
    <row r="17833" spans="1:1" x14ac:dyDescent="0.25">
      <c r="A17833" t="e">
        <v>#N/A</v>
      </c>
    </row>
    <row r="17834" spans="1:1" x14ac:dyDescent="0.25">
      <c r="A17834" t="e">
        <v>#N/A</v>
      </c>
    </row>
    <row r="17835" spans="1:1" x14ac:dyDescent="0.25">
      <c r="A17835" t="e">
        <v>#N/A</v>
      </c>
    </row>
    <row r="17836" spans="1:1" x14ac:dyDescent="0.25">
      <c r="A17836" t="e">
        <v>#N/A</v>
      </c>
    </row>
    <row r="17837" spans="1:1" x14ac:dyDescent="0.25">
      <c r="A17837" t="e">
        <v>#N/A</v>
      </c>
    </row>
    <row r="17838" spans="1:1" x14ac:dyDescent="0.25">
      <c r="A17838" t="e">
        <v>#N/A</v>
      </c>
    </row>
    <row r="17839" spans="1:1" x14ac:dyDescent="0.25">
      <c r="A17839" t="e">
        <v>#N/A</v>
      </c>
    </row>
    <row r="17840" spans="1:1" x14ac:dyDescent="0.25">
      <c r="A17840" t="e">
        <v>#N/A</v>
      </c>
    </row>
    <row r="17841" spans="1:1" x14ac:dyDescent="0.25">
      <c r="A17841" t="e">
        <v>#N/A</v>
      </c>
    </row>
    <row r="17842" spans="1:1" x14ac:dyDescent="0.25">
      <c r="A17842" t="e">
        <v>#N/A</v>
      </c>
    </row>
    <row r="17843" spans="1:1" x14ac:dyDescent="0.25">
      <c r="A17843" t="e">
        <v>#N/A</v>
      </c>
    </row>
    <row r="17844" spans="1:1" x14ac:dyDescent="0.25">
      <c r="A17844" t="e">
        <v>#N/A</v>
      </c>
    </row>
    <row r="17845" spans="1:1" x14ac:dyDescent="0.25">
      <c r="A17845" t="e">
        <v>#N/A</v>
      </c>
    </row>
    <row r="17846" spans="1:1" x14ac:dyDescent="0.25">
      <c r="A17846" t="e">
        <v>#N/A</v>
      </c>
    </row>
    <row r="17847" spans="1:1" x14ac:dyDescent="0.25">
      <c r="A17847" t="e">
        <v>#N/A</v>
      </c>
    </row>
    <row r="17848" spans="1:1" x14ac:dyDescent="0.25">
      <c r="A17848" t="e">
        <v>#N/A</v>
      </c>
    </row>
    <row r="17849" spans="1:1" x14ac:dyDescent="0.25">
      <c r="A17849" t="e">
        <v>#N/A</v>
      </c>
    </row>
    <row r="17850" spans="1:1" x14ac:dyDescent="0.25">
      <c r="A17850" t="e">
        <v>#N/A</v>
      </c>
    </row>
    <row r="17851" spans="1:1" x14ac:dyDescent="0.25">
      <c r="A17851" t="e">
        <v>#N/A</v>
      </c>
    </row>
    <row r="17852" spans="1:1" x14ac:dyDescent="0.25">
      <c r="A17852" t="e">
        <v>#N/A</v>
      </c>
    </row>
    <row r="17853" spans="1:1" x14ac:dyDescent="0.25">
      <c r="A17853" t="e">
        <v>#N/A</v>
      </c>
    </row>
    <row r="17854" spans="1:1" x14ac:dyDescent="0.25">
      <c r="A17854" t="e">
        <v>#N/A</v>
      </c>
    </row>
    <row r="17855" spans="1:1" x14ac:dyDescent="0.25">
      <c r="A17855" t="e">
        <v>#N/A</v>
      </c>
    </row>
    <row r="17856" spans="1:1" x14ac:dyDescent="0.25">
      <c r="A17856" t="e">
        <v>#N/A</v>
      </c>
    </row>
    <row r="17857" spans="1:1" x14ac:dyDescent="0.25">
      <c r="A17857" t="e">
        <v>#N/A</v>
      </c>
    </row>
    <row r="17858" spans="1:1" x14ac:dyDescent="0.25">
      <c r="A17858" t="e">
        <v>#N/A</v>
      </c>
    </row>
    <row r="17859" spans="1:1" x14ac:dyDescent="0.25">
      <c r="A17859" t="e">
        <v>#N/A</v>
      </c>
    </row>
    <row r="17860" spans="1:1" x14ac:dyDescent="0.25">
      <c r="A17860" t="e">
        <v>#N/A</v>
      </c>
    </row>
    <row r="17861" spans="1:1" x14ac:dyDescent="0.25">
      <c r="A17861" t="e">
        <v>#N/A</v>
      </c>
    </row>
    <row r="17862" spans="1:1" x14ac:dyDescent="0.25">
      <c r="A17862" t="e">
        <v>#N/A</v>
      </c>
    </row>
    <row r="17863" spans="1:1" x14ac:dyDescent="0.25">
      <c r="A17863" t="e">
        <v>#N/A</v>
      </c>
    </row>
    <row r="17864" spans="1:1" x14ac:dyDescent="0.25">
      <c r="A17864" t="e">
        <v>#N/A</v>
      </c>
    </row>
    <row r="17865" spans="1:1" x14ac:dyDescent="0.25">
      <c r="A17865" t="e">
        <v>#N/A</v>
      </c>
    </row>
    <row r="17866" spans="1:1" x14ac:dyDescent="0.25">
      <c r="A17866" t="e">
        <v>#N/A</v>
      </c>
    </row>
    <row r="17867" spans="1:1" x14ac:dyDescent="0.25">
      <c r="A17867" t="e">
        <v>#N/A</v>
      </c>
    </row>
    <row r="17868" spans="1:1" x14ac:dyDescent="0.25">
      <c r="A17868" t="e">
        <v>#N/A</v>
      </c>
    </row>
    <row r="17869" spans="1:1" x14ac:dyDescent="0.25">
      <c r="A17869" t="e">
        <v>#N/A</v>
      </c>
    </row>
    <row r="17870" spans="1:1" x14ac:dyDescent="0.25">
      <c r="A17870" t="e">
        <v>#N/A</v>
      </c>
    </row>
    <row r="17871" spans="1:1" x14ac:dyDescent="0.25">
      <c r="A17871" t="e">
        <v>#N/A</v>
      </c>
    </row>
    <row r="17872" spans="1:1" x14ac:dyDescent="0.25">
      <c r="A17872" t="e">
        <v>#N/A</v>
      </c>
    </row>
    <row r="17873" spans="1:1" x14ac:dyDescent="0.25">
      <c r="A17873" t="e">
        <v>#N/A</v>
      </c>
    </row>
    <row r="17874" spans="1:1" x14ac:dyDescent="0.25">
      <c r="A17874" t="e">
        <v>#N/A</v>
      </c>
    </row>
    <row r="17875" spans="1:1" x14ac:dyDescent="0.25">
      <c r="A17875" t="e">
        <v>#N/A</v>
      </c>
    </row>
    <row r="17876" spans="1:1" x14ac:dyDescent="0.25">
      <c r="A17876" t="e">
        <v>#N/A</v>
      </c>
    </row>
    <row r="17877" spans="1:1" x14ac:dyDescent="0.25">
      <c r="A17877" t="e">
        <v>#N/A</v>
      </c>
    </row>
    <row r="17878" spans="1:1" x14ac:dyDescent="0.25">
      <c r="A17878" t="e">
        <v>#N/A</v>
      </c>
    </row>
    <row r="17879" spans="1:1" x14ac:dyDescent="0.25">
      <c r="A17879" t="e">
        <v>#N/A</v>
      </c>
    </row>
    <row r="17880" spans="1:1" x14ac:dyDescent="0.25">
      <c r="A17880" t="e">
        <v>#N/A</v>
      </c>
    </row>
    <row r="17881" spans="1:1" x14ac:dyDescent="0.25">
      <c r="A17881" t="e">
        <v>#N/A</v>
      </c>
    </row>
    <row r="17882" spans="1:1" x14ac:dyDescent="0.25">
      <c r="A17882" t="e">
        <v>#N/A</v>
      </c>
    </row>
    <row r="17883" spans="1:1" x14ac:dyDescent="0.25">
      <c r="A17883" t="e">
        <v>#N/A</v>
      </c>
    </row>
    <row r="17884" spans="1:1" x14ac:dyDescent="0.25">
      <c r="A17884" t="e">
        <v>#N/A</v>
      </c>
    </row>
    <row r="17885" spans="1:1" x14ac:dyDescent="0.25">
      <c r="A17885" t="e">
        <v>#N/A</v>
      </c>
    </row>
    <row r="17886" spans="1:1" x14ac:dyDescent="0.25">
      <c r="A17886" t="e">
        <v>#N/A</v>
      </c>
    </row>
    <row r="17887" spans="1:1" x14ac:dyDescent="0.25">
      <c r="A17887" t="e">
        <v>#N/A</v>
      </c>
    </row>
    <row r="17888" spans="1:1" x14ac:dyDescent="0.25">
      <c r="A17888" t="e">
        <v>#N/A</v>
      </c>
    </row>
    <row r="17889" spans="1:1" x14ac:dyDescent="0.25">
      <c r="A17889" t="e">
        <v>#N/A</v>
      </c>
    </row>
    <row r="17890" spans="1:1" x14ac:dyDescent="0.25">
      <c r="A17890" t="e">
        <v>#N/A</v>
      </c>
    </row>
    <row r="17891" spans="1:1" x14ac:dyDescent="0.25">
      <c r="A17891" t="e">
        <v>#N/A</v>
      </c>
    </row>
    <row r="17892" spans="1:1" x14ac:dyDescent="0.25">
      <c r="A17892" t="e">
        <v>#N/A</v>
      </c>
    </row>
    <row r="17893" spans="1:1" x14ac:dyDescent="0.25">
      <c r="A17893" t="e">
        <v>#N/A</v>
      </c>
    </row>
    <row r="17894" spans="1:1" x14ac:dyDescent="0.25">
      <c r="A17894" t="e">
        <v>#N/A</v>
      </c>
    </row>
    <row r="17895" spans="1:1" x14ac:dyDescent="0.25">
      <c r="A17895" t="e">
        <v>#N/A</v>
      </c>
    </row>
    <row r="17896" spans="1:1" x14ac:dyDescent="0.25">
      <c r="A17896" t="e">
        <v>#N/A</v>
      </c>
    </row>
    <row r="17897" spans="1:1" x14ac:dyDescent="0.25">
      <c r="A17897" t="e">
        <v>#N/A</v>
      </c>
    </row>
    <row r="17898" spans="1:1" x14ac:dyDescent="0.25">
      <c r="A17898" t="e">
        <v>#N/A</v>
      </c>
    </row>
    <row r="17899" spans="1:1" x14ac:dyDescent="0.25">
      <c r="A17899" t="e">
        <v>#N/A</v>
      </c>
    </row>
    <row r="17900" spans="1:1" x14ac:dyDescent="0.25">
      <c r="A17900" t="e">
        <v>#N/A</v>
      </c>
    </row>
    <row r="17901" spans="1:1" x14ac:dyDescent="0.25">
      <c r="A17901" t="e">
        <v>#N/A</v>
      </c>
    </row>
    <row r="17902" spans="1:1" x14ac:dyDescent="0.25">
      <c r="A17902" t="e">
        <v>#N/A</v>
      </c>
    </row>
    <row r="17903" spans="1:1" x14ac:dyDescent="0.25">
      <c r="A17903" t="e">
        <v>#N/A</v>
      </c>
    </row>
    <row r="17904" spans="1:1" x14ac:dyDescent="0.25">
      <c r="A17904" t="e">
        <v>#N/A</v>
      </c>
    </row>
    <row r="17905" spans="1:1" x14ac:dyDescent="0.25">
      <c r="A17905" t="e">
        <v>#N/A</v>
      </c>
    </row>
    <row r="17906" spans="1:1" x14ac:dyDescent="0.25">
      <c r="A17906" t="e">
        <v>#N/A</v>
      </c>
    </row>
    <row r="17907" spans="1:1" x14ac:dyDescent="0.25">
      <c r="A17907" t="e">
        <v>#N/A</v>
      </c>
    </row>
    <row r="17908" spans="1:1" x14ac:dyDescent="0.25">
      <c r="A17908" t="e">
        <v>#N/A</v>
      </c>
    </row>
    <row r="17909" spans="1:1" x14ac:dyDescent="0.25">
      <c r="A17909" t="e">
        <v>#N/A</v>
      </c>
    </row>
    <row r="17910" spans="1:1" x14ac:dyDescent="0.25">
      <c r="A17910" t="e">
        <v>#N/A</v>
      </c>
    </row>
    <row r="17911" spans="1:1" x14ac:dyDescent="0.25">
      <c r="A17911" t="e">
        <v>#N/A</v>
      </c>
    </row>
    <row r="17912" spans="1:1" x14ac:dyDescent="0.25">
      <c r="A17912" t="e">
        <v>#N/A</v>
      </c>
    </row>
    <row r="17913" spans="1:1" x14ac:dyDescent="0.25">
      <c r="A17913" t="e">
        <v>#N/A</v>
      </c>
    </row>
    <row r="17914" spans="1:1" x14ac:dyDescent="0.25">
      <c r="A17914" t="e">
        <v>#N/A</v>
      </c>
    </row>
    <row r="17915" spans="1:1" x14ac:dyDescent="0.25">
      <c r="A17915" t="e">
        <v>#N/A</v>
      </c>
    </row>
    <row r="17916" spans="1:1" x14ac:dyDescent="0.25">
      <c r="A17916" t="e">
        <v>#N/A</v>
      </c>
    </row>
    <row r="17917" spans="1:1" x14ac:dyDescent="0.25">
      <c r="A17917" t="e">
        <v>#N/A</v>
      </c>
    </row>
    <row r="17918" spans="1:1" x14ac:dyDescent="0.25">
      <c r="A17918" t="e">
        <v>#N/A</v>
      </c>
    </row>
    <row r="17919" spans="1:1" x14ac:dyDescent="0.25">
      <c r="A17919" t="e">
        <v>#N/A</v>
      </c>
    </row>
    <row r="17920" spans="1:1" x14ac:dyDescent="0.25">
      <c r="A17920" t="e">
        <v>#N/A</v>
      </c>
    </row>
    <row r="17921" spans="1:1" x14ac:dyDescent="0.25">
      <c r="A17921" t="e">
        <v>#N/A</v>
      </c>
    </row>
    <row r="17922" spans="1:1" x14ac:dyDescent="0.25">
      <c r="A17922" t="e">
        <v>#N/A</v>
      </c>
    </row>
    <row r="17923" spans="1:1" x14ac:dyDescent="0.25">
      <c r="A17923" t="e">
        <v>#N/A</v>
      </c>
    </row>
    <row r="17924" spans="1:1" x14ac:dyDescent="0.25">
      <c r="A17924" t="e">
        <v>#N/A</v>
      </c>
    </row>
    <row r="17925" spans="1:1" x14ac:dyDescent="0.25">
      <c r="A17925" t="e">
        <v>#N/A</v>
      </c>
    </row>
    <row r="17926" spans="1:1" x14ac:dyDescent="0.25">
      <c r="A17926" t="e">
        <v>#N/A</v>
      </c>
    </row>
    <row r="17927" spans="1:1" x14ac:dyDescent="0.25">
      <c r="A17927" t="e">
        <v>#N/A</v>
      </c>
    </row>
    <row r="17928" spans="1:1" x14ac:dyDescent="0.25">
      <c r="A17928" t="e">
        <v>#N/A</v>
      </c>
    </row>
    <row r="17929" spans="1:1" x14ac:dyDescent="0.25">
      <c r="A17929" t="e">
        <v>#N/A</v>
      </c>
    </row>
    <row r="17930" spans="1:1" x14ac:dyDescent="0.25">
      <c r="A17930" t="e">
        <v>#N/A</v>
      </c>
    </row>
    <row r="17931" spans="1:1" x14ac:dyDescent="0.25">
      <c r="A17931" t="e">
        <v>#N/A</v>
      </c>
    </row>
    <row r="17932" spans="1:1" x14ac:dyDescent="0.25">
      <c r="A17932" t="e">
        <v>#N/A</v>
      </c>
    </row>
    <row r="17933" spans="1:1" x14ac:dyDescent="0.25">
      <c r="A17933" t="e">
        <v>#N/A</v>
      </c>
    </row>
    <row r="17934" spans="1:1" x14ac:dyDescent="0.25">
      <c r="A17934" t="e">
        <v>#N/A</v>
      </c>
    </row>
    <row r="17935" spans="1:1" x14ac:dyDescent="0.25">
      <c r="A17935" t="e">
        <v>#N/A</v>
      </c>
    </row>
    <row r="17936" spans="1:1" x14ac:dyDescent="0.25">
      <c r="A17936" t="e">
        <v>#N/A</v>
      </c>
    </row>
    <row r="17937" spans="1:1" x14ac:dyDescent="0.25">
      <c r="A17937" t="e">
        <v>#N/A</v>
      </c>
    </row>
    <row r="17938" spans="1:1" x14ac:dyDescent="0.25">
      <c r="A17938" t="e">
        <v>#N/A</v>
      </c>
    </row>
    <row r="17939" spans="1:1" x14ac:dyDescent="0.25">
      <c r="A17939" t="e">
        <v>#N/A</v>
      </c>
    </row>
    <row r="17940" spans="1:1" x14ac:dyDescent="0.25">
      <c r="A17940" t="e">
        <v>#N/A</v>
      </c>
    </row>
    <row r="17941" spans="1:1" x14ac:dyDescent="0.25">
      <c r="A17941" t="e">
        <v>#N/A</v>
      </c>
    </row>
    <row r="17942" spans="1:1" x14ac:dyDescent="0.25">
      <c r="A17942" t="e">
        <v>#N/A</v>
      </c>
    </row>
    <row r="17943" spans="1:1" x14ac:dyDescent="0.25">
      <c r="A17943" t="e">
        <v>#N/A</v>
      </c>
    </row>
    <row r="17944" spans="1:1" x14ac:dyDescent="0.25">
      <c r="A17944" t="e">
        <v>#N/A</v>
      </c>
    </row>
    <row r="17945" spans="1:1" x14ac:dyDescent="0.25">
      <c r="A17945" t="e">
        <v>#N/A</v>
      </c>
    </row>
    <row r="17946" spans="1:1" x14ac:dyDescent="0.25">
      <c r="A17946" t="e">
        <v>#N/A</v>
      </c>
    </row>
    <row r="17947" spans="1:1" x14ac:dyDescent="0.25">
      <c r="A17947" t="e">
        <v>#N/A</v>
      </c>
    </row>
    <row r="17948" spans="1:1" x14ac:dyDescent="0.25">
      <c r="A17948" t="e">
        <v>#N/A</v>
      </c>
    </row>
    <row r="17949" spans="1:1" x14ac:dyDescent="0.25">
      <c r="A17949" t="e">
        <v>#N/A</v>
      </c>
    </row>
    <row r="17950" spans="1:1" x14ac:dyDescent="0.25">
      <c r="A17950" t="e">
        <v>#N/A</v>
      </c>
    </row>
    <row r="17951" spans="1:1" x14ac:dyDescent="0.25">
      <c r="A17951" t="e">
        <v>#N/A</v>
      </c>
    </row>
    <row r="17952" spans="1:1" x14ac:dyDescent="0.25">
      <c r="A17952" t="e">
        <v>#N/A</v>
      </c>
    </row>
    <row r="17953" spans="1:1" x14ac:dyDescent="0.25">
      <c r="A17953" t="e">
        <v>#N/A</v>
      </c>
    </row>
    <row r="17954" spans="1:1" x14ac:dyDescent="0.25">
      <c r="A17954" t="e">
        <v>#N/A</v>
      </c>
    </row>
    <row r="17955" spans="1:1" x14ac:dyDescent="0.25">
      <c r="A17955" t="e">
        <v>#N/A</v>
      </c>
    </row>
    <row r="17956" spans="1:1" x14ac:dyDescent="0.25">
      <c r="A17956" t="e">
        <v>#N/A</v>
      </c>
    </row>
    <row r="17957" spans="1:1" x14ac:dyDescent="0.25">
      <c r="A17957" t="e">
        <v>#N/A</v>
      </c>
    </row>
    <row r="17958" spans="1:1" x14ac:dyDescent="0.25">
      <c r="A17958" t="e">
        <v>#N/A</v>
      </c>
    </row>
    <row r="17959" spans="1:1" x14ac:dyDescent="0.25">
      <c r="A17959" t="e">
        <v>#N/A</v>
      </c>
    </row>
    <row r="17960" spans="1:1" x14ac:dyDescent="0.25">
      <c r="A17960" t="e">
        <v>#N/A</v>
      </c>
    </row>
    <row r="17961" spans="1:1" x14ac:dyDescent="0.25">
      <c r="A17961" t="e">
        <v>#N/A</v>
      </c>
    </row>
    <row r="17962" spans="1:1" x14ac:dyDescent="0.25">
      <c r="A17962" t="e">
        <v>#N/A</v>
      </c>
    </row>
    <row r="17963" spans="1:1" x14ac:dyDescent="0.25">
      <c r="A17963" t="e">
        <v>#N/A</v>
      </c>
    </row>
    <row r="17964" spans="1:1" x14ac:dyDescent="0.25">
      <c r="A17964" t="e">
        <v>#N/A</v>
      </c>
    </row>
    <row r="17965" spans="1:1" x14ac:dyDescent="0.25">
      <c r="A17965" t="e">
        <v>#N/A</v>
      </c>
    </row>
    <row r="17966" spans="1:1" x14ac:dyDescent="0.25">
      <c r="A17966" t="e">
        <v>#N/A</v>
      </c>
    </row>
    <row r="17967" spans="1:1" x14ac:dyDescent="0.25">
      <c r="A17967" t="e">
        <v>#N/A</v>
      </c>
    </row>
    <row r="17968" spans="1:1" x14ac:dyDescent="0.25">
      <c r="A17968" t="e">
        <v>#N/A</v>
      </c>
    </row>
    <row r="17969" spans="1:1" x14ac:dyDescent="0.25">
      <c r="A17969" t="e">
        <v>#N/A</v>
      </c>
    </row>
    <row r="17970" spans="1:1" x14ac:dyDescent="0.25">
      <c r="A17970" t="e">
        <v>#N/A</v>
      </c>
    </row>
    <row r="17971" spans="1:1" x14ac:dyDescent="0.25">
      <c r="A17971" t="e">
        <v>#N/A</v>
      </c>
    </row>
    <row r="17972" spans="1:1" x14ac:dyDescent="0.25">
      <c r="A17972" t="e">
        <v>#N/A</v>
      </c>
    </row>
    <row r="17973" spans="1:1" x14ac:dyDescent="0.25">
      <c r="A17973" t="e">
        <v>#N/A</v>
      </c>
    </row>
    <row r="17974" spans="1:1" x14ac:dyDescent="0.25">
      <c r="A17974" t="e">
        <v>#N/A</v>
      </c>
    </row>
    <row r="17975" spans="1:1" x14ac:dyDescent="0.25">
      <c r="A17975" t="e">
        <v>#N/A</v>
      </c>
    </row>
    <row r="17976" spans="1:1" x14ac:dyDescent="0.25">
      <c r="A17976" t="e">
        <v>#N/A</v>
      </c>
    </row>
    <row r="17977" spans="1:1" x14ac:dyDescent="0.25">
      <c r="A17977" t="e">
        <v>#N/A</v>
      </c>
    </row>
    <row r="17978" spans="1:1" x14ac:dyDescent="0.25">
      <c r="A17978" t="e">
        <v>#N/A</v>
      </c>
    </row>
    <row r="17979" spans="1:1" x14ac:dyDescent="0.25">
      <c r="A17979" t="e">
        <v>#N/A</v>
      </c>
    </row>
    <row r="17980" spans="1:1" x14ac:dyDescent="0.25">
      <c r="A17980" t="e">
        <v>#N/A</v>
      </c>
    </row>
    <row r="17981" spans="1:1" x14ac:dyDescent="0.25">
      <c r="A17981" t="e">
        <v>#N/A</v>
      </c>
    </row>
    <row r="17982" spans="1:1" x14ac:dyDescent="0.25">
      <c r="A17982" t="e">
        <v>#N/A</v>
      </c>
    </row>
    <row r="17983" spans="1:1" x14ac:dyDescent="0.25">
      <c r="A17983" t="e">
        <v>#N/A</v>
      </c>
    </row>
    <row r="17984" spans="1:1" x14ac:dyDescent="0.25">
      <c r="A17984" t="e">
        <v>#N/A</v>
      </c>
    </row>
    <row r="17985" spans="1:1" x14ac:dyDescent="0.25">
      <c r="A17985" t="e">
        <v>#N/A</v>
      </c>
    </row>
    <row r="17986" spans="1:1" x14ac:dyDescent="0.25">
      <c r="A17986" t="e">
        <v>#N/A</v>
      </c>
    </row>
    <row r="17987" spans="1:1" x14ac:dyDescent="0.25">
      <c r="A17987" t="e">
        <v>#N/A</v>
      </c>
    </row>
    <row r="17988" spans="1:1" x14ac:dyDescent="0.25">
      <c r="A17988" t="e">
        <v>#N/A</v>
      </c>
    </row>
    <row r="17989" spans="1:1" x14ac:dyDescent="0.25">
      <c r="A17989" t="e">
        <v>#N/A</v>
      </c>
    </row>
    <row r="17990" spans="1:1" x14ac:dyDescent="0.25">
      <c r="A17990" t="e">
        <v>#N/A</v>
      </c>
    </row>
    <row r="17991" spans="1:1" x14ac:dyDescent="0.25">
      <c r="A17991" t="e">
        <v>#N/A</v>
      </c>
    </row>
    <row r="17992" spans="1:1" x14ac:dyDescent="0.25">
      <c r="A17992" t="e">
        <v>#N/A</v>
      </c>
    </row>
    <row r="17993" spans="1:1" x14ac:dyDescent="0.25">
      <c r="A17993" t="e">
        <v>#N/A</v>
      </c>
    </row>
    <row r="17994" spans="1:1" x14ac:dyDescent="0.25">
      <c r="A17994" t="e">
        <v>#N/A</v>
      </c>
    </row>
    <row r="17995" spans="1:1" x14ac:dyDescent="0.25">
      <c r="A17995" t="e">
        <v>#N/A</v>
      </c>
    </row>
    <row r="17996" spans="1:1" x14ac:dyDescent="0.25">
      <c r="A17996" t="e">
        <v>#N/A</v>
      </c>
    </row>
    <row r="17997" spans="1:1" x14ac:dyDescent="0.25">
      <c r="A17997" t="e">
        <v>#N/A</v>
      </c>
    </row>
    <row r="17998" spans="1:1" x14ac:dyDescent="0.25">
      <c r="A17998" t="e">
        <v>#N/A</v>
      </c>
    </row>
    <row r="17999" spans="1:1" x14ac:dyDescent="0.25">
      <c r="A17999" t="e">
        <v>#N/A</v>
      </c>
    </row>
    <row r="18000" spans="1:1" x14ac:dyDescent="0.25">
      <c r="A18000" t="e">
        <v>#N/A</v>
      </c>
    </row>
    <row r="18001" spans="1:1" x14ac:dyDescent="0.25">
      <c r="A18001" t="e">
        <v>#N/A</v>
      </c>
    </row>
    <row r="18002" spans="1:1" x14ac:dyDescent="0.25">
      <c r="A18002" t="e">
        <v>#N/A</v>
      </c>
    </row>
    <row r="18003" spans="1:1" x14ac:dyDescent="0.25">
      <c r="A18003" t="e">
        <v>#N/A</v>
      </c>
    </row>
    <row r="18004" spans="1:1" x14ac:dyDescent="0.25">
      <c r="A18004" t="e">
        <v>#N/A</v>
      </c>
    </row>
    <row r="18005" spans="1:1" x14ac:dyDescent="0.25">
      <c r="A18005" t="e">
        <v>#N/A</v>
      </c>
    </row>
    <row r="18006" spans="1:1" x14ac:dyDescent="0.25">
      <c r="A18006" t="e">
        <v>#N/A</v>
      </c>
    </row>
    <row r="18007" spans="1:1" x14ac:dyDescent="0.25">
      <c r="A18007" t="e">
        <v>#N/A</v>
      </c>
    </row>
    <row r="18008" spans="1:1" x14ac:dyDescent="0.25">
      <c r="A18008" t="e">
        <v>#N/A</v>
      </c>
    </row>
    <row r="18009" spans="1:1" x14ac:dyDescent="0.25">
      <c r="A18009" t="e">
        <v>#N/A</v>
      </c>
    </row>
    <row r="18010" spans="1:1" x14ac:dyDescent="0.25">
      <c r="A18010" t="e">
        <v>#N/A</v>
      </c>
    </row>
    <row r="18011" spans="1:1" x14ac:dyDescent="0.25">
      <c r="A18011" t="e">
        <v>#N/A</v>
      </c>
    </row>
    <row r="18012" spans="1:1" x14ac:dyDescent="0.25">
      <c r="A18012" t="e">
        <v>#N/A</v>
      </c>
    </row>
    <row r="18013" spans="1:1" x14ac:dyDescent="0.25">
      <c r="A18013" t="e">
        <v>#N/A</v>
      </c>
    </row>
    <row r="18014" spans="1:1" x14ac:dyDescent="0.25">
      <c r="A18014" t="e">
        <v>#N/A</v>
      </c>
    </row>
    <row r="18015" spans="1:1" x14ac:dyDescent="0.25">
      <c r="A18015" t="e">
        <v>#N/A</v>
      </c>
    </row>
    <row r="18016" spans="1:1" x14ac:dyDescent="0.25">
      <c r="A18016" t="e">
        <v>#N/A</v>
      </c>
    </row>
    <row r="18017" spans="1:1" x14ac:dyDescent="0.25">
      <c r="A18017" t="e">
        <v>#N/A</v>
      </c>
    </row>
    <row r="18018" spans="1:1" x14ac:dyDescent="0.25">
      <c r="A18018" t="e">
        <v>#N/A</v>
      </c>
    </row>
    <row r="18019" spans="1:1" x14ac:dyDescent="0.25">
      <c r="A18019" t="e">
        <v>#N/A</v>
      </c>
    </row>
    <row r="18020" spans="1:1" x14ac:dyDescent="0.25">
      <c r="A18020" t="e">
        <v>#N/A</v>
      </c>
    </row>
    <row r="18021" spans="1:1" x14ac:dyDescent="0.25">
      <c r="A18021" t="e">
        <v>#N/A</v>
      </c>
    </row>
    <row r="18022" spans="1:1" x14ac:dyDescent="0.25">
      <c r="A18022" t="e">
        <v>#N/A</v>
      </c>
    </row>
    <row r="18023" spans="1:1" x14ac:dyDescent="0.25">
      <c r="A18023" t="e">
        <v>#N/A</v>
      </c>
    </row>
    <row r="18024" spans="1:1" x14ac:dyDescent="0.25">
      <c r="A18024" t="e">
        <v>#N/A</v>
      </c>
    </row>
    <row r="18025" spans="1:1" x14ac:dyDescent="0.25">
      <c r="A18025" t="e">
        <v>#N/A</v>
      </c>
    </row>
    <row r="18026" spans="1:1" x14ac:dyDescent="0.25">
      <c r="A18026" t="e">
        <v>#N/A</v>
      </c>
    </row>
    <row r="18027" spans="1:1" x14ac:dyDescent="0.25">
      <c r="A18027" t="e">
        <v>#N/A</v>
      </c>
    </row>
    <row r="18028" spans="1:1" x14ac:dyDescent="0.25">
      <c r="A18028" t="e">
        <v>#N/A</v>
      </c>
    </row>
    <row r="18029" spans="1:1" x14ac:dyDescent="0.25">
      <c r="A18029" t="e">
        <v>#N/A</v>
      </c>
    </row>
    <row r="18030" spans="1:1" x14ac:dyDescent="0.25">
      <c r="A18030" t="e">
        <v>#N/A</v>
      </c>
    </row>
    <row r="18031" spans="1:1" x14ac:dyDescent="0.25">
      <c r="A18031" t="e">
        <v>#N/A</v>
      </c>
    </row>
    <row r="18032" spans="1:1" x14ac:dyDescent="0.25">
      <c r="A18032" t="e">
        <v>#N/A</v>
      </c>
    </row>
    <row r="18033" spans="1:1" x14ac:dyDescent="0.25">
      <c r="A18033" t="e">
        <v>#N/A</v>
      </c>
    </row>
    <row r="18034" spans="1:1" x14ac:dyDescent="0.25">
      <c r="A18034" t="e">
        <v>#N/A</v>
      </c>
    </row>
    <row r="18035" spans="1:1" x14ac:dyDescent="0.25">
      <c r="A18035" t="e">
        <v>#N/A</v>
      </c>
    </row>
    <row r="18036" spans="1:1" x14ac:dyDescent="0.25">
      <c r="A18036" t="e">
        <v>#N/A</v>
      </c>
    </row>
    <row r="18037" spans="1:1" x14ac:dyDescent="0.25">
      <c r="A18037" t="e">
        <v>#N/A</v>
      </c>
    </row>
    <row r="18038" spans="1:1" x14ac:dyDescent="0.25">
      <c r="A18038" t="e">
        <v>#N/A</v>
      </c>
    </row>
    <row r="18039" spans="1:1" x14ac:dyDescent="0.25">
      <c r="A18039" t="e">
        <v>#N/A</v>
      </c>
    </row>
    <row r="18040" spans="1:1" x14ac:dyDescent="0.25">
      <c r="A18040" t="e">
        <v>#N/A</v>
      </c>
    </row>
    <row r="18041" spans="1:1" x14ac:dyDescent="0.25">
      <c r="A18041" t="e">
        <v>#N/A</v>
      </c>
    </row>
    <row r="18042" spans="1:1" x14ac:dyDescent="0.25">
      <c r="A18042" t="e">
        <v>#N/A</v>
      </c>
    </row>
    <row r="18043" spans="1:1" x14ac:dyDescent="0.25">
      <c r="A18043" t="e">
        <v>#N/A</v>
      </c>
    </row>
    <row r="18044" spans="1:1" x14ac:dyDescent="0.25">
      <c r="A18044" t="e">
        <v>#N/A</v>
      </c>
    </row>
    <row r="18045" spans="1:1" x14ac:dyDescent="0.25">
      <c r="A18045" t="e">
        <v>#N/A</v>
      </c>
    </row>
    <row r="18046" spans="1:1" x14ac:dyDescent="0.25">
      <c r="A18046" t="e">
        <v>#N/A</v>
      </c>
    </row>
    <row r="18047" spans="1:1" x14ac:dyDescent="0.25">
      <c r="A18047" t="e">
        <v>#N/A</v>
      </c>
    </row>
    <row r="18048" spans="1:1" x14ac:dyDescent="0.25">
      <c r="A18048" t="e">
        <v>#N/A</v>
      </c>
    </row>
    <row r="18049" spans="1:1" x14ac:dyDescent="0.25">
      <c r="A18049" t="e">
        <v>#N/A</v>
      </c>
    </row>
    <row r="18050" spans="1:1" x14ac:dyDescent="0.25">
      <c r="A18050" t="e">
        <v>#N/A</v>
      </c>
    </row>
    <row r="18051" spans="1:1" x14ac:dyDescent="0.25">
      <c r="A18051" t="e">
        <v>#N/A</v>
      </c>
    </row>
    <row r="18052" spans="1:1" x14ac:dyDescent="0.25">
      <c r="A18052" t="e">
        <v>#N/A</v>
      </c>
    </row>
    <row r="18053" spans="1:1" x14ac:dyDescent="0.25">
      <c r="A18053" t="e">
        <v>#N/A</v>
      </c>
    </row>
    <row r="18054" spans="1:1" x14ac:dyDescent="0.25">
      <c r="A18054" t="e">
        <v>#N/A</v>
      </c>
    </row>
    <row r="18055" spans="1:1" x14ac:dyDescent="0.25">
      <c r="A18055" t="e">
        <v>#N/A</v>
      </c>
    </row>
    <row r="18056" spans="1:1" x14ac:dyDescent="0.25">
      <c r="A18056" t="e">
        <v>#N/A</v>
      </c>
    </row>
    <row r="18057" spans="1:1" x14ac:dyDescent="0.25">
      <c r="A18057" t="e">
        <v>#N/A</v>
      </c>
    </row>
    <row r="18058" spans="1:1" x14ac:dyDescent="0.25">
      <c r="A18058" t="e">
        <v>#N/A</v>
      </c>
    </row>
    <row r="18059" spans="1:1" x14ac:dyDescent="0.25">
      <c r="A18059" t="e">
        <v>#N/A</v>
      </c>
    </row>
    <row r="18060" spans="1:1" x14ac:dyDescent="0.25">
      <c r="A18060" t="e">
        <v>#N/A</v>
      </c>
    </row>
    <row r="18061" spans="1:1" x14ac:dyDescent="0.25">
      <c r="A18061" t="e">
        <v>#N/A</v>
      </c>
    </row>
    <row r="18062" spans="1:1" x14ac:dyDescent="0.25">
      <c r="A18062" t="e">
        <v>#N/A</v>
      </c>
    </row>
    <row r="18063" spans="1:1" x14ac:dyDescent="0.25">
      <c r="A18063" t="e">
        <v>#N/A</v>
      </c>
    </row>
    <row r="18064" spans="1:1" x14ac:dyDescent="0.25">
      <c r="A18064" t="e">
        <v>#N/A</v>
      </c>
    </row>
    <row r="18065" spans="1:1" x14ac:dyDescent="0.25">
      <c r="A18065" t="e">
        <v>#N/A</v>
      </c>
    </row>
    <row r="18066" spans="1:1" x14ac:dyDescent="0.25">
      <c r="A18066" t="e">
        <v>#N/A</v>
      </c>
    </row>
    <row r="18067" spans="1:1" x14ac:dyDescent="0.25">
      <c r="A18067" t="e">
        <v>#N/A</v>
      </c>
    </row>
    <row r="18068" spans="1:1" x14ac:dyDescent="0.25">
      <c r="A18068" t="e">
        <v>#N/A</v>
      </c>
    </row>
    <row r="18069" spans="1:1" x14ac:dyDescent="0.25">
      <c r="A18069" t="e">
        <v>#N/A</v>
      </c>
    </row>
    <row r="18070" spans="1:1" x14ac:dyDescent="0.25">
      <c r="A18070" t="e">
        <v>#N/A</v>
      </c>
    </row>
    <row r="18071" spans="1:1" x14ac:dyDescent="0.25">
      <c r="A18071" t="e">
        <v>#N/A</v>
      </c>
    </row>
    <row r="18072" spans="1:1" x14ac:dyDescent="0.25">
      <c r="A18072" t="e">
        <v>#N/A</v>
      </c>
    </row>
    <row r="18073" spans="1:1" x14ac:dyDescent="0.25">
      <c r="A18073" t="e">
        <v>#N/A</v>
      </c>
    </row>
    <row r="18074" spans="1:1" x14ac:dyDescent="0.25">
      <c r="A18074" t="e">
        <v>#N/A</v>
      </c>
    </row>
    <row r="18075" spans="1:1" x14ac:dyDescent="0.25">
      <c r="A18075" t="e">
        <v>#N/A</v>
      </c>
    </row>
    <row r="18076" spans="1:1" x14ac:dyDescent="0.25">
      <c r="A18076" t="e">
        <v>#N/A</v>
      </c>
    </row>
    <row r="18077" spans="1:1" x14ac:dyDescent="0.25">
      <c r="A18077" t="e">
        <v>#N/A</v>
      </c>
    </row>
    <row r="18078" spans="1:1" x14ac:dyDescent="0.25">
      <c r="A18078" t="e">
        <v>#N/A</v>
      </c>
    </row>
    <row r="18079" spans="1:1" x14ac:dyDescent="0.25">
      <c r="A18079" t="e">
        <v>#N/A</v>
      </c>
    </row>
    <row r="18080" spans="1:1" x14ac:dyDescent="0.25">
      <c r="A18080" t="e">
        <v>#N/A</v>
      </c>
    </row>
    <row r="18081" spans="1:1" x14ac:dyDescent="0.25">
      <c r="A18081" t="e">
        <v>#N/A</v>
      </c>
    </row>
    <row r="18082" spans="1:1" x14ac:dyDescent="0.25">
      <c r="A18082" t="e">
        <v>#N/A</v>
      </c>
    </row>
    <row r="18083" spans="1:1" x14ac:dyDescent="0.25">
      <c r="A18083" t="e">
        <v>#N/A</v>
      </c>
    </row>
    <row r="18084" spans="1:1" x14ac:dyDescent="0.25">
      <c r="A18084" t="e">
        <v>#N/A</v>
      </c>
    </row>
    <row r="18085" spans="1:1" x14ac:dyDescent="0.25">
      <c r="A18085" t="e">
        <v>#N/A</v>
      </c>
    </row>
    <row r="18086" spans="1:1" x14ac:dyDescent="0.25">
      <c r="A18086" t="e">
        <v>#N/A</v>
      </c>
    </row>
    <row r="18087" spans="1:1" x14ac:dyDescent="0.25">
      <c r="A18087" t="e">
        <v>#N/A</v>
      </c>
    </row>
    <row r="18088" spans="1:1" x14ac:dyDescent="0.25">
      <c r="A18088" t="e">
        <v>#N/A</v>
      </c>
    </row>
    <row r="18089" spans="1:1" x14ac:dyDescent="0.25">
      <c r="A18089" t="e">
        <v>#N/A</v>
      </c>
    </row>
    <row r="18090" spans="1:1" x14ac:dyDescent="0.25">
      <c r="A18090" t="e">
        <v>#N/A</v>
      </c>
    </row>
    <row r="18091" spans="1:1" x14ac:dyDescent="0.25">
      <c r="A18091" t="e">
        <v>#N/A</v>
      </c>
    </row>
    <row r="18092" spans="1:1" x14ac:dyDescent="0.25">
      <c r="A18092" t="e">
        <v>#N/A</v>
      </c>
    </row>
    <row r="18093" spans="1:1" x14ac:dyDescent="0.25">
      <c r="A18093" t="e">
        <v>#N/A</v>
      </c>
    </row>
    <row r="18094" spans="1:1" x14ac:dyDescent="0.25">
      <c r="A18094" t="e">
        <v>#N/A</v>
      </c>
    </row>
    <row r="18095" spans="1:1" x14ac:dyDescent="0.25">
      <c r="A18095" t="e">
        <v>#N/A</v>
      </c>
    </row>
    <row r="18096" spans="1:1" x14ac:dyDescent="0.25">
      <c r="A18096" t="e">
        <v>#N/A</v>
      </c>
    </row>
    <row r="18097" spans="1:1" x14ac:dyDescent="0.25">
      <c r="A18097" t="e">
        <v>#N/A</v>
      </c>
    </row>
    <row r="18098" spans="1:1" x14ac:dyDescent="0.25">
      <c r="A18098" t="e">
        <v>#N/A</v>
      </c>
    </row>
    <row r="18099" spans="1:1" x14ac:dyDescent="0.25">
      <c r="A18099" t="e">
        <v>#N/A</v>
      </c>
    </row>
    <row r="18100" spans="1:1" x14ac:dyDescent="0.25">
      <c r="A18100" t="e">
        <v>#N/A</v>
      </c>
    </row>
    <row r="18101" spans="1:1" x14ac:dyDescent="0.25">
      <c r="A18101" t="e">
        <v>#N/A</v>
      </c>
    </row>
    <row r="18102" spans="1:1" x14ac:dyDescent="0.25">
      <c r="A18102" t="e">
        <v>#N/A</v>
      </c>
    </row>
    <row r="18103" spans="1:1" x14ac:dyDescent="0.25">
      <c r="A18103" t="e">
        <v>#N/A</v>
      </c>
    </row>
    <row r="18104" spans="1:1" x14ac:dyDescent="0.25">
      <c r="A18104" t="e">
        <v>#N/A</v>
      </c>
    </row>
    <row r="18105" spans="1:1" x14ac:dyDescent="0.25">
      <c r="A18105" t="e">
        <v>#N/A</v>
      </c>
    </row>
    <row r="18106" spans="1:1" x14ac:dyDescent="0.25">
      <c r="A18106" t="e">
        <v>#N/A</v>
      </c>
    </row>
    <row r="18107" spans="1:1" x14ac:dyDescent="0.25">
      <c r="A18107" t="e">
        <v>#N/A</v>
      </c>
    </row>
    <row r="18108" spans="1:1" x14ac:dyDescent="0.25">
      <c r="A18108" t="e">
        <v>#N/A</v>
      </c>
    </row>
    <row r="18109" spans="1:1" x14ac:dyDescent="0.25">
      <c r="A18109" t="e">
        <v>#N/A</v>
      </c>
    </row>
    <row r="18110" spans="1:1" x14ac:dyDescent="0.25">
      <c r="A18110" t="e">
        <v>#N/A</v>
      </c>
    </row>
    <row r="18111" spans="1:1" x14ac:dyDescent="0.25">
      <c r="A18111" t="e">
        <v>#N/A</v>
      </c>
    </row>
    <row r="18112" spans="1:1" x14ac:dyDescent="0.25">
      <c r="A18112" t="e">
        <v>#N/A</v>
      </c>
    </row>
    <row r="18113" spans="1:1" x14ac:dyDescent="0.25">
      <c r="A18113" t="e">
        <v>#N/A</v>
      </c>
    </row>
    <row r="18114" spans="1:1" x14ac:dyDescent="0.25">
      <c r="A18114" t="e">
        <v>#N/A</v>
      </c>
    </row>
    <row r="18115" spans="1:1" x14ac:dyDescent="0.25">
      <c r="A18115" t="e">
        <v>#N/A</v>
      </c>
    </row>
    <row r="18116" spans="1:1" x14ac:dyDescent="0.25">
      <c r="A18116" t="e">
        <v>#N/A</v>
      </c>
    </row>
    <row r="18117" spans="1:1" x14ac:dyDescent="0.25">
      <c r="A18117" t="e">
        <v>#N/A</v>
      </c>
    </row>
    <row r="18118" spans="1:1" x14ac:dyDescent="0.25">
      <c r="A18118" t="e">
        <v>#N/A</v>
      </c>
    </row>
    <row r="18119" spans="1:1" x14ac:dyDescent="0.25">
      <c r="A18119" t="e">
        <v>#N/A</v>
      </c>
    </row>
    <row r="18120" spans="1:1" x14ac:dyDescent="0.25">
      <c r="A18120" t="e">
        <v>#N/A</v>
      </c>
    </row>
    <row r="18121" spans="1:1" x14ac:dyDescent="0.25">
      <c r="A18121" t="e">
        <v>#N/A</v>
      </c>
    </row>
    <row r="18122" spans="1:1" x14ac:dyDescent="0.25">
      <c r="A18122" t="e">
        <v>#N/A</v>
      </c>
    </row>
    <row r="18123" spans="1:1" x14ac:dyDescent="0.25">
      <c r="A18123" t="e">
        <v>#N/A</v>
      </c>
    </row>
    <row r="18124" spans="1:1" x14ac:dyDescent="0.25">
      <c r="A18124" t="e">
        <v>#N/A</v>
      </c>
    </row>
    <row r="18125" spans="1:1" x14ac:dyDescent="0.25">
      <c r="A18125" t="e">
        <v>#N/A</v>
      </c>
    </row>
    <row r="18126" spans="1:1" x14ac:dyDescent="0.25">
      <c r="A18126" t="e">
        <v>#N/A</v>
      </c>
    </row>
    <row r="18127" spans="1:1" x14ac:dyDescent="0.25">
      <c r="A18127" t="e">
        <v>#N/A</v>
      </c>
    </row>
    <row r="18128" spans="1:1" x14ac:dyDescent="0.25">
      <c r="A18128" t="e">
        <v>#N/A</v>
      </c>
    </row>
    <row r="18129" spans="1:1" x14ac:dyDescent="0.25">
      <c r="A18129" t="e">
        <v>#N/A</v>
      </c>
    </row>
    <row r="18130" spans="1:1" x14ac:dyDescent="0.25">
      <c r="A18130" t="e">
        <v>#N/A</v>
      </c>
    </row>
    <row r="18131" spans="1:1" x14ac:dyDescent="0.25">
      <c r="A18131" t="e">
        <v>#N/A</v>
      </c>
    </row>
    <row r="18132" spans="1:1" x14ac:dyDescent="0.25">
      <c r="A18132" t="e">
        <v>#N/A</v>
      </c>
    </row>
    <row r="18133" spans="1:1" x14ac:dyDescent="0.25">
      <c r="A18133" t="e">
        <v>#N/A</v>
      </c>
    </row>
    <row r="18134" spans="1:1" x14ac:dyDescent="0.25">
      <c r="A18134" t="e">
        <v>#N/A</v>
      </c>
    </row>
    <row r="18135" spans="1:1" x14ac:dyDescent="0.25">
      <c r="A18135" t="e">
        <v>#N/A</v>
      </c>
    </row>
    <row r="18136" spans="1:1" x14ac:dyDescent="0.25">
      <c r="A18136" t="e">
        <v>#N/A</v>
      </c>
    </row>
    <row r="18137" spans="1:1" x14ac:dyDescent="0.25">
      <c r="A18137" t="e">
        <v>#N/A</v>
      </c>
    </row>
    <row r="18138" spans="1:1" x14ac:dyDescent="0.25">
      <c r="A18138" t="e">
        <v>#N/A</v>
      </c>
    </row>
    <row r="18139" spans="1:1" x14ac:dyDescent="0.25">
      <c r="A18139" t="e">
        <v>#N/A</v>
      </c>
    </row>
    <row r="18140" spans="1:1" x14ac:dyDescent="0.25">
      <c r="A18140" t="e">
        <v>#N/A</v>
      </c>
    </row>
    <row r="18141" spans="1:1" x14ac:dyDescent="0.25">
      <c r="A18141" t="e">
        <v>#N/A</v>
      </c>
    </row>
    <row r="18142" spans="1:1" x14ac:dyDescent="0.25">
      <c r="A18142" t="e">
        <v>#N/A</v>
      </c>
    </row>
    <row r="18143" spans="1:1" x14ac:dyDescent="0.25">
      <c r="A18143" t="e">
        <v>#N/A</v>
      </c>
    </row>
    <row r="18144" spans="1:1" x14ac:dyDescent="0.25">
      <c r="A18144" t="e">
        <v>#N/A</v>
      </c>
    </row>
    <row r="18145" spans="1:1" x14ac:dyDescent="0.25">
      <c r="A18145" t="e">
        <v>#N/A</v>
      </c>
    </row>
    <row r="18146" spans="1:1" x14ac:dyDescent="0.25">
      <c r="A18146" t="e">
        <v>#N/A</v>
      </c>
    </row>
    <row r="18147" spans="1:1" x14ac:dyDescent="0.25">
      <c r="A18147" t="e">
        <v>#N/A</v>
      </c>
    </row>
    <row r="18148" spans="1:1" x14ac:dyDescent="0.25">
      <c r="A18148" t="e">
        <v>#N/A</v>
      </c>
    </row>
    <row r="18149" spans="1:1" x14ac:dyDescent="0.25">
      <c r="A18149" t="e">
        <v>#N/A</v>
      </c>
    </row>
    <row r="18150" spans="1:1" x14ac:dyDescent="0.25">
      <c r="A18150" t="e">
        <v>#N/A</v>
      </c>
    </row>
    <row r="18151" spans="1:1" x14ac:dyDescent="0.25">
      <c r="A18151" t="e">
        <v>#N/A</v>
      </c>
    </row>
    <row r="18152" spans="1:1" x14ac:dyDescent="0.25">
      <c r="A18152" t="e">
        <v>#N/A</v>
      </c>
    </row>
    <row r="18153" spans="1:1" x14ac:dyDescent="0.25">
      <c r="A18153" t="e">
        <v>#N/A</v>
      </c>
    </row>
    <row r="18154" spans="1:1" x14ac:dyDescent="0.25">
      <c r="A18154" t="e">
        <v>#N/A</v>
      </c>
    </row>
    <row r="18155" spans="1:1" x14ac:dyDescent="0.25">
      <c r="A18155" t="e">
        <v>#N/A</v>
      </c>
    </row>
    <row r="18156" spans="1:1" x14ac:dyDescent="0.25">
      <c r="A18156" t="e">
        <v>#N/A</v>
      </c>
    </row>
    <row r="18157" spans="1:1" x14ac:dyDescent="0.25">
      <c r="A18157" t="e">
        <v>#N/A</v>
      </c>
    </row>
    <row r="18158" spans="1:1" x14ac:dyDescent="0.25">
      <c r="A18158" t="e">
        <v>#N/A</v>
      </c>
    </row>
    <row r="18159" spans="1:1" x14ac:dyDescent="0.25">
      <c r="A18159" t="e">
        <v>#N/A</v>
      </c>
    </row>
    <row r="18160" spans="1:1" x14ac:dyDescent="0.25">
      <c r="A18160" t="e">
        <v>#N/A</v>
      </c>
    </row>
    <row r="18161" spans="1:1" x14ac:dyDescent="0.25">
      <c r="A18161" t="e">
        <v>#N/A</v>
      </c>
    </row>
    <row r="18162" spans="1:1" x14ac:dyDescent="0.25">
      <c r="A18162" t="e">
        <v>#N/A</v>
      </c>
    </row>
    <row r="18163" spans="1:1" x14ac:dyDescent="0.25">
      <c r="A18163" t="e">
        <v>#N/A</v>
      </c>
    </row>
    <row r="18164" spans="1:1" x14ac:dyDescent="0.25">
      <c r="A18164" t="e">
        <v>#N/A</v>
      </c>
    </row>
    <row r="18165" spans="1:1" x14ac:dyDescent="0.25">
      <c r="A18165" t="e">
        <v>#N/A</v>
      </c>
    </row>
    <row r="18166" spans="1:1" x14ac:dyDescent="0.25">
      <c r="A18166" t="e">
        <v>#N/A</v>
      </c>
    </row>
    <row r="18167" spans="1:1" x14ac:dyDescent="0.25">
      <c r="A18167" t="e">
        <v>#N/A</v>
      </c>
    </row>
    <row r="18168" spans="1:1" x14ac:dyDescent="0.25">
      <c r="A18168" t="e">
        <v>#N/A</v>
      </c>
    </row>
    <row r="18169" spans="1:1" x14ac:dyDescent="0.25">
      <c r="A18169" t="e">
        <v>#N/A</v>
      </c>
    </row>
    <row r="18170" spans="1:1" x14ac:dyDescent="0.25">
      <c r="A18170" t="e">
        <v>#N/A</v>
      </c>
    </row>
    <row r="18171" spans="1:1" x14ac:dyDescent="0.25">
      <c r="A18171" t="e">
        <v>#N/A</v>
      </c>
    </row>
    <row r="18172" spans="1:1" x14ac:dyDescent="0.25">
      <c r="A18172" t="e">
        <v>#N/A</v>
      </c>
    </row>
    <row r="18173" spans="1:1" x14ac:dyDescent="0.25">
      <c r="A18173" t="e">
        <v>#N/A</v>
      </c>
    </row>
    <row r="18174" spans="1:1" x14ac:dyDescent="0.25">
      <c r="A18174" t="e">
        <v>#N/A</v>
      </c>
    </row>
    <row r="18175" spans="1:1" x14ac:dyDescent="0.25">
      <c r="A18175" t="e">
        <v>#N/A</v>
      </c>
    </row>
    <row r="18176" spans="1:1" x14ac:dyDescent="0.25">
      <c r="A18176" t="e">
        <v>#N/A</v>
      </c>
    </row>
    <row r="18177" spans="1:1" x14ac:dyDescent="0.25">
      <c r="A18177" t="e">
        <v>#N/A</v>
      </c>
    </row>
    <row r="18178" spans="1:1" x14ac:dyDescent="0.25">
      <c r="A18178" t="e">
        <v>#N/A</v>
      </c>
    </row>
    <row r="18179" spans="1:1" x14ac:dyDescent="0.25">
      <c r="A18179" t="e">
        <v>#N/A</v>
      </c>
    </row>
    <row r="18180" spans="1:1" x14ac:dyDescent="0.25">
      <c r="A18180" t="e">
        <v>#N/A</v>
      </c>
    </row>
    <row r="18181" spans="1:1" x14ac:dyDescent="0.25">
      <c r="A18181" t="e">
        <v>#N/A</v>
      </c>
    </row>
    <row r="18182" spans="1:1" x14ac:dyDescent="0.25">
      <c r="A18182" t="e">
        <v>#N/A</v>
      </c>
    </row>
    <row r="18183" spans="1:1" x14ac:dyDescent="0.25">
      <c r="A18183" t="e">
        <v>#N/A</v>
      </c>
    </row>
    <row r="18184" spans="1:1" x14ac:dyDescent="0.25">
      <c r="A18184" t="e">
        <v>#N/A</v>
      </c>
    </row>
    <row r="18185" spans="1:1" x14ac:dyDescent="0.25">
      <c r="A18185" t="e">
        <v>#N/A</v>
      </c>
    </row>
    <row r="18186" spans="1:1" x14ac:dyDescent="0.25">
      <c r="A18186" t="e">
        <v>#N/A</v>
      </c>
    </row>
    <row r="18187" spans="1:1" x14ac:dyDescent="0.25">
      <c r="A18187" t="e">
        <v>#N/A</v>
      </c>
    </row>
    <row r="18188" spans="1:1" x14ac:dyDescent="0.25">
      <c r="A18188" t="e">
        <v>#N/A</v>
      </c>
    </row>
    <row r="18189" spans="1:1" x14ac:dyDescent="0.25">
      <c r="A18189" t="e">
        <v>#N/A</v>
      </c>
    </row>
    <row r="18190" spans="1:1" x14ac:dyDescent="0.25">
      <c r="A18190" t="e">
        <v>#N/A</v>
      </c>
    </row>
    <row r="18191" spans="1:1" x14ac:dyDescent="0.25">
      <c r="A18191" t="e">
        <v>#N/A</v>
      </c>
    </row>
    <row r="18192" spans="1:1" x14ac:dyDescent="0.25">
      <c r="A18192" t="e">
        <v>#N/A</v>
      </c>
    </row>
    <row r="18193" spans="1:1" x14ac:dyDescent="0.25">
      <c r="A18193" t="e">
        <v>#N/A</v>
      </c>
    </row>
    <row r="18194" spans="1:1" x14ac:dyDescent="0.25">
      <c r="A18194" t="e">
        <v>#N/A</v>
      </c>
    </row>
    <row r="18195" spans="1:1" x14ac:dyDescent="0.25">
      <c r="A18195" t="e">
        <v>#N/A</v>
      </c>
    </row>
    <row r="18196" spans="1:1" x14ac:dyDescent="0.25">
      <c r="A18196" t="e">
        <v>#N/A</v>
      </c>
    </row>
    <row r="18197" spans="1:1" x14ac:dyDescent="0.25">
      <c r="A18197" t="e">
        <v>#N/A</v>
      </c>
    </row>
    <row r="18198" spans="1:1" x14ac:dyDescent="0.25">
      <c r="A18198" t="e">
        <v>#N/A</v>
      </c>
    </row>
    <row r="18199" spans="1:1" x14ac:dyDescent="0.25">
      <c r="A18199" t="e">
        <v>#N/A</v>
      </c>
    </row>
    <row r="18200" spans="1:1" x14ac:dyDescent="0.25">
      <c r="A18200" t="e">
        <v>#N/A</v>
      </c>
    </row>
    <row r="18201" spans="1:1" x14ac:dyDescent="0.25">
      <c r="A18201" t="e">
        <v>#N/A</v>
      </c>
    </row>
    <row r="18202" spans="1:1" x14ac:dyDescent="0.25">
      <c r="A18202" t="e">
        <v>#N/A</v>
      </c>
    </row>
    <row r="18203" spans="1:1" x14ac:dyDescent="0.25">
      <c r="A18203" t="e">
        <v>#N/A</v>
      </c>
    </row>
    <row r="18204" spans="1:1" x14ac:dyDescent="0.25">
      <c r="A18204" t="e">
        <v>#N/A</v>
      </c>
    </row>
    <row r="18205" spans="1:1" x14ac:dyDescent="0.25">
      <c r="A18205" t="e">
        <v>#N/A</v>
      </c>
    </row>
    <row r="18206" spans="1:1" x14ac:dyDescent="0.25">
      <c r="A18206" t="e">
        <v>#N/A</v>
      </c>
    </row>
    <row r="18207" spans="1:1" x14ac:dyDescent="0.25">
      <c r="A18207" t="e">
        <v>#N/A</v>
      </c>
    </row>
    <row r="18208" spans="1:1" x14ac:dyDescent="0.25">
      <c r="A18208" t="e">
        <v>#N/A</v>
      </c>
    </row>
    <row r="18209" spans="1:1" x14ac:dyDescent="0.25">
      <c r="A18209" t="e">
        <v>#N/A</v>
      </c>
    </row>
    <row r="18210" spans="1:1" x14ac:dyDescent="0.25">
      <c r="A18210" t="e">
        <v>#N/A</v>
      </c>
    </row>
    <row r="18211" spans="1:1" x14ac:dyDescent="0.25">
      <c r="A18211" t="e">
        <v>#N/A</v>
      </c>
    </row>
    <row r="18212" spans="1:1" x14ac:dyDescent="0.25">
      <c r="A18212" t="e">
        <v>#N/A</v>
      </c>
    </row>
    <row r="18213" spans="1:1" x14ac:dyDescent="0.25">
      <c r="A18213" t="e">
        <v>#N/A</v>
      </c>
    </row>
    <row r="18214" spans="1:1" x14ac:dyDescent="0.25">
      <c r="A18214" t="e">
        <v>#N/A</v>
      </c>
    </row>
    <row r="18215" spans="1:1" x14ac:dyDescent="0.25">
      <c r="A18215" t="e">
        <v>#N/A</v>
      </c>
    </row>
    <row r="18216" spans="1:1" x14ac:dyDescent="0.25">
      <c r="A18216" t="e">
        <v>#N/A</v>
      </c>
    </row>
    <row r="18217" spans="1:1" x14ac:dyDescent="0.25">
      <c r="A18217" t="e">
        <v>#N/A</v>
      </c>
    </row>
    <row r="18218" spans="1:1" x14ac:dyDescent="0.25">
      <c r="A18218" t="e">
        <v>#N/A</v>
      </c>
    </row>
    <row r="18219" spans="1:1" x14ac:dyDescent="0.25">
      <c r="A18219" t="e">
        <v>#N/A</v>
      </c>
    </row>
    <row r="18220" spans="1:1" x14ac:dyDescent="0.25">
      <c r="A18220" t="e">
        <v>#N/A</v>
      </c>
    </row>
    <row r="18221" spans="1:1" x14ac:dyDescent="0.25">
      <c r="A18221" t="e">
        <v>#N/A</v>
      </c>
    </row>
    <row r="18222" spans="1:1" x14ac:dyDescent="0.25">
      <c r="A18222" t="e">
        <v>#N/A</v>
      </c>
    </row>
    <row r="18223" spans="1:1" x14ac:dyDescent="0.25">
      <c r="A18223" t="e">
        <v>#N/A</v>
      </c>
    </row>
    <row r="18224" spans="1:1" x14ac:dyDescent="0.25">
      <c r="A18224" t="e">
        <v>#N/A</v>
      </c>
    </row>
    <row r="18225" spans="1:1" x14ac:dyDescent="0.25">
      <c r="A18225" t="e">
        <v>#N/A</v>
      </c>
    </row>
    <row r="18226" spans="1:1" x14ac:dyDescent="0.25">
      <c r="A18226" t="e">
        <v>#N/A</v>
      </c>
    </row>
    <row r="18227" spans="1:1" x14ac:dyDescent="0.25">
      <c r="A18227" t="e">
        <v>#N/A</v>
      </c>
    </row>
    <row r="18228" spans="1:1" x14ac:dyDescent="0.25">
      <c r="A18228" t="e">
        <v>#N/A</v>
      </c>
    </row>
    <row r="18229" spans="1:1" x14ac:dyDescent="0.25">
      <c r="A18229" t="e">
        <v>#N/A</v>
      </c>
    </row>
    <row r="18230" spans="1:1" x14ac:dyDescent="0.25">
      <c r="A18230" t="e">
        <v>#N/A</v>
      </c>
    </row>
    <row r="18231" spans="1:1" x14ac:dyDescent="0.25">
      <c r="A18231" t="e">
        <v>#N/A</v>
      </c>
    </row>
    <row r="18232" spans="1:1" x14ac:dyDescent="0.25">
      <c r="A18232" t="e">
        <v>#N/A</v>
      </c>
    </row>
    <row r="18233" spans="1:1" x14ac:dyDescent="0.25">
      <c r="A18233" t="e">
        <v>#N/A</v>
      </c>
    </row>
    <row r="18234" spans="1:1" x14ac:dyDescent="0.25">
      <c r="A18234" t="e">
        <v>#N/A</v>
      </c>
    </row>
    <row r="18235" spans="1:1" x14ac:dyDescent="0.25">
      <c r="A18235" t="e">
        <v>#N/A</v>
      </c>
    </row>
    <row r="18236" spans="1:1" x14ac:dyDescent="0.25">
      <c r="A18236" t="e">
        <v>#N/A</v>
      </c>
    </row>
    <row r="18237" spans="1:1" x14ac:dyDescent="0.25">
      <c r="A18237" t="e">
        <v>#N/A</v>
      </c>
    </row>
    <row r="18238" spans="1:1" x14ac:dyDescent="0.25">
      <c r="A18238" t="e">
        <v>#N/A</v>
      </c>
    </row>
    <row r="18239" spans="1:1" x14ac:dyDescent="0.25">
      <c r="A18239" t="e">
        <v>#N/A</v>
      </c>
    </row>
    <row r="18240" spans="1:1" x14ac:dyDescent="0.25">
      <c r="A18240" t="e">
        <v>#N/A</v>
      </c>
    </row>
    <row r="18241" spans="1:1" x14ac:dyDescent="0.25">
      <c r="A18241" t="e">
        <v>#N/A</v>
      </c>
    </row>
    <row r="18242" spans="1:1" x14ac:dyDescent="0.25">
      <c r="A18242" t="e">
        <v>#N/A</v>
      </c>
    </row>
    <row r="18243" spans="1:1" x14ac:dyDescent="0.25">
      <c r="A18243" t="e">
        <v>#N/A</v>
      </c>
    </row>
    <row r="18244" spans="1:1" x14ac:dyDescent="0.25">
      <c r="A18244" t="e">
        <v>#N/A</v>
      </c>
    </row>
    <row r="18245" spans="1:1" x14ac:dyDescent="0.25">
      <c r="A18245" t="e">
        <v>#N/A</v>
      </c>
    </row>
    <row r="18246" spans="1:1" x14ac:dyDescent="0.25">
      <c r="A18246" t="e">
        <v>#N/A</v>
      </c>
    </row>
    <row r="18247" spans="1:1" x14ac:dyDescent="0.25">
      <c r="A18247" t="e">
        <v>#N/A</v>
      </c>
    </row>
    <row r="18248" spans="1:1" x14ac:dyDescent="0.25">
      <c r="A18248" t="e">
        <v>#N/A</v>
      </c>
    </row>
    <row r="18249" spans="1:1" x14ac:dyDescent="0.25">
      <c r="A18249" t="e">
        <v>#N/A</v>
      </c>
    </row>
    <row r="18250" spans="1:1" x14ac:dyDescent="0.25">
      <c r="A18250" t="e">
        <v>#N/A</v>
      </c>
    </row>
    <row r="18251" spans="1:1" x14ac:dyDescent="0.25">
      <c r="A18251" t="e">
        <v>#N/A</v>
      </c>
    </row>
    <row r="18252" spans="1:1" x14ac:dyDescent="0.25">
      <c r="A18252" t="e">
        <v>#N/A</v>
      </c>
    </row>
    <row r="18253" spans="1:1" x14ac:dyDescent="0.25">
      <c r="A18253" t="e">
        <v>#N/A</v>
      </c>
    </row>
    <row r="18254" spans="1:1" x14ac:dyDescent="0.25">
      <c r="A18254" t="e">
        <v>#N/A</v>
      </c>
    </row>
    <row r="18255" spans="1:1" x14ac:dyDescent="0.25">
      <c r="A18255" t="e">
        <v>#N/A</v>
      </c>
    </row>
    <row r="18256" spans="1:1" x14ac:dyDescent="0.25">
      <c r="A18256" t="e">
        <v>#N/A</v>
      </c>
    </row>
    <row r="18257" spans="1:1" x14ac:dyDescent="0.25">
      <c r="A18257" t="e">
        <v>#N/A</v>
      </c>
    </row>
    <row r="18258" spans="1:1" x14ac:dyDescent="0.25">
      <c r="A18258" t="e">
        <v>#N/A</v>
      </c>
    </row>
    <row r="18259" spans="1:1" x14ac:dyDescent="0.25">
      <c r="A18259" t="e">
        <v>#N/A</v>
      </c>
    </row>
    <row r="18260" spans="1:1" x14ac:dyDescent="0.25">
      <c r="A18260" t="e">
        <v>#N/A</v>
      </c>
    </row>
    <row r="18261" spans="1:1" x14ac:dyDescent="0.25">
      <c r="A18261" t="e">
        <v>#N/A</v>
      </c>
    </row>
    <row r="18262" spans="1:1" x14ac:dyDescent="0.25">
      <c r="A18262" t="e">
        <v>#N/A</v>
      </c>
    </row>
    <row r="18263" spans="1:1" x14ac:dyDescent="0.25">
      <c r="A18263" t="e">
        <v>#N/A</v>
      </c>
    </row>
    <row r="18264" spans="1:1" x14ac:dyDescent="0.25">
      <c r="A18264" t="e">
        <v>#N/A</v>
      </c>
    </row>
    <row r="18265" spans="1:1" x14ac:dyDescent="0.25">
      <c r="A18265" t="e">
        <v>#N/A</v>
      </c>
    </row>
    <row r="18266" spans="1:1" x14ac:dyDescent="0.25">
      <c r="A18266" t="e">
        <v>#N/A</v>
      </c>
    </row>
    <row r="18267" spans="1:1" x14ac:dyDescent="0.25">
      <c r="A18267" t="e">
        <v>#N/A</v>
      </c>
    </row>
    <row r="18268" spans="1:1" x14ac:dyDescent="0.25">
      <c r="A18268" t="e">
        <v>#N/A</v>
      </c>
    </row>
    <row r="18269" spans="1:1" x14ac:dyDescent="0.25">
      <c r="A18269" t="e">
        <v>#N/A</v>
      </c>
    </row>
    <row r="18270" spans="1:1" x14ac:dyDescent="0.25">
      <c r="A18270" t="e">
        <v>#N/A</v>
      </c>
    </row>
    <row r="18271" spans="1:1" x14ac:dyDescent="0.25">
      <c r="A18271" t="e">
        <v>#N/A</v>
      </c>
    </row>
    <row r="18272" spans="1:1" x14ac:dyDescent="0.25">
      <c r="A18272" t="e">
        <v>#N/A</v>
      </c>
    </row>
    <row r="18273" spans="1:1" x14ac:dyDescent="0.25">
      <c r="A18273" t="e">
        <v>#N/A</v>
      </c>
    </row>
    <row r="18274" spans="1:1" x14ac:dyDescent="0.25">
      <c r="A18274" t="e">
        <v>#N/A</v>
      </c>
    </row>
    <row r="18275" spans="1:1" x14ac:dyDescent="0.25">
      <c r="A18275" t="e">
        <v>#N/A</v>
      </c>
    </row>
    <row r="18276" spans="1:1" x14ac:dyDescent="0.25">
      <c r="A18276" t="e">
        <v>#N/A</v>
      </c>
    </row>
    <row r="18277" spans="1:1" x14ac:dyDescent="0.25">
      <c r="A18277" t="e">
        <v>#N/A</v>
      </c>
    </row>
    <row r="18278" spans="1:1" x14ac:dyDescent="0.25">
      <c r="A18278" t="e">
        <v>#N/A</v>
      </c>
    </row>
    <row r="18279" spans="1:1" x14ac:dyDescent="0.25">
      <c r="A18279" t="e">
        <v>#N/A</v>
      </c>
    </row>
    <row r="18280" spans="1:1" x14ac:dyDescent="0.25">
      <c r="A18280" t="e">
        <v>#N/A</v>
      </c>
    </row>
    <row r="18281" spans="1:1" x14ac:dyDescent="0.25">
      <c r="A18281" t="e">
        <v>#N/A</v>
      </c>
    </row>
    <row r="18282" spans="1:1" x14ac:dyDescent="0.25">
      <c r="A18282" t="e">
        <v>#N/A</v>
      </c>
    </row>
    <row r="18283" spans="1:1" x14ac:dyDescent="0.25">
      <c r="A18283" t="e">
        <v>#N/A</v>
      </c>
    </row>
    <row r="18284" spans="1:1" x14ac:dyDescent="0.25">
      <c r="A18284" t="e">
        <v>#N/A</v>
      </c>
    </row>
    <row r="18285" spans="1:1" x14ac:dyDescent="0.25">
      <c r="A18285" t="e">
        <v>#N/A</v>
      </c>
    </row>
    <row r="18286" spans="1:1" x14ac:dyDescent="0.25">
      <c r="A18286" t="e">
        <v>#N/A</v>
      </c>
    </row>
    <row r="18287" spans="1:1" x14ac:dyDescent="0.25">
      <c r="A18287" t="e">
        <v>#N/A</v>
      </c>
    </row>
    <row r="18288" spans="1:1" x14ac:dyDescent="0.25">
      <c r="A18288" t="e">
        <v>#N/A</v>
      </c>
    </row>
    <row r="18289" spans="1:1" x14ac:dyDescent="0.25">
      <c r="A18289" t="e">
        <v>#N/A</v>
      </c>
    </row>
    <row r="18290" spans="1:1" x14ac:dyDescent="0.25">
      <c r="A18290" t="e">
        <v>#N/A</v>
      </c>
    </row>
    <row r="18291" spans="1:1" x14ac:dyDescent="0.25">
      <c r="A18291" t="e">
        <v>#N/A</v>
      </c>
    </row>
    <row r="18292" spans="1:1" x14ac:dyDescent="0.25">
      <c r="A18292" t="e">
        <v>#N/A</v>
      </c>
    </row>
    <row r="18293" spans="1:1" x14ac:dyDescent="0.25">
      <c r="A18293" t="e">
        <v>#N/A</v>
      </c>
    </row>
    <row r="18294" spans="1:1" x14ac:dyDescent="0.25">
      <c r="A18294" t="e">
        <v>#N/A</v>
      </c>
    </row>
    <row r="18295" spans="1:1" x14ac:dyDescent="0.25">
      <c r="A18295" t="e">
        <v>#N/A</v>
      </c>
    </row>
    <row r="18296" spans="1:1" x14ac:dyDescent="0.25">
      <c r="A18296" t="e">
        <v>#N/A</v>
      </c>
    </row>
    <row r="18297" spans="1:1" x14ac:dyDescent="0.25">
      <c r="A18297" t="e">
        <v>#N/A</v>
      </c>
    </row>
    <row r="18298" spans="1:1" x14ac:dyDescent="0.25">
      <c r="A18298" t="e">
        <v>#N/A</v>
      </c>
    </row>
    <row r="18299" spans="1:1" x14ac:dyDescent="0.25">
      <c r="A18299" t="e">
        <v>#N/A</v>
      </c>
    </row>
    <row r="18300" spans="1:1" x14ac:dyDescent="0.25">
      <c r="A18300" t="e">
        <v>#N/A</v>
      </c>
    </row>
    <row r="18301" spans="1:1" x14ac:dyDescent="0.25">
      <c r="A18301" t="e">
        <v>#N/A</v>
      </c>
    </row>
    <row r="18302" spans="1:1" x14ac:dyDescent="0.25">
      <c r="A18302" t="e">
        <v>#N/A</v>
      </c>
    </row>
    <row r="18303" spans="1:1" x14ac:dyDescent="0.25">
      <c r="A18303" t="e">
        <v>#N/A</v>
      </c>
    </row>
    <row r="18304" spans="1:1" x14ac:dyDescent="0.25">
      <c r="A18304" t="e">
        <v>#N/A</v>
      </c>
    </row>
    <row r="18305" spans="1:1" x14ac:dyDescent="0.25">
      <c r="A18305" t="e">
        <v>#N/A</v>
      </c>
    </row>
    <row r="18306" spans="1:1" x14ac:dyDescent="0.25">
      <c r="A18306" t="e">
        <v>#N/A</v>
      </c>
    </row>
    <row r="18307" spans="1:1" x14ac:dyDescent="0.25">
      <c r="A18307" t="e">
        <v>#N/A</v>
      </c>
    </row>
    <row r="18308" spans="1:1" x14ac:dyDescent="0.25">
      <c r="A18308" t="e">
        <v>#N/A</v>
      </c>
    </row>
    <row r="18309" spans="1:1" x14ac:dyDescent="0.25">
      <c r="A18309" t="e">
        <v>#N/A</v>
      </c>
    </row>
    <row r="18310" spans="1:1" x14ac:dyDescent="0.25">
      <c r="A18310" t="e">
        <v>#N/A</v>
      </c>
    </row>
    <row r="18311" spans="1:1" x14ac:dyDescent="0.25">
      <c r="A18311" t="e">
        <v>#N/A</v>
      </c>
    </row>
    <row r="18312" spans="1:1" x14ac:dyDescent="0.25">
      <c r="A18312" t="e">
        <v>#N/A</v>
      </c>
    </row>
    <row r="18313" spans="1:1" x14ac:dyDescent="0.25">
      <c r="A18313" t="e">
        <v>#N/A</v>
      </c>
    </row>
    <row r="18314" spans="1:1" x14ac:dyDescent="0.25">
      <c r="A18314" t="e">
        <v>#N/A</v>
      </c>
    </row>
    <row r="18315" spans="1:1" x14ac:dyDescent="0.25">
      <c r="A18315" t="e">
        <v>#N/A</v>
      </c>
    </row>
    <row r="18316" spans="1:1" x14ac:dyDescent="0.25">
      <c r="A18316" t="e">
        <v>#N/A</v>
      </c>
    </row>
    <row r="18317" spans="1:1" x14ac:dyDescent="0.25">
      <c r="A18317" t="e">
        <v>#N/A</v>
      </c>
    </row>
    <row r="18318" spans="1:1" x14ac:dyDescent="0.25">
      <c r="A18318" t="e">
        <v>#N/A</v>
      </c>
    </row>
    <row r="18319" spans="1:1" x14ac:dyDescent="0.25">
      <c r="A18319" t="e">
        <v>#N/A</v>
      </c>
    </row>
    <row r="18320" spans="1:1" x14ac:dyDescent="0.25">
      <c r="A18320" t="e">
        <v>#N/A</v>
      </c>
    </row>
    <row r="18321" spans="1:1" x14ac:dyDescent="0.25">
      <c r="A18321" t="e">
        <v>#N/A</v>
      </c>
    </row>
    <row r="18322" spans="1:1" x14ac:dyDescent="0.25">
      <c r="A18322" t="e">
        <v>#N/A</v>
      </c>
    </row>
    <row r="18323" spans="1:1" x14ac:dyDescent="0.25">
      <c r="A18323" t="e">
        <v>#N/A</v>
      </c>
    </row>
    <row r="18324" spans="1:1" x14ac:dyDescent="0.25">
      <c r="A18324" t="e">
        <v>#N/A</v>
      </c>
    </row>
    <row r="18325" spans="1:1" x14ac:dyDescent="0.25">
      <c r="A18325" t="e">
        <v>#N/A</v>
      </c>
    </row>
    <row r="18326" spans="1:1" x14ac:dyDescent="0.25">
      <c r="A18326" t="e">
        <v>#N/A</v>
      </c>
    </row>
    <row r="18327" spans="1:1" x14ac:dyDescent="0.25">
      <c r="A18327" t="e">
        <v>#N/A</v>
      </c>
    </row>
    <row r="18328" spans="1:1" x14ac:dyDescent="0.25">
      <c r="A18328" t="e">
        <v>#N/A</v>
      </c>
    </row>
    <row r="18329" spans="1:1" x14ac:dyDescent="0.25">
      <c r="A18329" t="e">
        <v>#N/A</v>
      </c>
    </row>
    <row r="18330" spans="1:1" x14ac:dyDescent="0.25">
      <c r="A18330" t="e">
        <v>#N/A</v>
      </c>
    </row>
    <row r="18331" spans="1:1" x14ac:dyDescent="0.25">
      <c r="A18331" t="e">
        <v>#N/A</v>
      </c>
    </row>
    <row r="18332" spans="1:1" x14ac:dyDescent="0.25">
      <c r="A18332" t="e">
        <v>#N/A</v>
      </c>
    </row>
    <row r="18333" spans="1:1" x14ac:dyDescent="0.25">
      <c r="A18333" t="e">
        <v>#N/A</v>
      </c>
    </row>
    <row r="18334" spans="1:1" x14ac:dyDescent="0.25">
      <c r="A18334" t="e">
        <v>#N/A</v>
      </c>
    </row>
    <row r="18335" spans="1:1" x14ac:dyDescent="0.25">
      <c r="A18335" t="e">
        <v>#N/A</v>
      </c>
    </row>
    <row r="18336" spans="1:1" x14ac:dyDescent="0.25">
      <c r="A18336" t="e">
        <v>#N/A</v>
      </c>
    </row>
    <row r="18337" spans="1:1" x14ac:dyDescent="0.25">
      <c r="A18337" t="e">
        <v>#N/A</v>
      </c>
    </row>
    <row r="18338" spans="1:1" x14ac:dyDescent="0.25">
      <c r="A18338" t="e">
        <v>#N/A</v>
      </c>
    </row>
    <row r="18339" spans="1:1" x14ac:dyDescent="0.25">
      <c r="A18339" t="e">
        <v>#N/A</v>
      </c>
    </row>
    <row r="18340" spans="1:1" x14ac:dyDescent="0.25">
      <c r="A18340" t="e">
        <v>#N/A</v>
      </c>
    </row>
    <row r="18341" spans="1:1" x14ac:dyDescent="0.25">
      <c r="A18341" t="e">
        <v>#N/A</v>
      </c>
    </row>
    <row r="18342" spans="1:1" x14ac:dyDescent="0.25">
      <c r="A18342" t="e">
        <v>#N/A</v>
      </c>
    </row>
    <row r="18343" spans="1:1" x14ac:dyDescent="0.25">
      <c r="A18343" t="e">
        <v>#N/A</v>
      </c>
    </row>
    <row r="18344" spans="1:1" x14ac:dyDescent="0.25">
      <c r="A18344" t="e">
        <v>#N/A</v>
      </c>
    </row>
    <row r="18345" spans="1:1" x14ac:dyDescent="0.25">
      <c r="A18345" t="e">
        <v>#N/A</v>
      </c>
    </row>
    <row r="18346" spans="1:1" x14ac:dyDescent="0.25">
      <c r="A18346" t="e">
        <v>#N/A</v>
      </c>
    </row>
    <row r="18347" spans="1:1" x14ac:dyDescent="0.25">
      <c r="A18347" t="e">
        <v>#N/A</v>
      </c>
    </row>
    <row r="18348" spans="1:1" x14ac:dyDescent="0.25">
      <c r="A18348" t="e">
        <v>#N/A</v>
      </c>
    </row>
    <row r="18349" spans="1:1" x14ac:dyDescent="0.25">
      <c r="A18349" t="e">
        <v>#N/A</v>
      </c>
    </row>
    <row r="18350" spans="1:1" x14ac:dyDescent="0.25">
      <c r="A18350" t="e">
        <v>#N/A</v>
      </c>
    </row>
    <row r="18351" spans="1:1" x14ac:dyDescent="0.25">
      <c r="A18351" t="e">
        <v>#N/A</v>
      </c>
    </row>
    <row r="18352" spans="1:1" x14ac:dyDescent="0.25">
      <c r="A18352" t="e">
        <v>#N/A</v>
      </c>
    </row>
    <row r="18353" spans="1:1" x14ac:dyDescent="0.25">
      <c r="A18353" t="e">
        <v>#N/A</v>
      </c>
    </row>
    <row r="18354" spans="1:1" x14ac:dyDescent="0.25">
      <c r="A18354" t="e">
        <v>#N/A</v>
      </c>
    </row>
    <row r="18355" spans="1:1" x14ac:dyDescent="0.25">
      <c r="A18355" t="e">
        <v>#N/A</v>
      </c>
    </row>
    <row r="18356" spans="1:1" x14ac:dyDescent="0.25">
      <c r="A18356" t="e">
        <v>#N/A</v>
      </c>
    </row>
    <row r="18357" spans="1:1" x14ac:dyDescent="0.25">
      <c r="A18357" t="e">
        <v>#N/A</v>
      </c>
    </row>
    <row r="18358" spans="1:1" x14ac:dyDescent="0.25">
      <c r="A18358" t="e">
        <v>#N/A</v>
      </c>
    </row>
    <row r="18359" spans="1:1" x14ac:dyDescent="0.25">
      <c r="A18359" t="e">
        <v>#N/A</v>
      </c>
    </row>
    <row r="18360" spans="1:1" x14ac:dyDescent="0.25">
      <c r="A18360" t="e">
        <v>#N/A</v>
      </c>
    </row>
    <row r="18361" spans="1:1" x14ac:dyDescent="0.25">
      <c r="A18361" t="e">
        <v>#N/A</v>
      </c>
    </row>
    <row r="18362" spans="1:1" x14ac:dyDescent="0.25">
      <c r="A18362" t="e">
        <v>#N/A</v>
      </c>
    </row>
    <row r="18363" spans="1:1" x14ac:dyDescent="0.25">
      <c r="A18363" t="e">
        <v>#N/A</v>
      </c>
    </row>
    <row r="18364" spans="1:1" x14ac:dyDescent="0.25">
      <c r="A18364" t="e">
        <v>#N/A</v>
      </c>
    </row>
    <row r="18365" spans="1:1" x14ac:dyDescent="0.25">
      <c r="A18365" t="e">
        <v>#N/A</v>
      </c>
    </row>
    <row r="18366" spans="1:1" x14ac:dyDescent="0.25">
      <c r="A18366" t="e">
        <v>#N/A</v>
      </c>
    </row>
    <row r="18367" spans="1:1" x14ac:dyDescent="0.25">
      <c r="A18367" t="e">
        <v>#N/A</v>
      </c>
    </row>
    <row r="18368" spans="1:1" x14ac:dyDescent="0.25">
      <c r="A18368" t="e">
        <v>#N/A</v>
      </c>
    </row>
    <row r="18369" spans="1:1" x14ac:dyDescent="0.25">
      <c r="A18369" t="e">
        <v>#N/A</v>
      </c>
    </row>
    <row r="18370" spans="1:1" x14ac:dyDescent="0.25">
      <c r="A18370" t="e">
        <v>#N/A</v>
      </c>
    </row>
    <row r="18371" spans="1:1" x14ac:dyDescent="0.25">
      <c r="A18371" t="e">
        <v>#N/A</v>
      </c>
    </row>
    <row r="18372" spans="1:1" x14ac:dyDescent="0.25">
      <c r="A18372" t="e">
        <v>#N/A</v>
      </c>
    </row>
    <row r="18373" spans="1:1" x14ac:dyDescent="0.25">
      <c r="A18373" t="e">
        <v>#N/A</v>
      </c>
    </row>
    <row r="18374" spans="1:1" x14ac:dyDescent="0.25">
      <c r="A18374" t="e">
        <v>#N/A</v>
      </c>
    </row>
    <row r="18375" spans="1:1" x14ac:dyDescent="0.25">
      <c r="A18375" t="e">
        <v>#N/A</v>
      </c>
    </row>
    <row r="18376" spans="1:1" x14ac:dyDescent="0.25">
      <c r="A18376" t="e">
        <v>#N/A</v>
      </c>
    </row>
    <row r="18377" spans="1:1" x14ac:dyDescent="0.25">
      <c r="A18377" t="e">
        <v>#N/A</v>
      </c>
    </row>
    <row r="18378" spans="1:1" x14ac:dyDescent="0.25">
      <c r="A18378" t="e">
        <v>#N/A</v>
      </c>
    </row>
    <row r="18379" spans="1:1" x14ac:dyDescent="0.25">
      <c r="A18379" t="e">
        <v>#N/A</v>
      </c>
    </row>
    <row r="18380" spans="1:1" x14ac:dyDescent="0.25">
      <c r="A18380" t="e">
        <v>#N/A</v>
      </c>
    </row>
    <row r="18381" spans="1:1" x14ac:dyDescent="0.25">
      <c r="A18381" t="e">
        <v>#N/A</v>
      </c>
    </row>
    <row r="18382" spans="1:1" x14ac:dyDescent="0.25">
      <c r="A18382" t="e">
        <v>#N/A</v>
      </c>
    </row>
    <row r="18383" spans="1:1" x14ac:dyDescent="0.25">
      <c r="A18383" t="e">
        <v>#N/A</v>
      </c>
    </row>
    <row r="18384" spans="1:1" x14ac:dyDescent="0.25">
      <c r="A18384" t="e">
        <v>#N/A</v>
      </c>
    </row>
    <row r="18385" spans="1:1" x14ac:dyDescent="0.25">
      <c r="A18385" t="e">
        <v>#N/A</v>
      </c>
    </row>
    <row r="18386" spans="1:1" x14ac:dyDescent="0.25">
      <c r="A18386" t="e">
        <v>#N/A</v>
      </c>
    </row>
    <row r="18387" spans="1:1" x14ac:dyDescent="0.25">
      <c r="A18387" t="e">
        <v>#N/A</v>
      </c>
    </row>
    <row r="18388" spans="1:1" x14ac:dyDescent="0.25">
      <c r="A18388" t="e">
        <v>#N/A</v>
      </c>
    </row>
    <row r="18389" spans="1:1" x14ac:dyDescent="0.25">
      <c r="A18389" t="e">
        <v>#N/A</v>
      </c>
    </row>
    <row r="18390" spans="1:1" x14ac:dyDescent="0.25">
      <c r="A18390" t="e">
        <v>#N/A</v>
      </c>
    </row>
    <row r="18391" spans="1:1" x14ac:dyDescent="0.25">
      <c r="A18391" t="e">
        <v>#N/A</v>
      </c>
    </row>
    <row r="18392" spans="1:1" x14ac:dyDescent="0.25">
      <c r="A18392" t="e">
        <v>#N/A</v>
      </c>
    </row>
    <row r="18393" spans="1:1" x14ac:dyDescent="0.25">
      <c r="A18393" t="e">
        <v>#N/A</v>
      </c>
    </row>
    <row r="18394" spans="1:1" x14ac:dyDescent="0.25">
      <c r="A18394" t="e">
        <v>#N/A</v>
      </c>
    </row>
    <row r="18395" spans="1:1" x14ac:dyDescent="0.25">
      <c r="A18395" t="e">
        <v>#N/A</v>
      </c>
    </row>
    <row r="18396" spans="1:1" x14ac:dyDescent="0.25">
      <c r="A18396" t="e">
        <v>#N/A</v>
      </c>
    </row>
    <row r="18397" spans="1:1" x14ac:dyDescent="0.25">
      <c r="A18397" t="e">
        <v>#N/A</v>
      </c>
    </row>
    <row r="18398" spans="1:1" x14ac:dyDescent="0.25">
      <c r="A18398" t="e">
        <v>#N/A</v>
      </c>
    </row>
    <row r="18399" spans="1:1" x14ac:dyDescent="0.25">
      <c r="A18399" t="e">
        <v>#N/A</v>
      </c>
    </row>
    <row r="18400" spans="1:1" x14ac:dyDescent="0.25">
      <c r="A18400" t="e">
        <v>#N/A</v>
      </c>
    </row>
    <row r="18401" spans="1:1" x14ac:dyDescent="0.25">
      <c r="A18401" t="e">
        <v>#N/A</v>
      </c>
    </row>
    <row r="18402" spans="1:1" x14ac:dyDescent="0.25">
      <c r="A18402" t="e">
        <v>#N/A</v>
      </c>
    </row>
    <row r="18403" spans="1:1" x14ac:dyDescent="0.25">
      <c r="A18403" t="e">
        <v>#N/A</v>
      </c>
    </row>
    <row r="18404" spans="1:1" x14ac:dyDescent="0.25">
      <c r="A18404" t="e">
        <v>#N/A</v>
      </c>
    </row>
    <row r="18405" spans="1:1" x14ac:dyDescent="0.25">
      <c r="A18405" t="e">
        <v>#N/A</v>
      </c>
    </row>
    <row r="18406" spans="1:1" x14ac:dyDescent="0.25">
      <c r="A18406" t="e">
        <v>#N/A</v>
      </c>
    </row>
    <row r="18407" spans="1:1" x14ac:dyDescent="0.25">
      <c r="A18407" t="e">
        <v>#N/A</v>
      </c>
    </row>
    <row r="18408" spans="1:1" x14ac:dyDescent="0.25">
      <c r="A18408" t="e">
        <v>#N/A</v>
      </c>
    </row>
    <row r="18409" spans="1:1" x14ac:dyDescent="0.25">
      <c r="A18409" t="e">
        <v>#N/A</v>
      </c>
    </row>
    <row r="18410" spans="1:1" x14ac:dyDescent="0.25">
      <c r="A18410" t="e">
        <v>#N/A</v>
      </c>
    </row>
    <row r="18411" spans="1:1" x14ac:dyDescent="0.25">
      <c r="A18411" t="e">
        <v>#N/A</v>
      </c>
    </row>
    <row r="18412" spans="1:1" x14ac:dyDescent="0.25">
      <c r="A18412" t="e">
        <v>#N/A</v>
      </c>
    </row>
    <row r="18413" spans="1:1" x14ac:dyDescent="0.25">
      <c r="A18413" t="e">
        <v>#N/A</v>
      </c>
    </row>
    <row r="18414" spans="1:1" x14ac:dyDescent="0.25">
      <c r="A18414" t="e">
        <v>#N/A</v>
      </c>
    </row>
    <row r="18415" spans="1:1" x14ac:dyDescent="0.25">
      <c r="A18415" t="e">
        <v>#N/A</v>
      </c>
    </row>
    <row r="18416" spans="1:1" x14ac:dyDescent="0.25">
      <c r="A18416" t="e">
        <v>#N/A</v>
      </c>
    </row>
    <row r="18417" spans="1:1" x14ac:dyDescent="0.25">
      <c r="A18417" t="e">
        <v>#N/A</v>
      </c>
    </row>
    <row r="18418" spans="1:1" x14ac:dyDescent="0.25">
      <c r="A18418" t="e">
        <v>#N/A</v>
      </c>
    </row>
    <row r="18419" spans="1:1" x14ac:dyDescent="0.25">
      <c r="A18419" t="e">
        <v>#N/A</v>
      </c>
    </row>
    <row r="18420" spans="1:1" x14ac:dyDescent="0.25">
      <c r="A18420" t="e">
        <v>#N/A</v>
      </c>
    </row>
    <row r="18421" spans="1:1" x14ac:dyDescent="0.25">
      <c r="A18421" t="e">
        <v>#N/A</v>
      </c>
    </row>
    <row r="18422" spans="1:1" x14ac:dyDescent="0.25">
      <c r="A18422" t="e">
        <v>#N/A</v>
      </c>
    </row>
    <row r="18423" spans="1:1" x14ac:dyDescent="0.25">
      <c r="A18423" t="e">
        <v>#N/A</v>
      </c>
    </row>
    <row r="18424" spans="1:1" x14ac:dyDescent="0.25">
      <c r="A18424" t="e">
        <v>#N/A</v>
      </c>
    </row>
    <row r="18425" spans="1:1" x14ac:dyDescent="0.25">
      <c r="A18425" t="e">
        <v>#N/A</v>
      </c>
    </row>
    <row r="18426" spans="1:1" x14ac:dyDescent="0.25">
      <c r="A18426" t="e">
        <v>#N/A</v>
      </c>
    </row>
    <row r="18427" spans="1:1" x14ac:dyDescent="0.25">
      <c r="A18427" t="e">
        <v>#N/A</v>
      </c>
    </row>
    <row r="18428" spans="1:1" x14ac:dyDescent="0.25">
      <c r="A18428" t="e">
        <v>#N/A</v>
      </c>
    </row>
    <row r="18429" spans="1:1" x14ac:dyDescent="0.25">
      <c r="A18429" t="e">
        <v>#N/A</v>
      </c>
    </row>
    <row r="18430" spans="1:1" x14ac:dyDescent="0.25">
      <c r="A18430" t="e">
        <v>#N/A</v>
      </c>
    </row>
    <row r="18431" spans="1:1" x14ac:dyDescent="0.25">
      <c r="A18431" t="e">
        <v>#N/A</v>
      </c>
    </row>
    <row r="18432" spans="1:1" x14ac:dyDescent="0.25">
      <c r="A18432" t="e">
        <v>#N/A</v>
      </c>
    </row>
    <row r="18433" spans="1:1" x14ac:dyDescent="0.25">
      <c r="A18433" t="e">
        <v>#N/A</v>
      </c>
    </row>
    <row r="18434" spans="1:1" x14ac:dyDescent="0.25">
      <c r="A18434" t="e">
        <v>#N/A</v>
      </c>
    </row>
    <row r="18435" spans="1:1" x14ac:dyDescent="0.25">
      <c r="A18435" t="e">
        <v>#N/A</v>
      </c>
    </row>
    <row r="18436" spans="1:1" x14ac:dyDescent="0.25">
      <c r="A18436" t="e">
        <v>#N/A</v>
      </c>
    </row>
    <row r="18437" spans="1:1" x14ac:dyDescent="0.25">
      <c r="A18437" t="e">
        <v>#N/A</v>
      </c>
    </row>
    <row r="18438" spans="1:1" x14ac:dyDescent="0.25">
      <c r="A18438" t="e">
        <v>#N/A</v>
      </c>
    </row>
    <row r="18439" spans="1:1" x14ac:dyDescent="0.25">
      <c r="A18439" t="e">
        <v>#N/A</v>
      </c>
    </row>
    <row r="18440" spans="1:1" x14ac:dyDescent="0.25">
      <c r="A18440" t="e">
        <v>#N/A</v>
      </c>
    </row>
    <row r="18441" spans="1:1" x14ac:dyDescent="0.25">
      <c r="A18441" t="e">
        <v>#N/A</v>
      </c>
    </row>
    <row r="18442" spans="1:1" x14ac:dyDescent="0.25">
      <c r="A18442" t="e">
        <v>#N/A</v>
      </c>
    </row>
    <row r="18443" spans="1:1" x14ac:dyDescent="0.25">
      <c r="A18443" t="e">
        <v>#N/A</v>
      </c>
    </row>
    <row r="18444" spans="1:1" x14ac:dyDescent="0.25">
      <c r="A18444" t="e">
        <v>#N/A</v>
      </c>
    </row>
    <row r="18445" spans="1:1" x14ac:dyDescent="0.25">
      <c r="A18445" t="e">
        <v>#N/A</v>
      </c>
    </row>
    <row r="18446" spans="1:1" x14ac:dyDescent="0.25">
      <c r="A18446" t="e">
        <v>#N/A</v>
      </c>
    </row>
    <row r="18447" spans="1:1" x14ac:dyDescent="0.25">
      <c r="A18447" t="e">
        <v>#N/A</v>
      </c>
    </row>
    <row r="18448" spans="1:1" x14ac:dyDescent="0.25">
      <c r="A18448" t="e">
        <v>#N/A</v>
      </c>
    </row>
    <row r="18449" spans="1:1" x14ac:dyDescent="0.25">
      <c r="A18449" t="e">
        <v>#N/A</v>
      </c>
    </row>
    <row r="18450" spans="1:1" x14ac:dyDescent="0.25">
      <c r="A18450" t="e">
        <v>#N/A</v>
      </c>
    </row>
    <row r="18451" spans="1:1" x14ac:dyDescent="0.25">
      <c r="A18451" t="e">
        <v>#N/A</v>
      </c>
    </row>
    <row r="18452" spans="1:1" x14ac:dyDescent="0.25">
      <c r="A18452" t="e">
        <v>#N/A</v>
      </c>
    </row>
    <row r="18453" spans="1:1" x14ac:dyDescent="0.25">
      <c r="A18453" t="e">
        <v>#N/A</v>
      </c>
    </row>
    <row r="18454" spans="1:1" x14ac:dyDescent="0.25">
      <c r="A18454" t="e">
        <v>#N/A</v>
      </c>
    </row>
    <row r="18455" spans="1:1" x14ac:dyDescent="0.25">
      <c r="A18455" t="e">
        <v>#N/A</v>
      </c>
    </row>
    <row r="18456" spans="1:1" x14ac:dyDescent="0.25">
      <c r="A18456" t="e">
        <v>#N/A</v>
      </c>
    </row>
    <row r="18457" spans="1:1" x14ac:dyDescent="0.25">
      <c r="A18457" t="e">
        <v>#N/A</v>
      </c>
    </row>
    <row r="18458" spans="1:1" x14ac:dyDescent="0.25">
      <c r="A18458" t="e">
        <v>#N/A</v>
      </c>
    </row>
    <row r="18459" spans="1:1" x14ac:dyDescent="0.25">
      <c r="A18459" t="e">
        <v>#N/A</v>
      </c>
    </row>
    <row r="18460" spans="1:1" x14ac:dyDescent="0.25">
      <c r="A18460" t="e">
        <v>#N/A</v>
      </c>
    </row>
    <row r="18461" spans="1:1" x14ac:dyDescent="0.25">
      <c r="A18461" t="e">
        <v>#N/A</v>
      </c>
    </row>
    <row r="18462" spans="1:1" x14ac:dyDescent="0.25">
      <c r="A18462" t="e">
        <v>#N/A</v>
      </c>
    </row>
    <row r="18463" spans="1:1" x14ac:dyDescent="0.25">
      <c r="A18463" t="e">
        <v>#N/A</v>
      </c>
    </row>
    <row r="18464" spans="1:1" x14ac:dyDescent="0.25">
      <c r="A18464" t="e">
        <v>#N/A</v>
      </c>
    </row>
    <row r="18465" spans="1:1" x14ac:dyDescent="0.25">
      <c r="A18465" t="e">
        <v>#N/A</v>
      </c>
    </row>
    <row r="18466" spans="1:1" x14ac:dyDescent="0.25">
      <c r="A18466" t="e">
        <v>#N/A</v>
      </c>
    </row>
    <row r="18467" spans="1:1" x14ac:dyDescent="0.25">
      <c r="A18467" t="e">
        <v>#N/A</v>
      </c>
    </row>
    <row r="18468" spans="1:1" x14ac:dyDescent="0.25">
      <c r="A18468" t="e">
        <v>#N/A</v>
      </c>
    </row>
    <row r="18469" spans="1:1" x14ac:dyDescent="0.25">
      <c r="A18469" t="e">
        <v>#N/A</v>
      </c>
    </row>
    <row r="18470" spans="1:1" x14ac:dyDescent="0.25">
      <c r="A18470" t="e">
        <v>#N/A</v>
      </c>
    </row>
    <row r="18471" spans="1:1" x14ac:dyDescent="0.25">
      <c r="A18471" t="e">
        <v>#N/A</v>
      </c>
    </row>
    <row r="18472" spans="1:1" x14ac:dyDescent="0.25">
      <c r="A18472" t="e">
        <v>#N/A</v>
      </c>
    </row>
    <row r="18473" spans="1:1" x14ac:dyDescent="0.25">
      <c r="A18473" t="e">
        <v>#N/A</v>
      </c>
    </row>
    <row r="18474" spans="1:1" x14ac:dyDescent="0.25">
      <c r="A18474" t="e">
        <v>#N/A</v>
      </c>
    </row>
    <row r="18475" spans="1:1" x14ac:dyDescent="0.25">
      <c r="A18475" t="e">
        <v>#N/A</v>
      </c>
    </row>
    <row r="18476" spans="1:1" x14ac:dyDescent="0.25">
      <c r="A18476" t="e">
        <v>#N/A</v>
      </c>
    </row>
    <row r="18477" spans="1:1" x14ac:dyDescent="0.25">
      <c r="A18477" t="e">
        <v>#N/A</v>
      </c>
    </row>
    <row r="18478" spans="1:1" x14ac:dyDescent="0.25">
      <c r="A18478" t="e">
        <v>#N/A</v>
      </c>
    </row>
    <row r="18479" spans="1:1" x14ac:dyDescent="0.25">
      <c r="A18479" t="e">
        <v>#N/A</v>
      </c>
    </row>
    <row r="18480" spans="1:1" x14ac:dyDescent="0.25">
      <c r="A18480" t="e">
        <v>#N/A</v>
      </c>
    </row>
    <row r="18481" spans="1:1" x14ac:dyDescent="0.25">
      <c r="A18481" t="e">
        <v>#N/A</v>
      </c>
    </row>
    <row r="18482" spans="1:1" x14ac:dyDescent="0.25">
      <c r="A18482" t="e">
        <v>#N/A</v>
      </c>
    </row>
    <row r="18483" spans="1:1" x14ac:dyDescent="0.25">
      <c r="A18483" t="e">
        <v>#N/A</v>
      </c>
    </row>
    <row r="18484" spans="1:1" x14ac:dyDescent="0.25">
      <c r="A18484" t="e">
        <v>#N/A</v>
      </c>
    </row>
    <row r="18485" spans="1:1" x14ac:dyDescent="0.25">
      <c r="A18485" t="e">
        <v>#N/A</v>
      </c>
    </row>
    <row r="18486" spans="1:1" x14ac:dyDescent="0.25">
      <c r="A18486" t="e">
        <v>#N/A</v>
      </c>
    </row>
    <row r="18487" spans="1:1" x14ac:dyDescent="0.25">
      <c r="A18487" t="e">
        <v>#N/A</v>
      </c>
    </row>
    <row r="18488" spans="1:1" x14ac:dyDescent="0.25">
      <c r="A18488" t="e">
        <v>#N/A</v>
      </c>
    </row>
    <row r="18489" spans="1:1" x14ac:dyDescent="0.25">
      <c r="A18489" t="e">
        <v>#N/A</v>
      </c>
    </row>
    <row r="18490" spans="1:1" x14ac:dyDescent="0.25">
      <c r="A18490" t="e">
        <v>#N/A</v>
      </c>
    </row>
    <row r="18491" spans="1:1" x14ac:dyDescent="0.25">
      <c r="A18491" t="e">
        <v>#N/A</v>
      </c>
    </row>
    <row r="18492" spans="1:1" x14ac:dyDescent="0.25">
      <c r="A18492" t="e">
        <v>#N/A</v>
      </c>
    </row>
    <row r="18493" spans="1:1" x14ac:dyDescent="0.25">
      <c r="A18493" t="e">
        <v>#N/A</v>
      </c>
    </row>
    <row r="18494" spans="1:1" x14ac:dyDescent="0.25">
      <c r="A18494" t="e">
        <v>#N/A</v>
      </c>
    </row>
    <row r="18495" spans="1:1" x14ac:dyDescent="0.25">
      <c r="A18495" t="e">
        <v>#N/A</v>
      </c>
    </row>
    <row r="18496" spans="1:1" x14ac:dyDescent="0.25">
      <c r="A18496" t="e">
        <v>#N/A</v>
      </c>
    </row>
    <row r="18497" spans="1:1" x14ac:dyDescent="0.25">
      <c r="A18497" t="e">
        <v>#N/A</v>
      </c>
    </row>
    <row r="18498" spans="1:1" x14ac:dyDescent="0.25">
      <c r="A18498" t="e">
        <v>#N/A</v>
      </c>
    </row>
    <row r="18499" spans="1:1" x14ac:dyDescent="0.25">
      <c r="A18499" t="e">
        <v>#N/A</v>
      </c>
    </row>
    <row r="18500" spans="1:1" x14ac:dyDescent="0.25">
      <c r="A18500" t="e">
        <v>#N/A</v>
      </c>
    </row>
    <row r="18501" spans="1:1" x14ac:dyDescent="0.25">
      <c r="A18501" t="e">
        <v>#N/A</v>
      </c>
    </row>
    <row r="18502" spans="1:1" x14ac:dyDescent="0.25">
      <c r="A18502" t="e">
        <v>#N/A</v>
      </c>
    </row>
    <row r="18503" spans="1:1" x14ac:dyDescent="0.25">
      <c r="A18503" t="e">
        <v>#N/A</v>
      </c>
    </row>
    <row r="18504" spans="1:1" x14ac:dyDescent="0.25">
      <c r="A18504" t="e">
        <v>#N/A</v>
      </c>
    </row>
    <row r="18505" spans="1:1" x14ac:dyDescent="0.25">
      <c r="A18505" t="e">
        <v>#N/A</v>
      </c>
    </row>
    <row r="18506" spans="1:1" x14ac:dyDescent="0.25">
      <c r="A18506" t="e">
        <v>#N/A</v>
      </c>
    </row>
    <row r="18507" spans="1:1" x14ac:dyDescent="0.25">
      <c r="A18507" t="e">
        <v>#N/A</v>
      </c>
    </row>
    <row r="18508" spans="1:1" x14ac:dyDescent="0.25">
      <c r="A18508" t="e">
        <v>#N/A</v>
      </c>
    </row>
    <row r="18509" spans="1:1" x14ac:dyDescent="0.25">
      <c r="A18509" t="e">
        <v>#N/A</v>
      </c>
    </row>
    <row r="18510" spans="1:1" x14ac:dyDescent="0.25">
      <c r="A18510" t="e">
        <v>#N/A</v>
      </c>
    </row>
    <row r="18511" spans="1:1" x14ac:dyDescent="0.25">
      <c r="A18511" t="e">
        <v>#N/A</v>
      </c>
    </row>
    <row r="18512" spans="1:1" x14ac:dyDescent="0.25">
      <c r="A18512" t="e">
        <v>#N/A</v>
      </c>
    </row>
    <row r="18513" spans="1:1" x14ac:dyDescent="0.25">
      <c r="A18513" t="e">
        <v>#N/A</v>
      </c>
    </row>
    <row r="18514" spans="1:1" x14ac:dyDescent="0.25">
      <c r="A18514" t="e">
        <v>#N/A</v>
      </c>
    </row>
    <row r="18515" spans="1:1" x14ac:dyDescent="0.25">
      <c r="A18515" t="e">
        <v>#N/A</v>
      </c>
    </row>
    <row r="18516" spans="1:1" x14ac:dyDescent="0.25">
      <c r="A18516" t="e">
        <v>#N/A</v>
      </c>
    </row>
    <row r="18517" spans="1:1" x14ac:dyDescent="0.25">
      <c r="A18517" t="e">
        <v>#N/A</v>
      </c>
    </row>
    <row r="18518" spans="1:1" x14ac:dyDescent="0.25">
      <c r="A18518" t="e">
        <v>#N/A</v>
      </c>
    </row>
    <row r="18519" spans="1:1" x14ac:dyDescent="0.25">
      <c r="A18519" t="e">
        <v>#N/A</v>
      </c>
    </row>
    <row r="18520" spans="1:1" x14ac:dyDescent="0.25">
      <c r="A18520" t="e">
        <v>#N/A</v>
      </c>
    </row>
    <row r="18521" spans="1:1" x14ac:dyDescent="0.25">
      <c r="A18521" t="e">
        <v>#N/A</v>
      </c>
    </row>
    <row r="18522" spans="1:1" x14ac:dyDescent="0.25">
      <c r="A18522" t="e">
        <v>#N/A</v>
      </c>
    </row>
    <row r="18523" spans="1:1" x14ac:dyDescent="0.25">
      <c r="A18523" t="e">
        <v>#N/A</v>
      </c>
    </row>
    <row r="18524" spans="1:1" x14ac:dyDescent="0.25">
      <c r="A18524" t="e">
        <v>#N/A</v>
      </c>
    </row>
    <row r="18525" spans="1:1" x14ac:dyDescent="0.25">
      <c r="A18525" t="e">
        <v>#N/A</v>
      </c>
    </row>
    <row r="18526" spans="1:1" x14ac:dyDescent="0.25">
      <c r="A18526" t="e">
        <v>#N/A</v>
      </c>
    </row>
    <row r="18527" spans="1:1" x14ac:dyDescent="0.25">
      <c r="A18527" t="e">
        <v>#N/A</v>
      </c>
    </row>
    <row r="18528" spans="1:1" x14ac:dyDescent="0.25">
      <c r="A18528" t="e">
        <v>#N/A</v>
      </c>
    </row>
    <row r="18529" spans="1:1" x14ac:dyDescent="0.25">
      <c r="A18529" t="e">
        <v>#N/A</v>
      </c>
    </row>
    <row r="18530" spans="1:1" x14ac:dyDescent="0.25">
      <c r="A18530" t="e">
        <v>#N/A</v>
      </c>
    </row>
    <row r="18531" spans="1:1" x14ac:dyDescent="0.25">
      <c r="A18531" t="e">
        <v>#N/A</v>
      </c>
    </row>
    <row r="18532" spans="1:1" x14ac:dyDescent="0.25">
      <c r="A18532" t="e">
        <v>#N/A</v>
      </c>
    </row>
    <row r="18533" spans="1:1" x14ac:dyDescent="0.25">
      <c r="A18533" t="e">
        <v>#N/A</v>
      </c>
    </row>
    <row r="18534" spans="1:1" x14ac:dyDescent="0.25">
      <c r="A18534" t="e">
        <v>#N/A</v>
      </c>
    </row>
    <row r="18535" spans="1:1" x14ac:dyDescent="0.25">
      <c r="A18535" t="e">
        <v>#N/A</v>
      </c>
    </row>
    <row r="18536" spans="1:1" x14ac:dyDescent="0.25">
      <c r="A18536" t="e">
        <v>#N/A</v>
      </c>
    </row>
    <row r="18537" spans="1:1" x14ac:dyDescent="0.25">
      <c r="A18537" t="e">
        <v>#N/A</v>
      </c>
    </row>
    <row r="18538" spans="1:1" x14ac:dyDescent="0.25">
      <c r="A18538" t="e">
        <v>#N/A</v>
      </c>
    </row>
    <row r="18539" spans="1:1" x14ac:dyDescent="0.25">
      <c r="A18539" t="e">
        <v>#N/A</v>
      </c>
    </row>
    <row r="18540" spans="1:1" x14ac:dyDescent="0.25">
      <c r="A18540" t="e">
        <v>#N/A</v>
      </c>
    </row>
    <row r="18541" spans="1:1" x14ac:dyDescent="0.25">
      <c r="A18541" t="e">
        <v>#N/A</v>
      </c>
    </row>
    <row r="18542" spans="1:1" x14ac:dyDescent="0.25">
      <c r="A18542" t="e">
        <v>#N/A</v>
      </c>
    </row>
    <row r="18543" spans="1:1" x14ac:dyDescent="0.25">
      <c r="A18543" t="e">
        <v>#N/A</v>
      </c>
    </row>
    <row r="18544" spans="1:1" x14ac:dyDescent="0.25">
      <c r="A18544" t="e">
        <v>#N/A</v>
      </c>
    </row>
    <row r="18545" spans="1:1" x14ac:dyDescent="0.25">
      <c r="A18545" t="e">
        <v>#N/A</v>
      </c>
    </row>
    <row r="18546" spans="1:1" x14ac:dyDescent="0.25">
      <c r="A18546" t="e">
        <v>#N/A</v>
      </c>
    </row>
    <row r="18547" spans="1:1" x14ac:dyDescent="0.25">
      <c r="A18547" t="e">
        <v>#N/A</v>
      </c>
    </row>
    <row r="18548" spans="1:1" x14ac:dyDescent="0.25">
      <c r="A18548" t="e">
        <v>#N/A</v>
      </c>
    </row>
    <row r="18549" spans="1:1" x14ac:dyDescent="0.25">
      <c r="A18549" t="e">
        <v>#N/A</v>
      </c>
    </row>
    <row r="18550" spans="1:1" x14ac:dyDescent="0.25">
      <c r="A18550" t="e">
        <v>#N/A</v>
      </c>
    </row>
    <row r="18551" spans="1:1" x14ac:dyDescent="0.25">
      <c r="A18551" t="e">
        <v>#N/A</v>
      </c>
    </row>
    <row r="18552" spans="1:1" x14ac:dyDescent="0.25">
      <c r="A18552" t="e">
        <v>#N/A</v>
      </c>
    </row>
    <row r="18553" spans="1:1" x14ac:dyDescent="0.25">
      <c r="A18553" t="e">
        <v>#N/A</v>
      </c>
    </row>
    <row r="18554" spans="1:1" x14ac:dyDescent="0.25">
      <c r="A18554" t="e">
        <v>#N/A</v>
      </c>
    </row>
    <row r="18555" spans="1:1" x14ac:dyDescent="0.25">
      <c r="A18555" t="e">
        <v>#N/A</v>
      </c>
    </row>
    <row r="18556" spans="1:1" x14ac:dyDescent="0.25">
      <c r="A18556" t="e">
        <v>#N/A</v>
      </c>
    </row>
    <row r="18557" spans="1:1" x14ac:dyDescent="0.25">
      <c r="A18557" t="e">
        <v>#N/A</v>
      </c>
    </row>
    <row r="18558" spans="1:1" x14ac:dyDescent="0.25">
      <c r="A18558" t="e">
        <v>#N/A</v>
      </c>
    </row>
    <row r="18559" spans="1:1" x14ac:dyDescent="0.25">
      <c r="A18559" t="e">
        <v>#N/A</v>
      </c>
    </row>
    <row r="18560" spans="1:1" x14ac:dyDescent="0.25">
      <c r="A18560" t="e">
        <v>#N/A</v>
      </c>
    </row>
    <row r="18561" spans="1:1" x14ac:dyDescent="0.25">
      <c r="A18561" t="e">
        <v>#N/A</v>
      </c>
    </row>
    <row r="18562" spans="1:1" x14ac:dyDescent="0.25">
      <c r="A18562" t="e">
        <v>#N/A</v>
      </c>
    </row>
    <row r="18563" spans="1:1" x14ac:dyDescent="0.25">
      <c r="A18563" t="e">
        <v>#N/A</v>
      </c>
    </row>
    <row r="18564" spans="1:1" x14ac:dyDescent="0.25">
      <c r="A18564" t="e">
        <v>#N/A</v>
      </c>
    </row>
    <row r="18565" spans="1:1" x14ac:dyDescent="0.25">
      <c r="A18565" t="e">
        <v>#N/A</v>
      </c>
    </row>
    <row r="18566" spans="1:1" x14ac:dyDescent="0.25">
      <c r="A18566" t="e">
        <v>#N/A</v>
      </c>
    </row>
    <row r="18567" spans="1:1" x14ac:dyDescent="0.25">
      <c r="A18567" t="e">
        <v>#N/A</v>
      </c>
    </row>
    <row r="18568" spans="1:1" x14ac:dyDescent="0.25">
      <c r="A18568" t="e">
        <v>#N/A</v>
      </c>
    </row>
    <row r="18569" spans="1:1" x14ac:dyDescent="0.25">
      <c r="A18569" t="e">
        <v>#N/A</v>
      </c>
    </row>
    <row r="18570" spans="1:1" x14ac:dyDescent="0.25">
      <c r="A18570" t="e">
        <v>#N/A</v>
      </c>
    </row>
    <row r="18571" spans="1:1" x14ac:dyDescent="0.25">
      <c r="A18571" t="e">
        <v>#N/A</v>
      </c>
    </row>
    <row r="18572" spans="1:1" x14ac:dyDescent="0.25">
      <c r="A18572" t="e">
        <v>#N/A</v>
      </c>
    </row>
    <row r="18573" spans="1:1" x14ac:dyDescent="0.25">
      <c r="A18573" t="e">
        <v>#N/A</v>
      </c>
    </row>
    <row r="18574" spans="1:1" x14ac:dyDescent="0.25">
      <c r="A18574" t="e">
        <v>#N/A</v>
      </c>
    </row>
    <row r="18575" spans="1:1" x14ac:dyDescent="0.25">
      <c r="A18575" t="e">
        <v>#N/A</v>
      </c>
    </row>
    <row r="18576" spans="1:1" x14ac:dyDescent="0.25">
      <c r="A18576" t="e">
        <v>#N/A</v>
      </c>
    </row>
    <row r="18577" spans="1:1" x14ac:dyDescent="0.25">
      <c r="A18577" t="e">
        <v>#N/A</v>
      </c>
    </row>
    <row r="18578" spans="1:1" x14ac:dyDescent="0.25">
      <c r="A18578" t="e">
        <v>#N/A</v>
      </c>
    </row>
    <row r="18579" spans="1:1" x14ac:dyDescent="0.25">
      <c r="A18579" t="e">
        <v>#N/A</v>
      </c>
    </row>
    <row r="18580" spans="1:1" x14ac:dyDescent="0.25">
      <c r="A18580" t="e">
        <v>#N/A</v>
      </c>
    </row>
    <row r="18581" spans="1:1" x14ac:dyDescent="0.25">
      <c r="A18581" t="e">
        <v>#N/A</v>
      </c>
    </row>
    <row r="18582" spans="1:1" x14ac:dyDescent="0.25">
      <c r="A18582" t="e">
        <v>#N/A</v>
      </c>
    </row>
    <row r="18583" spans="1:1" x14ac:dyDescent="0.25">
      <c r="A18583" t="e">
        <v>#N/A</v>
      </c>
    </row>
    <row r="18584" spans="1:1" x14ac:dyDescent="0.25">
      <c r="A18584" t="e">
        <v>#N/A</v>
      </c>
    </row>
    <row r="18585" spans="1:1" x14ac:dyDescent="0.25">
      <c r="A18585" t="e">
        <v>#N/A</v>
      </c>
    </row>
    <row r="18586" spans="1:1" x14ac:dyDescent="0.25">
      <c r="A18586" t="e">
        <v>#N/A</v>
      </c>
    </row>
    <row r="18587" spans="1:1" x14ac:dyDescent="0.25">
      <c r="A18587" t="e">
        <v>#N/A</v>
      </c>
    </row>
    <row r="18588" spans="1:1" x14ac:dyDescent="0.25">
      <c r="A18588" t="e">
        <v>#N/A</v>
      </c>
    </row>
    <row r="18589" spans="1:1" x14ac:dyDescent="0.25">
      <c r="A18589" t="e">
        <v>#N/A</v>
      </c>
    </row>
    <row r="18590" spans="1:1" x14ac:dyDescent="0.25">
      <c r="A18590" t="e">
        <v>#N/A</v>
      </c>
    </row>
    <row r="18591" spans="1:1" x14ac:dyDescent="0.25">
      <c r="A18591" t="e">
        <v>#N/A</v>
      </c>
    </row>
    <row r="18592" spans="1:1" x14ac:dyDescent="0.25">
      <c r="A18592" t="e">
        <v>#N/A</v>
      </c>
    </row>
    <row r="18593" spans="1:1" x14ac:dyDescent="0.25">
      <c r="A18593" t="e">
        <v>#N/A</v>
      </c>
    </row>
    <row r="18594" spans="1:1" x14ac:dyDescent="0.25">
      <c r="A18594" t="e">
        <v>#N/A</v>
      </c>
    </row>
    <row r="18595" spans="1:1" x14ac:dyDescent="0.25">
      <c r="A18595" t="e">
        <v>#N/A</v>
      </c>
    </row>
    <row r="18596" spans="1:1" x14ac:dyDescent="0.25">
      <c r="A18596" t="e">
        <v>#N/A</v>
      </c>
    </row>
    <row r="18597" spans="1:1" x14ac:dyDescent="0.25">
      <c r="A18597" t="e">
        <v>#N/A</v>
      </c>
    </row>
    <row r="18598" spans="1:1" x14ac:dyDescent="0.25">
      <c r="A18598" t="e">
        <v>#N/A</v>
      </c>
    </row>
    <row r="18599" spans="1:1" x14ac:dyDescent="0.25">
      <c r="A18599" t="e">
        <v>#N/A</v>
      </c>
    </row>
    <row r="18600" spans="1:1" x14ac:dyDescent="0.25">
      <c r="A18600" t="e">
        <v>#N/A</v>
      </c>
    </row>
    <row r="18601" spans="1:1" x14ac:dyDescent="0.25">
      <c r="A18601" t="e">
        <v>#N/A</v>
      </c>
    </row>
    <row r="18602" spans="1:1" x14ac:dyDescent="0.25">
      <c r="A18602" t="e">
        <v>#N/A</v>
      </c>
    </row>
    <row r="18603" spans="1:1" x14ac:dyDescent="0.25">
      <c r="A18603" t="e">
        <v>#N/A</v>
      </c>
    </row>
    <row r="18604" spans="1:1" x14ac:dyDescent="0.25">
      <c r="A18604" t="e">
        <v>#N/A</v>
      </c>
    </row>
    <row r="18605" spans="1:1" x14ac:dyDescent="0.25">
      <c r="A18605" t="e">
        <v>#N/A</v>
      </c>
    </row>
    <row r="18606" spans="1:1" x14ac:dyDescent="0.25">
      <c r="A18606" t="e">
        <v>#N/A</v>
      </c>
    </row>
    <row r="18607" spans="1:1" x14ac:dyDescent="0.25">
      <c r="A18607" t="e">
        <v>#N/A</v>
      </c>
    </row>
    <row r="18608" spans="1:1" x14ac:dyDescent="0.25">
      <c r="A18608" t="e">
        <v>#N/A</v>
      </c>
    </row>
    <row r="18609" spans="1:1" x14ac:dyDescent="0.25">
      <c r="A18609" t="e">
        <v>#N/A</v>
      </c>
    </row>
    <row r="18610" spans="1:1" x14ac:dyDescent="0.25">
      <c r="A18610" t="e">
        <v>#N/A</v>
      </c>
    </row>
    <row r="18611" spans="1:1" x14ac:dyDescent="0.25">
      <c r="A18611" t="e">
        <v>#N/A</v>
      </c>
    </row>
    <row r="18612" spans="1:1" x14ac:dyDescent="0.25">
      <c r="A18612" t="e">
        <v>#N/A</v>
      </c>
    </row>
    <row r="18613" spans="1:1" x14ac:dyDescent="0.25">
      <c r="A18613" t="e">
        <v>#N/A</v>
      </c>
    </row>
    <row r="18614" spans="1:1" x14ac:dyDescent="0.25">
      <c r="A18614" t="e">
        <v>#N/A</v>
      </c>
    </row>
    <row r="18615" spans="1:1" x14ac:dyDescent="0.25">
      <c r="A18615" t="e">
        <v>#N/A</v>
      </c>
    </row>
    <row r="18616" spans="1:1" x14ac:dyDescent="0.25">
      <c r="A18616" t="e">
        <v>#N/A</v>
      </c>
    </row>
    <row r="18617" spans="1:1" x14ac:dyDescent="0.25">
      <c r="A18617" t="e">
        <v>#N/A</v>
      </c>
    </row>
    <row r="18618" spans="1:1" x14ac:dyDescent="0.25">
      <c r="A18618" t="e">
        <v>#N/A</v>
      </c>
    </row>
    <row r="18619" spans="1:1" x14ac:dyDescent="0.25">
      <c r="A18619" t="e">
        <v>#N/A</v>
      </c>
    </row>
    <row r="18620" spans="1:1" x14ac:dyDescent="0.25">
      <c r="A18620" t="e">
        <v>#N/A</v>
      </c>
    </row>
    <row r="18621" spans="1:1" x14ac:dyDescent="0.25">
      <c r="A18621" t="e">
        <v>#N/A</v>
      </c>
    </row>
    <row r="18622" spans="1:1" x14ac:dyDescent="0.25">
      <c r="A18622" t="e">
        <v>#N/A</v>
      </c>
    </row>
    <row r="18623" spans="1:1" x14ac:dyDescent="0.25">
      <c r="A18623" t="e">
        <v>#N/A</v>
      </c>
    </row>
    <row r="18624" spans="1:1" x14ac:dyDescent="0.25">
      <c r="A18624" t="e">
        <v>#N/A</v>
      </c>
    </row>
    <row r="18625" spans="1:1" x14ac:dyDescent="0.25">
      <c r="A18625" t="e">
        <v>#N/A</v>
      </c>
    </row>
    <row r="18626" spans="1:1" x14ac:dyDescent="0.25">
      <c r="A18626" t="e">
        <v>#N/A</v>
      </c>
    </row>
    <row r="18627" spans="1:1" x14ac:dyDescent="0.25">
      <c r="A18627" t="e">
        <v>#N/A</v>
      </c>
    </row>
    <row r="18628" spans="1:1" x14ac:dyDescent="0.25">
      <c r="A18628" t="e">
        <v>#N/A</v>
      </c>
    </row>
    <row r="18629" spans="1:1" x14ac:dyDescent="0.25">
      <c r="A18629" t="e">
        <v>#N/A</v>
      </c>
    </row>
    <row r="18630" spans="1:1" x14ac:dyDescent="0.25">
      <c r="A18630" t="e">
        <v>#N/A</v>
      </c>
    </row>
    <row r="18631" spans="1:1" x14ac:dyDescent="0.25">
      <c r="A18631" t="e">
        <v>#N/A</v>
      </c>
    </row>
    <row r="18632" spans="1:1" x14ac:dyDescent="0.25">
      <c r="A18632" t="e">
        <v>#N/A</v>
      </c>
    </row>
    <row r="18633" spans="1:1" x14ac:dyDescent="0.25">
      <c r="A18633" t="e">
        <v>#N/A</v>
      </c>
    </row>
    <row r="18634" spans="1:1" x14ac:dyDescent="0.25">
      <c r="A18634" t="e">
        <v>#N/A</v>
      </c>
    </row>
    <row r="18635" spans="1:1" x14ac:dyDescent="0.25">
      <c r="A18635" t="e">
        <v>#N/A</v>
      </c>
    </row>
    <row r="18636" spans="1:1" x14ac:dyDescent="0.25">
      <c r="A18636" t="e">
        <v>#N/A</v>
      </c>
    </row>
    <row r="18637" spans="1:1" x14ac:dyDescent="0.25">
      <c r="A18637" t="e">
        <v>#N/A</v>
      </c>
    </row>
    <row r="18638" spans="1:1" x14ac:dyDescent="0.25">
      <c r="A18638" t="e">
        <v>#N/A</v>
      </c>
    </row>
    <row r="18639" spans="1:1" x14ac:dyDescent="0.25">
      <c r="A18639" t="e">
        <v>#N/A</v>
      </c>
    </row>
    <row r="18640" spans="1:1" x14ac:dyDescent="0.25">
      <c r="A18640" t="e">
        <v>#N/A</v>
      </c>
    </row>
    <row r="18641" spans="1:1" x14ac:dyDescent="0.25">
      <c r="A18641" t="e">
        <v>#N/A</v>
      </c>
    </row>
    <row r="18642" spans="1:1" x14ac:dyDescent="0.25">
      <c r="A18642" t="e">
        <v>#N/A</v>
      </c>
    </row>
    <row r="18643" spans="1:1" x14ac:dyDescent="0.25">
      <c r="A18643" t="e">
        <v>#N/A</v>
      </c>
    </row>
    <row r="18644" spans="1:1" x14ac:dyDescent="0.25">
      <c r="A18644" t="e">
        <v>#N/A</v>
      </c>
    </row>
    <row r="18645" spans="1:1" x14ac:dyDescent="0.25">
      <c r="A18645" t="e">
        <v>#N/A</v>
      </c>
    </row>
    <row r="18646" spans="1:1" x14ac:dyDescent="0.25">
      <c r="A18646" t="e">
        <v>#N/A</v>
      </c>
    </row>
    <row r="18647" spans="1:1" x14ac:dyDescent="0.25">
      <c r="A18647" t="e">
        <v>#N/A</v>
      </c>
    </row>
    <row r="18648" spans="1:1" x14ac:dyDescent="0.25">
      <c r="A18648" t="e">
        <v>#N/A</v>
      </c>
    </row>
    <row r="18649" spans="1:1" x14ac:dyDescent="0.25">
      <c r="A18649" t="e">
        <v>#N/A</v>
      </c>
    </row>
    <row r="18650" spans="1:1" x14ac:dyDescent="0.25">
      <c r="A18650" t="e">
        <v>#N/A</v>
      </c>
    </row>
    <row r="18651" spans="1:1" x14ac:dyDescent="0.25">
      <c r="A18651" t="e">
        <v>#N/A</v>
      </c>
    </row>
    <row r="18652" spans="1:1" x14ac:dyDescent="0.25">
      <c r="A18652" t="e">
        <v>#N/A</v>
      </c>
    </row>
    <row r="18653" spans="1:1" x14ac:dyDescent="0.25">
      <c r="A18653" t="e">
        <v>#N/A</v>
      </c>
    </row>
    <row r="18654" spans="1:1" x14ac:dyDescent="0.25">
      <c r="A18654" t="e">
        <v>#N/A</v>
      </c>
    </row>
    <row r="18655" spans="1:1" x14ac:dyDescent="0.25">
      <c r="A18655" t="e">
        <v>#N/A</v>
      </c>
    </row>
    <row r="18656" spans="1:1" x14ac:dyDescent="0.25">
      <c r="A18656" t="e">
        <v>#N/A</v>
      </c>
    </row>
    <row r="18657" spans="1:1" x14ac:dyDescent="0.25">
      <c r="A18657" t="e">
        <v>#N/A</v>
      </c>
    </row>
    <row r="18658" spans="1:1" x14ac:dyDescent="0.25">
      <c r="A18658" t="e">
        <v>#N/A</v>
      </c>
    </row>
    <row r="18659" spans="1:1" x14ac:dyDescent="0.25">
      <c r="A18659" t="e">
        <v>#N/A</v>
      </c>
    </row>
    <row r="18660" spans="1:1" x14ac:dyDescent="0.25">
      <c r="A18660" t="e">
        <v>#N/A</v>
      </c>
    </row>
    <row r="18661" spans="1:1" x14ac:dyDescent="0.25">
      <c r="A18661" t="e">
        <v>#N/A</v>
      </c>
    </row>
    <row r="18662" spans="1:1" x14ac:dyDescent="0.25">
      <c r="A18662" t="e">
        <v>#N/A</v>
      </c>
    </row>
    <row r="18663" spans="1:1" x14ac:dyDescent="0.25">
      <c r="A18663" t="e">
        <v>#N/A</v>
      </c>
    </row>
    <row r="18664" spans="1:1" x14ac:dyDescent="0.25">
      <c r="A18664" t="e">
        <v>#N/A</v>
      </c>
    </row>
    <row r="18665" spans="1:1" x14ac:dyDescent="0.25">
      <c r="A18665" t="e">
        <v>#N/A</v>
      </c>
    </row>
    <row r="18666" spans="1:1" x14ac:dyDescent="0.25">
      <c r="A18666" t="e">
        <v>#N/A</v>
      </c>
    </row>
    <row r="18667" spans="1:1" x14ac:dyDescent="0.25">
      <c r="A18667" t="e">
        <v>#N/A</v>
      </c>
    </row>
    <row r="18668" spans="1:1" x14ac:dyDescent="0.25">
      <c r="A18668" t="e">
        <v>#N/A</v>
      </c>
    </row>
    <row r="18669" spans="1:1" x14ac:dyDescent="0.25">
      <c r="A18669" t="e">
        <v>#N/A</v>
      </c>
    </row>
    <row r="18670" spans="1:1" x14ac:dyDescent="0.25">
      <c r="A18670" t="e">
        <v>#N/A</v>
      </c>
    </row>
    <row r="18671" spans="1:1" x14ac:dyDescent="0.25">
      <c r="A18671" t="e">
        <v>#N/A</v>
      </c>
    </row>
    <row r="18672" spans="1:1" x14ac:dyDescent="0.25">
      <c r="A18672" t="e">
        <v>#N/A</v>
      </c>
    </row>
    <row r="18673" spans="1:1" x14ac:dyDescent="0.25">
      <c r="A18673" t="e">
        <v>#N/A</v>
      </c>
    </row>
    <row r="18674" spans="1:1" x14ac:dyDescent="0.25">
      <c r="A18674" t="e">
        <v>#N/A</v>
      </c>
    </row>
    <row r="18675" spans="1:1" x14ac:dyDescent="0.25">
      <c r="A18675" t="e">
        <v>#N/A</v>
      </c>
    </row>
    <row r="18676" spans="1:1" x14ac:dyDescent="0.25">
      <c r="A18676" t="e">
        <v>#N/A</v>
      </c>
    </row>
    <row r="18677" spans="1:1" x14ac:dyDescent="0.25">
      <c r="A18677" t="e">
        <v>#N/A</v>
      </c>
    </row>
    <row r="18678" spans="1:1" x14ac:dyDescent="0.25">
      <c r="A18678" t="e">
        <v>#N/A</v>
      </c>
    </row>
    <row r="18679" spans="1:1" x14ac:dyDescent="0.25">
      <c r="A18679" t="e">
        <v>#N/A</v>
      </c>
    </row>
    <row r="18680" spans="1:1" x14ac:dyDescent="0.25">
      <c r="A18680" t="e">
        <v>#N/A</v>
      </c>
    </row>
    <row r="18681" spans="1:1" x14ac:dyDescent="0.25">
      <c r="A18681" t="e">
        <v>#N/A</v>
      </c>
    </row>
    <row r="18682" spans="1:1" x14ac:dyDescent="0.25">
      <c r="A18682" t="e">
        <v>#N/A</v>
      </c>
    </row>
    <row r="18683" spans="1:1" x14ac:dyDescent="0.25">
      <c r="A18683" t="e">
        <v>#N/A</v>
      </c>
    </row>
    <row r="18684" spans="1:1" x14ac:dyDescent="0.25">
      <c r="A18684" t="e">
        <v>#N/A</v>
      </c>
    </row>
    <row r="18685" spans="1:1" x14ac:dyDescent="0.25">
      <c r="A18685" t="e">
        <v>#N/A</v>
      </c>
    </row>
    <row r="18686" spans="1:1" x14ac:dyDescent="0.25">
      <c r="A18686" t="e">
        <v>#N/A</v>
      </c>
    </row>
    <row r="18687" spans="1:1" x14ac:dyDescent="0.25">
      <c r="A18687" t="e">
        <v>#N/A</v>
      </c>
    </row>
    <row r="18688" spans="1:1" x14ac:dyDescent="0.25">
      <c r="A18688" t="e">
        <v>#N/A</v>
      </c>
    </row>
    <row r="18689" spans="1:1" x14ac:dyDescent="0.25">
      <c r="A18689" t="e">
        <v>#N/A</v>
      </c>
    </row>
    <row r="18690" spans="1:1" x14ac:dyDescent="0.25">
      <c r="A18690" t="e">
        <v>#N/A</v>
      </c>
    </row>
    <row r="18691" spans="1:1" x14ac:dyDescent="0.25">
      <c r="A18691" t="e">
        <v>#N/A</v>
      </c>
    </row>
    <row r="18692" spans="1:1" x14ac:dyDescent="0.25">
      <c r="A18692" t="e">
        <v>#N/A</v>
      </c>
    </row>
    <row r="18693" spans="1:1" x14ac:dyDescent="0.25">
      <c r="A18693" t="e">
        <v>#N/A</v>
      </c>
    </row>
    <row r="18694" spans="1:1" x14ac:dyDescent="0.25">
      <c r="A18694" t="e">
        <v>#N/A</v>
      </c>
    </row>
    <row r="18695" spans="1:1" x14ac:dyDescent="0.25">
      <c r="A18695" t="e">
        <v>#N/A</v>
      </c>
    </row>
    <row r="18696" spans="1:1" x14ac:dyDescent="0.25">
      <c r="A18696" t="e">
        <v>#N/A</v>
      </c>
    </row>
    <row r="18697" spans="1:1" x14ac:dyDescent="0.25">
      <c r="A18697" t="e">
        <v>#N/A</v>
      </c>
    </row>
    <row r="18698" spans="1:1" x14ac:dyDescent="0.25">
      <c r="A18698" t="e">
        <v>#N/A</v>
      </c>
    </row>
    <row r="18699" spans="1:1" x14ac:dyDescent="0.25">
      <c r="A18699" t="e">
        <v>#N/A</v>
      </c>
    </row>
    <row r="18700" spans="1:1" x14ac:dyDescent="0.25">
      <c r="A18700" t="e">
        <v>#N/A</v>
      </c>
    </row>
    <row r="18701" spans="1:1" x14ac:dyDescent="0.25">
      <c r="A18701" t="e">
        <v>#N/A</v>
      </c>
    </row>
    <row r="18702" spans="1:1" x14ac:dyDescent="0.25">
      <c r="A18702" t="e">
        <v>#N/A</v>
      </c>
    </row>
    <row r="18703" spans="1:1" x14ac:dyDescent="0.25">
      <c r="A18703" t="e">
        <v>#N/A</v>
      </c>
    </row>
    <row r="18704" spans="1:1" x14ac:dyDescent="0.25">
      <c r="A18704" t="e">
        <v>#N/A</v>
      </c>
    </row>
    <row r="18705" spans="1:1" x14ac:dyDescent="0.25">
      <c r="A18705" t="e">
        <v>#N/A</v>
      </c>
    </row>
    <row r="18706" spans="1:1" x14ac:dyDescent="0.25">
      <c r="A18706" t="e">
        <v>#N/A</v>
      </c>
    </row>
    <row r="18707" spans="1:1" x14ac:dyDescent="0.25">
      <c r="A18707" t="e">
        <v>#N/A</v>
      </c>
    </row>
    <row r="18708" spans="1:1" x14ac:dyDescent="0.25">
      <c r="A18708" t="e">
        <v>#N/A</v>
      </c>
    </row>
    <row r="18709" spans="1:1" x14ac:dyDescent="0.25">
      <c r="A18709" t="e">
        <v>#N/A</v>
      </c>
    </row>
    <row r="18710" spans="1:1" x14ac:dyDescent="0.25">
      <c r="A18710" t="e">
        <v>#N/A</v>
      </c>
    </row>
    <row r="18711" spans="1:1" x14ac:dyDescent="0.25">
      <c r="A18711" t="e">
        <v>#N/A</v>
      </c>
    </row>
    <row r="18712" spans="1:1" x14ac:dyDescent="0.25">
      <c r="A18712" t="e">
        <v>#N/A</v>
      </c>
    </row>
    <row r="18713" spans="1:1" x14ac:dyDescent="0.25">
      <c r="A18713" t="e">
        <v>#N/A</v>
      </c>
    </row>
    <row r="18714" spans="1:1" x14ac:dyDescent="0.25">
      <c r="A18714" t="e">
        <v>#N/A</v>
      </c>
    </row>
    <row r="18715" spans="1:1" x14ac:dyDescent="0.25">
      <c r="A18715" t="e">
        <v>#N/A</v>
      </c>
    </row>
    <row r="18716" spans="1:1" x14ac:dyDescent="0.25">
      <c r="A18716" t="e">
        <v>#N/A</v>
      </c>
    </row>
    <row r="18717" spans="1:1" x14ac:dyDescent="0.25">
      <c r="A18717" t="e">
        <v>#N/A</v>
      </c>
    </row>
    <row r="18718" spans="1:1" x14ac:dyDescent="0.25">
      <c r="A18718" t="e">
        <v>#N/A</v>
      </c>
    </row>
    <row r="18719" spans="1:1" x14ac:dyDescent="0.25">
      <c r="A18719" t="e">
        <v>#N/A</v>
      </c>
    </row>
    <row r="18720" spans="1:1" x14ac:dyDescent="0.25">
      <c r="A18720" t="e">
        <v>#N/A</v>
      </c>
    </row>
    <row r="18721" spans="1:1" x14ac:dyDescent="0.25">
      <c r="A18721" t="e">
        <v>#N/A</v>
      </c>
    </row>
    <row r="18722" spans="1:1" x14ac:dyDescent="0.25">
      <c r="A18722" t="e">
        <v>#N/A</v>
      </c>
    </row>
    <row r="18723" spans="1:1" x14ac:dyDescent="0.25">
      <c r="A18723" t="e">
        <v>#N/A</v>
      </c>
    </row>
    <row r="18724" spans="1:1" x14ac:dyDescent="0.25">
      <c r="A18724" t="e">
        <v>#N/A</v>
      </c>
    </row>
    <row r="18725" spans="1:1" x14ac:dyDescent="0.25">
      <c r="A18725" t="e">
        <v>#N/A</v>
      </c>
    </row>
    <row r="18726" spans="1:1" x14ac:dyDescent="0.25">
      <c r="A18726" t="e">
        <v>#N/A</v>
      </c>
    </row>
    <row r="18727" spans="1:1" x14ac:dyDescent="0.25">
      <c r="A18727" t="e">
        <v>#N/A</v>
      </c>
    </row>
    <row r="18728" spans="1:1" x14ac:dyDescent="0.25">
      <c r="A18728" t="e">
        <v>#N/A</v>
      </c>
    </row>
    <row r="18729" spans="1:1" x14ac:dyDescent="0.25">
      <c r="A18729" t="e">
        <v>#N/A</v>
      </c>
    </row>
    <row r="18730" spans="1:1" x14ac:dyDescent="0.25">
      <c r="A18730" t="e">
        <v>#N/A</v>
      </c>
    </row>
    <row r="18731" spans="1:1" x14ac:dyDescent="0.25">
      <c r="A18731" t="e">
        <v>#N/A</v>
      </c>
    </row>
    <row r="18732" spans="1:1" x14ac:dyDescent="0.25">
      <c r="A18732" t="e">
        <v>#N/A</v>
      </c>
    </row>
    <row r="18733" spans="1:1" x14ac:dyDescent="0.25">
      <c r="A18733" t="e">
        <v>#N/A</v>
      </c>
    </row>
    <row r="18734" spans="1:1" x14ac:dyDescent="0.25">
      <c r="A18734" t="e">
        <v>#N/A</v>
      </c>
    </row>
    <row r="18735" spans="1:1" x14ac:dyDescent="0.25">
      <c r="A18735" t="e">
        <v>#N/A</v>
      </c>
    </row>
    <row r="18736" spans="1:1" x14ac:dyDescent="0.25">
      <c r="A18736" t="e">
        <v>#N/A</v>
      </c>
    </row>
    <row r="18737" spans="1:1" x14ac:dyDescent="0.25">
      <c r="A18737" t="e">
        <v>#N/A</v>
      </c>
    </row>
    <row r="18738" spans="1:1" x14ac:dyDescent="0.25">
      <c r="A18738" t="e">
        <v>#N/A</v>
      </c>
    </row>
    <row r="18739" spans="1:1" x14ac:dyDescent="0.25">
      <c r="A18739" t="e">
        <v>#N/A</v>
      </c>
    </row>
    <row r="18740" spans="1:1" x14ac:dyDescent="0.25">
      <c r="A18740" t="e">
        <v>#N/A</v>
      </c>
    </row>
    <row r="18741" spans="1:1" x14ac:dyDescent="0.25">
      <c r="A18741" t="e">
        <v>#N/A</v>
      </c>
    </row>
    <row r="18742" spans="1:1" x14ac:dyDescent="0.25">
      <c r="A18742" t="e">
        <v>#N/A</v>
      </c>
    </row>
    <row r="18743" spans="1:1" x14ac:dyDescent="0.25">
      <c r="A18743" t="e">
        <v>#N/A</v>
      </c>
    </row>
    <row r="18744" spans="1:1" x14ac:dyDescent="0.25">
      <c r="A18744" t="e">
        <v>#N/A</v>
      </c>
    </row>
    <row r="18745" spans="1:1" x14ac:dyDescent="0.25">
      <c r="A18745" t="e">
        <v>#N/A</v>
      </c>
    </row>
    <row r="18746" spans="1:1" x14ac:dyDescent="0.25">
      <c r="A18746" t="e">
        <v>#N/A</v>
      </c>
    </row>
    <row r="18747" spans="1:1" x14ac:dyDescent="0.25">
      <c r="A18747" t="e">
        <v>#N/A</v>
      </c>
    </row>
    <row r="18748" spans="1:1" x14ac:dyDescent="0.25">
      <c r="A18748" t="e">
        <v>#N/A</v>
      </c>
    </row>
    <row r="18749" spans="1:1" x14ac:dyDescent="0.25">
      <c r="A18749" t="e">
        <v>#N/A</v>
      </c>
    </row>
    <row r="18750" spans="1:1" x14ac:dyDescent="0.25">
      <c r="A18750" t="e">
        <v>#N/A</v>
      </c>
    </row>
    <row r="18751" spans="1:1" x14ac:dyDescent="0.25">
      <c r="A18751" t="e">
        <v>#N/A</v>
      </c>
    </row>
    <row r="18752" spans="1:1" x14ac:dyDescent="0.25">
      <c r="A18752" t="e">
        <v>#N/A</v>
      </c>
    </row>
    <row r="18753" spans="1:1" x14ac:dyDescent="0.25">
      <c r="A18753" t="e">
        <v>#N/A</v>
      </c>
    </row>
    <row r="18754" spans="1:1" x14ac:dyDescent="0.25">
      <c r="A18754" t="e">
        <v>#N/A</v>
      </c>
    </row>
    <row r="18755" spans="1:1" x14ac:dyDescent="0.25">
      <c r="A18755" t="e">
        <v>#N/A</v>
      </c>
    </row>
    <row r="18756" spans="1:1" x14ac:dyDescent="0.25">
      <c r="A18756" t="e">
        <v>#N/A</v>
      </c>
    </row>
    <row r="18757" spans="1:1" x14ac:dyDescent="0.25">
      <c r="A18757" t="e">
        <v>#N/A</v>
      </c>
    </row>
    <row r="18758" spans="1:1" x14ac:dyDescent="0.25">
      <c r="A18758" t="e">
        <v>#N/A</v>
      </c>
    </row>
    <row r="18759" spans="1:1" x14ac:dyDescent="0.25">
      <c r="A18759" t="e">
        <v>#N/A</v>
      </c>
    </row>
    <row r="18760" spans="1:1" x14ac:dyDescent="0.25">
      <c r="A18760" t="e">
        <v>#N/A</v>
      </c>
    </row>
    <row r="18761" spans="1:1" x14ac:dyDescent="0.25">
      <c r="A18761" t="e">
        <v>#N/A</v>
      </c>
    </row>
    <row r="18762" spans="1:1" x14ac:dyDescent="0.25">
      <c r="A18762" t="e">
        <v>#N/A</v>
      </c>
    </row>
    <row r="18763" spans="1:1" x14ac:dyDescent="0.25">
      <c r="A18763" t="e">
        <v>#N/A</v>
      </c>
    </row>
    <row r="18764" spans="1:1" x14ac:dyDescent="0.25">
      <c r="A18764" t="e">
        <v>#N/A</v>
      </c>
    </row>
    <row r="18765" spans="1:1" x14ac:dyDescent="0.25">
      <c r="A18765" t="e">
        <v>#N/A</v>
      </c>
    </row>
    <row r="18766" spans="1:1" x14ac:dyDescent="0.25">
      <c r="A18766" t="e">
        <v>#N/A</v>
      </c>
    </row>
    <row r="18767" spans="1:1" x14ac:dyDescent="0.25">
      <c r="A18767" t="e">
        <v>#N/A</v>
      </c>
    </row>
    <row r="18768" spans="1:1" x14ac:dyDescent="0.25">
      <c r="A18768" t="e">
        <v>#N/A</v>
      </c>
    </row>
    <row r="18769" spans="1:1" x14ac:dyDescent="0.25">
      <c r="A18769" t="e">
        <v>#N/A</v>
      </c>
    </row>
    <row r="18770" spans="1:1" x14ac:dyDescent="0.25">
      <c r="A18770" t="e">
        <v>#N/A</v>
      </c>
    </row>
    <row r="18771" spans="1:1" x14ac:dyDescent="0.25">
      <c r="A18771" t="e">
        <v>#N/A</v>
      </c>
    </row>
    <row r="18772" spans="1:1" x14ac:dyDescent="0.25">
      <c r="A18772" t="e">
        <v>#N/A</v>
      </c>
    </row>
    <row r="18773" spans="1:1" x14ac:dyDescent="0.25">
      <c r="A18773" t="e">
        <v>#N/A</v>
      </c>
    </row>
    <row r="18774" spans="1:1" x14ac:dyDescent="0.25">
      <c r="A18774" t="e">
        <v>#N/A</v>
      </c>
    </row>
    <row r="18775" spans="1:1" x14ac:dyDescent="0.25">
      <c r="A18775" t="e">
        <v>#N/A</v>
      </c>
    </row>
    <row r="18776" spans="1:1" x14ac:dyDescent="0.25">
      <c r="A18776" t="e">
        <v>#N/A</v>
      </c>
    </row>
    <row r="18777" spans="1:1" x14ac:dyDescent="0.25">
      <c r="A18777" t="e">
        <v>#N/A</v>
      </c>
    </row>
    <row r="18778" spans="1:1" x14ac:dyDescent="0.25">
      <c r="A18778" t="e">
        <v>#N/A</v>
      </c>
    </row>
    <row r="18779" spans="1:1" x14ac:dyDescent="0.25">
      <c r="A18779" t="e">
        <v>#N/A</v>
      </c>
    </row>
    <row r="18780" spans="1:1" x14ac:dyDescent="0.25">
      <c r="A18780" t="e">
        <v>#N/A</v>
      </c>
    </row>
    <row r="18781" spans="1:1" x14ac:dyDescent="0.25">
      <c r="A18781" t="e">
        <v>#N/A</v>
      </c>
    </row>
    <row r="18782" spans="1:1" x14ac:dyDescent="0.25">
      <c r="A18782" t="e">
        <v>#N/A</v>
      </c>
    </row>
    <row r="18783" spans="1:1" x14ac:dyDescent="0.25">
      <c r="A18783" t="e">
        <v>#N/A</v>
      </c>
    </row>
    <row r="18784" spans="1:1" x14ac:dyDescent="0.25">
      <c r="A18784" t="e">
        <v>#N/A</v>
      </c>
    </row>
    <row r="18785" spans="1:1" x14ac:dyDescent="0.25">
      <c r="A18785" t="e">
        <v>#N/A</v>
      </c>
    </row>
    <row r="18786" spans="1:1" x14ac:dyDescent="0.25">
      <c r="A18786" t="e">
        <v>#N/A</v>
      </c>
    </row>
    <row r="18787" spans="1:1" x14ac:dyDescent="0.25">
      <c r="A18787" t="e">
        <v>#N/A</v>
      </c>
    </row>
    <row r="18788" spans="1:1" x14ac:dyDescent="0.25">
      <c r="A18788" t="e">
        <v>#N/A</v>
      </c>
    </row>
    <row r="18789" spans="1:1" x14ac:dyDescent="0.25">
      <c r="A18789" t="e">
        <v>#N/A</v>
      </c>
    </row>
    <row r="18790" spans="1:1" x14ac:dyDescent="0.25">
      <c r="A18790" t="e">
        <v>#N/A</v>
      </c>
    </row>
    <row r="18791" spans="1:1" x14ac:dyDescent="0.25">
      <c r="A18791" t="e">
        <v>#N/A</v>
      </c>
    </row>
    <row r="18792" spans="1:1" x14ac:dyDescent="0.25">
      <c r="A18792" t="e">
        <v>#N/A</v>
      </c>
    </row>
    <row r="18793" spans="1:1" x14ac:dyDescent="0.25">
      <c r="A18793" t="e">
        <v>#N/A</v>
      </c>
    </row>
    <row r="18794" spans="1:1" x14ac:dyDescent="0.25">
      <c r="A18794" t="e">
        <v>#N/A</v>
      </c>
    </row>
    <row r="18795" spans="1:1" x14ac:dyDescent="0.25">
      <c r="A18795" t="e">
        <v>#N/A</v>
      </c>
    </row>
    <row r="18796" spans="1:1" x14ac:dyDescent="0.25">
      <c r="A18796" t="e">
        <v>#N/A</v>
      </c>
    </row>
    <row r="18797" spans="1:1" x14ac:dyDescent="0.25">
      <c r="A18797" t="e">
        <v>#N/A</v>
      </c>
    </row>
    <row r="18798" spans="1:1" x14ac:dyDescent="0.25">
      <c r="A18798" t="e">
        <v>#N/A</v>
      </c>
    </row>
    <row r="18799" spans="1:1" x14ac:dyDescent="0.25">
      <c r="A18799" t="e">
        <v>#N/A</v>
      </c>
    </row>
    <row r="18800" spans="1:1" x14ac:dyDescent="0.25">
      <c r="A18800" t="e">
        <v>#N/A</v>
      </c>
    </row>
    <row r="18801" spans="1:1" x14ac:dyDescent="0.25">
      <c r="A18801" t="e">
        <v>#N/A</v>
      </c>
    </row>
    <row r="18802" spans="1:1" x14ac:dyDescent="0.25">
      <c r="A18802" t="e">
        <v>#N/A</v>
      </c>
    </row>
    <row r="18803" spans="1:1" x14ac:dyDescent="0.25">
      <c r="A18803" t="e">
        <v>#N/A</v>
      </c>
    </row>
    <row r="18804" spans="1:1" x14ac:dyDescent="0.25">
      <c r="A18804" t="e">
        <v>#N/A</v>
      </c>
    </row>
    <row r="18805" spans="1:1" x14ac:dyDescent="0.25">
      <c r="A18805" t="e">
        <v>#N/A</v>
      </c>
    </row>
    <row r="18806" spans="1:1" x14ac:dyDescent="0.25">
      <c r="A18806" t="e">
        <v>#N/A</v>
      </c>
    </row>
    <row r="18807" spans="1:1" x14ac:dyDescent="0.25">
      <c r="A18807" t="e">
        <v>#N/A</v>
      </c>
    </row>
    <row r="18808" spans="1:1" x14ac:dyDescent="0.25">
      <c r="A18808" t="e">
        <v>#N/A</v>
      </c>
    </row>
    <row r="18809" spans="1:1" x14ac:dyDescent="0.25">
      <c r="A18809" t="e">
        <v>#N/A</v>
      </c>
    </row>
    <row r="18810" spans="1:1" x14ac:dyDescent="0.25">
      <c r="A18810" t="e">
        <v>#N/A</v>
      </c>
    </row>
    <row r="18811" spans="1:1" x14ac:dyDescent="0.25">
      <c r="A18811" t="e">
        <v>#N/A</v>
      </c>
    </row>
    <row r="18812" spans="1:1" x14ac:dyDescent="0.25">
      <c r="A18812" t="e">
        <v>#N/A</v>
      </c>
    </row>
    <row r="18813" spans="1:1" x14ac:dyDescent="0.25">
      <c r="A18813" t="e">
        <v>#N/A</v>
      </c>
    </row>
    <row r="18814" spans="1:1" x14ac:dyDescent="0.25">
      <c r="A18814" t="e">
        <v>#N/A</v>
      </c>
    </row>
    <row r="18815" spans="1:1" x14ac:dyDescent="0.25">
      <c r="A18815" t="e">
        <v>#N/A</v>
      </c>
    </row>
    <row r="18816" spans="1:1" x14ac:dyDescent="0.25">
      <c r="A18816" t="e">
        <v>#N/A</v>
      </c>
    </row>
    <row r="18817" spans="1:1" x14ac:dyDescent="0.25">
      <c r="A18817" t="e">
        <v>#N/A</v>
      </c>
    </row>
    <row r="18818" spans="1:1" x14ac:dyDescent="0.25">
      <c r="A18818" t="e">
        <v>#N/A</v>
      </c>
    </row>
    <row r="18819" spans="1:1" x14ac:dyDescent="0.25">
      <c r="A18819" t="e">
        <v>#N/A</v>
      </c>
    </row>
    <row r="18820" spans="1:1" x14ac:dyDescent="0.25">
      <c r="A18820" t="e">
        <v>#N/A</v>
      </c>
    </row>
    <row r="18821" spans="1:1" x14ac:dyDescent="0.25">
      <c r="A18821" t="e">
        <v>#N/A</v>
      </c>
    </row>
    <row r="18822" spans="1:1" x14ac:dyDescent="0.25">
      <c r="A18822" t="e">
        <v>#N/A</v>
      </c>
    </row>
    <row r="18823" spans="1:1" x14ac:dyDescent="0.25">
      <c r="A18823" t="e">
        <v>#N/A</v>
      </c>
    </row>
    <row r="18824" spans="1:1" x14ac:dyDescent="0.25">
      <c r="A18824" t="e">
        <v>#N/A</v>
      </c>
    </row>
    <row r="18825" spans="1:1" x14ac:dyDescent="0.25">
      <c r="A18825" t="e">
        <v>#N/A</v>
      </c>
    </row>
    <row r="18826" spans="1:1" x14ac:dyDescent="0.25">
      <c r="A18826" t="e">
        <v>#N/A</v>
      </c>
    </row>
    <row r="18827" spans="1:1" x14ac:dyDescent="0.25">
      <c r="A18827" t="e">
        <v>#N/A</v>
      </c>
    </row>
    <row r="18828" spans="1:1" x14ac:dyDescent="0.25">
      <c r="A18828" t="e">
        <v>#N/A</v>
      </c>
    </row>
    <row r="18829" spans="1:1" x14ac:dyDescent="0.25">
      <c r="A18829" t="e">
        <v>#N/A</v>
      </c>
    </row>
    <row r="18830" spans="1:1" x14ac:dyDescent="0.25">
      <c r="A18830" t="e">
        <v>#N/A</v>
      </c>
    </row>
    <row r="18831" spans="1:1" x14ac:dyDescent="0.25">
      <c r="A18831" t="e">
        <v>#N/A</v>
      </c>
    </row>
    <row r="18832" spans="1:1" x14ac:dyDescent="0.25">
      <c r="A18832" t="e">
        <v>#N/A</v>
      </c>
    </row>
    <row r="18833" spans="1:1" x14ac:dyDescent="0.25">
      <c r="A18833" t="e">
        <v>#N/A</v>
      </c>
    </row>
    <row r="18834" spans="1:1" x14ac:dyDescent="0.25">
      <c r="A18834" t="e">
        <v>#N/A</v>
      </c>
    </row>
    <row r="18835" spans="1:1" x14ac:dyDescent="0.25">
      <c r="A18835" t="e">
        <v>#N/A</v>
      </c>
    </row>
    <row r="18836" spans="1:1" x14ac:dyDescent="0.25">
      <c r="A18836" t="e">
        <v>#N/A</v>
      </c>
    </row>
    <row r="18837" spans="1:1" x14ac:dyDescent="0.25">
      <c r="A18837" t="e">
        <v>#N/A</v>
      </c>
    </row>
    <row r="18838" spans="1:1" x14ac:dyDescent="0.25">
      <c r="A18838" t="e">
        <v>#N/A</v>
      </c>
    </row>
    <row r="18839" spans="1:1" x14ac:dyDescent="0.25">
      <c r="A18839" t="e">
        <v>#N/A</v>
      </c>
    </row>
    <row r="18840" spans="1:1" x14ac:dyDescent="0.25">
      <c r="A18840" t="e">
        <v>#N/A</v>
      </c>
    </row>
    <row r="18841" spans="1:1" x14ac:dyDescent="0.25">
      <c r="A18841" t="e">
        <v>#N/A</v>
      </c>
    </row>
    <row r="18842" spans="1:1" x14ac:dyDescent="0.25">
      <c r="A18842" t="e">
        <v>#N/A</v>
      </c>
    </row>
    <row r="18843" spans="1:1" x14ac:dyDescent="0.25">
      <c r="A18843" t="e">
        <v>#N/A</v>
      </c>
    </row>
    <row r="18844" spans="1:1" x14ac:dyDescent="0.25">
      <c r="A18844" t="e">
        <v>#N/A</v>
      </c>
    </row>
    <row r="18845" spans="1:1" x14ac:dyDescent="0.25">
      <c r="A18845" t="e">
        <v>#N/A</v>
      </c>
    </row>
    <row r="18846" spans="1:1" x14ac:dyDescent="0.25">
      <c r="A18846" t="e">
        <v>#N/A</v>
      </c>
    </row>
    <row r="18847" spans="1:1" x14ac:dyDescent="0.25">
      <c r="A18847" t="e">
        <v>#N/A</v>
      </c>
    </row>
    <row r="18848" spans="1:1" x14ac:dyDescent="0.25">
      <c r="A18848" t="e">
        <v>#N/A</v>
      </c>
    </row>
    <row r="18849" spans="1:1" x14ac:dyDescent="0.25">
      <c r="A18849" t="e">
        <v>#N/A</v>
      </c>
    </row>
    <row r="18850" spans="1:1" x14ac:dyDescent="0.25">
      <c r="A18850" t="e">
        <v>#N/A</v>
      </c>
    </row>
    <row r="18851" spans="1:1" x14ac:dyDescent="0.25">
      <c r="A18851" t="e">
        <v>#N/A</v>
      </c>
    </row>
    <row r="18852" spans="1:1" x14ac:dyDescent="0.25">
      <c r="A18852" t="e">
        <v>#N/A</v>
      </c>
    </row>
    <row r="18853" spans="1:1" x14ac:dyDescent="0.25">
      <c r="A18853" t="e">
        <v>#N/A</v>
      </c>
    </row>
    <row r="18854" spans="1:1" x14ac:dyDescent="0.25">
      <c r="A18854" t="e">
        <v>#N/A</v>
      </c>
    </row>
    <row r="18855" spans="1:1" x14ac:dyDescent="0.25">
      <c r="A18855" t="e">
        <v>#N/A</v>
      </c>
    </row>
    <row r="18856" spans="1:1" x14ac:dyDescent="0.25">
      <c r="A18856" t="e">
        <v>#N/A</v>
      </c>
    </row>
    <row r="18857" spans="1:1" x14ac:dyDescent="0.25">
      <c r="A18857" t="e">
        <v>#N/A</v>
      </c>
    </row>
    <row r="18858" spans="1:1" x14ac:dyDescent="0.25">
      <c r="A18858" t="e">
        <v>#N/A</v>
      </c>
    </row>
    <row r="18859" spans="1:1" x14ac:dyDescent="0.25">
      <c r="A18859" t="e">
        <v>#N/A</v>
      </c>
    </row>
    <row r="18860" spans="1:1" x14ac:dyDescent="0.25">
      <c r="A18860" t="e">
        <v>#N/A</v>
      </c>
    </row>
    <row r="18861" spans="1:1" x14ac:dyDescent="0.25">
      <c r="A18861" t="e">
        <v>#N/A</v>
      </c>
    </row>
    <row r="18862" spans="1:1" x14ac:dyDescent="0.25">
      <c r="A18862" t="e">
        <v>#N/A</v>
      </c>
    </row>
    <row r="18863" spans="1:1" x14ac:dyDescent="0.25">
      <c r="A18863" t="e">
        <v>#N/A</v>
      </c>
    </row>
    <row r="18864" spans="1:1" x14ac:dyDescent="0.25">
      <c r="A18864" t="e">
        <v>#N/A</v>
      </c>
    </row>
    <row r="18865" spans="1:1" x14ac:dyDescent="0.25">
      <c r="A18865" t="e">
        <v>#N/A</v>
      </c>
    </row>
    <row r="18866" spans="1:1" x14ac:dyDescent="0.25">
      <c r="A18866" t="e">
        <v>#N/A</v>
      </c>
    </row>
    <row r="18867" spans="1:1" x14ac:dyDescent="0.25">
      <c r="A18867" t="e">
        <v>#N/A</v>
      </c>
    </row>
    <row r="18868" spans="1:1" x14ac:dyDescent="0.25">
      <c r="A18868" t="e">
        <v>#N/A</v>
      </c>
    </row>
    <row r="18869" spans="1:1" x14ac:dyDescent="0.25">
      <c r="A18869" t="e">
        <v>#N/A</v>
      </c>
    </row>
    <row r="18870" spans="1:1" x14ac:dyDescent="0.25">
      <c r="A18870" t="e">
        <v>#N/A</v>
      </c>
    </row>
    <row r="18871" spans="1:1" x14ac:dyDescent="0.25">
      <c r="A18871" t="e">
        <v>#N/A</v>
      </c>
    </row>
    <row r="18872" spans="1:1" x14ac:dyDescent="0.25">
      <c r="A18872" t="e">
        <v>#N/A</v>
      </c>
    </row>
    <row r="18873" spans="1:1" x14ac:dyDescent="0.25">
      <c r="A18873" t="e">
        <v>#N/A</v>
      </c>
    </row>
    <row r="18874" spans="1:1" x14ac:dyDescent="0.25">
      <c r="A18874" t="e">
        <v>#N/A</v>
      </c>
    </row>
    <row r="18875" spans="1:1" x14ac:dyDescent="0.25">
      <c r="A18875" t="e">
        <v>#N/A</v>
      </c>
    </row>
    <row r="18876" spans="1:1" x14ac:dyDescent="0.25">
      <c r="A18876" t="e">
        <v>#N/A</v>
      </c>
    </row>
    <row r="18877" spans="1:1" x14ac:dyDescent="0.25">
      <c r="A18877" t="e">
        <v>#N/A</v>
      </c>
    </row>
    <row r="18878" spans="1:1" x14ac:dyDescent="0.25">
      <c r="A18878" t="e">
        <v>#N/A</v>
      </c>
    </row>
    <row r="18879" spans="1:1" x14ac:dyDescent="0.25">
      <c r="A18879" t="e">
        <v>#N/A</v>
      </c>
    </row>
    <row r="18880" spans="1:1" x14ac:dyDescent="0.25">
      <c r="A18880" t="e">
        <v>#N/A</v>
      </c>
    </row>
    <row r="18881" spans="1:1" x14ac:dyDescent="0.25">
      <c r="A18881" t="e">
        <v>#N/A</v>
      </c>
    </row>
    <row r="18882" spans="1:1" x14ac:dyDescent="0.25">
      <c r="A18882" t="e">
        <v>#N/A</v>
      </c>
    </row>
    <row r="18883" spans="1:1" x14ac:dyDescent="0.25">
      <c r="A18883" t="e">
        <v>#N/A</v>
      </c>
    </row>
    <row r="18884" spans="1:1" x14ac:dyDescent="0.25">
      <c r="A18884" t="e">
        <v>#N/A</v>
      </c>
    </row>
    <row r="18885" spans="1:1" x14ac:dyDescent="0.25">
      <c r="A18885" t="e">
        <v>#N/A</v>
      </c>
    </row>
    <row r="18886" spans="1:1" x14ac:dyDescent="0.25">
      <c r="A18886" t="e">
        <v>#N/A</v>
      </c>
    </row>
    <row r="18887" spans="1:1" x14ac:dyDescent="0.25">
      <c r="A18887" t="e">
        <v>#N/A</v>
      </c>
    </row>
    <row r="18888" spans="1:1" x14ac:dyDescent="0.25">
      <c r="A18888" t="e">
        <v>#N/A</v>
      </c>
    </row>
    <row r="18889" spans="1:1" x14ac:dyDescent="0.25">
      <c r="A18889" t="e">
        <v>#N/A</v>
      </c>
    </row>
    <row r="18890" spans="1:1" x14ac:dyDescent="0.25">
      <c r="A18890" t="e">
        <v>#N/A</v>
      </c>
    </row>
    <row r="18891" spans="1:1" x14ac:dyDescent="0.25">
      <c r="A18891" t="e">
        <v>#N/A</v>
      </c>
    </row>
    <row r="18892" spans="1:1" x14ac:dyDescent="0.25">
      <c r="A18892" t="e">
        <v>#N/A</v>
      </c>
    </row>
    <row r="18893" spans="1:1" x14ac:dyDescent="0.25">
      <c r="A18893" t="e">
        <v>#N/A</v>
      </c>
    </row>
    <row r="18894" spans="1:1" x14ac:dyDescent="0.25">
      <c r="A18894" t="e">
        <v>#N/A</v>
      </c>
    </row>
    <row r="18895" spans="1:1" x14ac:dyDescent="0.25">
      <c r="A18895" t="e">
        <v>#N/A</v>
      </c>
    </row>
    <row r="18896" spans="1:1" x14ac:dyDescent="0.25">
      <c r="A18896" t="e">
        <v>#N/A</v>
      </c>
    </row>
    <row r="18897" spans="1:1" x14ac:dyDescent="0.25">
      <c r="A18897" t="e">
        <v>#N/A</v>
      </c>
    </row>
    <row r="18898" spans="1:1" x14ac:dyDescent="0.25">
      <c r="A18898" t="e">
        <v>#N/A</v>
      </c>
    </row>
    <row r="18899" spans="1:1" x14ac:dyDescent="0.25">
      <c r="A18899" t="e">
        <v>#N/A</v>
      </c>
    </row>
    <row r="18900" spans="1:1" x14ac:dyDescent="0.25">
      <c r="A18900" t="e">
        <v>#N/A</v>
      </c>
    </row>
    <row r="18901" spans="1:1" x14ac:dyDescent="0.25">
      <c r="A18901" t="e">
        <v>#N/A</v>
      </c>
    </row>
    <row r="18902" spans="1:1" x14ac:dyDescent="0.25">
      <c r="A18902" t="e">
        <v>#N/A</v>
      </c>
    </row>
    <row r="18903" spans="1:1" x14ac:dyDescent="0.25">
      <c r="A18903" t="e">
        <v>#N/A</v>
      </c>
    </row>
    <row r="18904" spans="1:1" x14ac:dyDescent="0.25">
      <c r="A18904" t="e">
        <v>#N/A</v>
      </c>
    </row>
    <row r="18905" spans="1:1" x14ac:dyDescent="0.25">
      <c r="A18905" t="e">
        <v>#N/A</v>
      </c>
    </row>
    <row r="18906" spans="1:1" x14ac:dyDescent="0.25">
      <c r="A18906" t="e">
        <v>#N/A</v>
      </c>
    </row>
    <row r="18907" spans="1:1" x14ac:dyDescent="0.25">
      <c r="A18907" t="e">
        <v>#N/A</v>
      </c>
    </row>
    <row r="18908" spans="1:1" x14ac:dyDescent="0.25">
      <c r="A18908" t="e">
        <v>#N/A</v>
      </c>
    </row>
    <row r="18909" spans="1:1" x14ac:dyDescent="0.25">
      <c r="A18909" t="e">
        <v>#N/A</v>
      </c>
    </row>
    <row r="18910" spans="1:1" x14ac:dyDescent="0.25">
      <c r="A18910" t="e">
        <v>#N/A</v>
      </c>
    </row>
    <row r="18911" spans="1:1" x14ac:dyDescent="0.25">
      <c r="A18911" t="e">
        <v>#N/A</v>
      </c>
    </row>
    <row r="18912" spans="1:1" x14ac:dyDescent="0.25">
      <c r="A18912" t="e">
        <v>#N/A</v>
      </c>
    </row>
    <row r="18913" spans="1:1" x14ac:dyDescent="0.25">
      <c r="A18913" t="e">
        <v>#N/A</v>
      </c>
    </row>
    <row r="18914" spans="1:1" x14ac:dyDescent="0.25">
      <c r="A18914" t="e">
        <v>#N/A</v>
      </c>
    </row>
    <row r="18915" spans="1:1" x14ac:dyDescent="0.25">
      <c r="A18915" t="e">
        <v>#N/A</v>
      </c>
    </row>
    <row r="18916" spans="1:1" x14ac:dyDescent="0.25">
      <c r="A18916" t="e">
        <v>#N/A</v>
      </c>
    </row>
    <row r="18917" spans="1:1" x14ac:dyDescent="0.25">
      <c r="A18917" t="e">
        <v>#N/A</v>
      </c>
    </row>
    <row r="18918" spans="1:1" x14ac:dyDescent="0.25">
      <c r="A18918" t="e">
        <v>#N/A</v>
      </c>
    </row>
    <row r="18919" spans="1:1" x14ac:dyDescent="0.25">
      <c r="A18919" t="e">
        <v>#N/A</v>
      </c>
    </row>
    <row r="18920" spans="1:1" x14ac:dyDescent="0.25">
      <c r="A18920" t="e">
        <v>#N/A</v>
      </c>
    </row>
    <row r="18921" spans="1:1" x14ac:dyDescent="0.25">
      <c r="A18921" t="e">
        <v>#N/A</v>
      </c>
    </row>
    <row r="18922" spans="1:1" x14ac:dyDescent="0.25">
      <c r="A18922" t="e">
        <v>#N/A</v>
      </c>
    </row>
    <row r="18923" spans="1:1" x14ac:dyDescent="0.25">
      <c r="A18923" t="e">
        <v>#N/A</v>
      </c>
    </row>
    <row r="18924" spans="1:1" x14ac:dyDescent="0.25">
      <c r="A18924" t="e">
        <v>#N/A</v>
      </c>
    </row>
    <row r="18925" spans="1:1" x14ac:dyDescent="0.25">
      <c r="A18925" t="e">
        <v>#N/A</v>
      </c>
    </row>
    <row r="18926" spans="1:1" x14ac:dyDescent="0.25">
      <c r="A18926" t="e">
        <v>#N/A</v>
      </c>
    </row>
    <row r="18927" spans="1:1" x14ac:dyDescent="0.25">
      <c r="A18927" t="e">
        <v>#N/A</v>
      </c>
    </row>
    <row r="18928" spans="1:1" x14ac:dyDescent="0.25">
      <c r="A18928" t="e">
        <v>#N/A</v>
      </c>
    </row>
    <row r="18929" spans="1:1" x14ac:dyDescent="0.25">
      <c r="A18929" t="e">
        <v>#N/A</v>
      </c>
    </row>
    <row r="18930" spans="1:1" x14ac:dyDescent="0.25">
      <c r="A18930" t="e">
        <v>#N/A</v>
      </c>
    </row>
    <row r="18931" spans="1:1" x14ac:dyDescent="0.25">
      <c r="A18931" t="e">
        <v>#N/A</v>
      </c>
    </row>
    <row r="18932" spans="1:1" x14ac:dyDescent="0.25">
      <c r="A18932" t="e">
        <v>#N/A</v>
      </c>
    </row>
    <row r="18933" spans="1:1" x14ac:dyDescent="0.25">
      <c r="A18933" t="e">
        <v>#N/A</v>
      </c>
    </row>
    <row r="18934" spans="1:1" x14ac:dyDescent="0.25">
      <c r="A18934" t="e">
        <v>#N/A</v>
      </c>
    </row>
    <row r="18935" spans="1:1" x14ac:dyDescent="0.25">
      <c r="A18935" t="e">
        <v>#N/A</v>
      </c>
    </row>
    <row r="18936" spans="1:1" x14ac:dyDescent="0.25">
      <c r="A18936" t="e">
        <v>#N/A</v>
      </c>
    </row>
    <row r="18937" spans="1:1" x14ac:dyDescent="0.25">
      <c r="A18937" t="e">
        <v>#N/A</v>
      </c>
    </row>
    <row r="18938" spans="1:1" x14ac:dyDescent="0.25">
      <c r="A18938" t="e">
        <v>#N/A</v>
      </c>
    </row>
    <row r="18939" spans="1:1" x14ac:dyDescent="0.25">
      <c r="A18939" t="e">
        <v>#N/A</v>
      </c>
    </row>
    <row r="18940" spans="1:1" x14ac:dyDescent="0.25">
      <c r="A18940" t="e">
        <v>#N/A</v>
      </c>
    </row>
    <row r="18941" spans="1:1" x14ac:dyDescent="0.25">
      <c r="A18941" t="e">
        <v>#N/A</v>
      </c>
    </row>
    <row r="18942" spans="1:1" x14ac:dyDescent="0.25">
      <c r="A18942" t="e">
        <v>#N/A</v>
      </c>
    </row>
    <row r="18943" spans="1:1" x14ac:dyDescent="0.25">
      <c r="A18943" t="e">
        <v>#N/A</v>
      </c>
    </row>
    <row r="18944" spans="1:1" x14ac:dyDescent="0.25">
      <c r="A18944" t="e">
        <v>#N/A</v>
      </c>
    </row>
    <row r="18945" spans="1:1" x14ac:dyDescent="0.25">
      <c r="A18945" t="e">
        <v>#N/A</v>
      </c>
    </row>
    <row r="18946" spans="1:1" x14ac:dyDescent="0.25">
      <c r="A18946" t="e">
        <v>#N/A</v>
      </c>
    </row>
    <row r="18947" spans="1:1" x14ac:dyDescent="0.25">
      <c r="A18947" t="e">
        <v>#N/A</v>
      </c>
    </row>
    <row r="18948" spans="1:1" x14ac:dyDescent="0.25">
      <c r="A18948" t="e">
        <v>#N/A</v>
      </c>
    </row>
    <row r="18949" spans="1:1" x14ac:dyDescent="0.25">
      <c r="A18949" t="e">
        <v>#N/A</v>
      </c>
    </row>
    <row r="18950" spans="1:1" x14ac:dyDescent="0.25">
      <c r="A18950" t="e">
        <v>#N/A</v>
      </c>
    </row>
    <row r="18951" spans="1:1" x14ac:dyDescent="0.25">
      <c r="A18951" t="e">
        <v>#N/A</v>
      </c>
    </row>
    <row r="18952" spans="1:1" x14ac:dyDescent="0.25">
      <c r="A18952" t="e">
        <v>#N/A</v>
      </c>
    </row>
    <row r="18953" spans="1:1" x14ac:dyDescent="0.25">
      <c r="A18953" t="e">
        <v>#N/A</v>
      </c>
    </row>
    <row r="18954" spans="1:1" x14ac:dyDescent="0.25">
      <c r="A18954" t="e">
        <v>#N/A</v>
      </c>
    </row>
    <row r="18955" spans="1:1" x14ac:dyDescent="0.25">
      <c r="A18955" t="e">
        <v>#N/A</v>
      </c>
    </row>
    <row r="18956" spans="1:1" x14ac:dyDescent="0.25">
      <c r="A18956" t="e">
        <v>#N/A</v>
      </c>
    </row>
    <row r="18957" spans="1:1" x14ac:dyDescent="0.25">
      <c r="A18957" t="e">
        <v>#N/A</v>
      </c>
    </row>
    <row r="18958" spans="1:1" x14ac:dyDescent="0.25">
      <c r="A18958" t="e">
        <v>#N/A</v>
      </c>
    </row>
    <row r="18959" spans="1:1" x14ac:dyDescent="0.25">
      <c r="A18959" t="e">
        <v>#N/A</v>
      </c>
    </row>
    <row r="18960" spans="1:1" x14ac:dyDescent="0.25">
      <c r="A18960" t="e">
        <v>#N/A</v>
      </c>
    </row>
    <row r="18961" spans="1:1" x14ac:dyDescent="0.25">
      <c r="A18961" t="e">
        <v>#N/A</v>
      </c>
    </row>
    <row r="18962" spans="1:1" x14ac:dyDescent="0.25">
      <c r="A18962" t="e">
        <v>#N/A</v>
      </c>
    </row>
    <row r="18963" spans="1:1" x14ac:dyDescent="0.25">
      <c r="A18963" t="e">
        <v>#N/A</v>
      </c>
    </row>
    <row r="18964" spans="1:1" x14ac:dyDescent="0.25">
      <c r="A18964" t="e">
        <v>#N/A</v>
      </c>
    </row>
    <row r="18965" spans="1:1" x14ac:dyDescent="0.25">
      <c r="A18965" t="e">
        <v>#N/A</v>
      </c>
    </row>
    <row r="18966" spans="1:1" x14ac:dyDescent="0.25">
      <c r="A18966" t="e">
        <v>#N/A</v>
      </c>
    </row>
    <row r="18967" spans="1:1" x14ac:dyDescent="0.25">
      <c r="A18967" t="e">
        <v>#N/A</v>
      </c>
    </row>
    <row r="18968" spans="1:1" x14ac:dyDescent="0.25">
      <c r="A18968" t="e">
        <v>#N/A</v>
      </c>
    </row>
    <row r="18969" spans="1:1" x14ac:dyDescent="0.25">
      <c r="A18969" t="e">
        <v>#N/A</v>
      </c>
    </row>
    <row r="18970" spans="1:1" x14ac:dyDescent="0.25">
      <c r="A18970" t="e">
        <v>#N/A</v>
      </c>
    </row>
    <row r="18971" spans="1:1" x14ac:dyDescent="0.25">
      <c r="A18971" t="e">
        <v>#N/A</v>
      </c>
    </row>
    <row r="18972" spans="1:1" x14ac:dyDescent="0.25">
      <c r="A18972" t="e">
        <v>#N/A</v>
      </c>
    </row>
    <row r="18973" spans="1:1" x14ac:dyDescent="0.25">
      <c r="A18973" t="e">
        <v>#N/A</v>
      </c>
    </row>
    <row r="18974" spans="1:1" x14ac:dyDescent="0.25">
      <c r="A18974" t="e">
        <v>#N/A</v>
      </c>
    </row>
    <row r="18975" spans="1:1" x14ac:dyDescent="0.25">
      <c r="A18975" t="e">
        <v>#N/A</v>
      </c>
    </row>
    <row r="18976" spans="1:1" x14ac:dyDescent="0.25">
      <c r="A18976" t="e">
        <v>#N/A</v>
      </c>
    </row>
    <row r="18977" spans="1:1" x14ac:dyDescent="0.25">
      <c r="A18977" t="e">
        <v>#N/A</v>
      </c>
    </row>
    <row r="18978" spans="1:1" x14ac:dyDescent="0.25">
      <c r="A18978" t="e">
        <v>#N/A</v>
      </c>
    </row>
    <row r="18979" spans="1:1" x14ac:dyDescent="0.25">
      <c r="A18979" t="e">
        <v>#N/A</v>
      </c>
    </row>
    <row r="18980" spans="1:1" x14ac:dyDescent="0.25">
      <c r="A18980" t="e">
        <v>#N/A</v>
      </c>
    </row>
    <row r="18981" spans="1:1" x14ac:dyDescent="0.25">
      <c r="A18981" t="e">
        <v>#N/A</v>
      </c>
    </row>
    <row r="18982" spans="1:1" x14ac:dyDescent="0.25">
      <c r="A18982" t="e">
        <v>#N/A</v>
      </c>
    </row>
    <row r="18983" spans="1:1" x14ac:dyDescent="0.25">
      <c r="A18983" t="e">
        <v>#N/A</v>
      </c>
    </row>
    <row r="18984" spans="1:1" x14ac:dyDescent="0.25">
      <c r="A18984" t="e">
        <v>#N/A</v>
      </c>
    </row>
    <row r="18985" spans="1:1" x14ac:dyDescent="0.25">
      <c r="A18985" t="e">
        <v>#N/A</v>
      </c>
    </row>
    <row r="18986" spans="1:1" x14ac:dyDescent="0.25">
      <c r="A18986" t="e">
        <v>#N/A</v>
      </c>
    </row>
    <row r="18987" spans="1:1" x14ac:dyDescent="0.25">
      <c r="A18987" t="e">
        <v>#N/A</v>
      </c>
    </row>
    <row r="18988" spans="1:1" x14ac:dyDescent="0.25">
      <c r="A18988" t="e">
        <v>#N/A</v>
      </c>
    </row>
    <row r="18989" spans="1:1" x14ac:dyDescent="0.25">
      <c r="A18989" t="e">
        <v>#N/A</v>
      </c>
    </row>
    <row r="18990" spans="1:1" x14ac:dyDescent="0.25">
      <c r="A18990" t="e">
        <v>#N/A</v>
      </c>
    </row>
    <row r="18991" spans="1:1" x14ac:dyDescent="0.25">
      <c r="A18991" t="e">
        <v>#N/A</v>
      </c>
    </row>
    <row r="18992" spans="1:1" x14ac:dyDescent="0.25">
      <c r="A18992" t="e">
        <v>#N/A</v>
      </c>
    </row>
    <row r="18993" spans="1:1" x14ac:dyDescent="0.25">
      <c r="A18993" t="e">
        <v>#N/A</v>
      </c>
    </row>
    <row r="18994" spans="1:1" x14ac:dyDescent="0.25">
      <c r="A18994" t="e">
        <v>#N/A</v>
      </c>
    </row>
    <row r="18995" spans="1:1" x14ac:dyDescent="0.25">
      <c r="A18995" t="e">
        <v>#N/A</v>
      </c>
    </row>
    <row r="18996" spans="1:1" x14ac:dyDescent="0.25">
      <c r="A18996" t="e">
        <v>#N/A</v>
      </c>
    </row>
    <row r="18997" spans="1:1" x14ac:dyDescent="0.25">
      <c r="A18997" t="e">
        <v>#N/A</v>
      </c>
    </row>
    <row r="18998" spans="1:1" x14ac:dyDescent="0.25">
      <c r="A18998" t="e">
        <v>#N/A</v>
      </c>
    </row>
    <row r="18999" spans="1:1" x14ac:dyDescent="0.25">
      <c r="A18999" t="e">
        <v>#N/A</v>
      </c>
    </row>
    <row r="19000" spans="1:1" x14ac:dyDescent="0.25">
      <c r="A19000" t="e">
        <v>#N/A</v>
      </c>
    </row>
    <row r="19001" spans="1:1" x14ac:dyDescent="0.25">
      <c r="A19001" t="e">
        <v>#N/A</v>
      </c>
    </row>
    <row r="19002" spans="1:1" x14ac:dyDescent="0.25">
      <c r="A19002" t="e">
        <v>#N/A</v>
      </c>
    </row>
    <row r="19003" spans="1:1" x14ac:dyDescent="0.25">
      <c r="A19003" t="e">
        <v>#N/A</v>
      </c>
    </row>
    <row r="19004" spans="1:1" x14ac:dyDescent="0.25">
      <c r="A19004" t="e">
        <v>#N/A</v>
      </c>
    </row>
    <row r="19005" spans="1:1" x14ac:dyDescent="0.25">
      <c r="A19005" t="e">
        <v>#N/A</v>
      </c>
    </row>
    <row r="19006" spans="1:1" x14ac:dyDescent="0.25">
      <c r="A19006" t="e">
        <v>#N/A</v>
      </c>
    </row>
    <row r="19007" spans="1:1" x14ac:dyDescent="0.25">
      <c r="A19007" t="e">
        <v>#N/A</v>
      </c>
    </row>
    <row r="19008" spans="1:1" x14ac:dyDescent="0.25">
      <c r="A19008" t="e">
        <v>#N/A</v>
      </c>
    </row>
    <row r="19009" spans="1:1" x14ac:dyDescent="0.25">
      <c r="A19009" t="e">
        <v>#N/A</v>
      </c>
    </row>
    <row r="19010" spans="1:1" x14ac:dyDescent="0.25">
      <c r="A19010" t="e">
        <v>#N/A</v>
      </c>
    </row>
    <row r="19011" spans="1:1" x14ac:dyDescent="0.25">
      <c r="A19011" t="e">
        <v>#N/A</v>
      </c>
    </row>
    <row r="19012" spans="1:1" x14ac:dyDescent="0.25">
      <c r="A19012" t="e">
        <v>#N/A</v>
      </c>
    </row>
    <row r="19013" spans="1:1" x14ac:dyDescent="0.25">
      <c r="A19013" t="e">
        <v>#N/A</v>
      </c>
    </row>
    <row r="19014" spans="1:1" x14ac:dyDescent="0.25">
      <c r="A19014" t="e">
        <v>#N/A</v>
      </c>
    </row>
    <row r="19015" spans="1:1" x14ac:dyDescent="0.25">
      <c r="A19015" t="e">
        <v>#N/A</v>
      </c>
    </row>
    <row r="19016" spans="1:1" x14ac:dyDescent="0.25">
      <c r="A19016" t="e">
        <v>#N/A</v>
      </c>
    </row>
    <row r="19017" spans="1:1" x14ac:dyDescent="0.25">
      <c r="A19017" t="e">
        <v>#N/A</v>
      </c>
    </row>
    <row r="19018" spans="1:1" x14ac:dyDescent="0.25">
      <c r="A19018" t="e">
        <v>#N/A</v>
      </c>
    </row>
    <row r="19019" spans="1:1" x14ac:dyDescent="0.25">
      <c r="A19019" t="e">
        <v>#N/A</v>
      </c>
    </row>
    <row r="19020" spans="1:1" x14ac:dyDescent="0.25">
      <c r="A19020" t="e">
        <v>#N/A</v>
      </c>
    </row>
    <row r="19021" spans="1:1" x14ac:dyDescent="0.25">
      <c r="A19021" t="e">
        <v>#N/A</v>
      </c>
    </row>
    <row r="19022" spans="1:1" x14ac:dyDescent="0.25">
      <c r="A19022" t="e">
        <v>#N/A</v>
      </c>
    </row>
    <row r="19023" spans="1:1" x14ac:dyDescent="0.25">
      <c r="A19023" t="e">
        <v>#N/A</v>
      </c>
    </row>
    <row r="19024" spans="1:1" x14ac:dyDescent="0.25">
      <c r="A19024" t="e">
        <v>#N/A</v>
      </c>
    </row>
    <row r="19025" spans="1:1" x14ac:dyDescent="0.25">
      <c r="A19025" t="e">
        <v>#N/A</v>
      </c>
    </row>
    <row r="19026" spans="1:1" x14ac:dyDescent="0.25">
      <c r="A19026" t="e">
        <v>#N/A</v>
      </c>
    </row>
    <row r="19027" spans="1:1" x14ac:dyDescent="0.25">
      <c r="A19027" t="e">
        <v>#N/A</v>
      </c>
    </row>
    <row r="19028" spans="1:1" x14ac:dyDescent="0.25">
      <c r="A19028" t="e">
        <v>#N/A</v>
      </c>
    </row>
    <row r="19029" spans="1:1" x14ac:dyDescent="0.25">
      <c r="A19029" t="e">
        <v>#N/A</v>
      </c>
    </row>
    <row r="19030" spans="1:1" x14ac:dyDescent="0.25">
      <c r="A19030" t="e">
        <v>#N/A</v>
      </c>
    </row>
    <row r="19031" spans="1:1" x14ac:dyDescent="0.25">
      <c r="A19031" t="e">
        <v>#N/A</v>
      </c>
    </row>
    <row r="19032" spans="1:1" x14ac:dyDescent="0.25">
      <c r="A19032" t="e">
        <v>#N/A</v>
      </c>
    </row>
    <row r="19033" spans="1:1" x14ac:dyDescent="0.25">
      <c r="A19033" t="e">
        <v>#N/A</v>
      </c>
    </row>
    <row r="19034" spans="1:1" x14ac:dyDescent="0.25">
      <c r="A19034" t="e">
        <v>#N/A</v>
      </c>
    </row>
    <row r="19035" spans="1:1" x14ac:dyDescent="0.25">
      <c r="A19035" t="e">
        <v>#N/A</v>
      </c>
    </row>
    <row r="19036" spans="1:1" x14ac:dyDescent="0.25">
      <c r="A19036" t="e">
        <v>#N/A</v>
      </c>
    </row>
    <row r="19037" spans="1:1" x14ac:dyDescent="0.25">
      <c r="A19037" t="e">
        <v>#N/A</v>
      </c>
    </row>
    <row r="19038" spans="1:1" x14ac:dyDescent="0.25">
      <c r="A19038" t="e">
        <v>#N/A</v>
      </c>
    </row>
    <row r="19039" spans="1:1" x14ac:dyDescent="0.25">
      <c r="A19039" t="e">
        <v>#N/A</v>
      </c>
    </row>
    <row r="19040" spans="1:1" x14ac:dyDescent="0.25">
      <c r="A19040" t="e">
        <v>#N/A</v>
      </c>
    </row>
    <row r="19041" spans="1:1" x14ac:dyDescent="0.25">
      <c r="A19041" t="e">
        <v>#N/A</v>
      </c>
    </row>
    <row r="19042" spans="1:1" x14ac:dyDescent="0.25">
      <c r="A19042" t="e">
        <v>#N/A</v>
      </c>
    </row>
    <row r="19043" spans="1:1" x14ac:dyDescent="0.25">
      <c r="A19043" t="e">
        <v>#N/A</v>
      </c>
    </row>
    <row r="19044" spans="1:1" x14ac:dyDescent="0.25">
      <c r="A19044" t="e">
        <v>#N/A</v>
      </c>
    </row>
    <row r="19045" spans="1:1" x14ac:dyDescent="0.25">
      <c r="A19045" t="e">
        <v>#N/A</v>
      </c>
    </row>
    <row r="19046" spans="1:1" x14ac:dyDescent="0.25">
      <c r="A19046" t="e">
        <v>#N/A</v>
      </c>
    </row>
    <row r="19047" spans="1:1" x14ac:dyDescent="0.25">
      <c r="A19047" t="e">
        <v>#N/A</v>
      </c>
    </row>
    <row r="19048" spans="1:1" x14ac:dyDescent="0.25">
      <c r="A19048" t="e">
        <v>#N/A</v>
      </c>
    </row>
    <row r="19049" spans="1:1" x14ac:dyDescent="0.25">
      <c r="A19049" t="e">
        <v>#N/A</v>
      </c>
    </row>
    <row r="19050" spans="1:1" x14ac:dyDescent="0.25">
      <c r="A19050" t="e">
        <v>#N/A</v>
      </c>
    </row>
    <row r="19051" spans="1:1" x14ac:dyDescent="0.25">
      <c r="A19051" t="e">
        <v>#N/A</v>
      </c>
    </row>
    <row r="19052" spans="1:1" x14ac:dyDescent="0.25">
      <c r="A19052" t="e">
        <v>#N/A</v>
      </c>
    </row>
    <row r="19053" spans="1:1" x14ac:dyDescent="0.25">
      <c r="A19053" t="e">
        <v>#N/A</v>
      </c>
    </row>
    <row r="19054" spans="1:1" x14ac:dyDescent="0.25">
      <c r="A19054" t="e">
        <v>#N/A</v>
      </c>
    </row>
    <row r="19055" spans="1:1" x14ac:dyDescent="0.25">
      <c r="A19055" t="e">
        <v>#N/A</v>
      </c>
    </row>
    <row r="19056" spans="1:1" x14ac:dyDescent="0.25">
      <c r="A19056" t="e">
        <v>#N/A</v>
      </c>
    </row>
    <row r="19057" spans="1:1" x14ac:dyDescent="0.25">
      <c r="A19057" t="e">
        <v>#N/A</v>
      </c>
    </row>
    <row r="19058" spans="1:1" x14ac:dyDescent="0.25">
      <c r="A19058" t="e">
        <v>#N/A</v>
      </c>
    </row>
    <row r="19059" spans="1:1" x14ac:dyDescent="0.25">
      <c r="A19059" t="e">
        <v>#N/A</v>
      </c>
    </row>
    <row r="19060" spans="1:1" x14ac:dyDescent="0.25">
      <c r="A19060" t="e">
        <v>#N/A</v>
      </c>
    </row>
    <row r="19061" spans="1:1" x14ac:dyDescent="0.25">
      <c r="A19061" t="e">
        <v>#N/A</v>
      </c>
    </row>
    <row r="19062" spans="1:1" x14ac:dyDescent="0.25">
      <c r="A19062" t="e">
        <v>#N/A</v>
      </c>
    </row>
    <row r="19063" spans="1:1" x14ac:dyDescent="0.25">
      <c r="A19063" t="e">
        <v>#N/A</v>
      </c>
    </row>
    <row r="19064" spans="1:1" x14ac:dyDescent="0.25">
      <c r="A19064" t="e">
        <v>#N/A</v>
      </c>
    </row>
    <row r="19065" spans="1:1" x14ac:dyDescent="0.25">
      <c r="A19065" t="e">
        <v>#N/A</v>
      </c>
    </row>
    <row r="19066" spans="1:1" x14ac:dyDescent="0.25">
      <c r="A19066" t="e">
        <v>#N/A</v>
      </c>
    </row>
    <row r="19067" spans="1:1" x14ac:dyDescent="0.25">
      <c r="A19067" t="e">
        <v>#N/A</v>
      </c>
    </row>
    <row r="19068" spans="1:1" x14ac:dyDescent="0.25">
      <c r="A19068" t="e">
        <v>#N/A</v>
      </c>
    </row>
    <row r="19069" spans="1:1" x14ac:dyDescent="0.25">
      <c r="A19069" t="e">
        <v>#N/A</v>
      </c>
    </row>
    <row r="19070" spans="1:1" x14ac:dyDescent="0.25">
      <c r="A19070" t="e">
        <v>#N/A</v>
      </c>
    </row>
    <row r="19071" spans="1:1" x14ac:dyDescent="0.25">
      <c r="A19071" t="e">
        <v>#N/A</v>
      </c>
    </row>
    <row r="19072" spans="1:1" x14ac:dyDescent="0.25">
      <c r="A19072" t="e">
        <v>#N/A</v>
      </c>
    </row>
    <row r="19073" spans="1:1" x14ac:dyDescent="0.25">
      <c r="A19073" t="e">
        <v>#N/A</v>
      </c>
    </row>
    <row r="19074" spans="1:1" x14ac:dyDescent="0.25">
      <c r="A19074" t="e">
        <v>#N/A</v>
      </c>
    </row>
    <row r="19075" spans="1:1" x14ac:dyDescent="0.25">
      <c r="A19075" t="e">
        <v>#N/A</v>
      </c>
    </row>
    <row r="19076" spans="1:1" x14ac:dyDescent="0.25">
      <c r="A19076" t="e">
        <v>#N/A</v>
      </c>
    </row>
    <row r="19077" spans="1:1" x14ac:dyDescent="0.25">
      <c r="A19077" t="e">
        <v>#N/A</v>
      </c>
    </row>
    <row r="19078" spans="1:1" x14ac:dyDescent="0.25">
      <c r="A19078" t="e">
        <v>#N/A</v>
      </c>
    </row>
    <row r="19079" spans="1:1" x14ac:dyDescent="0.25">
      <c r="A19079" t="e">
        <v>#N/A</v>
      </c>
    </row>
    <row r="19080" spans="1:1" x14ac:dyDescent="0.25">
      <c r="A19080" t="e">
        <v>#N/A</v>
      </c>
    </row>
    <row r="19081" spans="1:1" x14ac:dyDescent="0.25">
      <c r="A19081" t="e">
        <v>#N/A</v>
      </c>
    </row>
    <row r="19082" spans="1:1" x14ac:dyDescent="0.25">
      <c r="A19082" t="e">
        <v>#N/A</v>
      </c>
    </row>
    <row r="19083" spans="1:1" x14ac:dyDescent="0.25">
      <c r="A19083" t="e">
        <v>#N/A</v>
      </c>
    </row>
    <row r="19084" spans="1:1" x14ac:dyDescent="0.25">
      <c r="A19084" t="e">
        <v>#N/A</v>
      </c>
    </row>
    <row r="19085" spans="1:1" x14ac:dyDescent="0.25">
      <c r="A19085" t="e">
        <v>#N/A</v>
      </c>
    </row>
    <row r="19086" spans="1:1" x14ac:dyDescent="0.25">
      <c r="A19086" t="e">
        <v>#N/A</v>
      </c>
    </row>
    <row r="19087" spans="1:1" x14ac:dyDescent="0.25">
      <c r="A19087" t="e">
        <v>#N/A</v>
      </c>
    </row>
    <row r="19088" spans="1:1" x14ac:dyDescent="0.25">
      <c r="A19088" t="e">
        <v>#N/A</v>
      </c>
    </row>
    <row r="19089" spans="1:1" x14ac:dyDescent="0.25">
      <c r="A19089" t="e">
        <v>#N/A</v>
      </c>
    </row>
    <row r="19090" spans="1:1" x14ac:dyDescent="0.25">
      <c r="A19090" t="e">
        <v>#N/A</v>
      </c>
    </row>
    <row r="19091" spans="1:1" x14ac:dyDescent="0.25">
      <c r="A19091" t="e">
        <v>#N/A</v>
      </c>
    </row>
    <row r="19092" spans="1:1" x14ac:dyDescent="0.25">
      <c r="A19092" t="e">
        <v>#N/A</v>
      </c>
    </row>
    <row r="19093" spans="1:1" x14ac:dyDescent="0.25">
      <c r="A19093" t="e">
        <v>#N/A</v>
      </c>
    </row>
    <row r="19094" spans="1:1" x14ac:dyDescent="0.25">
      <c r="A19094" t="e">
        <v>#N/A</v>
      </c>
    </row>
    <row r="19095" spans="1:1" x14ac:dyDescent="0.25">
      <c r="A19095" t="e">
        <v>#N/A</v>
      </c>
    </row>
    <row r="19096" spans="1:1" x14ac:dyDescent="0.25">
      <c r="A19096" t="e">
        <v>#N/A</v>
      </c>
    </row>
    <row r="19097" spans="1:1" x14ac:dyDescent="0.25">
      <c r="A19097" t="e">
        <v>#N/A</v>
      </c>
    </row>
    <row r="19098" spans="1:1" x14ac:dyDescent="0.25">
      <c r="A19098" t="e">
        <v>#N/A</v>
      </c>
    </row>
    <row r="19099" spans="1:1" x14ac:dyDescent="0.25">
      <c r="A19099" t="e">
        <v>#N/A</v>
      </c>
    </row>
    <row r="19100" spans="1:1" x14ac:dyDescent="0.25">
      <c r="A19100" t="e">
        <v>#N/A</v>
      </c>
    </row>
    <row r="19101" spans="1:1" x14ac:dyDescent="0.25">
      <c r="A19101" t="e">
        <v>#N/A</v>
      </c>
    </row>
    <row r="19102" spans="1:1" x14ac:dyDescent="0.25">
      <c r="A19102" t="e">
        <v>#N/A</v>
      </c>
    </row>
    <row r="19103" spans="1:1" x14ac:dyDescent="0.25">
      <c r="A19103" t="e">
        <v>#N/A</v>
      </c>
    </row>
    <row r="19104" spans="1:1" x14ac:dyDescent="0.25">
      <c r="A19104" t="e">
        <v>#N/A</v>
      </c>
    </row>
    <row r="19105" spans="1:1" x14ac:dyDescent="0.25">
      <c r="A19105" t="e">
        <v>#N/A</v>
      </c>
    </row>
    <row r="19106" spans="1:1" x14ac:dyDescent="0.25">
      <c r="A19106" t="e">
        <v>#N/A</v>
      </c>
    </row>
    <row r="19107" spans="1:1" x14ac:dyDescent="0.25">
      <c r="A19107" t="e">
        <v>#N/A</v>
      </c>
    </row>
    <row r="19108" spans="1:1" x14ac:dyDescent="0.25">
      <c r="A19108" t="e">
        <v>#N/A</v>
      </c>
    </row>
    <row r="19109" spans="1:1" x14ac:dyDescent="0.25">
      <c r="A19109" t="e">
        <v>#N/A</v>
      </c>
    </row>
    <row r="19110" spans="1:1" x14ac:dyDescent="0.25">
      <c r="A19110" t="e">
        <v>#N/A</v>
      </c>
    </row>
    <row r="19111" spans="1:1" x14ac:dyDescent="0.25">
      <c r="A19111" t="e">
        <v>#N/A</v>
      </c>
    </row>
    <row r="19112" spans="1:1" x14ac:dyDescent="0.25">
      <c r="A19112" t="e">
        <v>#N/A</v>
      </c>
    </row>
    <row r="19113" spans="1:1" x14ac:dyDescent="0.25">
      <c r="A19113" t="e">
        <v>#N/A</v>
      </c>
    </row>
    <row r="19114" spans="1:1" x14ac:dyDescent="0.25">
      <c r="A19114" t="e">
        <v>#N/A</v>
      </c>
    </row>
    <row r="19115" spans="1:1" x14ac:dyDescent="0.25">
      <c r="A19115" t="e">
        <v>#N/A</v>
      </c>
    </row>
    <row r="19116" spans="1:1" x14ac:dyDescent="0.25">
      <c r="A19116" t="e">
        <v>#N/A</v>
      </c>
    </row>
    <row r="19117" spans="1:1" x14ac:dyDescent="0.25">
      <c r="A19117" t="e">
        <v>#N/A</v>
      </c>
    </row>
    <row r="19118" spans="1:1" x14ac:dyDescent="0.25">
      <c r="A19118" t="e">
        <v>#N/A</v>
      </c>
    </row>
    <row r="19119" spans="1:1" x14ac:dyDescent="0.25">
      <c r="A19119" t="e">
        <v>#N/A</v>
      </c>
    </row>
    <row r="19120" spans="1:1" x14ac:dyDescent="0.25">
      <c r="A19120" t="e">
        <v>#N/A</v>
      </c>
    </row>
    <row r="19121" spans="1:1" x14ac:dyDescent="0.25">
      <c r="A19121" t="e">
        <v>#N/A</v>
      </c>
    </row>
    <row r="19122" spans="1:1" x14ac:dyDescent="0.25">
      <c r="A19122" t="e">
        <v>#N/A</v>
      </c>
    </row>
    <row r="19123" spans="1:1" x14ac:dyDescent="0.25">
      <c r="A19123" t="e">
        <v>#N/A</v>
      </c>
    </row>
    <row r="19124" spans="1:1" x14ac:dyDescent="0.25">
      <c r="A19124" t="e">
        <v>#N/A</v>
      </c>
    </row>
    <row r="19125" spans="1:1" x14ac:dyDescent="0.25">
      <c r="A19125" t="e">
        <v>#N/A</v>
      </c>
    </row>
    <row r="19126" spans="1:1" x14ac:dyDescent="0.25">
      <c r="A19126" t="e">
        <v>#N/A</v>
      </c>
    </row>
    <row r="19127" spans="1:1" x14ac:dyDescent="0.25">
      <c r="A19127" t="e">
        <v>#N/A</v>
      </c>
    </row>
    <row r="19128" spans="1:1" x14ac:dyDescent="0.25">
      <c r="A19128" t="e">
        <v>#N/A</v>
      </c>
    </row>
    <row r="19129" spans="1:1" x14ac:dyDescent="0.25">
      <c r="A19129" t="e">
        <v>#N/A</v>
      </c>
    </row>
    <row r="19130" spans="1:1" x14ac:dyDescent="0.25">
      <c r="A19130" t="e">
        <v>#N/A</v>
      </c>
    </row>
    <row r="19131" spans="1:1" x14ac:dyDescent="0.25">
      <c r="A19131" t="e">
        <v>#N/A</v>
      </c>
    </row>
    <row r="19132" spans="1:1" x14ac:dyDescent="0.25">
      <c r="A19132" t="e">
        <v>#N/A</v>
      </c>
    </row>
    <row r="19133" spans="1:1" x14ac:dyDescent="0.25">
      <c r="A19133" t="e">
        <v>#N/A</v>
      </c>
    </row>
    <row r="19134" spans="1:1" x14ac:dyDescent="0.25">
      <c r="A19134" t="e">
        <v>#N/A</v>
      </c>
    </row>
    <row r="19135" spans="1:1" x14ac:dyDescent="0.25">
      <c r="A19135" t="e">
        <v>#N/A</v>
      </c>
    </row>
    <row r="19136" spans="1:1" x14ac:dyDescent="0.25">
      <c r="A19136" t="e">
        <v>#N/A</v>
      </c>
    </row>
    <row r="19137" spans="1:1" x14ac:dyDescent="0.25">
      <c r="A19137" t="e">
        <v>#N/A</v>
      </c>
    </row>
    <row r="19138" spans="1:1" x14ac:dyDescent="0.25">
      <c r="A19138" t="e">
        <v>#N/A</v>
      </c>
    </row>
    <row r="19139" spans="1:1" x14ac:dyDescent="0.25">
      <c r="A19139" t="e">
        <v>#N/A</v>
      </c>
    </row>
    <row r="19140" spans="1:1" x14ac:dyDescent="0.25">
      <c r="A19140" t="e">
        <v>#N/A</v>
      </c>
    </row>
    <row r="19141" spans="1:1" x14ac:dyDescent="0.25">
      <c r="A19141" t="e">
        <v>#N/A</v>
      </c>
    </row>
    <row r="19142" spans="1:1" x14ac:dyDescent="0.25">
      <c r="A19142" t="e">
        <v>#N/A</v>
      </c>
    </row>
    <row r="19143" spans="1:1" x14ac:dyDescent="0.25">
      <c r="A19143" t="e">
        <v>#N/A</v>
      </c>
    </row>
    <row r="19144" spans="1:1" x14ac:dyDescent="0.25">
      <c r="A19144" t="e">
        <v>#N/A</v>
      </c>
    </row>
    <row r="19145" spans="1:1" x14ac:dyDescent="0.25">
      <c r="A19145" t="e">
        <v>#N/A</v>
      </c>
    </row>
    <row r="19146" spans="1:1" x14ac:dyDescent="0.25">
      <c r="A19146" t="e">
        <v>#N/A</v>
      </c>
    </row>
    <row r="19147" spans="1:1" x14ac:dyDescent="0.25">
      <c r="A19147" t="e">
        <v>#N/A</v>
      </c>
    </row>
    <row r="19148" spans="1:1" x14ac:dyDescent="0.25">
      <c r="A19148" t="e">
        <v>#N/A</v>
      </c>
    </row>
    <row r="19149" spans="1:1" x14ac:dyDescent="0.25">
      <c r="A19149" t="e">
        <v>#N/A</v>
      </c>
    </row>
    <row r="19150" spans="1:1" x14ac:dyDescent="0.25">
      <c r="A19150" t="e">
        <v>#N/A</v>
      </c>
    </row>
    <row r="19151" spans="1:1" x14ac:dyDescent="0.25">
      <c r="A19151" t="e">
        <v>#N/A</v>
      </c>
    </row>
    <row r="19152" spans="1:1" x14ac:dyDescent="0.25">
      <c r="A19152" t="e">
        <v>#N/A</v>
      </c>
    </row>
    <row r="19153" spans="1:1" x14ac:dyDescent="0.25">
      <c r="A19153" t="e">
        <v>#N/A</v>
      </c>
    </row>
    <row r="19154" spans="1:1" x14ac:dyDescent="0.25">
      <c r="A19154" t="e">
        <v>#N/A</v>
      </c>
    </row>
    <row r="19155" spans="1:1" x14ac:dyDescent="0.25">
      <c r="A19155" t="e">
        <v>#N/A</v>
      </c>
    </row>
    <row r="19156" spans="1:1" x14ac:dyDescent="0.25">
      <c r="A19156" t="e">
        <v>#N/A</v>
      </c>
    </row>
    <row r="19157" spans="1:1" x14ac:dyDescent="0.25">
      <c r="A19157" t="e">
        <v>#N/A</v>
      </c>
    </row>
    <row r="19158" spans="1:1" x14ac:dyDescent="0.25">
      <c r="A19158" t="e">
        <v>#N/A</v>
      </c>
    </row>
    <row r="19159" spans="1:1" x14ac:dyDescent="0.25">
      <c r="A19159" t="e">
        <v>#N/A</v>
      </c>
    </row>
    <row r="19160" spans="1:1" x14ac:dyDescent="0.25">
      <c r="A19160" t="e">
        <v>#N/A</v>
      </c>
    </row>
    <row r="19161" spans="1:1" x14ac:dyDescent="0.25">
      <c r="A19161" t="e">
        <v>#N/A</v>
      </c>
    </row>
    <row r="19162" spans="1:1" x14ac:dyDescent="0.25">
      <c r="A19162" t="e">
        <v>#N/A</v>
      </c>
    </row>
    <row r="19163" spans="1:1" x14ac:dyDescent="0.25">
      <c r="A19163" t="e">
        <v>#N/A</v>
      </c>
    </row>
    <row r="19164" spans="1:1" x14ac:dyDescent="0.25">
      <c r="A19164" t="e">
        <v>#N/A</v>
      </c>
    </row>
    <row r="19165" spans="1:1" x14ac:dyDescent="0.25">
      <c r="A19165" t="e">
        <v>#N/A</v>
      </c>
    </row>
    <row r="19166" spans="1:1" x14ac:dyDescent="0.25">
      <c r="A19166" t="e">
        <v>#N/A</v>
      </c>
    </row>
    <row r="19167" spans="1:1" x14ac:dyDescent="0.25">
      <c r="A19167" t="e">
        <v>#N/A</v>
      </c>
    </row>
    <row r="19168" spans="1:1" x14ac:dyDescent="0.25">
      <c r="A19168" t="e">
        <v>#N/A</v>
      </c>
    </row>
    <row r="19169" spans="1:1" x14ac:dyDescent="0.25">
      <c r="A19169" t="e">
        <v>#N/A</v>
      </c>
    </row>
    <row r="19170" spans="1:1" x14ac:dyDescent="0.25">
      <c r="A19170" t="e">
        <v>#N/A</v>
      </c>
    </row>
    <row r="19171" spans="1:1" x14ac:dyDescent="0.25">
      <c r="A19171" t="e">
        <v>#N/A</v>
      </c>
    </row>
    <row r="19172" spans="1:1" x14ac:dyDescent="0.25">
      <c r="A19172" t="e">
        <v>#N/A</v>
      </c>
    </row>
    <row r="19173" spans="1:1" x14ac:dyDescent="0.25">
      <c r="A19173" t="e">
        <v>#N/A</v>
      </c>
    </row>
    <row r="19174" spans="1:1" x14ac:dyDescent="0.25">
      <c r="A19174" t="e">
        <v>#N/A</v>
      </c>
    </row>
    <row r="19175" spans="1:1" x14ac:dyDescent="0.25">
      <c r="A19175" t="e">
        <v>#N/A</v>
      </c>
    </row>
    <row r="19176" spans="1:1" x14ac:dyDescent="0.25">
      <c r="A19176" t="e">
        <v>#N/A</v>
      </c>
    </row>
    <row r="19177" spans="1:1" x14ac:dyDescent="0.25">
      <c r="A19177" t="e">
        <v>#N/A</v>
      </c>
    </row>
    <row r="19178" spans="1:1" x14ac:dyDescent="0.25">
      <c r="A19178" t="e">
        <v>#N/A</v>
      </c>
    </row>
    <row r="19179" spans="1:1" x14ac:dyDescent="0.25">
      <c r="A19179" t="e">
        <v>#N/A</v>
      </c>
    </row>
    <row r="19180" spans="1:1" x14ac:dyDescent="0.25">
      <c r="A19180" t="e">
        <v>#N/A</v>
      </c>
    </row>
    <row r="19181" spans="1:1" x14ac:dyDescent="0.25">
      <c r="A19181" t="e">
        <v>#N/A</v>
      </c>
    </row>
    <row r="19182" spans="1:1" x14ac:dyDescent="0.25">
      <c r="A19182" t="e">
        <v>#N/A</v>
      </c>
    </row>
    <row r="19183" spans="1:1" x14ac:dyDescent="0.25">
      <c r="A19183" t="e">
        <v>#N/A</v>
      </c>
    </row>
    <row r="19184" spans="1:1" x14ac:dyDescent="0.25">
      <c r="A19184" t="e">
        <v>#N/A</v>
      </c>
    </row>
    <row r="19185" spans="1:1" x14ac:dyDescent="0.25">
      <c r="A19185" t="e">
        <v>#N/A</v>
      </c>
    </row>
    <row r="19186" spans="1:1" x14ac:dyDescent="0.25">
      <c r="A19186" t="e">
        <v>#N/A</v>
      </c>
    </row>
    <row r="19187" spans="1:1" x14ac:dyDescent="0.25">
      <c r="A19187" t="e">
        <v>#N/A</v>
      </c>
    </row>
    <row r="19188" spans="1:1" x14ac:dyDescent="0.25">
      <c r="A19188" t="e">
        <v>#N/A</v>
      </c>
    </row>
    <row r="19189" spans="1:1" x14ac:dyDescent="0.25">
      <c r="A19189" t="e">
        <v>#N/A</v>
      </c>
    </row>
    <row r="19190" spans="1:1" x14ac:dyDescent="0.25">
      <c r="A19190" t="e">
        <v>#N/A</v>
      </c>
    </row>
    <row r="19191" spans="1:1" x14ac:dyDescent="0.25">
      <c r="A19191" t="e">
        <v>#N/A</v>
      </c>
    </row>
    <row r="19192" spans="1:1" x14ac:dyDescent="0.25">
      <c r="A19192" t="e">
        <v>#N/A</v>
      </c>
    </row>
    <row r="19193" spans="1:1" x14ac:dyDescent="0.25">
      <c r="A19193" t="e">
        <v>#N/A</v>
      </c>
    </row>
    <row r="19194" spans="1:1" x14ac:dyDescent="0.25">
      <c r="A19194" t="e">
        <v>#N/A</v>
      </c>
    </row>
    <row r="19195" spans="1:1" x14ac:dyDescent="0.25">
      <c r="A19195" t="e">
        <v>#N/A</v>
      </c>
    </row>
    <row r="19196" spans="1:1" x14ac:dyDescent="0.25">
      <c r="A19196" t="e">
        <v>#N/A</v>
      </c>
    </row>
    <row r="19197" spans="1:1" x14ac:dyDescent="0.25">
      <c r="A19197" t="e">
        <v>#N/A</v>
      </c>
    </row>
    <row r="19198" spans="1:1" x14ac:dyDescent="0.25">
      <c r="A19198" t="e">
        <v>#N/A</v>
      </c>
    </row>
    <row r="19199" spans="1:1" x14ac:dyDescent="0.25">
      <c r="A19199" t="e">
        <v>#N/A</v>
      </c>
    </row>
    <row r="19200" spans="1:1" x14ac:dyDescent="0.25">
      <c r="A19200" t="e">
        <v>#N/A</v>
      </c>
    </row>
    <row r="19201" spans="1:1" x14ac:dyDescent="0.25">
      <c r="A19201" t="e">
        <v>#N/A</v>
      </c>
    </row>
    <row r="19202" spans="1:1" x14ac:dyDescent="0.25">
      <c r="A19202" t="e">
        <v>#N/A</v>
      </c>
    </row>
    <row r="19203" spans="1:1" x14ac:dyDescent="0.25">
      <c r="A19203" t="e">
        <v>#N/A</v>
      </c>
    </row>
    <row r="19204" spans="1:1" x14ac:dyDescent="0.25">
      <c r="A19204" t="e">
        <v>#N/A</v>
      </c>
    </row>
    <row r="19205" spans="1:1" x14ac:dyDescent="0.25">
      <c r="A19205" t="e">
        <v>#N/A</v>
      </c>
    </row>
    <row r="19206" spans="1:1" x14ac:dyDescent="0.25">
      <c r="A19206" t="e">
        <v>#N/A</v>
      </c>
    </row>
    <row r="19207" spans="1:1" x14ac:dyDescent="0.25">
      <c r="A19207" t="e">
        <v>#N/A</v>
      </c>
    </row>
    <row r="19208" spans="1:1" x14ac:dyDescent="0.25">
      <c r="A19208" t="e">
        <v>#N/A</v>
      </c>
    </row>
    <row r="19209" spans="1:1" x14ac:dyDescent="0.25">
      <c r="A19209" t="e">
        <v>#N/A</v>
      </c>
    </row>
    <row r="19210" spans="1:1" x14ac:dyDescent="0.25">
      <c r="A19210" t="e">
        <v>#N/A</v>
      </c>
    </row>
    <row r="19211" spans="1:1" x14ac:dyDescent="0.25">
      <c r="A19211" t="e">
        <v>#N/A</v>
      </c>
    </row>
    <row r="19212" spans="1:1" x14ac:dyDescent="0.25">
      <c r="A19212" t="e">
        <v>#N/A</v>
      </c>
    </row>
    <row r="19213" spans="1:1" x14ac:dyDescent="0.25">
      <c r="A19213" t="e">
        <v>#N/A</v>
      </c>
    </row>
    <row r="19214" spans="1:1" x14ac:dyDescent="0.25">
      <c r="A19214" t="e">
        <v>#N/A</v>
      </c>
    </row>
    <row r="19215" spans="1:1" x14ac:dyDescent="0.25">
      <c r="A19215" t="e">
        <v>#N/A</v>
      </c>
    </row>
    <row r="19216" spans="1:1" x14ac:dyDescent="0.25">
      <c r="A19216" t="e">
        <v>#N/A</v>
      </c>
    </row>
    <row r="19217" spans="1:1" x14ac:dyDescent="0.25">
      <c r="A19217" t="e">
        <v>#N/A</v>
      </c>
    </row>
    <row r="19218" spans="1:1" x14ac:dyDescent="0.25">
      <c r="A19218" t="e">
        <v>#N/A</v>
      </c>
    </row>
    <row r="19219" spans="1:1" x14ac:dyDescent="0.25">
      <c r="A19219" t="e">
        <v>#N/A</v>
      </c>
    </row>
    <row r="19220" spans="1:1" x14ac:dyDescent="0.25">
      <c r="A19220" t="e">
        <v>#N/A</v>
      </c>
    </row>
    <row r="19221" spans="1:1" x14ac:dyDescent="0.25">
      <c r="A19221" t="e">
        <v>#N/A</v>
      </c>
    </row>
    <row r="19222" spans="1:1" x14ac:dyDescent="0.25">
      <c r="A19222" t="e">
        <v>#N/A</v>
      </c>
    </row>
    <row r="19223" spans="1:1" x14ac:dyDescent="0.25">
      <c r="A19223" t="e">
        <v>#N/A</v>
      </c>
    </row>
    <row r="19224" spans="1:1" x14ac:dyDescent="0.25">
      <c r="A19224" t="e">
        <v>#N/A</v>
      </c>
    </row>
    <row r="19225" spans="1:1" x14ac:dyDescent="0.25">
      <c r="A19225" t="e">
        <v>#N/A</v>
      </c>
    </row>
    <row r="19226" spans="1:1" x14ac:dyDescent="0.25">
      <c r="A19226" t="e">
        <v>#N/A</v>
      </c>
    </row>
    <row r="19227" spans="1:1" x14ac:dyDescent="0.25">
      <c r="A19227" t="e">
        <v>#N/A</v>
      </c>
    </row>
    <row r="19228" spans="1:1" x14ac:dyDescent="0.25">
      <c r="A19228" t="e">
        <v>#N/A</v>
      </c>
    </row>
    <row r="19229" spans="1:1" x14ac:dyDescent="0.25">
      <c r="A19229" t="e">
        <v>#N/A</v>
      </c>
    </row>
    <row r="19230" spans="1:1" x14ac:dyDescent="0.25">
      <c r="A19230" t="e">
        <v>#N/A</v>
      </c>
    </row>
    <row r="19231" spans="1:1" x14ac:dyDescent="0.25">
      <c r="A19231" t="e">
        <v>#N/A</v>
      </c>
    </row>
    <row r="19232" spans="1:1" x14ac:dyDescent="0.25">
      <c r="A19232" t="e">
        <v>#N/A</v>
      </c>
    </row>
    <row r="19233" spans="1:1" x14ac:dyDescent="0.25">
      <c r="A19233" t="e">
        <v>#N/A</v>
      </c>
    </row>
    <row r="19234" spans="1:1" x14ac:dyDescent="0.25">
      <c r="A19234" t="e">
        <v>#N/A</v>
      </c>
    </row>
    <row r="19235" spans="1:1" x14ac:dyDescent="0.25">
      <c r="A19235" t="e">
        <v>#N/A</v>
      </c>
    </row>
    <row r="19236" spans="1:1" x14ac:dyDescent="0.25">
      <c r="A19236" t="e">
        <v>#N/A</v>
      </c>
    </row>
    <row r="19237" spans="1:1" x14ac:dyDescent="0.25">
      <c r="A19237" t="e">
        <v>#N/A</v>
      </c>
    </row>
    <row r="19238" spans="1:1" x14ac:dyDescent="0.25">
      <c r="A19238" t="e">
        <v>#N/A</v>
      </c>
    </row>
    <row r="19239" spans="1:1" x14ac:dyDescent="0.25">
      <c r="A19239" t="e">
        <v>#N/A</v>
      </c>
    </row>
    <row r="19240" spans="1:1" x14ac:dyDescent="0.25">
      <c r="A19240" t="e">
        <v>#N/A</v>
      </c>
    </row>
    <row r="19241" spans="1:1" x14ac:dyDescent="0.25">
      <c r="A19241" t="e">
        <v>#N/A</v>
      </c>
    </row>
    <row r="19242" spans="1:1" x14ac:dyDescent="0.25">
      <c r="A19242" t="e">
        <v>#N/A</v>
      </c>
    </row>
    <row r="19243" spans="1:1" x14ac:dyDescent="0.25">
      <c r="A19243" t="e">
        <v>#N/A</v>
      </c>
    </row>
    <row r="19244" spans="1:1" x14ac:dyDescent="0.25">
      <c r="A19244" t="e">
        <v>#N/A</v>
      </c>
    </row>
    <row r="19245" spans="1:1" x14ac:dyDescent="0.25">
      <c r="A19245" t="e">
        <v>#N/A</v>
      </c>
    </row>
    <row r="19246" spans="1:1" x14ac:dyDescent="0.25">
      <c r="A19246" t="e">
        <v>#N/A</v>
      </c>
    </row>
    <row r="19247" spans="1:1" x14ac:dyDescent="0.25">
      <c r="A19247" t="e">
        <v>#N/A</v>
      </c>
    </row>
    <row r="19248" spans="1:1" x14ac:dyDescent="0.25">
      <c r="A19248" t="e">
        <v>#N/A</v>
      </c>
    </row>
    <row r="19249" spans="1:1" x14ac:dyDescent="0.25">
      <c r="A19249" t="e">
        <v>#N/A</v>
      </c>
    </row>
    <row r="19250" spans="1:1" x14ac:dyDescent="0.25">
      <c r="A19250" t="e">
        <v>#N/A</v>
      </c>
    </row>
    <row r="19251" spans="1:1" x14ac:dyDescent="0.25">
      <c r="A19251" t="e">
        <v>#N/A</v>
      </c>
    </row>
    <row r="19252" spans="1:1" x14ac:dyDescent="0.25">
      <c r="A19252" t="e">
        <v>#N/A</v>
      </c>
    </row>
    <row r="19253" spans="1:1" x14ac:dyDescent="0.25">
      <c r="A19253" t="e">
        <v>#N/A</v>
      </c>
    </row>
    <row r="19254" spans="1:1" x14ac:dyDescent="0.25">
      <c r="A19254" t="e">
        <v>#N/A</v>
      </c>
    </row>
    <row r="19255" spans="1:1" x14ac:dyDescent="0.25">
      <c r="A19255" t="e">
        <v>#N/A</v>
      </c>
    </row>
    <row r="19256" spans="1:1" x14ac:dyDescent="0.25">
      <c r="A19256" t="e">
        <v>#N/A</v>
      </c>
    </row>
    <row r="19257" spans="1:1" x14ac:dyDescent="0.25">
      <c r="A19257" t="e">
        <v>#N/A</v>
      </c>
    </row>
    <row r="19258" spans="1:1" x14ac:dyDescent="0.25">
      <c r="A19258" t="e">
        <v>#N/A</v>
      </c>
    </row>
    <row r="19259" spans="1:1" x14ac:dyDescent="0.25">
      <c r="A19259" t="e">
        <v>#N/A</v>
      </c>
    </row>
    <row r="19260" spans="1:1" x14ac:dyDescent="0.25">
      <c r="A19260" t="e">
        <v>#N/A</v>
      </c>
    </row>
    <row r="19261" spans="1:1" x14ac:dyDescent="0.25">
      <c r="A19261" t="e">
        <v>#N/A</v>
      </c>
    </row>
    <row r="19262" spans="1:1" x14ac:dyDescent="0.25">
      <c r="A19262" t="e">
        <v>#N/A</v>
      </c>
    </row>
    <row r="19263" spans="1:1" x14ac:dyDescent="0.25">
      <c r="A19263" t="e">
        <v>#N/A</v>
      </c>
    </row>
    <row r="19264" spans="1:1" x14ac:dyDescent="0.25">
      <c r="A19264" t="e">
        <v>#N/A</v>
      </c>
    </row>
    <row r="19265" spans="1:1" x14ac:dyDescent="0.25">
      <c r="A19265" t="e">
        <v>#N/A</v>
      </c>
    </row>
    <row r="19266" spans="1:1" x14ac:dyDescent="0.25">
      <c r="A19266" t="e">
        <v>#N/A</v>
      </c>
    </row>
    <row r="19267" spans="1:1" x14ac:dyDescent="0.25">
      <c r="A19267" t="e">
        <v>#N/A</v>
      </c>
    </row>
    <row r="19268" spans="1:1" x14ac:dyDescent="0.25">
      <c r="A19268" t="e">
        <v>#N/A</v>
      </c>
    </row>
    <row r="19269" spans="1:1" x14ac:dyDescent="0.25">
      <c r="A19269" t="e">
        <v>#N/A</v>
      </c>
    </row>
    <row r="19270" spans="1:1" x14ac:dyDescent="0.25">
      <c r="A19270" t="e">
        <v>#N/A</v>
      </c>
    </row>
    <row r="19271" spans="1:1" x14ac:dyDescent="0.25">
      <c r="A19271" t="e">
        <v>#N/A</v>
      </c>
    </row>
    <row r="19272" spans="1:1" x14ac:dyDescent="0.25">
      <c r="A19272" t="e">
        <v>#N/A</v>
      </c>
    </row>
    <row r="19273" spans="1:1" x14ac:dyDescent="0.25">
      <c r="A19273" t="e">
        <v>#N/A</v>
      </c>
    </row>
    <row r="19274" spans="1:1" x14ac:dyDescent="0.25">
      <c r="A19274" t="e">
        <v>#N/A</v>
      </c>
    </row>
    <row r="19275" spans="1:1" x14ac:dyDescent="0.25">
      <c r="A19275" t="e">
        <v>#N/A</v>
      </c>
    </row>
    <row r="19276" spans="1:1" x14ac:dyDescent="0.25">
      <c r="A19276" t="e">
        <v>#N/A</v>
      </c>
    </row>
    <row r="19277" spans="1:1" x14ac:dyDescent="0.25">
      <c r="A19277" t="e">
        <v>#N/A</v>
      </c>
    </row>
    <row r="19278" spans="1:1" x14ac:dyDescent="0.25">
      <c r="A19278" t="e">
        <v>#N/A</v>
      </c>
    </row>
    <row r="19279" spans="1:1" x14ac:dyDescent="0.25">
      <c r="A19279" t="e">
        <v>#N/A</v>
      </c>
    </row>
    <row r="19280" spans="1:1" x14ac:dyDescent="0.25">
      <c r="A19280" t="e">
        <v>#N/A</v>
      </c>
    </row>
    <row r="19281" spans="1:1" x14ac:dyDescent="0.25">
      <c r="A19281" t="e">
        <v>#N/A</v>
      </c>
    </row>
    <row r="19282" spans="1:1" x14ac:dyDescent="0.25">
      <c r="A19282" t="e">
        <v>#N/A</v>
      </c>
    </row>
    <row r="19283" spans="1:1" x14ac:dyDescent="0.25">
      <c r="A19283" t="e">
        <v>#N/A</v>
      </c>
    </row>
    <row r="19284" spans="1:1" x14ac:dyDescent="0.25">
      <c r="A19284" t="e">
        <v>#N/A</v>
      </c>
    </row>
    <row r="19285" spans="1:1" x14ac:dyDescent="0.25">
      <c r="A19285" t="e">
        <v>#N/A</v>
      </c>
    </row>
    <row r="19286" spans="1:1" x14ac:dyDescent="0.25">
      <c r="A19286" t="e">
        <v>#N/A</v>
      </c>
    </row>
    <row r="19287" spans="1:1" x14ac:dyDescent="0.25">
      <c r="A19287" t="e">
        <v>#N/A</v>
      </c>
    </row>
    <row r="19288" spans="1:1" x14ac:dyDescent="0.25">
      <c r="A19288" t="e">
        <v>#N/A</v>
      </c>
    </row>
    <row r="19289" spans="1:1" x14ac:dyDescent="0.25">
      <c r="A19289" t="e">
        <v>#N/A</v>
      </c>
    </row>
    <row r="19290" spans="1:1" x14ac:dyDescent="0.25">
      <c r="A19290" t="e">
        <v>#N/A</v>
      </c>
    </row>
    <row r="19291" spans="1:1" x14ac:dyDescent="0.25">
      <c r="A19291" t="e">
        <v>#N/A</v>
      </c>
    </row>
    <row r="19292" spans="1:1" x14ac:dyDescent="0.25">
      <c r="A19292" t="e">
        <v>#N/A</v>
      </c>
    </row>
    <row r="19293" spans="1:1" x14ac:dyDescent="0.25">
      <c r="A19293" t="e">
        <v>#N/A</v>
      </c>
    </row>
    <row r="19294" spans="1:1" x14ac:dyDescent="0.25">
      <c r="A19294" t="e">
        <v>#N/A</v>
      </c>
    </row>
    <row r="19295" spans="1:1" x14ac:dyDescent="0.25">
      <c r="A19295" t="e">
        <v>#N/A</v>
      </c>
    </row>
    <row r="19296" spans="1:1" x14ac:dyDescent="0.25">
      <c r="A19296" t="e">
        <v>#N/A</v>
      </c>
    </row>
    <row r="19297" spans="1:1" x14ac:dyDescent="0.25">
      <c r="A19297" t="e">
        <v>#N/A</v>
      </c>
    </row>
    <row r="19298" spans="1:1" x14ac:dyDescent="0.25">
      <c r="A19298" t="e">
        <v>#N/A</v>
      </c>
    </row>
    <row r="19299" spans="1:1" x14ac:dyDescent="0.25">
      <c r="A19299" t="e">
        <v>#N/A</v>
      </c>
    </row>
    <row r="19300" spans="1:1" x14ac:dyDescent="0.25">
      <c r="A19300" t="e">
        <v>#N/A</v>
      </c>
    </row>
    <row r="19301" spans="1:1" x14ac:dyDescent="0.25">
      <c r="A19301" t="e">
        <v>#N/A</v>
      </c>
    </row>
    <row r="19302" spans="1:1" x14ac:dyDescent="0.25">
      <c r="A19302" t="e">
        <v>#N/A</v>
      </c>
    </row>
    <row r="19303" spans="1:1" x14ac:dyDescent="0.25">
      <c r="A19303" t="e">
        <v>#N/A</v>
      </c>
    </row>
    <row r="19304" spans="1:1" x14ac:dyDescent="0.25">
      <c r="A19304" t="e">
        <v>#N/A</v>
      </c>
    </row>
    <row r="19305" spans="1:1" x14ac:dyDescent="0.25">
      <c r="A19305" t="e">
        <v>#N/A</v>
      </c>
    </row>
    <row r="19306" spans="1:1" x14ac:dyDescent="0.25">
      <c r="A19306" t="e">
        <v>#N/A</v>
      </c>
    </row>
    <row r="19307" spans="1:1" x14ac:dyDescent="0.25">
      <c r="A19307" t="e">
        <v>#N/A</v>
      </c>
    </row>
    <row r="19308" spans="1:1" x14ac:dyDescent="0.25">
      <c r="A19308" t="e">
        <v>#N/A</v>
      </c>
    </row>
    <row r="19309" spans="1:1" x14ac:dyDescent="0.25">
      <c r="A19309" t="e">
        <v>#N/A</v>
      </c>
    </row>
    <row r="19310" spans="1:1" x14ac:dyDescent="0.25">
      <c r="A19310" t="e">
        <v>#N/A</v>
      </c>
    </row>
    <row r="19311" spans="1:1" x14ac:dyDescent="0.25">
      <c r="A19311" t="e">
        <v>#N/A</v>
      </c>
    </row>
    <row r="19312" spans="1:1" x14ac:dyDescent="0.25">
      <c r="A19312" t="e">
        <v>#N/A</v>
      </c>
    </row>
    <row r="19313" spans="1:1" x14ac:dyDescent="0.25">
      <c r="A19313" t="e">
        <v>#N/A</v>
      </c>
    </row>
    <row r="19314" spans="1:1" x14ac:dyDescent="0.25">
      <c r="A19314" t="e">
        <v>#N/A</v>
      </c>
    </row>
    <row r="19315" spans="1:1" x14ac:dyDescent="0.25">
      <c r="A19315" t="e">
        <v>#N/A</v>
      </c>
    </row>
    <row r="19316" spans="1:1" x14ac:dyDescent="0.25">
      <c r="A19316" t="e">
        <v>#N/A</v>
      </c>
    </row>
    <row r="19317" spans="1:1" x14ac:dyDescent="0.25">
      <c r="A19317" t="e">
        <v>#N/A</v>
      </c>
    </row>
    <row r="19318" spans="1:1" x14ac:dyDescent="0.25">
      <c r="A19318" t="e">
        <v>#N/A</v>
      </c>
    </row>
    <row r="19319" spans="1:1" x14ac:dyDescent="0.25">
      <c r="A19319" t="e">
        <v>#N/A</v>
      </c>
    </row>
    <row r="19320" spans="1:1" x14ac:dyDescent="0.25">
      <c r="A19320" t="e">
        <v>#N/A</v>
      </c>
    </row>
    <row r="19321" spans="1:1" x14ac:dyDescent="0.25">
      <c r="A19321" t="e">
        <v>#N/A</v>
      </c>
    </row>
    <row r="19322" spans="1:1" x14ac:dyDescent="0.25">
      <c r="A19322" t="e">
        <v>#N/A</v>
      </c>
    </row>
    <row r="19323" spans="1:1" x14ac:dyDescent="0.25">
      <c r="A19323" t="e">
        <v>#N/A</v>
      </c>
    </row>
    <row r="19324" spans="1:1" x14ac:dyDescent="0.25">
      <c r="A19324" t="e">
        <v>#N/A</v>
      </c>
    </row>
    <row r="19325" spans="1:1" x14ac:dyDescent="0.25">
      <c r="A19325" t="e">
        <v>#N/A</v>
      </c>
    </row>
    <row r="19326" spans="1:1" x14ac:dyDescent="0.25">
      <c r="A19326" t="e">
        <v>#N/A</v>
      </c>
    </row>
    <row r="19327" spans="1:1" x14ac:dyDescent="0.25">
      <c r="A19327" t="e">
        <v>#N/A</v>
      </c>
    </row>
    <row r="19328" spans="1:1" x14ac:dyDescent="0.25">
      <c r="A19328" t="e">
        <v>#N/A</v>
      </c>
    </row>
    <row r="19329" spans="1:1" x14ac:dyDescent="0.25">
      <c r="A19329" t="e">
        <v>#N/A</v>
      </c>
    </row>
    <row r="19330" spans="1:1" x14ac:dyDescent="0.25">
      <c r="A19330" t="e">
        <v>#N/A</v>
      </c>
    </row>
    <row r="19331" spans="1:1" x14ac:dyDescent="0.25">
      <c r="A19331" t="e">
        <v>#N/A</v>
      </c>
    </row>
    <row r="19332" spans="1:1" x14ac:dyDescent="0.25">
      <c r="A19332" t="e">
        <v>#N/A</v>
      </c>
    </row>
    <row r="19333" spans="1:1" x14ac:dyDescent="0.25">
      <c r="A19333" t="e">
        <v>#N/A</v>
      </c>
    </row>
    <row r="19334" spans="1:1" x14ac:dyDescent="0.25">
      <c r="A19334" t="e">
        <v>#N/A</v>
      </c>
    </row>
    <row r="19335" spans="1:1" x14ac:dyDescent="0.25">
      <c r="A19335" t="e">
        <v>#N/A</v>
      </c>
    </row>
    <row r="19336" spans="1:1" x14ac:dyDescent="0.25">
      <c r="A19336" t="e">
        <v>#N/A</v>
      </c>
    </row>
    <row r="19337" spans="1:1" x14ac:dyDescent="0.25">
      <c r="A19337" t="e">
        <v>#N/A</v>
      </c>
    </row>
    <row r="19338" spans="1:1" x14ac:dyDescent="0.25">
      <c r="A19338" t="e">
        <v>#N/A</v>
      </c>
    </row>
    <row r="19339" spans="1:1" x14ac:dyDescent="0.25">
      <c r="A19339" t="e">
        <v>#N/A</v>
      </c>
    </row>
    <row r="19340" spans="1:1" x14ac:dyDescent="0.25">
      <c r="A19340" t="e">
        <v>#N/A</v>
      </c>
    </row>
    <row r="19341" spans="1:1" x14ac:dyDescent="0.25">
      <c r="A19341" t="e">
        <v>#N/A</v>
      </c>
    </row>
    <row r="19342" spans="1:1" x14ac:dyDescent="0.25">
      <c r="A19342" t="e">
        <v>#N/A</v>
      </c>
    </row>
    <row r="19343" spans="1:1" x14ac:dyDescent="0.25">
      <c r="A19343" t="e">
        <v>#N/A</v>
      </c>
    </row>
    <row r="19344" spans="1:1" x14ac:dyDescent="0.25">
      <c r="A19344" t="e">
        <v>#N/A</v>
      </c>
    </row>
    <row r="19345" spans="1:1" x14ac:dyDescent="0.25">
      <c r="A19345" t="e">
        <v>#N/A</v>
      </c>
    </row>
    <row r="19346" spans="1:1" x14ac:dyDescent="0.25">
      <c r="A19346" t="e">
        <v>#N/A</v>
      </c>
    </row>
    <row r="19347" spans="1:1" x14ac:dyDescent="0.25">
      <c r="A19347" t="e">
        <v>#N/A</v>
      </c>
    </row>
    <row r="19348" spans="1:1" x14ac:dyDescent="0.25">
      <c r="A19348" t="e">
        <v>#N/A</v>
      </c>
    </row>
    <row r="19349" spans="1:1" x14ac:dyDescent="0.25">
      <c r="A19349" t="e">
        <v>#N/A</v>
      </c>
    </row>
    <row r="19350" spans="1:1" x14ac:dyDescent="0.25">
      <c r="A19350" t="e">
        <v>#N/A</v>
      </c>
    </row>
    <row r="19351" spans="1:1" x14ac:dyDescent="0.25">
      <c r="A19351" t="e">
        <v>#N/A</v>
      </c>
    </row>
    <row r="19352" spans="1:1" x14ac:dyDescent="0.25">
      <c r="A19352" t="e">
        <v>#N/A</v>
      </c>
    </row>
    <row r="19353" spans="1:1" x14ac:dyDescent="0.25">
      <c r="A19353" t="e">
        <v>#N/A</v>
      </c>
    </row>
    <row r="19354" spans="1:1" x14ac:dyDescent="0.25">
      <c r="A19354" t="e">
        <v>#N/A</v>
      </c>
    </row>
    <row r="19355" spans="1:1" x14ac:dyDescent="0.25">
      <c r="A19355" t="e">
        <v>#N/A</v>
      </c>
    </row>
    <row r="19356" spans="1:1" x14ac:dyDescent="0.25">
      <c r="A19356" t="e">
        <v>#N/A</v>
      </c>
    </row>
    <row r="19357" spans="1:1" x14ac:dyDescent="0.25">
      <c r="A19357" t="e">
        <v>#N/A</v>
      </c>
    </row>
    <row r="19358" spans="1:1" x14ac:dyDescent="0.25">
      <c r="A19358" t="e">
        <v>#N/A</v>
      </c>
    </row>
    <row r="19359" spans="1:1" x14ac:dyDescent="0.25">
      <c r="A19359" t="e">
        <v>#N/A</v>
      </c>
    </row>
    <row r="19360" spans="1:1" x14ac:dyDescent="0.25">
      <c r="A19360" t="e">
        <v>#N/A</v>
      </c>
    </row>
    <row r="19361" spans="1:1" x14ac:dyDescent="0.25">
      <c r="A19361" t="e">
        <v>#N/A</v>
      </c>
    </row>
    <row r="19362" spans="1:1" x14ac:dyDescent="0.25">
      <c r="A19362" t="e">
        <v>#N/A</v>
      </c>
    </row>
    <row r="19363" spans="1:1" x14ac:dyDescent="0.25">
      <c r="A19363" t="e">
        <v>#N/A</v>
      </c>
    </row>
    <row r="19364" spans="1:1" x14ac:dyDescent="0.25">
      <c r="A19364" t="e">
        <v>#N/A</v>
      </c>
    </row>
    <row r="19365" spans="1:1" x14ac:dyDescent="0.25">
      <c r="A19365" t="e">
        <v>#N/A</v>
      </c>
    </row>
    <row r="19366" spans="1:1" x14ac:dyDescent="0.25">
      <c r="A19366" t="e">
        <v>#N/A</v>
      </c>
    </row>
    <row r="19367" spans="1:1" x14ac:dyDescent="0.25">
      <c r="A19367" t="e">
        <v>#N/A</v>
      </c>
    </row>
    <row r="19368" spans="1:1" x14ac:dyDescent="0.25">
      <c r="A19368" t="e">
        <v>#N/A</v>
      </c>
    </row>
    <row r="19369" spans="1:1" x14ac:dyDescent="0.25">
      <c r="A19369" t="e">
        <v>#N/A</v>
      </c>
    </row>
    <row r="19370" spans="1:1" x14ac:dyDescent="0.25">
      <c r="A19370" t="e">
        <v>#N/A</v>
      </c>
    </row>
    <row r="19371" spans="1:1" x14ac:dyDescent="0.25">
      <c r="A19371" t="e">
        <v>#N/A</v>
      </c>
    </row>
    <row r="19372" spans="1:1" x14ac:dyDescent="0.25">
      <c r="A19372" t="e">
        <v>#N/A</v>
      </c>
    </row>
    <row r="19373" spans="1:1" x14ac:dyDescent="0.25">
      <c r="A19373" t="e">
        <v>#N/A</v>
      </c>
    </row>
    <row r="19374" spans="1:1" x14ac:dyDescent="0.25">
      <c r="A19374" t="e">
        <v>#N/A</v>
      </c>
    </row>
    <row r="19375" spans="1:1" x14ac:dyDescent="0.25">
      <c r="A19375" t="e">
        <v>#N/A</v>
      </c>
    </row>
    <row r="19376" spans="1:1" x14ac:dyDescent="0.25">
      <c r="A19376" t="e">
        <v>#N/A</v>
      </c>
    </row>
    <row r="19377" spans="1:1" x14ac:dyDescent="0.25">
      <c r="A19377" t="e">
        <v>#N/A</v>
      </c>
    </row>
    <row r="19378" spans="1:1" x14ac:dyDescent="0.25">
      <c r="A19378" t="e">
        <v>#N/A</v>
      </c>
    </row>
    <row r="19379" spans="1:1" x14ac:dyDescent="0.25">
      <c r="A19379" t="e">
        <v>#N/A</v>
      </c>
    </row>
    <row r="19380" spans="1:1" x14ac:dyDescent="0.25">
      <c r="A19380" t="e">
        <v>#N/A</v>
      </c>
    </row>
    <row r="19381" spans="1:1" x14ac:dyDescent="0.25">
      <c r="A19381" t="e">
        <v>#N/A</v>
      </c>
    </row>
    <row r="19382" spans="1:1" x14ac:dyDescent="0.25">
      <c r="A19382" t="e">
        <v>#N/A</v>
      </c>
    </row>
    <row r="19383" spans="1:1" x14ac:dyDescent="0.25">
      <c r="A19383" t="e">
        <v>#N/A</v>
      </c>
    </row>
    <row r="19384" spans="1:1" x14ac:dyDescent="0.25">
      <c r="A19384" t="e">
        <v>#N/A</v>
      </c>
    </row>
    <row r="19385" spans="1:1" x14ac:dyDescent="0.25">
      <c r="A19385" t="e">
        <v>#N/A</v>
      </c>
    </row>
    <row r="19386" spans="1:1" x14ac:dyDescent="0.25">
      <c r="A19386" t="e">
        <v>#N/A</v>
      </c>
    </row>
    <row r="19387" spans="1:1" x14ac:dyDescent="0.25">
      <c r="A19387" t="e">
        <v>#N/A</v>
      </c>
    </row>
    <row r="19388" spans="1:1" x14ac:dyDescent="0.25">
      <c r="A19388" t="e">
        <v>#N/A</v>
      </c>
    </row>
    <row r="19389" spans="1:1" x14ac:dyDescent="0.25">
      <c r="A19389" t="e">
        <v>#N/A</v>
      </c>
    </row>
    <row r="19390" spans="1:1" x14ac:dyDescent="0.25">
      <c r="A19390" t="e">
        <v>#N/A</v>
      </c>
    </row>
    <row r="19391" spans="1:1" x14ac:dyDescent="0.25">
      <c r="A19391" t="e">
        <v>#N/A</v>
      </c>
    </row>
    <row r="19392" spans="1:1" x14ac:dyDescent="0.25">
      <c r="A19392" t="e">
        <v>#N/A</v>
      </c>
    </row>
    <row r="19393" spans="1:1" x14ac:dyDescent="0.25">
      <c r="A19393" t="e">
        <v>#N/A</v>
      </c>
    </row>
    <row r="19394" spans="1:1" x14ac:dyDescent="0.25">
      <c r="A19394" t="e">
        <v>#N/A</v>
      </c>
    </row>
    <row r="19395" spans="1:1" x14ac:dyDescent="0.25">
      <c r="A19395" t="e">
        <v>#N/A</v>
      </c>
    </row>
    <row r="19396" spans="1:1" x14ac:dyDescent="0.25">
      <c r="A19396" t="e">
        <v>#N/A</v>
      </c>
    </row>
    <row r="19397" spans="1:1" x14ac:dyDescent="0.25">
      <c r="A19397" t="e">
        <v>#N/A</v>
      </c>
    </row>
    <row r="19398" spans="1:1" x14ac:dyDescent="0.25">
      <c r="A19398" t="e">
        <v>#N/A</v>
      </c>
    </row>
    <row r="19399" spans="1:1" x14ac:dyDescent="0.25">
      <c r="A19399" t="e">
        <v>#N/A</v>
      </c>
    </row>
    <row r="19400" spans="1:1" x14ac:dyDescent="0.25">
      <c r="A19400" t="e">
        <v>#N/A</v>
      </c>
    </row>
    <row r="19401" spans="1:1" x14ac:dyDescent="0.25">
      <c r="A19401" t="e">
        <v>#N/A</v>
      </c>
    </row>
    <row r="19402" spans="1:1" x14ac:dyDescent="0.25">
      <c r="A19402" t="e">
        <v>#N/A</v>
      </c>
    </row>
    <row r="19403" spans="1:1" x14ac:dyDescent="0.25">
      <c r="A19403" t="e">
        <v>#N/A</v>
      </c>
    </row>
    <row r="19404" spans="1:1" x14ac:dyDescent="0.25">
      <c r="A19404" t="e">
        <v>#N/A</v>
      </c>
    </row>
    <row r="19405" spans="1:1" x14ac:dyDescent="0.25">
      <c r="A19405" t="e">
        <v>#N/A</v>
      </c>
    </row>
    <row r="19406" spans="1:1" x14ac:dyDescent="0.25">
      <c r="A19406" t="e">
        <v>#N/A</v>
      </c>
    </row>
    <row r="19407" spans="1:1" x14ac:dyDescent="0.25">
      <c r="A19407" t="e">
        <v>#N/A</v>
      </c>
    </row>
    <row r="19408" spans="1:1" x14ac:dyDescent="0.25">
      <c r="A19408" t="e">
        <v>#N/A</v>
      </c>
    </row>
    <row r="19409" spans="1:1" x14ac:dyDescent="0.25">
      <c r="A19409" t="e">
        <v>#N/A</v>
      </c>
    </row>
    <row r="19410" spans="1:1" x14ac:dyDescent="0.25">
      <c r="A19410" t="e">
        <v>#N/A</v>
      </c>
    </row>
    <row r="19411" spans="1:1" x14ac:dyDescent="0.25">
      <c r="A19411" t="e">
        <v>#N/A</v>
      </c>
    </row>
    <row r="19412" spans="1:1" x14ac:dyDescent="0.25">
      <c r="A19412" t="e">
        <v>#N/A</v>
      </c>
    </row>
    <row r="19413" spans="1:1" x14ac:dyDescent="0.25">
      <c r="A19413" t="e">
        <v>#N/A</v>
      </c>
    </row>
    <row r="19414" spans="1:1" x14ac:dyDescent="0.25">
      <c r="A19414" t="e">
        <v>#N/A</v>
      </c>
    </row>
    <row r="19415" spans="1:1" x14ac:dyDescent="0.25">
      <c r="A19415" t="e">
        <v>#N/A</v>
      </c>
    </row>
    <row r="19416" spans="1:1" x14ac:dyDescent="0.25">
      <c r="A19416" t="e">
        <v>#N/A</v>
      </c>
    </row>
    <row r="19417" spans="1:1" x14ac:dyDescent="0.25">
      <c r="A19417" t="e">
        <v>#N/A</v>
      </c>
    </row>
    <row r="19418" spans="1:1" x14ac:dyDescent="0.25">
      <c r="A19418" t="e">
        <v>#N/A</v>
      </c>
    </row>
    <row r="19419" spans="1:1" x14ac:dyDescent="0.25">
      <c r="A19419" t="e">
        <v>#N/A</v>
      </c>
    </row>
    <row r="19420" spans="1:1" x14ac:dyDescent="0.25">
      <c r="A19420" t="e">
        <v>#N/A</v>
      </c>
    </row>
    <row r="19421" spans="1:1" x14ac:dyDescent="0.25">
      <c r="A19421" t="e">
        <v>#N/A</v>
      </c>
    </row>
    <row r="19422" spans="1:1" x14ac:dyDescent="0.25">
      <c r="A19422" t="e">
        <v>#N/A</v>
      </c>
    </row>
    <row r="19423" spans="1:1" x14ac:dyDescent="0.25">
      <c r="A19423" t="e">
        <v>#N/A</v>
      </c>
    </row>
    <row r="19424" spans="1:1" x14ac:dyDescent="0.25">
      <c r="A19424" t="e">
        <v>#N/A</v>
      </c>
    </row>
    <row r="19425" spans="1:1" x14ac:dyDescent="0.25">
      <c r="A19425" t="e">
        <v>#N/A</v>
      </c>
    </row>
    <row r="19426" spans="1:1" x14ac:dyDescent="0.25">
      <c r="A19426" t="e">
        <v>#N/A</v>
      </c>
    </row>
    <row r="19427" spans="1:1" x14ac:dyDescent="0.25">
      <c r="A19427" t="e">
        <v>#N/A</v>
      </c>
    </row>
    <row r="19428" spans="1:1" x14ac:dyDescent="0.25">
      <c r="A19428" t="e">
        <v>#N/A</v>
      </c>
    </row>
    <row r="19429" spans="1:1" x14ac:dyDescent="0.25">
      <c r="A19429" t="e">
        <v>#N/A</v>
      </c>
    </row>
    <row r="19430" spans="1:1" x14ac:dyDescent="0.25">
      <c r="A19430" t="e">
        <v>#N/A</v>
      </c>
    </row>
    <row r="19431" spans="1:1" x14ac:dyDescent="0.25">
      <c r="A19431" t="e">
        <v>#N/A</v>
      </c>
    </row>
    <row r="19432" spans="1:1" x14ac:dyDescent="0.25">
      <c r="A19432" t="e">
        <v>#N/A</v>
      </c>
    </row>
    <row r="19433" spans="1:1" x14ac:dyDescent="0.25">
      <c r="A19433" t="e">
        <v>#N/A</v>
      </c>
    </row>
    <row r="19434" spans="1:1" x14ac:dyDescent="0.25">
      <c r="A19434" t="e">
        <v>#N/A</v>
      </c>
    </row>
    <row r="19435" spans="1:1" x14ac:dyDescent="0.25">
      <c r="A19435" t="e">
        <v>#N/A</v>
      </c>
    </row>
    <row r="19436" spans="1:1" x14ac:dyDescent="0.25">
      <c r="A19436" t="e">
        <v>#N/A</v>
      </c>
    </row>
    <row r="19437" spans="1:1" x14ac:dyDescent="0.25">
      <c r="A19437" t="e">
        <v>#N/A</v>
      </c>
    </row>
    <row r="19438" spans="1:1" x14ac:dyDescent="0.25">
      <c r="A19438" t="e">
        <v>#N/A</v>
      </c>
    </row>
    <row r="19439" spans="1:1" x14ac:dyDescent="0.25">
      <c r="A19439" t="e">
        <v>#N/A</v>
      </c>
    </row>
    <row r="19440" spans="1:1" x14ac:dyDescent="0.25">
      <c r="A19440" t="e">
        <v>#N/A</v>
      </c>
    </row>
    <row r="19441" spans="1:1" x14ac:dyDescent="0.25">
      <c r="A19441" t="e">
        <v>#N/A</v>
      </c>
    </row>
    <row r="19442" spans="1:1" x14ac:dyDescent="0.25">
      <c r="A19442" t="e">
        <v>#N/A</v>
      </c>
    </row>
    <row r="19443" spans="1:1" x14ac:dyDescent="0.25">
      <c r="A19443" t="e">
        <v>#N/A</v>
      </c>
    </row>
    <row r="19444" spans="1:1" x14ac:dyDescent="0.25">
      <c r="A19444" t="e">
        <v>#N/A</v>
      </c>
    </row>
    <row r="19445" spans="1:1" x14ac:dyDescent="0.25">
      <c r="A19445" t="e">
        <v>#N/A</v>
      </c>
    </row>
    <row r="19446" spans="1:1" x14ac:dyDescent="0.25">
      <c r="A19446" t="e">
        <v>#N/A</v>
      </c>
    </row>
    <row r="19447" spans="1:1" x14ac:dyDescent="0.25">
      <c r="A19447" t="e">
        <v>#N/A</v>
      </c>
    </row>
    <row r="19448" spans="1:1" x14ac:dyDescent="0.25">
      <c r="A19448" t="e">
        <v>#N/A</v>
      </c>
    </row>
    <row r="19449" spans="1:1" x14ac:dyDescent="0.25">
      <c r="A19449" t="e">
        <v>#N/A</v>
      </c>
    </row>
    <row r="19450" spans="1:1" x14ac:dyDescent="0.25">
      <c r="A19450" t="e">
        <v>#N/A</v>
      </c>
    </row>
    <row r="19451" spans="1:1" x14ac:dyDescent="0.25">
      <c r="A19451" t="e">
        <v>#N/A</v>
      </c>
    </row>
    <row r="19452" spans="1:1" x14ac:dyDescent="0.25">
      <c r="A19452" t="e">
        <v>#N/A</v>
      </c>
    </row>
    <row r="19453" spans="1:1" x14ac:dyDescent="0.25">
      <c r="A19453" t="e">
        <v>#N/A</v>
      </c>
    </row>
    <row r="19454" spans="1:1" x14ac:dyDescent="0.25">
      <c r="A19454" t="e">
        <v>#N/A</v>
      </c>
    </row>
    <row r="19455" spans="1:1" x14ac:dyDescent="0.25">
      <c r="A19455" t="e">
        <v>#N/A</v>
      </c>
    </row>
    <row r="19456" spans="1:1" x14ac:dyDescent="0.25">
      <c r="A19456" t="e">
        <v>#N/A</v>
      </c>
    </row>
    <row r="19457" spans="1:1" x14ac:dyDescent="0.25">
      <c r="A19457" t="e">
        <v>#N/A</v>
      </c>
    </row>
    <row r="19458" spans="1:1" x14ac:dyDescent="0.25">
      <c r="A19458" t="e">
        <v>#N/A</v>
      </c>
    </row>
    <row r="19459" spans="1:1" x14ac:dyDescent="0.25">
      <c r="A19459" t="e">
        <v>#N/A</v>
      </c>
    </row>
    <row r="19460" spans="1:1" x14ac:dyDescent="0.25">
      <c r="A19460" t="e">
        <v>#N/A</v>
      </c>
    </row>
    <row r="19461" spans="1:1" x14ac:dyDescent="0.25">
      <c r="A19461" t="e">
        <v>#N/A</v>
      </c>
    </row>
    <row r="19462" spans="1:1" x14ac:dyDescent="0.25">
      <c r="A19462" t="e">
        <v>#N/A</v>
      </c>
    </row>
    <row r="19463" spans="1:1" x14ac:dyDescent="0.25">
      <c r="A19463" t="e">
        <v>#N/A</v>
      </c>
    </row>
    <row r="19464" spans="1:1" x14ac:dyDescent="0.25">
      <c r="A19464" t="e">
        <v>#N/A</v>
      </c>
    </row>
    <row r="19465" spans="1:1" x14ac:dyDescent="0.25">
      <c r="A19465" t="e">
        <v>#N/A</v>
      </c>
    </row>
    <row r="19466" spans="1:1" x14ac:dyDescent="0.25">
      <c r="A19466" t="e">
        <v>#N/A</v>
      </c>
    </row>
    <row r="19467" spans="1:1" x14ac:dyDescent="0.25">
      <c r="A19467" t="e">
        <v>#N/A</v>
      </c>
    </row>
    <row r="19468" spans="1:1" x14ac:dyDescent="0.25">
      <c r="A19468" t="e">
        <v>#N/A</v>
      </c>
    </row>
    <row r="19469" spans="1:1" x14ac:dyDescent="0.25">
      <c r="A19469" t="e">
        <v>#N/A</v>
      </c>
    </row>
    <row r="19470" spans="1:1" x14ac:dyDescent="0.25">
      <c r="A19470" t="e">
        <v>#N/A</v>
      </c>
    </row>
    <row r="19471" spans="1:1" x14ac:dyDescent="0.25">
      <c r="A19471" t="e">
        <v>#N/A</v>
      </c>
    </row>
    <row r="19472" spans="1:1" x14ac:dyDescent="0.25">
      <c r="A19472" t="e">
        <v>#N/A</v>
      </c>
    </row>
    <row r="19473" spans="1:1" x14ac:dyDescent="0.25">
      <c r="A19473" t="e">
        <v>#N/A</v>
      </c>
    </row>
    <row r="19474" spans="1:1" x14ac:dyDescent="0.25">
      <c r="A19474" t="e">
        <v>#N/A</v>
      </c>
    </row>
    <row r="19475" spans="1:1" x14ac:dyDescent="0.25">
      <c r="A19475" t="e">
        <v>#N/A</v>
      </c>
    </row>
    <row r="19476" spans="1:1" x14ac:dyDescent="0.25">
      <c r="A19476" t="e">
        <v>#N/A</v>
      </c>
    </row>
    <row r="19477" spans="1:1" x14ac:dyDescent="0.25">
      <c r="A19477" t="e">
        <v>#N/A</v>
      </c>
    </row>
    <row r="19478" spans="1:1" x14ac:dyDescent="0.25">
      <c r="A19478" t="e">
        <v>#N/A</v>
      </c>
    </row>
    <row r="19479" spans="1:1" x14ac:dyDescent="0.25">
      <c r="A19479" t="e">
        <v>#N/A</v>
      </c>
    </row>
    <row r="19480" spans="1:1" x14ac:dyDescent="0.25">
      <c r="A19480" t="e">
        <v>#N/A</v>
      </c>
    </row>
    <row r="19481" spans="1:1" x14ac:dyDescent="0.25">
      <c r="A19481" t="e">
        <v>#N/A</v>
      </c>
    </row>
    <row r="19482" spans="1:1" x14ac:dyDescent="0.25">
      <c r="A19482" t="e">
        <v>#N/A</v>
      </c>
    </row>
    <row r="19483" spans="1:1" x14ac:dyDescent="0.25">
      <c r="A19483" t="e">
        <v>#N/A</v>
      </c>
    </row>
    <row r="19484" spans="1:1" x14ac:dyDescent="0.25">
      <c r="A19484" t="e">
        <v>#N/A</v>
      </c>
    </row>
    <row r="19485" spans="1:1" x14ac:dyDescent="0.25">
      <c r="A19485" t="e">
        <v>#N/A</v>
      </c>
    </row>
    <row r="19486" spans="1:1" x14ac:dyDescent="0.25">
      <c r="A19486" t="e">
        <v>#N/A</v>
      </c>
    </row>
    <row r="19487" spans="1:1" x14ac:dyDescent="0.25">
      <c r="A19487" t="e">
        <v>#N/A</v>
      </c>
    </row>
    <row r="19488" spans="1:1" x14ac:dyDescent="0.25">
      <c r="A19488" t="e">
        <v>#N/A</v>
      </c>
    </row>
    <row r="19489" spans="1:1" x14ac:dyDescent="0.25">
      <c r="A19489" t="e">
        <v>#N/A</v>
      </c>
    </row>
    <row r="19490" spans="1:1" x14ac:dyDescent="0.25">
      <c r="A19490" t="e">
        <v>#N/A</v>
      </c>
    </row>
    <row r="19491" spans="1:1" x14ac:dyDescent="0.25">
      <c r="A19491" t="e">
        <v>#N/A</v>
      </c>
    </row>
    <row r="19492" spans="1:1" x14ac:dyDescent="0.25">
      <c r="A19492" t="e">
        <v>#N/A</v>
      </c>
    </row>
    <row r="19493" spans="1:1" x14ac:dyDescent="0.25">
      <c r="A19493" t="e">
        <v>#N/A</v>
      </c>
    </row>
    <row r="19494" spans="1:1" x14ac:dyDescent="0.25">
      <c r="A19494" t="e">
        <v>#N/A</v>
      </c>
    </row>
    <row r="19495" spans="1:1" x14ac:dyDescent="0.25">
      <c r="A19495" t="e">
        <v>#N/A</v>
      </c>
    </row>
    <row r="19496" spans="1:1" x14ac:dyDescent="0.25">
      <c r="A19496" t="e">
        <v>#N/A</v>
      </c>
    </row>
    <row r="19497" spans="1:1" x14ac:dyDescent="0.25">
      <c r="A19497" t="e">
        <v>#N/A</v>
      </c>
    </row>
    <row r="19498" spans="1:1" x14ac:dyDescent="0.25">
      <c r="A19498" t="e">
        <v>#N/A</v>
      </c>
    </row>
    <row r="19499" spans="1:1" x14ac:dyDescent="0.25">
      <c r="A19499" t="e">
        <v>#N/A</v>
      </c>
    </row>
    <row r="19500" spans="1:1" x14ac:dyDescent="0.25">
      <c r="A19500" t="e">
        <v>#N/A</v>
      </c>
    </row>
    <row r="19501" spans="1:1" x14ac:dyDescent="0.25">
      <c r="A19501" t="e">
        <v>#N/A</v>
      </c>
    </row>
    <row r="19502" spans="1:1" x14ac:dyDescent="0.25">
      <c r="A19502" t="e">
        <v>#N/A</v>
      </c>
    </row>
    <row r="19503" spans="1:1" x14ac:dyDescent="0.25">
      <c r="A19503" t="e">
        <v>#N/A</v>
      </c>
    </row>
    <row r="19504" spans="1:1" x14ac:dyDescent="0.25">
      <c r="A19504" t="e">
        <v>#N/A</v>
      </c>
    </row>
    <row r="19505" spans="1:1" x14ac:dyDescent="0.25">
      <c r="A19505" t="e">
        <v>#N/A</v>
      </c>
    </row>
    <row r="19506" spans="1:1" x14ac:dyDescent="0.25">
      <c r="A19506" t="e">
        <v>#N/A</v>
      </c>
    </row>
    <row r="19507" spans="1:1" x14ac:dyDescent="0.25">
      <c r="A19507" t="e">
        <v>#N/A</v>
      </c>
    </row>
    <row r="19508" spans="1:1" x14ac:dyDescent="0.25">
      <c r="A19508" t="e">
        <v>#N/A</v>
      </c>
    </row>
    <row r="19509" spans="1:1" x14ac:dyDescent="0.25">
      <c r="A19509" t="e">
        <v>#N/A</v>
      </c>
    </row>
    <row r="19510" spans="1:1" x14ac:dyDescent="0.25">
      <c r="A19510" t="e">
        <v>#N/A</v>
      </c>
    </row>
    <row r="19511" spans="1:1" x14ac:dyDescent="0.25">
      <c r="A19511" t="e">
        <v>#N/A</v>
      </c>
    </row>
    <row r="19512" spans="1:1" x14ac:dyDescent="0.25">
      <c r="A19512" t="e">
        <v>#N/A</v>
      </c>
    </row>
    <row r="19513" spans="1:1" x14ac:dyDescent="0.25">
      <c r="A19513" t="e">
        <v>#N/A</v>
      </c>
    </row>
    <row r="19514" spans="1:1" x14ac:dyDescent="0.25">
      <c r="A19514" t="e">
        <v>#N/A</v>
      </c>
    </row>
    <row r="19515" spans="1:1" x14ac:dyDescent="0.25">
      <c r="A19515" t="e">
        <v>#N/A</v>
      </c>
    </row>
    <row r="19516" spans="1:1" x14ac:dyDescent="0.25">
      <c r="A19516" t="e">
        <v>#N/A</v>
      </c>
    </row>
    <row r="19517" spans="1:1" x14ac:dyDescent="0.25">
      <c r="A19517" t="e">
        <v>#N/A</v>
      </c>
    </row>
    <row r="19518" spans="1:1" x14ac:dyDescent="0.25">
      <c r="A19518" t="e">
        <v>#N/A</v>
      </c>
    </row>
    <row r="19519" spans="1:1" x14ac:dyDescent="0.25">
      <c r="A19519" t="e">
        <v>#N/A</v>
      </c>
    </row>
    <row r="19520" spans="1:1" x14ac:dyDescent="0.25">
      <c r="A19520" t="e">
        <v>#N/A</v>
      </c>
    </row>
    <row r="19521" spans="1:1" x14ac:dyDescent="0.25">
      <c r="A19521" t="e">
        <v>#N/A</v>
      </c>
    </row>
    <row r="19522" spans="1:1" x14ac:dyDescent="0.25">
      <c r="A19522" t="e">
        <v>#N/A</v>
      </c>
    </row>
    <row r="19523" spans="1:1" x14ac:dyDescent="0.25">
      <c r="A19523" t="e">
        <v>#N/A</v>
      </c>
    </row>
    <row r="19524" spans="1:1" x14ac:dyDescent="0.25">
      <c r="A19524" t="e">
        <v>#N/A</v>
      </c>
    </row>
    <row r="19525" spans="1:1" x14ac:dyDescent="0.25">
      <c r="A19525" t="e">
        <v>#N/A</v>
      </c>
    </row>
    <row r="19526" spans="1:1" x14ac:dyDescent="0.25">
      <c r="A19526" t="e">
        <v>#N/A</v>
      </c>
    </row>
    <row r="19527" spans="1:1" x14ac:dyDescent="0.25">
      <c r="A19527" t="e">
        <v>#N/A</v>
      </c>
    </row>
    <row r="19528" spans="1:1" x14ac:dyDescent="0.25">
      <c r="A19528" t="e">
        <v>#N/A</v>
      </c>
    </row>
    <row r="19529" spans="1:1" x14ac:dyDescent="0.25">
      <c r="A19529" t="e">
        <v>#N/A</v>
      </c>
    </row>
    <row r="19530" spans="1:1" x14ac:dyDescent="0.25">
      <c r="A19530" t="e">
        <v>#N/A</v>
      </c>
    </row>
    <row r="19531" spans="1:1" x14ac:dyDescent="0.25">
      <c r="A19531" t="e">
        <v>#N/A</v>
      </c>
    </row>
    <row r="19532" spans="1:1" x14ac:dyDescent="0.25">
      <c r="A19532" t="e">
        <v>#N/A</v>
      </c>
    </row>
    <row r="19533" spans="1:1" x14ac:dyDescent="0.25">
      <c r="A19533" t="e">
        <v>#N/A</v>
      </c>
    </row>
    <row r="19534" spans="1:1" x14ac:dyDescent="0.25">
      <c r="A19534" t="e">
        <v>#N/A</v>
      </c>
    </row>
    <row r="19535" spans="1:1" x14ac:dyDescent="0.25">
      <c r="A19535" t="e">
        <v>#N/A</v>
      </c>
    </row>
    <row r="19536" spans="1:1" x14ac:dyDescent="0.25">
      <c r="A19536" t="e">
        <v>#N/A</v>
      </c>
    </row>
    <row r="19537" spans="1:1" x14ac:dyDescent="0.25">
      <c r="A19537" t="e">
        <v>#N/A</v>
      </c>
    </row>
    <row r="19538" spans="1:1" x14ac:dyDescent="0.25">
      <c r="A19538" t="e">
        <v>#N/A</v>
      </c>
    </row>
    <row r="19539" spans="1:1" x14ac:dyDescent="0.25">
      <c r="A19539" t="e">
        <v>#N/A</v>
      </c>
    </row>
    <row r="19540" spans="1:1" x14ac:dyDescent="0.25">
      <c r="A19540" t="e">
        <v>#N/A</v>
      </c>
    </row>
    <row r="19541" spans="1:1" x14ac:dyDescent="0.25">
      <c r="A19541" t="e">
        <v>#N/A</v>
      </c>
    </row>
    <row r="19542" spans="1:1" x14ac:dyDescent="0.25">
      <c r="A19542" t="e">
        <v>#N/A</v>
      </c>
    </row>
    <row r="19543" spans="1:1" x14ac:dyDescent="0.25">
      <c r="A19543" t="e">
        <v>#N/A</v>
      </c>
    </row>
    <row r="19544" spans="1:1" x14ac:dyDescent="0.25">
      <c r="A19544" t="e">
        <v>#N/A</v>
      </c>
    </row>
    <row r="19545" spans="1:1" x14ac:dyDescent="0.25">
      <c r="A19545" t="e">
        <v>#N/A</v>
      </c>
    </row>
    <row r="19546" spans="1:1" x14ac:dyDescent="0.25">
      <c r="A19546" t="e">
        <v>#N/A</v>
      </c>
    </row>
    <row r="19547" spans="1:1" x14ac:dyDescent="0.25">
      <c r="A19547" t="e">
        <v>#N/A</v>
      </c>
    </row>
    <row r="19548" spans="1:1" x14ac:dyDescent="0.25">
      <c r="A19548" t="e">
        <v>#N/A</v>
      </c>
    </row>
    <row r="19549" spans="1:1" x14ac:dyDescent="0.25">
      <c r="A19549" t="e">
        <v>#N/A</v>
      </c>
    </row>
    <row r="19550" spans="1:1" x14ac:dyDescent="0.25">
      <c r="A19550" t="e">
        <v>#N/A</v>
      </c>
    </row>
    <row r="19551" spans="1:1" x14ac:dyDescent="0.25">
      <c r="A19551" t="e">
        <v>#N/A</v>
      </c>
    </row>
    <row r="19552" spans="1:1" x14ac:dyDescent="0.25">
      <c r="A19552" t="e">
        <v>#N/A</v>
      </c>
    </row>
    <row r="19553" spans="1:1" x14ac:dyDescent="0.25">
      <c r="A19553" t="e">
        <v>#N/A</v>
      </c>
    </row>
    <row r="19554" spans="1:1" x14ac:dyDescent="0.25">
      <c r="A19554" t="e">
        <v>#N/A</v>
      </c>
    </row>
    <row r="19555" spans="1:1" x14ac:dyDescent="0.25">
      <c r="A19555" t="e">
        <v>#N/A</v>
      </c>
    </row>
    <row r="19556" spans="1:1" x14ac:dyDescent="0.25">
      <c r="A19556" t="e">
        <v>#N/A</v>
      </c>
    </row>
    <row r="19557" spans="1:1" x14ac:dyDescent="0.25">
      <c r="A19557" t="e">
        <v>#N/A</v>
      </c>
    </row>
    <row r="19558" spans="1:1" x14ac:dyDescent="0.25">
      <c r="A19558" t="e">
        <v>#N/A</v>
      </c>
    </row>
    <row r="19559" spans="1:1" x14ac:dyDescent="0.25">
      <c r="A19559" t="e">
        <v>#N/A</v>
      </c>
    </row>
    <row r="19560" spans="1:1" x14ac:dyDescent="0.25">
      <c r="A19560" t="e">
        <v>#N/A</v>
      </c>
    </row>
    <row r="19561" spans="1:1" x14ac:dyDescent="0.25">
      <c r="A19561" t="e">
        <v>#N/A</v>
      </c>
    </row>
    <row r="19562" spans="1:1" x14ac:dyDescent="0.25">
      <c r="A19562" t="e">
        <v>#N/A</v>
      </c>
    </row>
    <row r="19563" spans="1:1" x14ac:dyDescent="0.25">
      <c r="A19563" t="e">
        <v>#N/A</v>
      </c>
    </row>
    <row r="19564" spans="1:1" x14ac:dyDescent="0.25">
      <c r="A19564" t="e">
        <v>#N/A</v>
      </c>
    </row>
    <row r="19565" spans="1:1" x14ac:dyDescent="0.25">
      <c r="A19565" t="e">
        <v>#N/A</v>
      </c>
    </row>
    <row r="19566" spans="1:1" x14ac:dyDescent="0.25">
      <c r="A19566" t="e">
        <v>#N/A</v>
      </c>
    </row>
    <row r="19567" spans="1:1" x14ac:dyDescent="0.25">
      <c r="A19567" t="e">
        <v>#N/A</v>
      </c>
    </row>
    <row r="19568" spans="1:1" x14ac:dyDescent="0.25">
      <c r="A19568" t="e">
        <v>#N/A</v>
      </c>
    </row>
    <row r="19569" spans="1:1" x14ac:dyDescent="0.25">
      <c r="A19569" t="e">
        <v>#N/A</v>
      </c>
    </row>
    <row r="19570" spans="1:1" x14ac:dyDescent="0.25">
      <c r="A19570" t="e">
        <v>#N/A</v>
      </c>
    </row>
    <row r="19571" spans="1:1" x14ac:dyDescent="0.25">
      <c r="A19571" t="e">
        <v>#N/A</v>
      </c>
    </row>
    <row r="19572" spans="1:1" x14ac:dyDescent="0.25">
      <c r="A19572" t="e">
        <v>#N/A</v>
      </c>
    </row>
    <row r="19573" spans="1:1" x14ac:dyDescent="0.25">
      <c r="A19573" t="e">
        <v>#N/A</v>
      </c>
    </row>
    <row r="19574" spans="1:1" x14ac:dyDescent="0.25">
      <c r="A19574" t="e">
        <v>#N/A</v>
      </c>
    </row>
    <row r="19575" spans="1:1" x14ac:dyDescent="0.25">
      <c r="A19575" t="e">
        <v>#N/A</v>
      </c>
    </row>
    <row r="19576" spans="1:1" x14ac:dyDescent="0.25">
      <c r="A19576" t="e">
        <v>#N/A</v>
      </c>
    </row>
    <row r="19577" spans="1:1" x14ac:dyDescent="0.25">
      <c r="A19577" t="e">
        <v>#N/A</v>
      </c>
    </row>
    <row r="19578" spans="1:1" x14ac:dyDescent="0.25">
      <c r="A19578" t="e">
        <v>#N/A</v>
      </c>
    </row>
    <row r="19579" spans="1:1" x14ac:dyDescent="0.25">
      <c r="A19579" t="e">
        <v>#N/A</v>
      </c>
    </row>
    <row r="19580" spans="1:1" x14ac:dyDescent="0.25">
      <c r="A19580" t="e">
        <v>#N/A</v>
      </c>
    </row>
    <row r="19581" spans="1:1" x14ac:dyDescent="0.25">
      <c r="A19581" t="e">
        <v>#N/A</v>
      </c>
    </row>
    <row r="19582" spans="1:1" x14ac:dyDescent="0.25">
      <c r="A19582" t="e">
        <v>#N/A</v>
      </c>
    </row>
    <row r="19583" spans="1:1" x14ac:dyDescent="0.25">
      <c r="A19583" t="e">
        <v>#N/A</v>
      </c>
    </row>
    <row r="19584" spans="1:1" x14ac:dyDescent="0.25">
      <c r="A19584" t="e">
        <v>#N/A</v>
      </c>
    </row>
    <row r="19585" spans="1:1" x14ac:dyDescent="0.25">
      <c r="A19585" t="e">
        <v>#N/A</v>
      </c>
    </row>
    <row r="19586" spans="1:1" x14ac:dyDescent="0.25">
      <c r="A19586" t="e">
        <v>#N/A</v>
      </c>
    </row>
    <row r="19587" spans="1:1" x14ac:dyDescent="0.25">
      <c r="A19587" t="e">
        <v>#N/A</v>
      </c>
    </row>
    <row r="19588" spans="1:1" x14ac:dyDescent="0.25">
      <c r="A19588" t="e">
        <v>#N/A</v>
      </c>
    </row>
    <row r="19589" spans="1:1" x14ac:dyDescent="0.25">
      <c r="A19589" t="e">
        <v>#N/A</v>
      </c>
    </row>
    <row r="19590" spans="1:1" x14ac:dyDescent="0.25">
      <c r="A19590" t="e">
        <v>#N/A</v>
      </c>
    </row>
    <row r="19591" spans="1:1" x14ac:dyDescent="0.25">
      <c r="A19591" t="e">
        <v>#N/A</v>
      </c>
    </row>
    <row r="19592" spans="1:1" x14ac:dyDescent="0.25">
      <c r="A19592" t="e">
        <v>#N/A</v>
      </c>
    </row>
    <row r="19593" spans="1:1" x14ac:dyDescent="0.25">
      <c r="A19593" t="e">
        <v>#N/A</v>
      </c>
    </row>
    <row r="19594" spans="1:1" x14ac:dyDescent="0.25">
      <c r="A19594" t="e">
        <v>#N/A</v>
      </c>
    </row>
    <row r="19595" spans="1:1" x14ac:dyDescent="0.25">
      <c r="A19595" t="e">
        <v>#N/A</v>
      </c>
    </row>
    <row r="19596" spans="1:1" x14ac:dyDescent="0.25">
      <c r="A19596" t="e">
        <v>#N/A</v>
      </c>
    </row>
    <row r="19597" spans="1:1" x14ac:dyDescent="0.25">
      <c r="A19597" t="e">
        <v>#N/A</v>
      </c>
    </row>
    <row r="19598" spans="1:1" x14ac:dyDescent="0.25">
      <c r="A19598" t="e">
        <v>#N/A</v>
      </c>
    </row>
    <row r="19599" spans="1:1" x14ac:dyDescent="0.25">
      <c r="A19599" t="e">
        <v>#N/A</v>
      </c>
    </row>
    <row r="19600" spans="1:1" x14ac:dyDescent="0.25">
      <c r="A19600" t="e">
        <v>#N/A</v>
      </c>
    </row>
    <row r="19601" spans="1:1" x14ac:dyDescent="0.25">
      <c r="A19601" t="e">
        <v>#N/A</v>
      </c>
    </row>
    <row r="19602" spans="1:1" x14ac:dyDescent="0.25">
      <c r="A19602" t="e">
        <v>#N/A</v>
      </c>
    </row>
    <row r="19603" spans="1:1" x14ac:dyDescent="0.25">
      <c r="A19603" t="e">
        <v>#N/A</v>
      </c>
    </row>
    <row r="19604" spans="1:1" x14ac:dyDescent="0.25">
      <c r="A19604" t="e">
        <v>#N/A</v>
      </c>
    </row>
    <row r="19605" spans="1:1" x14ac:dyDescent="0.25">
      <c r="A19605" t="e">
        <v>#N/A</v>
      </c>
    </row>
    <row r="19606" spans="1:1" x14ac:dyDescent="0.25">
      <c r="A19606" t="e">
        <v>#N/A</v>
      </c>
    </row>
    <row r="19607" spans="1:1" x14ac:dyDescent="0.25">
      <c r="A19607" t="e">
        <v>#N/A</v>
      </c>
    </row>
    <row r="19608" spans="1:1" x14ac:dyDescent="0.25">
      <c r="A19608" t="e">
        <v>#N/A</v>
      </c>
    </row>
    <row r="19609" spans="1:1" x14ac:dyDescent="0.25">
      <c r="A19609" t="e">
        <v>#N/A</v>
      </c>
    </row>
    <row r="19610" spans="1:1" x14ac:dyDescent="0.25">
      <c r="A19610" t="e">
        <v>#N/A</v>
      </c>
    </row>
    <row r="19611" spans="1:1" x14ac:dyDescent="0.25">
      <c r="A19611" t="e">
        <v>#N/A</v>
      </c>
    </row>
    <row r="19612" spans="1:1" x14ac:dyDescent="0.25">
      <c r="A19612" t="e">
        <v>#N/A</v>
      </c>
    </row>
    <row r="19613" spans="1:1" x14ac:dyDescent="0.25">
      <c r="A19613" t="e">
        <v>#N/A</v>
      </c>
    </row>
    <row r="19614" spans="1:1" x14ac:dyDescent="0.25">
      <c r="A19614" t="e">
        <v>#N/A</v>
      </c>
    </row>
    <row r="19615" spans="1:1" x14ac:dyDescent="0.25">
      <c r="A19615" t="e">
        <v>#N/A</v>
      </c>
    </row>
    <row r="19616" spans="1:1" x14ac:dyDescent="0.25">
      <c r="A19616" t="e">
        <v>#N/A</v>
      </c>
    </row>
    <row r="19617" spans="1:1" x14ac:dyDescent="0.25">
      <c r="A19617" t="e">
        <v>#N/A</v>
      </c>
    </row>
    <row r="19618" spans="1:1" x14ac:dyDescent="0.25">
      <c r="A19618" t="e">
        <v>#N/A</v>
      </c>
    </row>
    <row r="19619" spans="1:1" x14ac:dyDescent="0.25">
      <c r="A19619" t="e">
        <v>#N/A</v>
      </c>
    </row>
    <row r="19620" spans="1:1" x14ac:dyDescent="0.25">
      <c r="A19620" t="e">
        <v>#N/A</v>
      </c>
    </row>
    <row r="19621" spans="1:1" x14ac:dyDescent="0.25">
      <c r="A19621" t="e">
        <v>#N/A</v>
      </c>
    </row>
    <row r="19622" spans="1:1" x14ac:dyDescent="0.25">
      <c r="A19622" t="e">
        <v>#N/A</v>
      </c>
    </row>
    <row r="19623" spans="1:1" x14ac:dyDescent="0.25">
      <c r="A19623" t="e">
        <v>#N/A</v>
      </c>
    </row>
    <row r="19624" spans="1:1" x14ac:dyDescent="0.25">
      <c r="A19624" t="e">
        <v>#N/A</v>
      </c>
    </row>
    <row r="19625" spans="1:1" x14ac:dyDescent="0.25">
      <c r="A19625" t="e">
        <v>#N/A</v>
      </c>
    </row>
    <row r="19626" spans="1:1" x14ac:dyDescent="0.25">
      <c r="A19626" t="e">
        <v>#N/A</v>
      </c>
    </row>
    <row r="19627" spans="1:1" x14ac:dyDescent="0.25">
      <c r="A19627" t="e">
        <v>#N/A</v>
      </c>
    </row>
    <row r="19628" spans="1:1" x14ac:dyDescent="0.25">
      <c r="A19628" t="e">
        <v>#N/A</v>
      </c>
    </row>
    <row r="19629" spans="1:1" x14ac:dyDescent="0.25">
      <c r="A19629" t="e">
        <v>#N/A</v>
      </c>
    </row>
    <row r="19630" spans="1:1" x14ac:dyDescent="0.25">
      <c r="A19630" t="e">
        <v>#N/A</v>
      </c>
    </row>
    <row r="19631" spans="1:1" x14ac:dyDescent="0.25">
      <c r="A19631" t="e">
        <v>#N/A</v>
      </c>
    </row>
    <row r="19632" spans="1:1" x14ac:dyDescent="0.25">
      <c r="A19632" t="e">
        <v>#N/A</v>
      </c>
    </row>
    <row r="19633" spans="1:1" x14ac:dyDescent="0.25">
      <c r="A19633" t="e">
        <v>#N/A</v>
      </c>
    </row>
    <row r="19634" spans="1:1" x14ac:dyDescent="0.25">
      <c r="A19634" t="e">
        <v>#N/A</v>
      </c>
    </row>
    <row r="19635" spans="1:1" x14ac:dyDescent="0.25">
      <c r="A19635" t="e">
        <v>#N/A</v>
      </c>
    </row>
    <row r="19636" spans="1:1" x14ac:dyDescent="0.25">
      <c r="A19636" t="e">
        <v>#N/A</v>
      </c>
    </row>
    <row r="19637" spans="1:1" x14ac:dyDescent="0.25">
      <c r="A19637" t="e">
        <v>#N/A</v>
      </c>
    </row>
    <row r="19638" spans="1:1" x14ac:dyDescent="0.25">
      <c r="A19638" t="e">
        <v>#N/A</v>
      </c>
    </row>
    <row r="19639" spans="1:1" x14ac:dyDescent="0.25">
      <c r="A19639" t="e">
        <v>#N/A</v>
      </c>
    </row>
    <row r="19640" spans="1:1" x14ac:dyDescent="0.25">
      <c r="A19640" t="e">
        <v>#N/A</v>
      </c>
    </row>
    <row r="19641" spans="1:1" x14ac:dyDescent="0.25">
      <c r="A19641" t="e">
        <v>#N/A</v>
      </c>
    </row>
    <row r="19642" spans="1:1" x14ac:dyDescent="0.25">
      <c r="A19642" t="e">
        <v>#N/A</v>
      </c>
    </row>
    <row r="19643" spans="1:1" x14ac:dyDescent="0.25">
      <c r="A19643" t="e">
        <v>#N/A</v>
      </c>
    </row>
    <row r="19644" spans="1:1" x14ac:dyDescent="0.25">
      <c r="A19644" t="e">
        <v>#N/A</v>
      </c>
    </row>
    <row r="19645" spans="1:1" x14ac:dyDescent="0.25">
      <c r="A19645" t="e">
        <v>#N/A</v>
      </c>
    </row>
    <row r="19646" spans="1:1" x14ac:dyDescent="0.25">
      <c r="A19646" t="e">
        <v>#N/A</v>
      </c>
    </row>
    <row r="19647" spans="1:1" x14ac:dyDescent="0.25">
      <c r="A19647" t="e">
        <v>#N/A</v>
      </c>
    </row>
    <row r="19648" spans="1:1" x14ac:dyDescent="0.25">
      <c r="A19648" t="e">
        <v>#N/A</v>
      </c>
    </row>
    <row r="19649" spans="1:1" x14ac:dyDescent="0.25">
      <c r="A19649" t="e">
        <v>#N/A</v>
      </c>
    </row>
    <row r="19650" spans="1:1" x14ac:dyDescent="0.25">
      <c r="A19650" t="e">
        <v>#N/A</v>
      </c>
    </row>
    <row r="19651" spans="1:1" x14ac:dyDescent="0.25">
      <c r="A19651" t="e">
        <v>#N/A</v>
      </c>
    </row>
    <row r="19652" spans="1:1" x14ac:dyDescent="0.25">
      <c r="A19652" t="e">
        <v>#N/A</v>
      </c>
    </row>
    <row r="19653" spans="1:1" x14ac:dyDescent="0.25">
      <c r="A19653" t="e">
        <v>#N/A</v>
      </c>
    </row>
    <row r="19654" spans="1:1" x14ac:dyDescent="0.25">
      <c r="A19654" t="e">
        <v>#N/A</v>
      </c>
    </row>
    <row r="19655" spans="1:1" x14ac:dyDescent="0.25">
      <c r="A19655" t="e">
        <v>#N/A</v>
      </c>
    </row>
    <row r="19656" spans="1:1" x14ac:dyDescent="0.25">
      <c r="A19656" t="e">
        <v>#N/A</v>
      </c>
    </row>
    <row r="19657" spans="1:1" x14ac:dyDescent="0.25">
      <c r="A19657" t="e">
        <v>#N/A</v>
      </c>
    </row>
    <row r="19658" spans="1:1" x14ac:dyDescent="0.25">
      <c r="A19658" t="e">
        <v>#N/A</v>
      </c>
    </row>
    <row r="19659" spans="1:1" x14ac:dyDescent="0.25">
      <c r="A19659" t="e">
        <v>#N/A</v>
      </c>
    </row>
    <row r="19660" spans="1:1" x14ac:dyDescent="0.25">
      <c r="A19660" t="e">
        <v>#N/A</v>
      </c>
    </row>
    <row r="19661" spans="1:1" x14ac:dyDescent="0.25">
      <c r="A19661" t="e">
        <v>#N/A</v>
      </c>
    </row>
    <row r="19662" spans="1:1" x14ac:dyDescent="0.25">
      <c r="A19662" t="e">
        <v>#N/A</v>
      </c>
    </row>
    <row r="19663" spans="1:1" x14ac:dyDescent="0.25">
      <c r="A19663" t="e">
        <v>#N/A</v>
      </c>
    </row>
    <row r="19664" spans="1:1" x14ac:dyDescent="0.25">
      <c r="A19664" t="e">
        <v>#N/A</v>
      </c>
    </row>
    <row r="19665" spans="1:1" x14ac:dyDescent="0.25">
      <c r="A19665" t="e">
        <v>#N/A</v>
      </c>
    </row>
    <row r="19666" spans="1:1" x14ac:dyDescent="0.25">
      <c r="A19666" t="e">
        <v>#N/A</v>
      </c>
    </row>
    <row r="19667" spans="1:1" x14ac:dyDescent="0.25">
      <c r="A19667" t="e">
        <v>#N/A</v>
      </c>
    </row>
    <row r="19668" spans="1:1" x14ac:dyDescent="0.25">
      <c r="A19668" t="e">
        <v>#N/A</v>
      </c>
    </row>
    <row r="19669" spans="1:1" x14ac:dyDescent="0.25">
      <c r="A19669" t="e">
        <v>#N/A</v>
      </c>
    </row>
    <row r="19670" spans="1:1" x14ac:dyDescent="0.25">
      <c r="A19670" t="e">
        <v>#N/A</v>
      </c>
    </row>
    <row r="19671" spans="1:1" x14ac:dyDescent="0.25">
      <c r="A19671" t="e">
        <v>#N/A</v>
      </c>
    </row>
    <row r="19672" spans="1:1" x14ac:dyDescent="0.25">
      <c r="A19672" t="e">
        <v>#N/A</v>
      </c>
    </row>
    <row r="19673" spans="1:1" x14ac:dyDescent="0.25">
      <c r="A19673" t="e">
        <v>#N/A</v>
      </c>
    </row>
    <row r="19674" spans="1:1" x14ac:dyDescent="0.25">
      <c r="A19674" t="e">
        <v>#N/A</v>
      </c>
    </row>
    <row r="19675" spans="1:1" x14ac:dyDescent="0.25">
      <c r="A19675" t="e">
        <v>#N/A</v>
      </c>
    </row>
    <row r="19676" spans="1:1" x14ac:dyDescent="0.25">
      <c r="A19676" t="e">
        <v>#N/A</v>
      </c>
    </row>
    <row r="19677" spans="1:1" x14ac:dyDescent="0.25">
      <c r="A19677" t="e">
        <v>#N/A</v>
      </c>
    </row>
    <row r="19678" spans="1:1" x14ac:dyDescent="0.25">
      <c r="A19678" t="e">
        <v>#N/A</v>
      </c>
    </row>
    <row r="19679" spans="1:1" x14ac:dyDescent="0.25">
      <c r="A19679" t="e">
        <v>#N/A</v>
      </c>
    </row>
    <row r="19680" spans="1:1" x14ac:dyDescent="0.25">
      <c r="A19680" t="e">
        <v>#N/A</v>
      </c>
    </row>
    <row r="19681" spans="1:1" x14ac:dyDescent="0.25">
      <c r="A19681" t="e">
        <v>#N/A</v>
      </c>
    </row>
    <row r="19682" spans="1:1" x14ac:dyDescent="0.25">
      <c r="A19682" t="e">
        <v>#N/A</v>
      </c>
    </row>
    <row r="19683" spans="1:1" x14ac:dyDescent="0.25">
      <c r="A19683" t="e">
        <v>#N/A</v>
      </c>
    </row>
    <row r="19684" spans="1:1" x14ac:dyDescent="0.25">
      <c r="A19684" t="e">
        <v>#N/A</v>
      </c>
    </row>
    <row r="19685" spans="1:1" x14ac:dyDescent="0.25">
      <c r="A19685" t="e">
        <v>#N/A</v>
      </c>
    </row>
    <row r="19686" spans="1:1" x14ac:dyDescent="0.25">
      <c r="A19686" t="e">
        <v>#N/A</v>
      </c>
    </row>
    <row r="19687" spans="1:1" x14ac:dyDescent="0.25">
      <c r="A19687" t="e">
        <v>#N/A</v>
      </c>
    </row>
    <row r="19688" spans="1:1" x14ac:dyDescent="0.25">
      <c r="A19688" t="e">
        <v>#N/A</v>
      </c>
    </row>
    <row r="19689" spans="1:1" x14ac:dyDescent="0.25">
      <c r="A19689" t="e">
        <v>#N/A</v>
      </c>
    </row>
    <row r="19690" spans="1:1" x14ac:dyDescent="0.25">
      <c r="A19690" t="e">
        <v>#N/A</v>
      </c>
    </row>
    <row r="19691" spans="1:1" x14ac:dyDescent="0.25">
      <c r="A19691" t="e">
        <v>#N/A</v>
      </c>
    </row>
    <row r="19692" spans="1:1" x14ac:dyDescent="0.25">
      <c r="A19692" t="e">
        <v>#N/A</v>
      </c>
    </row>
    <row r="19693" spans="1:1" x14ac:dyDescent="0.25">
      <c r="A19693" t="e">
        <v>#N/A</v>
      </c>
    </row>
    <row r="19694" spans="1:1" x14ac:dyDescent="0.25">
      <c r="A19694" t="e">
        <v>#N/A</v>
      </c>
    </row>
    <row r="19695" spans="1:1" x14ac:dyDescent="0.25">
      <c r="A19695" t="e">
        <v>#N/A</v>
      </c>
    </row>
    <row r="19696" spans="1:1" x14ac:dyDescent="0.25">
      <c r="A19696" t="e">
        <v>#N/A</v>
      </c>
    </row>
    <row r="19697" spans="1:1" x14ac:dyDescent="0.25">
      <c r="A19697" t="e">
        <v>#N/A</v>
      </c>
    </row>
    <row r="19698" spans="1:1" x14ac:dyDescent="0.25">
      <c r="A19698" t="e">
        <v>#N/A</v>
      </c>
    </row>
    <row r="19699" spans="1:1" x14ac:dyDescent="0.25">
      <c r="A19699" t="e">
        <v>#N/A</v>
      </c>
    </row>
    <row r="19700" spans="1:1" x14ac:dyDescent="0.25">
      <c r="A19700" t="e">
        <v>#N/A</v>
      </c>
    </row>
    <row r="19701" spans="1:1" x14ac:dyDescent="0.25">
      <c r="A19701" t="e">
        <v>#N/A</v>
      </c>
    </row>
    <row r="19702" spans="1:1" x14ac:dyDescent="0.25">
      <c r="A19702" t="e">
        <v>#N/A</v>
      </c>
    </row>
    <row r="19703" spans="1:1" x14ac:dyDescent="0.25">
      <c r="A19703" t="e">
        <v>#N/A</v>
      </c>
    </row>
    <row r="19704" spans="1:1" x14ac:dyDescent="0.25">
      <c r="A19704" t="e">
        <v>#N/A</v>
      </c>
    </row>
    <row r="19705" spans="1:1" x14ac:dyDescent="0.25">
      <c r="A19705" t="e">
        <v>#N/A</v>
      </c>
    </row>
    <row r="19706" spans="1:1" x14ac:dyDescent="0.25">
      <c r="A19706" t="e">
        <v>#N/A</v>
      </c>
    </row>
    <row r="19707" spans="1:1" x14ac:dyDescent="0.25">
      <c r="A19707" t="e">
        <v>#N/A</v>
      </c>
    </row>
    <row r="19708" spans="1:1" x14ac:dyDescent="0.25">
      <c r="A19708" t="e">
        <v>#N/A</v>
      </c>
    </row>
    <row r="19709" spans="1:1" x14ac:dyDescent="0.25">
      <c r="A19709" t="e">
        <v>#N/A</v>
      </c>
    </row>
    <row r="19710" spans="1:1" x14ac:dyDescent="0.25">
      <c r="A19710" t="e">
        <v>#N/A</v>
      </c>
    </row>
    <row r="19711" spans="1:1" x14ac:dyDescent="0.25">
      <c r="A19711" t="e">
        <v>#N/A</v>
      </c>
    </row>
    <row r="19712" spans="1:1" x14ac:dyDescent="0.25">
      <c r="A19712" t="e">
        <v>#N/A</v>
      </c>
    </row>
    <row r="19713" spans="1:1" x14ac:dyDescent="0.25">
      <c r="A19713" t="e">
        <v>#N/A</v>
      </c>
    </row>
    <row r="19714" spans="1:1" x14ac:dyDescent="0.25">
      <c r="A19714" t="e">
        <v>#N/A</v>
      </c>
    </row>
    <row r="19715" spans="1:1" x14ac:dyDescent="0.25">
      <c r="A19715" t="e">
        <v>#N/A</v>
      </c>
    </row>
    <row r="19716" spans="1:1" x14ac:dyDescent="0.25">
      <c r="A19716" t="e">
        <v>#N/A</v>
      </c>
    </row>
    <row r="19717" spans="1:1" x14ac:dyDescent="0.25">
      <c r="A19717" t="e">
        <v>#N/A</v>
      </c>
    </row>
    <row r="19718" spans="1:1" x14ac:dyDescent="0.25">
      <c r="A19718" t="e">
        <v>#N/A</v>
      </c>
    </row>
    <row r="19719" spans="1:1" x14ac:dyDescent="0.25">
      <c r="A19719" t="e">
        <v>#N/A</v>
      </c>
    </row>
    <row r="19720" spans="1:1" x14ac:dyDescent="0.25">
      <c r="A19720" t="e">
        <v>#N/A</v>
      </c>
    </row>
    <row r="19721" spans="1:1" x14ac:dyDescent="0.25">
      <c r="A19721" t="e">
        <v>#N/A</v>
      </c>
    </row>
    <row r="19722" spans="1:1" x14ac:dyDescent="0.25">
      <c r="A19722" t="e">
        <v>#N/A</v>
      </c>
    </row>
    <row r="19723" spans="1:1" x14ac:dyDescent="0.25">
      <c r="A19723" t="e">
        <v>#N/A</v>
      </c>
    </row>
    <row r="19724" spans="1:1" x14ac:dyDescent="0.25">
      <c r="A19724" t="e">
        <v>#N/A</v>
      </c>
    </row>
    <row r="19725" spans="1:1" x14ac:dyDescent="0.25">
      <c r="A19725" t="e">
        <v>#N/A</v>
      </c>
    </row>
    <row r="19726" spans="1:1" x14ac:dyDescent="0.25">
      <c r="A19726" t="e">
        <v>#N/A</v>
      </c>
    </row>
    <row r="19727" spans="1:1" x14ac:dyDescent="0.25">
      <c r="A19727" t="e">
        <v>#N/A</v>
      </c>
    </row>
    <row r="19728" spans="1:1" x14ac:dyDescent="0.25">
      <c r="A19728" t="e">
        <v>#N/A</v>
      </c>
    </row>
    <row r="19729" spans="1:1" x14ac:dyDescent="0.25">
      <c r="A19729" t="e">
        <v>#N/A</v>
      </c>
    </row>
    <row r="19730" spans="1:1" x14ac:dyDescent="0.25">
      <c r="A19730" t="e">
        <v>#N/A</v>
      </c>
    </row>
    <row r="19731" spans="1:1" x14ac:dyDescent="0.25">
      <c r="A19731" t="e">
        <v>#N/A</v>
      </c>
    </row>
    <row r="19732" spans="1:1" x14ac:dyDescent="0.25">
      <c r="A19732" t="e">
        <v>#N/A</v>
      </c>
    </row>
    <row r="19733" spans="1:1" x14ac:dyDescent="0.25">
      <c r="A19733" t="e">
        <v>#N/A</v>
      </c>
    </row>
    <row r="19734" spans="1:1" x14ac:dyDescent="0.25">
      <c r="A19734" t="e">
        <v>#N/A</v>
      </c>
    </row>
    <row r="19735" spans="1:1" x14ac:dyDescent="0.25">
      <c r="A19735" t="e">
        <v>#N/A</v>
      </c>
    </row>
    <row r="19736" spans="1:1" x14ac:dyDescent="0.25">
      <c r="A19736" t="e">
        <v>#N/A</v>
      </c>
    </row>
    <row r="19737" spans="1:1" x14ac:dyDescent="0.25">
      <c r="A19737" t="e">
        <v>#N/A</v>
      </c>
    </row>
    <row r="19738" spans="1:1" x14ac:dyDescent="0.25">
      <c r="A19738" t="e">
        <v>#N/A</v>
      </c>
    </row>
    <row r="19739" spans="1:1" x14ac:dyDescent="0.25">
      <c r="A19739" t="e">
        <v>#N/A</v>
      </c>
    </row>
    <row r="19740" spans="1:1" x14ac:dyDescent="0.25">
      <c r="A19740" t="e">
        <v>#N/A</v>
      </c>
    </row>
    <row r="19741" spans="1:1" x14ac:dyDescent="0.25">
      <c r="A19741" t="e">
        <v>#N/A</v>
      </c>
    </row>
    <row r="19742" spans="1:1" x14ac:dyDescent="0.25">
      <c r="A19742" t="e">
        <v>#N/A</v>
      </c>
    </row>
    <row r="19743" spans="1:1" x14ac:dyDescent="0.25">
      <c r="A19743" t="e">
        <v>#N/A</v>
      </c>
    </row>
    <row r="19744" spans="1:1" x14ac:dyDescent="0.25">
      <c r="A19744" t="e">
        <v>#N/A</v>
      </c>
    </row>
    <row r="19745" spans="1:1" x14ac:dyDescent="0.25">
      <c r="A19745" t="e">
        <v>#N/A</v>
      </c>
    </row>
    <row r="19746" spans="1:1" x14ac:dyDescent="0.25">
      <c r="A19746" t="e">
        <v>#N/A</v>
      </c>
    </row>
    <row r="19747" spans="1:1" x14ac:dyDescent="0.25">
      <c r="A19747" t="e">
        <v>#N/A</v>
      </c>
    </row>
    <row r="19748" spans="1:1" x14ac:dyDescent="0.25">
      <c r="A19748" t="e">
        <v>#N/A</v>
      </c>
    </row>
    <row r="19749" spans="1:1" x14ac:dyDescent="0.25">
      <c r="A19749" t="e">
        <v>#N/A</v>
      </c>
    </row>
    <row r="19750" spans="1:1" x14ac:dyDescent="0.25">
      <c r="A19750" t="e">
        <v>#N/A</v>
      </c>
    </row>
    <row r="19751" spans="1:1" x14ac:dyDescent="0.25">
      <c r="A19751" t="e">
        <v>#N/A</v>
      </c>
    </row>
    <row r="19752" spans="1:1" x14ac:dyDescent="0.25">
      <c r="A19752" t="e">
        <v>#N/A</v>
      </c>
    </row>
    <row r="19753" spans="1:1" x14ac:dyDescent="0.25">
      <c r="A19753" t="e">
        <v>#N/A</v>
      </c>
    </row>
    <row r="19754" spans="1:1" x14ac:dyDescent="0.25">
      <c r="A19754" t="e">
        <v>#N/A</v>
      </c>
    </row>
    <row r="19755" spans="1:1" x14ac:dyDescent="0.25">
      <c r="A19755" t="e">
        <v>#N/A</v>
      </c>
    </row>
    <row r="19756" spans="1:1" x14ac:dyDescent="0.25">
      <c r="A19756" t="e">
        <v>#N/A</v>
      </c>
    </row>
    <row r="19757" spans="1:1" x14ac:dyDescent="0.25">
      <c r="A19757" t="e">
        <v>#N/A</v>
      </c>
    </row>
    <row r="19758" spans="1:1" x14ac:dyDescent="0.25">
      <c r="A19758" t="e">
        <v>#N/A</v>
      </c>
    </row>
    <row r="19759" spans="1:1" x14ac:dyDescent="0.25">
      <c r="A19759" t="e">
        <v>#N/A</v>
      </c>
    </row>
    <row r="19760" spans="1:1" x14ac:dyDescent="0.25">
      <c r="A19760" t="e">
        <v>#N/A</v>
      </c>
    </row>
    <row r="19761" spans="1:1" x14ac:dyDescent="0.25">
      <c r="A19761" t="e">
        <v>#N/A</v>
      </c>
    </row>
    <row r="19762" spans="1:1" x14ac:dyDescent="0.25">
      <c r="A19762" t="e">
        <v>#N/A</v>
      </c>
    </row>
    <row r="19763" spans="1:1" x14ac:dyDescent="0.25">
      <c r="A19763" t="e">
        <v>#N/A</v>
      </c>
    </row>
    <row r="19764" spans="1:1" x14ac:dyDescent="0.25">
      <c r="A19764" t="e">
        <v>#N/A</v>
      </c>
    </row>
    <row r="19765" spans="1:1" x14ac:dyDescent="0.25">
      <c r="A19765" t="e">
        <v>#N/A</v>
      </c>
    </row>
    <row r="19766" spans="1:1" x14ac:dyDescent="0.25">
      <c r="A19766" t="e">
        <v>#N/A</v>
      </c>
    </row>
    <row r="19767" spans="1:1" x14ac:dyDescent="0.25">
      <c r="A19767" t="e">
        <v>#N/A</v>
      </c>
    </row>
    <row r="19768" spans="1:1" x14ac:dyDescent="0.25">
      <c r="A19768" t="e">
        <v>#N/A</v>
      </c>
    </row>
    <row r="19769" spans="1:1" x14ac:dyDescent="0.25">
      <c r="A19769" t="e">
        <v>#N/A</v>
      </c>
    </row>
    <row r="19770" spans="1:1" x14ac:dyDescent="0.25">
      <c r="A19770" t="e">
        <v>#N/A</v>
      </c>
    </row>
    <row r="19771" spans="1:1" x14ac:dyDescent="0.25">
      <c r="A19771" t="e">
        <v>#N/A</v>
      </c>
    </row>
    <row r="19772" spans="1:1" x14ac:dyDescent="0.25">
      <c r="A19772" t="e">
        <v>#N/A</v>
      </c>
    </row>
    <row r="19773" spans="1:1" x14ac:dyDescent="0.25">
      <c r="A19773" t="e">
        <v>#N/A</v>
      </c>
    </row>
    <row r="19774" spans="1:1" x14ac:dyDescent="0.25">
      <c r="A19774" t="e">
        <v>#N/A</v>
      </c>
    </row>
    <row r="19775" spans="1:1" x14ac:dyDescent="0.25">
      <c r="A19775" t="e">
        <v>#N/A</v>
      </c>
    </row>
    <row r="19776" spans="1:1" x14ac:dyDescent="0.25">
      <c r="A19776" t="e">
        <v>#N/A</v>
      </c>
    </row>
    <row r="19777" spans="1:1" x14ac:dyDescent="0.25">
      <c r="A19777" t="e">
        <v>#N/A</v>
      </c>
    </row>
    <row r="19778" spans="1:1" x14ac:dyDescent="0.25">
      <c r="A19778" t="e">
        <v>#N/A</v>
      </c>
    </row>
    <row r="19779" spans="1:1" x14ac:dyDescent="0.25">
      <c r="A19779" t="e">
        <v>#N/A</v>
      </c>
    </row>
    <row r="19780" spans="1:1" x14ac:dyDescent="0.25">
      <c r="A19780" t="e">
        <v>#N/A</v>
      </c>
    </row>
    <row r="19781" spans="1:1" x14ac:dyDescent="0.25">
      <c r="A19781" t="e">
        <v>#N/A</v>
      </c>
    </row>
    <row r="19782" spans="1:1" x14ac:dyDescent="0.25">
      <c r="A19782" t="e">
        <v>#N/A</v>
      </c>
    </row>
    <row r="19783" spans="1:1" x14ac:dyDescent="0.25">
      <c r="A19783" t="e">
        <v>#N/A</v>
      </c>
    </row>
    <row r="19784" spans="1:1" x14ac:dyDescent="0.25">
      <c r="A19784" t="e">
        <v>#N/A</v>
      </c>
    </row>
    <row r="19785" spans="1:1" x14ac:dyDescent="0.25">
      <c r="A19785" t="e">
        <v>#N/A</v>
      </c>
    </row>
    <row r="19786" spans="1:1" x14ac:dyDescent="0.25">
      <c r="A19786" t="e">
        <v>#N/A</v>
      </c>
    </row>
    <row r="19787" spans="1:1" x14ac:dyDescent="0.25">
      <c r="A19787" t="e">
        <v>#N/A</v>
      </c>
    </row>
    <row r="19788" spans="1:1" x14ac:dyDescent="0.25">
      <c r="A19788" t="e">
        <v>#N/A</v>
      </c>
    </row>
    <row r="19789" spans="1:1" x14ac:dyDescent="0.25">
      <c r="A19789" t="e">
        <v>#N/A</v>
      </c>
    </row>
    <row r="19790" spans="1:1" x14ac:dyDescent="0.25">
      <c r="A19790" t="e">
        <v>#N/A</v>
      </c>
    </row>
    <row r="19791" spans="1:1" x14ac:dyDescent="0.25">
      <c r="A19791" t="e">
        <v>#N/A</v>
      </c>
    </row>
    <row r="19792" spans="1:1" x14ac:dyDescent="0.25">
      <c r="A19792" t="e">
        <v>#N/A</v>
      </c>
    </row>
    <row r="19793" spans="1:1" x14ac:dyDescent="0.25">
      <c r="A19793" t="e">
        <v>#N/A</v>
      </c>
    </row>
    <row r="19794" spans="1:1" x14ac:dyDescent="0.25">
      <c r="A19794" t="e">
        <v>#N/A</v>
      </c>
    </row>
    <row r="19795" spans="1:1" x14ac:dyDescent="0.25">
      <c r="A19795" t="e">
        <v>#N/A</v>
      </c>
    </row>
    <row r="19796" spans="1:1" x14ac:dyDescent="0.25">
      <c r="A19796" t="e">
        <v>#N/A</v>
      </c>
    </row>
    <row r="19797" spans="1:1" x14ac:dyDescent="0.25">
      <c r="A19797" t="e">
        <v>#N/A</v>
      </c>
    </row>
    <row r="19798" spans="1:1" x14ac:dyDescent="0.25">
      <c r="A19798" t="e">
        <v>#N/A</v>
      </c>
    </row>
    <row r="19799" spans="1:1" x14ac:dyDescent="0.25">
      <c r="A19799" t="e">
        <v>#N/A</v>
      </c>
    </row>
    <row r="19800" spans="1:1" x14ac:dyDescent="0.25">
      <c r="A19800" t="e">
        <v>#N/A</v>
      </c>
    </row>
    <row r="19801" spans="1:1" x14ac:dyDescent="0.25">
      <c r="A19801" t="e">
        <v>#N/A</v>
      </c>
    </row>
    <row r="19802" spans="1:1" x14ac:dyDescent="0.25">
      <c r="A19802" t="e">
        <v>#N/A</v>
      </c>
    </row>
    <row r="19803" spans="1:1" x14ac:dyDescent="0.25">
      <c r="A19803" t="e">
        <v>#N/A</v>
      </c>
    </row>
    <row r="19804" spans="1:1" x14ac:dyDescent="0.25">
      <c r="A19804" t="e">
        <v>#N/A</v>
      </c>
    </row>
    <row r="19805" spans="1:1" x14ac:dyDescent="0.25">
      <c r="A19805" t="e">
        <v>#N/A</v>
      </c>
    </row>
    <row r="19806" spans="1:1" x14ac:dyDescent="0.25">
      <c r="A19806" t="e">
        <v>#N/A</v>
      </c>
    </row>
    <row r="19807" spans="1:1" x14ac:dyDescent="0.25">
      <c r="A19807" t="e">
        <v>#N/A</v>
      </c>
    </row>
    <row r="19808" spans="1:1" x14ac:dyDescent="0.25">
      <c r="A19808" t="e">
        <v>#N/A</v>
      </c>
    </row>
    <row r="19809" spans="1:1" x14ac:dyDescent="0.25">
      <c r="A19809" t="e">
        <v>#N/A</v>
      </c>
    </row>
    <row r="19810" spans="1:1" x14ac:dyDescent="0.25">
      <c r="A19810" t="e">
        <v>#N/A</v>
      </c>
    </row>
    <row r="19811" spans="1:1" x14ac:dyDescent="0.25">
      <c r="A19811" t="e">
        <v>#N/A</v>
      </c>
    </row>
    <row r="19812" spans="1:1" x14ac:dyDescent="0.25">
      <c r="A19812" t="e">
        <v>#N/A</v>
      </c>
    </row>
    <row r="19813" spans="1:1" x14ac:dyDescent="0.25">
      <c r="A19813" t="e">
        <v>#N/A</v>
      </c>
    </row>
    <row r="19814" spans="1:1" x14ac:dyDescent="0.25">
      <c r="A19814" t="e">
        <v>#N/A</v>
      </c>
    </row>
    <row r="19815" spans="1:1" x14ac:dyDescent="0.25">
      <c r="A19815" t="e">
        <v>#N/A</v>
      </c>
    </row>
    <row r="19816" spans="1:1" x14ac:dyDescent="0.25">
      <c r="A19816" t="e">
        <v>#N/A</v>
      </c>
    </row>
    <row r="19817" spans="1:1" x14ac:dyDescent="0.25">
      <c r="A19817" t="e">
        <v>#N/A</v>
      </c>
    </row>
    <row r="19818" spans="1:1" x14ac:dyDescent="0.25">
      <c r="A19818" t="e">
        <v>#N/A</v>
      </c>
    </row>
    <row r="19819" spans="1:1" x14ac:dyDescent="0.25">
      <c r="A19819" t="e">
        <v>#N/A</v>
      </c>
    </row>
    <row r="19820" spans="1:1" x14ac:dyDescent="0.25">
      <c r="A19820" t="e">
        <v>#N/A</v>
      </c>
    </row>
    <row r="19821" spans="1:1" x14ac:dyDescent="0.25">
      <c r="A19821" t="e">
        <v>#N/A</v>
      </c>
    </row>
    <row r="19822" spans="1:1" x14ac:dyDescent="0.25">
      <c r="A19822" t="e">
        <v>#N/A</v>
      </c>
    </row>
    <row r="19823" spans="1:1" x14ac:dyDescent="0.25">
      <c r="A19823" t="e">
        <v>#N/A</v>
      </c>
    </row>
    <row r="19824" spans="1:1" x14ac:dyDescent="0.25">
      <c r="A19824" t="e">
        <v>#N/A</v>
      </c>
    </row>
    <row r="19825" spans="1:1" x14ac:dyDescent="0.25">
      <c r="A19825" t="e">
        <v>#N/A</v>
      </c>
    </row>
    <row r="19826" spans="1:1" x14ac:dyDescent="0.25">
      <c r="A19826" t="e">
        <v>#N/A</v>
      </c>
    </row>
    <row r="19827" spans="1:1" x14ac:dyDescent="0.25">
      <c r="A19827" t="e">
        <v>#N/A</v>
      </c>
    </row>
    <row r="19828" spans="1:1" x14ac:dyDescent="0.25">
      <c r="A19828" t="e">
        <v>#N/A</v>
      </c>
    </row>
    <row r="19829" spans="1:1" x14ac:dyDescent="0.25">
      <c r="A19829" t="e">
        <v>#N/A</v>
      </c>
    </row>
    <row r="19830" spans="1:1" x14ac:dyDescent="0.25">
      <c r="A19830" t="e">
        <v>#N/A</v>
      </c>
    </row>
    <row r="19831" spans="1:1" x14ac:dyDescent="0.25">
      <c r="A19831" t="e">
        <v>#N/A</v>
      </c>
    </row>
    <row r="19832" spans="1:1" x14ac:dyDescent="0.25">
      <c r="A19832" t="e">
        <v>#N/A</v>
      </c>
    </row>
    <row r="19833" spans="1:1" x14ac:dyDescent="0.25">
      <c r="A19833" t="e">
        <v>#N/A</v>
      </c>
    </row>
    <row r="19834" spans="1:1" x14ac:dyDescent="0.25">
      <c r="A19834" t="e">
        <v>#N/A</v>
      </c>
    </row>
    <row r="19835" spans="1:1" x14ac:dyDescent="0.25">
      <c r="A19835" t="e">
        <v>#N/A</v>
      </c>
    </row>
    <row r="19836" spans="1:1" x14ac:dyDescent="0.25">
      <c r="A19836" t="e">
        <v>#N/A</v>
      </c>
    </row>
    <row r="19837" spans="1:1" x14ac:dyDescent="0.25">
      <c r="A19837" t="e">
        <v>#N/A</v>
      </c>
    </row>
    <row r="19838" spans="1:1" x14ac:dyDescent="0.25">
      <c r="A19838" t="e">
        <v>#N/A</v>
      </c>
    </row>
    <row r="19839" spans="1:1" x14ac:dyDescent="0.25">
      <c r="A19839" t="e">
        <v>#N/A</v>
      </c>
    </row>
    <row r="19840" spans="1:1" x14ac:dyDescent="0.25">
      <c r="A19840" t="e">
        <v>#N/A</v>
      </c>
    </row>
    <row r="19841" spans="1:1" x14ac:dyDescent="0.25">
      <c r="A19841" t="e">
        <v>#N/A</v>
      </c>
    </row>
    <row r="19842" spans="1:1" x14ac:dyDescent="0.25">
      <c r="A19842" t="e">
        <v>#N/A</v>
      </c>
    </row>
    <row r="19843" spans="1:1" x14ac:dyDescent="0.25">
      <c r="A19843" t="e">
        <v>#N/A</v>
      </c>
    </row>
    <row r="19844" spans="1:1" x14ac:dyDescent="0.25">
      <c r="A19844" t="e">
        <v>#N/A</v>
      </c>
    </row>
    <row r="19845" spans="1:1" x14ac:dyDescent="0.25">
      <c r="A19845" t="e">
        <v>#N/A</v>
      </c>
    </row>
    <row r="19846" spans="1:1" x14ac:dyDescent="0.25">
      <c r="A19846" t="e">
        <v>#N/A</v>
      </c>
    </row>
    <row r="19847" spans="1:1" x14ac:dyDescent="0.25">
      <c r="A19847" t="e">
        <v>#N/A</v>
      </c>
    </row>
    <row r="19848" spans="1:1" x14ac:dyDescent="0.25">
      <c r="A19848" t="e">
        <v>#N/A</v>
      </c>
    </row>
    <row r="19849" spans="1:1" x14ac:dyDescent="0.25">
      <c r="A19849" t="e">
        <v>#N/A</v>
      </c>
    </row>
    <row r="19850" spans="1:1" x14ac:dyDescent="0.25">
      <c r="A19850" t="e">
        <v>#N/A</v>
      </c>
    </row>
    <row r="19851" spans="1:1" x14ac:dyDescent="0.25">
      <c r="A19851" t="e">
        <v>#N/A</v>
      </c>
    </row>
    <row r="19852" spans="1:1" x14ac:dyDescent="0.25">
      <c r="A19852" t="e">
        <v>#N/A</v>
      </c>
    </row>
    <row r="19853" spans="1:1" x14ac:dyDescent="0.25">
      <c r="A19853" t="e">
        <v>#N/A</v>
      </c>
    </row>
    <row r="19854" spans="1:1" x14ac:dyDescent="0.25">
      <c r="A19854" t="e">
        <v>#N/A</v>
      </c>
    </row>
    <row r="19855" spans="1:1" x14ac:dyDescent="0.25">
      <c r="A19855" t="e">
        <v>#N/A</v>
      </c>
    </row>
    <row r="19856" spans="1:1" x14ac:dyDescent="0.25">
      <c r="A19856" t="e">
        <v>#N/A</v>
      </c>
    </row>
    <row r="19857" spans="1:1" x14ac:dyDescent="0.25">
      <c r="A19857" t="e">
        <v>#N/A</v>
      </c>
    </row>
    <row r="19858" spans="1:1" x14ac:dyDescent="0.25">
      <c r="A19858" t="e">
        <v>#N/A</v>
      </c>
    </row>
    <row r="19859" spans="1:1" x14ac:dyDescent="0.25">
      <c r="A19859" t="e">
        <v>#N/A</v>
      </c>
    </row>
    <row r="19860" spans="1:1" x14ac:dyDescent="0.25">
      <c r="A19860" t="e">
        <v>#N/A</v>
      </c>
    </row>
    <row r="19861" spans="1:1" x14ac:dyDescent="0.25">
      <c r="A19861" t="e">
        <v>#N/A</v>
      </c>
    </row>
    <row r="19862" spans="1:1" x14ac:dyDescent="0.25">
      <c r="A19862" t="e">
        <v>#N/A</v>
      </c>
    </row>
    <row r="19863" spans="1:1" x14ac:dyDescent="0.25">
      <c r="A19863" t="e">
        <v>#N/A</v>
      </c>
    </row>
    <row r="19864" spans="1:1" x14ac:dyDescent="0.25">
      <c r="A19864" t="e">
        <v>#N/A</v>
      </c>
    </row>
    <row r="19865" spans="1:1" x14ac:dyDescent="0.25">
      <c r="A19865" t="e">
        <v>#N/A</v>
      </c>
    </row>
    <row r="19866" spans="1:1" x14ac:dyDescent="0.25">
      <c r="A19866" t="e">
        <v>#N/A</v>
      </c>
    </row>
    <row r="19867" spans="1:1" x14ac:dyDescent="0.25">
      <c r="A19867" t="e">
        <v>#N/A</v>
      </c>
    </row>
    <row r="19868" spans="1:1" x14ac:dyDescent="0.25">
      <c r="A19868" t="e">
        <v>#N/A</v>
      </c>
    </row>
    <row r="19869" spans="1:1" x14ac:dyDescent="0.25">
      <c r="A19869" t="e">
        <v>#N/A</v>
      </c>
    </row>
    <row r="19870" spans="1:1" x14ac:dyDescent="0.25">
      <c r="A19870" t="e">
        <v>#N/A</v>
      </c>
    </row>
    <row r="19871" spans="1:1" x14ac:dyDescent="0.25">
      <c r="A19871" t="e">
        <v>#N/A</v>
      </c>
    </row>
    <row r="19872" spans="1:1" x14ac:dyDescent="0.25">
      <c r="A19872" t="e">
        <v>#N/A</v>
      </c>
    </row>
    <row r="19873" spans="1:1" x14ac:dyDescent="0.25">
      <c r="A19873" t="e">
        <v>#N/A</v>
      </c>
    </row>
    <row r="19874" spans="1:1" x14ac:dyDescent="0.25">
      <c r="A19874" t="e">
        <v>#N/A</v>
      </c>
    </row>
    <row r="19875" spans="1:1" x14ac:dyDescent="0.25">
      <c r="A19875" t="e">
        <v>#N/A</v>
      </c>
    </row>
    <row r="19876" spans="1:1" x14ac:dyDescent="0.25">
      <c r="A19876" t="e">
        <v>#N/A</v>
      </c>
    </row>
    <row r="19877" spans="1:1" x14ac:dyDescent="0.25">
      <c r="A19877" t="e">
        <v>#N/A</v>
      </c>
    </row>
    <row r="19878" spans="1:1" x14ac:dyDescent="0.25">
      <c r="A19878" t="e">
        <v>#N/A</v>
      </c>
    </row>
    <row r="19879" spans="1:1" x14ac:dyDescent="0.25">
      <c r="A19879" t="e">
        <v>#N/A</v>
      </c>
    </row>
    <row r="19880" spans="1:1" x14ac:dyDescent="0.25">
      <c r="A19880" t="e">
        <v>#N/A</v>
      </c>
    </row>
    <row r="19881" spans="1:1" x14ac:dyDescent="0.25">
      <c r="A19881" t="e">
        <v>#N/A</v>
      </c>
    </row>
    <row r="19882" spans="1:1" x14ac:dyDescent="0.25">
      <c r="A19882" t="e">
        <v>#N/A</v>
      </c>
    </row>
    <row r="19883" spans="1:1" x14ac:dyDescent="0.25">
      <c r="A19883" t="e">
        <v>#N/A</v>
      </c>
    </row>
    <row r="19884" spans="1:1" x14ac:dyDescent="0.25">
      <c r="A19884" t="e">
        <v>#N/A</v>
      </c>
    </row>
    <row r="19885" spans="1:1" x14ac:dyDescent="0.25">
      <c r="A19885" t="e">
        <v>#N/A</v>
      </c>
    </row>
    <row r="19886" spans="1:1" x14ac:dyDescent="0.25">
      <c r="A19886" t="e">
        <v>#N/A</v>
      </c>
    </row>
    <row r="19887" spans="1:1" x14ac:dyDescent="0.25">
      <c r="A19887" t="e">
        <v>#N/A</v>
      </c>
    </row>
    <row r="19888" spans="1:1" x14ac:dyDescent="0.25">
      <c r="A19888" t="e">
        <v>#N/A</v>
      </c>
    </row>
    <row r="19889" spans="1:1" x14ac:dyDescent="0.25">
      <c r="A19889" t="e">
        <v>#N/A</v>
      </c>
    </row>
    <row r="19890" spans="1:1" x14ac:dyDescent="0.25">
      <c r="A19890" t="e">
        <v>#N/A</v>
      </c>
    </row>
    <row r="19891" spans="1:1" x14ac:dyDescent="0.25">
      <c r="A19891" t="e">
        <v>#N/A</v>
      </c>
    </row>
    <row r="19892" spans="1:1" x14ac:dyDescent="0.25">
      <c r="A19892" t="e">
        <v>#N/A</v>
      </c>
    </row>
    <row r="19893" spans="1:1" x14ac:dyDescent="0.25">
      <c r="A19893" t="e">
        <v>#N/A</v>
      </c>
    </row>
    <row r="19894" spans="1:1" x14ac:dyDescent="0.25">
      <c r="A19894" t="e">
        <v>#N/A</v>
      </c>
    </row>
    <row r="19895" spans="1:1" x14ac:dyDescent="0.25">
      <c r="A19895" t="e">
        <v>#N/A</v>
      </c>
    </row>
    <row r="19896" spans="1:1" x14ac:dyDescent="0.25">
      <c r="A19896" t="e">
        <v>#N/A</v>
      </c>
    </row>
    <row r="19897" spans="1:1" x14ac:dyDescent="0.25">
      <c r="A19897" t="e">
        <v>#N/A</v>
      </c>
    </row>
    <row r="19898" spans="1:1" x14ac:dyDescent="0.25">
      <c r="A19898" t="e">
        <v>#N/A</v>
      </c>
    </row>
    <row r="19899" spans="1:1" x14ac:dyDescent="0.25">
      <c r="A19899" t="e">
        <v>#N/A</v>
      </c>
    </row>
    <row r="19900" spans="1:1" x14ac:dyDescent="0.25">
      <c r="A19900" t="e">
        <v>#N/A</v>
      </c>
    </row>
    <row r="19901" spans="1:1" x14ac:dyDescent="0.25">
      <c r="A19901" t="e">
        <v>#N/A</v>
      </c>
    </row>
    <row r="19902" spans="1:1" x14ac:dyDescent="0.25">
      <c r="A19902" t="e">
        <v>#N/A</v>
      </c>
    </row>
    <row r="19903" spans="1:1" x14ac:dyDescent="0.25">
      <c r="A19903" t="e">
        <v>#N/A</v>
      </c>
    </row>
    <row r="19904" spans="1:1" x14ac:dyDescent="0.25">
      <c r="A19904" t="e">
        <v>#N/A</v>
      </c>
    </row>
    <row r="19905" spans="1:1" x14ac:dyDescent="0.25">
      <c r="A19905" t="e">
        <v>#N/A</v>
      </c>
    </row>
    <row r="19906" spans="1:1" x14ac:dyDescent="0.25">
      <c r="A19906" t="e">
        <v>#N/A</v>
      </c>
    </row>
    <row r="19907" spans="1:1" x14ac:dyDescent="0.25">
      <c r="A19907" t="e">
        <v>#N/A</v>
      </c>
    </row>
    <row r="19908" spans="1:1" x14ac:dyDescent="0.25">
      <c r="A19908" t="e">
        <v>#N/A</v>
      </c>
    </row>
    <row r="19909" spans="1:1" x14ac:dyDescent="0.25">
      <c r="A19909" t="e">
        <v>#N/A</v>
      </c>
    </row>
    <row r="19910" spans="1:1" x14ac:dyDescent="0.25">
      <c r="A19910" t="e">
        <v>#N/A</v>
      </c>
    </row>
    <row r="19911" spans="1:1" x14ac:dyDescent="0.25">
      <c r="A19911" t="e">
        <v>#N/A</v>
      </c>
    </row>
    <row r="19912" spans="1:1" x14ac:dyDescent="0.25">
      <c r="A19912" t="e">
        <v>#N/A</v>
      </c>
    </row>
    <row r="19913" spans="1:1" x14ac:dyDescent="0.25">
      <c r="A19913" t="e">
        <v>#N/A</v>
      </c>
    </row>
    <row r="19914" spans="1:1" x14ac:dyDescent="0.25">
      <c r="A19914" t="e">
        <v>#N/A</v>
      </c>
    </row>
    <row r="19915" spans="1:1" x14ac:dyDescent="0.25">
      <c r="A19915" t="e">
        <v>#N/A</v>
      </c>
    </row>
    <row r="19916" spans="1:1" x14ac:dyDescent="0.25">
      <c r="A19916" t="e">
        <v>#N/A</v>
      </c>
    </row>
    <row r="19917" spans="1:1" x14ac:dyDescent="0.25">
      <c r="A19917" t="e">
        <v>#N/A</v>
      </c>
    </row>
    <row r="19918" spans="1:1" x14ac:dyDescent="0.25">
      <c r="A19918" t="e">
        <v>#N/A</v>
      </c>
    </row>
    <row r="19919" spans="1:1" x14ac:dyDescent="0.25">
      <c r="A19919" t="e">
        <v>#N/A</v>
      </c>
    </row>
    <row r="19920" spans="1:1" x14ac:dyDescent="0.25">
      <c r="A19920" t="e">
        <v>#N/A</v>
      </c>
    </row>
    <row r="19921" spans="1:1" x14ac:dyDescent="0.25">
      <c r="A19921" t="e">
        <v>#N/A</v>
      </c>
    </row>
    <row r="19922" spans="1:1" x14ac:dyDescent="0.25">
      <c r="A19922" t="e">
        <v>#N/A</v>
      </c>
    </row>
    <row r="19923" spans="1:1" x14ac:dyDescent="0.25">
      <c r="A19923" t="e">
        <v>#N/A</v>
      </c>
    </row>
    <row r="19924" spans="1:1" x14ac:dyDescent="0.25">
      <c r="A19924" t="e">
        <v>#N/A</v>
      </c>
    </row>
    <row r="19925" spans="1:1" x14ac:dyDescent="0.25">
      <c r="A19925" t="e">
        <v>#N/A</v>
      </c>
    </row>
    <row r="19926" spans="1:1" x14ac:dyDescent="0.25">
      <c r="A19926" t="e">
        <v>#N/A</v>
      </c>
    </row>
    <row r="19927" spans="1:1" x14ac:dyDescent="0.25">
      <c r="A19927" t="e">
        <v>#N/A</v>
      </c>
    </row>
    <row r="19928" spans="1:1" x14ac:dyDescent="0.25">
      <c r="A19928" t="e">
        <v>#N/A</v>
      </c>
    </row>
    <row r="19929" spans="1:1" x14ac:dyDescent="0.25">
      <c r="A19929" t="e">
        <v>#N/A</v>
      </c>
    </row>
    <row r="19930" spans="1:1" x14ac:dyDescent="0.25">
      <c r="A19930" t="e">
        <v>#N/A</v>
      </c>
    </row>
    <row r="19931" spans="1:1" x14ac:dyDescent="0.25">
      <c r="A19931" t="e">
        <v>#N/A</v>
      </c>
    </row>
    <row r="19932" spans="1:1" x14ac:dyDescent="0.25">
      <c r="A19932" t="e">
        <v>#N/A</v>
      </c>
    </row>
    <row r="19933" spans="1:1" x14ac:dyDescent="0.25">
      <c r="A19933" t="e">
        <v>#N/A</v>
      </c>
    </row>
    <row r="19934" spans="1:1" x14ac:dyDescent="0.25">
      <c r="A19934" t="e">
        <v>#N/A</v>
      </c>
    </row>
    <row r="19935" spans="1:1" x14ac:dyDescent="0.25">
      <c r="A19935" t="e">
        <v>#N/A</v>
      </c>
    </row>
    <row r="19936" spans="1:1" x14ac:dyDescent="0.25">
      <c r="A19936" t="e">
        <v>#N/A</v>
      </c>
    </row>
    <row r="19937" spans="1:1" x14ac:dyDescent="0.25">
      <c r="A19937" t="e">
        <v>#N/A</v>
      </c>
    </row>
    <row r="19938" spans="1:1" x14ac:dyDescent="0.25">
      <c r="A19938" t="e">
        <v>#N/A</v>
      </c>
    </row>
    <row r="19939" spans="1:1" x14ac:dyDescent="0.25">
      <c r="A19939" t="e">
        <v>#N/A</v>
      </c>
    </row>
    <row r="19940" spans="1:1" x14ac:dyDescent="0.25">
      <c r="A19940" t="e">
        <v>#N/A</v>
      </c>
    </row>
    <row r="19941" spans="1:1" x14ac:dyDescent="0.25">
      <c r="A19941" t="e">
        <v>#N/A</v>
      </c>
    </row>
    <row r="19942" spans="1:1" x14ac:dyDescent="0.25">
      <c r="A19942" t="e">
        <v>#N/A</v>
      </c>
    </row>
    <row r="19943" spans="1:1" x14ac:dyDescent="0.25">
      <c r="A19943" t="e">
        <v>#N/A</v>
      </c>
    </row>
    <row r="19944" spans="1:1" x14ac:dyDescent="0.25">
      <c r="A19944" t="e">
        <v>#N/A</v>
      </c>
    </row>
    <row r="19945" spans="1:1" x14ac:dyDescent="0.25">
      <c r="A19945" t="e">
        <v>#N/A</v>
      </c>
    </row>
    <row r="19946" spans="1:1" x14ac:dyDescent="0.25">
      <c r="A19946" t="e">
        <v>#N/A</v>
      </c>
    </row>
    <row r="19947" spans="1:1" x14ac:dyDescent="0.25">
      <c r="A19947" t="e">
        <v>#N/A</v>
      </c>
    </row>
    <row r="19948" spans="1:1" x14ac:dyDescent="0.25">
      <c r="A19948" t="e">
        <v>#N/A</v>
      </c>
    </row>
    <row r="19949" spans="1:1" x14ac:dyDescent="0.25">
      <c r="A19949" t="e">
        <v>#N/A</v>
      </c>
    </row>
    <row r="19950" spans="1:1" x14ac:dyDescent="0.25">
      <c r="A19950" t="e">
        <v>#N/A</v>
      </c>
    </row>
    <row r="19951" spans="1:1" x14ac:dyDescent="0.25">
      <c r="A19951" t="e">
        <v>#N/A</v>
      </c>
    </row>
    <row r="19952" spans="1:1" x14ac:dyDescent="0.25">
      <c r="A19952" t="e">
        <v>#N/A</v>
      </c>
    </row>
    <row r="19953" spans="1:1" x14ac:dyDescent="0.25">
      <c r="A19953" t="e">
        <v>#N/A</v>
      </c>
    </row>
    <row r="19954" spans="1:1" x14ac:dyDescent="0.25">
      <c r="A19954" t="e">
        <v>#N/A</v>
      </c>
    </row>
    <row r="19955" spans="1:1" x14ac:dyDescent="0.25">
      <c r="A19955" t="e">
        <v>#N/A</v>
      </c>
    </row>
    <row r="19956" spans="1:1" x14ac:dyDescent="0.25">
      <c r="A19956" t="e">
        <v>#N/A</v>
      </c>
    </row>
    <row r="19957" spans="1:1" x14ac:dyDescent="0.25">
      <c r="A19957" t="e">
        <v>#N/A</v>
      </c>
    </row>
    <row r="19958" spans="1:1" x14ac:dyDescent="0.25">
      <c r="A19958" t="e">
        <v>#N/A</v>
      </c>
    </row>
    <row r="19959" spans="1:1" x14ac:dyDescent="0.25">
      <c r="A19959" t="e">
        <v>#N/A</v>
      </c>
    </row>
    <row r="19960" spans="1:1" x14ac:dyDescent="0.25">
      <c r="A19960" t="e">
        <v>#N/A</v>
      </c>
    </row>
    <row r="19961" spans="1:1" x14ac:dyDescent="0.25">
      <c r="A19961" t="e">
        <v>#N/A</v>
      </c>
    </row>
    <row r="19962" spans="1:1" x14ac:dyDescent="0.25">
      <c r="A19962" t="e">
        <v>#N/A</v>
      </c>
    </row>
    <row r="19963" spans="1:1" x14ac:dyDescent="0.25">
      <c r="A19963" t="e">
        <v>#N/A</v>
      </c>
    </row>
    <row r="19964" spans="1:1" x14ac:dyDescent="0.25">
      <c r="A19964" t="e">
        <v>#N/A</v>
      </c>
    </row>
    <row r="19965" spans="1:1" x14ac:dyDescent="0.25">
      <c r="A19965" t="e">
        <v>#N/A</v>
      </c>
    </row>
    <row r="19966" spans="1:1" x14ac:dyDescent="0.25">
      <c r="A19966" t="e">
        <v>#N/A</v>
      </c>
    </row>
    <row r="19967" spans="1:1" x14ac:dyDescent="0.25">
      <c r="A19967" t="e">
        <v>#N/A</v>
      </c>
    </row>
    <row r="19968" spans="1:1" x14ac:dyDescent="0.25">
      <c r="A19968" t="e">
        <v>#N/A</v>
      </c>
    </row>
    <row r="19969" spans="1:1" x14ac:dyDescent="0.25">
      <c r="A19969" t="e">
        <v>#N/A</v>
      </c>
    </row>
    <row r="19970" spans="1:1" x14ac:dyDescent="0.25">
      <c r="A19970" t="e">
        <v>#N/A</v>
      </c>
    </row>
    <row r="19971" spans="1:1" x14ac:dyDescent="0.25">
      <c r="A19971" t="e">
        <v>#N/A</v>
      </c>
    </row>
    <row r="19972" spans="1:1" x14ac:dyDescent="0.25">
      <c r="A19972" t="e">
        <v>#N/A</v>
      </c>
    </row>
    <row r="19973" spans="1:1" x14ac:dyDescent="0.25">
      <c r="A19973" t="e">
        <v>#N/A</v>
      </c>
    </row>
    <row r="19974" spans="1:1" x14ac:dyDescent="0.25">
      <c r="A19974" t="e">
        <v>#N/A</v>
      </c>
    </row>
    <row r="19975" spans="1:1" x14ac:dyDescent="0.25">
      <c r="A19975" t="e">
        <v>#N/A</v>
      </c>
    </row>
    <row r="19976" spans="1:1" x14ac:dyDescent="0.25">
      <c r="A19976" t="e">
        <v>#N/A</v>
      </c>
    </row>
    <row r="19977" spans="1:1" x14ac:dyDescent="0.25">
      <c r="A19977" t="e">
        <v>#N/A</v>
      </c>
    </row>
    <row r="19978" spans="1:1" x14ac:dyDescent="0.25">
      <c r="A19978" t="e">
        <v>#N/A</v>
      </c>
    </row>
    <row r="19979" spans="1:1" x14ac:dyDescent="0.25">
      <c r="A19979" t="e">
        <v>#N/A</v>
      </c>
    </row>
    <row r="19980" spans="1:1" x14ac:dyDescent="0.25">
      <c r="A19980" t="e">
        <v>#N/A</v>
      </c>
    </row>
    <row r="19981" spans="1:1" x14ac:dyDescent="0.25">
      <c r="A19981" t="e">
        <v>#N/A</v>
      </c>
    </row>
    <row r="19982" spans="1:1" x14ac:dyDescent="0.25">
      <c r="A19982" t="e">
        <v>#N/A</v>
      </c>
    </row>
    <row r="19983" spans="1:1" x14ac:dyDescent="0.25">
      <c r="A19983" t="e">
        <v>#N/A</v>
      </c>
    </row>
    <row r="19984" spans="1:1" x14ac:dyDescent="0.25">
      <c r="A19984" t="e">
        <v>#N/A</v>
      </c>
    </row>
    <row r="19985" spans="1:1" x14ac:dyDescent="0.25">
      <c r="A19985" t="e">
        <v>#N/A</v>
      </c>
    </row>
    <row r="19986" spans="1:1" x14ac:dyDescent="0.25">
      <c r="A19986" t="e">
        <v>#N/A</v>
      </c>
    </row>
    <row r="19987" spans="1:1" x14ac:dyDescent="0.25">
      <c r="A19987" t="e">
        <v>#N/A</v>
      </c>
    </row>
    <row r="19988" spans="1:1" x14ac:dyDescent="0.25">
      <c r="A19988" t="e">
        <v>#N/A</v>
      </c>
    </row>
    <row r="19989" spans="1:1" x14ac:dyDescent="0.25">
      <c r="A19989" t="e">
        <v>#N/A</v>
      </c>
    </row>
    <row r="19990" spans="1:1" x14ac:dyDescent="0.25">
      <c r="A19990" t="e">
        <v>#N/A</v>
      </c>
    </row>
    <row r="19991" spans="1:1" x14ac:dyDescent="0.25">
      <c r="A19991" t="e">
        <v>#N/A</v>
      </c>
    </row>
    <row r="19992" spans="1:1" x14ac:dyDescent="0.25">
      <c r="A19992" t="e">
        <v>#N/A</v>
      </c>
    </row>
    <row r="19993" spans="1:1" x14ac:dyDescent="0.25">
      <c r="A19993" t="e">
        <v>#N/A</v>
      </c>
    </row>
    <row r="19994" spans="1:1" x14ac:dyDescent="0.25">
      <c r="A19994" t="e">
        <v>#N/A</v>
      </c>
    </row>
    <row r="19995" spans="1:1" x14ac:dyDescent="0.25">
      <c r="A19995" t="e">
        <v>#N/A</v>
      </c>
    </row>
    <row r="19996" spans="1:1" x14ac:dyDescent="0.25">
      <c r="A19996" t="e">
        <v>#N/A</v>
      </c>
    </row>
    <row r="19997" spans="1:1" x14ac:dyDescent="0.25">
      <c r="A19997" t="e">
        <v>#N/A</v>
      </c>
    </row>
    <row r="19998" spans="1:1" x14ac:dyDescent="0.25">
      <c r="A19998" t="e">
        <v>#N/A</v>
      </c>
    </row>
    <row r="19999" spans="1:1" x14ac:dyDescent="0.25">
      <c r="A19999" t="e">
        <v>#N/A</v>
      </c>
    </row>
    <row r="20000" spans="1:1" x14ac:dyDescent="0.25">
      <c r="A20000" t="e">
        <v>#N/A</v>
      </c>
    </row>
    <row r="20001" spans="1:1" x14ac:dyDescent="0.25">
      <c r="A20001" t="e">
        <v>#N/A</v>
      </c>
    </row>
    <row r="20002" spans="1:1" x14ac:dyDescent="0.25">
      <c r="A20002" t="e">
        <v>#N/A</v>
      </c>
    </row>
    <row r="20003" spans="1:1" x14ac:dyDescent="0.25">
      <c r="A20003" t="e">
        <v>#N/A</v>
      </c>
    </row>
    <row r="20004" spans="1:1" x14ac:dyDescent="0.25">
      <c r="A20004" t="e">
        <v>#N/A</v>
      </c>
    </row>
    <row r="20005" spans="1:1" x14ac:dyDescent="0.25">
      <c r="A20005" t="e">
        <v>#N/A</v>
      </c>
    </row>
    <row r="20006" spans="1:1" x14ac:dyDescent="0.25">
      <c r="A20006" t="e">
        <v>#N/A</v>
      </c>
    </row>
    <row r="20007" spans="1:1" x14ac:dyDescent="0.25">
      <c r="A20007" t="e">
        <v>#N/A</v>
      </c>
    </row>
    <row r="20008" spans="1:1" x14ac:dyDescent="0.25">
      <c r="A20008" t="e">
        <v>#N/A</v>
      </c>
    </row>
    <row r="20009" spans="1:1" x14ac:dyDescent="0.25">
      <c r="A20009" t="e">
        <v>#N/A</v>
      </c>
    </row>
    <row r="20010" spans="1:1" x14ac:dyDescent="0.25">
      <c r="A20010" t="e">
        <v>#N/A</v>
      </c>
    </row>
    <row r="20011" spans="1:1" x14ac:dyDescent="0.25">
      <c r="A20011" t="e">
        <v>#N/A</v>
      </c>
    </row>
    <row r="20012" spans="1:1" x14ac:dyDescent="0.25">
      <c r="A20012" t="e">
        <v>#N/A</v>
      </c>
    </row>
    <row r="20013" spans="1:1" x14ac:dyDescent="0.25">
      <c r="A20013" t="e">
        <v>#N/A</v>
      </c>
    </row>
    <row r="20014" spans="1:1" x14ac:dyDescent="0.25">
      <c r="A20014" t="e">
        <v>#N/A</v>
      </c>
    </row>
    <row r="20015" spans="1:1" x14ac:dyDescent="0.25">
      <c r="A20015" t="e">
        <v>#N/A</v>
      </c>
    </row>
    <row r="20016" spans="1:1" x14ac:dyDescent="0.25">
      <c r="A20016" t="e">
        <v>#N/A</v>
      </c>
    </row>
    <row r="20017" spans="1:1" x14ac:dyDescent="0.25">
      <c r="A20017" t="e">
        <v>#N/A</v>
      </c>
    </row>
    <row r="20018" spans="1:1" x14ac:dyDescent="0.25">
      <c r="A20018" t="e">
        <v>#N/A</v>
      </c>
    </row>
    <row r="20019" spans="1:1" x14ac:dyDescent="0.25">
      <c r="A20019" t="e">
        <v>#N/A</v>
      </c>
    </row>
    <row r="20020" spans="1:1" x14ac:dyDescent="0.25">
      <c r="A20020" t="e">
        <v>#N/A</v>
      </c>
    </row>
    <row r="20021" spans="1:1" x14ac:dyDescent="0.25">
      <c r="A20021" t="e">
        <v>#N/A</v>
      </c>
    </row>
    <row r="20022" spans="1:1" x14ac:dyDescent="0.25">
      <c r="A20022" t="e">
        <v>#N/A</v>
      </c>
    </row>
    <row r="20023" spans="1:1" x14ac:dyDescent="0.25">
      <c r="A20023" t="e">
        <v>#N/A</v>
      </c>
    </row>
    <row r="20024" spans="1:1" x14ac:dyDescent="0.25">
      <c r="A20024" t="e">
        <v>#N/A</v>
      </c>
    </row>
    <row r="20025" spans="1:1" x14ac:dyDescent="0.25">
      <c r="A20025" t="e">
        <v>#N/A</v>
      </c>
    </row>
    <row r="20026" spans="1:1" x14ac:dyDescent="0.25">
      <c r="A20026" t="e">
        <v>#N/A</v>
      </c>
    </row>
    <row r="20027" spans="1:1" x14ac:dyDescent="0.25">
      <c r="A20027" t="e">
        <v>#N/A</v>
      </c>
    </row>
    <row r="20028" spans="1:1" x14ac:dyDescent="0.25">
      <c r="A20028" t="e">
        <v>#N/A</v>
      </c>
    </row>
    <row r="20029" spans="1:1" x14ac:dyDescent="0.25">
      <c r="A20029" t="e">
        <v>#N/A</v>
      </c>
    </row>
    <row r="20030" spans="1:1" x14ac:dyDescent="0.25">
      <c r="A20030" t="e">
        <v>#N/A</v>
      </c>
    </row>
    <row r="20031" spans="1:1" x14ac:dyDescent="0.25">
      <c r="A20031" t="e">
        <v>#N/A</v>
      </c>
    </row>
    <row r="20032" spans="1:1" x14ac:dyDescent="0.25">
      <c r="A20032" t="e">
        <v>#N/A</v>
      </c>
    </row>
    <row r="20033" spans="1:1" x14ac:dyDescent="0.25">
      <c r="A20033" t="e">
        <v>#N/A</v>
      </c>
    </row>
    <row r="20034" spans="1:1" x14ac:dyDescent="0.25">
      <c r="A20034" t="e">
        <v>#N/A</v>
      </c>
    </row>
    <row r="20035" spans="1:1" x14ac:dyDescent="0.25">
      <c r="A20035" t="e">
        <v>#N/A</v>
      </c>
    </row>
    <row r="20036" spans="1:1" x14ac:dyDescent="0.25">
      <c r="A20036" t="e">
        <v>#N/A</v>
      </c>
    </row>
    <row r="20037" spans="1:1" x14ac:dyDescent="0.25">
      <c r="A20037" t="e">
        <v>#N/A</v>
      </c>
    </row>
    <row r="20038" spans="1:1" x14ac:dyDescent="0.25">
      <c r="A20038" t="e">
        <v>#N/A</v>
      </c>
    </row>
    <row r="20039" spans="1:1" x14ac:dyDescent="0.25">
      <c r="A20039" t="e">
        <v>#N/A</v>
      </c>
    </row>
    <row r="20040" spans="1:1" x14ac:dyDescent="0.25">
      <c r="A20040" t="e">
        <v>#N/A</v>
      </c>
    </row>
    <row r="20041" spans="1:1" x14ac:dyDescent="0.25">
      <c r="A20041" t="e">
        <v>#N/A</v>
      </c>
    </row>
    <row r="20042" spans="1:1" x14ac:dyDescent="0.25">
      <c r="A20042" t="e">
        <v>#N/A</v>
      </c>
    </row>
    <row r="20043" spans="1:1" x14ac:dyDescent="0.25">
      <c r="A20043" t="e">
        <v>#N/A</v>
      </c>
    </row>
    <row r="20044" spans="1:1" x14ac:dyDescent="0.25">
      <c r="A20044" t="e">
        <v>#N/A</v>
      </c>
    </row>
    <row r="20045" spans="1:1" x14ac:dyDescent="0.25">
      <c r="A20045" t="e">
        <v>#N/A</v>
      </c>
    </row>
    <row r="20046" spans="1:1" x14ac:dyDescent="0.25">
      <c r="A20046" t="e">
        <v>#N/A</v>
      </c>
    </row>
    <row r="20047" spans="1:1" x14ac:dyDescent="0.25">
      <c r="A20047" t="e">
        <v>#N/A</v>
      </c>
    </row>
    <row r="20048" spans="1:1" x14ac:dyDescent="0.25">
      <c r="A20048" t="e">
        <v>#N/A</v>
      </c>
    </row>
    <row r="20049" spans="1:1" x14ac:dyDescent="0.25">
      <c r="A20049" t="e">
        <v>#N/A</v>
      </c>
    </row>
    <row r="20050" spans="1:1" x14ac:dyDescent="0.25">
      <c r="A20050" t="e">
        <v>#N/A</v>
      </c>
    </row>
    <row r="20051" spans="1:1" x14ac:dyDescent="0.25">
      <c r="A20051" t="e">
        <v>#N/A</v>
      </c>
    </row>
    <row r="20052" spans="1:1" x14ac:dyDescent="0.25">
      <c r="A20052" t="e">
        <v>#N/A</v>
      </c>
    </row>
    <row r="20053" spans="1:1" x14ac:dyDescent="0.25">
      <c r="A20053" t="e">
        <v>#N/A</v>
      </c>
    </row>
    <row r="20054" spans="1:1" x14ac:dyDescent="0.25">
      <c r="A20054" t="e">
        <v>#N/A</v>
      </c>
    </row>
    <row r="20055" spans="1:1" x14ac:dyDescent="0.25">
      <c r="A20055" t="e">
        <v>#N/A</v>
      </c>
    </row>
    <row r="20056" spans="1:1" x14ac:dyDescent="0.25">
      <c r="A20056" t="e">
        <v>#N/A</v>
      </c>
    </row>
    <row r="20057" spans="1:1" x14ac:dyDescent="0.25">
      <c r="A20057" t="e">
        <v>#N/A</v>
      </c>
    </row>
    <row r="20058" spans="1:1" x14ac:dyDescent="0.25">
      <c r="A20058" t="e">
        <v>#N/A</v>
      </c>
    </row>
    <row r="20059" spans="1:1" x14ac:dyDescent="0.25">
      <c r="A20059" t="e">
        <v>#N/A</v>
      </c>
    </row>
    <row r="20060" spans="1:1" x14ac:dyDescent="0.25">
      <c r="A20060" t="e">
        <v>#N/A</v>
      </c>
    </row>
    <row r="20061" spans="1:1" x14ac:dyDescent="0.25">
      <c r="A20061" t="e">
        <v>#N/A</v>
      </c>
    </row>
    <row r="20062" spans="1:1" x14ac:dyDescent="0.25">
      <c r="A20062" t="e">
        <v>#N/A</v>
      </c>
    </row>
    <row r="20063" spans="1:1" x14ac:dyDescent="0.25">
      <c r="A20063" t="e">
        <v>#N/A</v>
      </c>
    </row>
    <row r="20064" spans="1:1" x14ac:dyDescent="0.25">
      <c r="A20064" t="e">
        <v>#N/A</v>
      </c>
    </row>
    <row r="20065" spans="1:1" x14ac:dyDescent="0.25">
      <c r="A20065" t="e">
        <v>#N/A</v>
      </c>
    </row>
    <row r="20066" spans="1:1" x14ac:dyDescent="0.25">
      <c r="A20066" t="e">
        <v>#N/A</v>
      </c>
    </row>
    <row r="20067" spans="1:1" x14ac:dyDescent="0.25">
      <c r="A20067" t="e">
        <v>#N/A</v>
      </c>
    </row>
    <row r="20068" spans="1:1" x14ac:dyDescent="0.25">
      <c r="A20068" t="e">
        <v>#N/A</v>
      </c>
    </row>
    <row r="20069" spans="1:1" x14ac:dyDescent="0.25">
      <c r="A20069" t="e">
        <v>#N/A</v>
      </c>
    </row>
    <row r="20070" spans="1:1" x14ac:dyDescent="0.25">
      <c r="A20070" t="e">
        <v>#N/A</v>
      </c>
    </row>
    <row r="20071" spans="1:1" x14ac:dyDescent="0.25">
      <c r="A20071" t="e">
        <v>#N/A</v>
      </c>
    </row>
    <row r="20072" spans="1:1" x14ac:dyDescent="0.25">
      <c r="A20072" t="e">
        <v>#N/A</v>
      </c>
    </row>
    <row r="20073" spans="1:1" x14ac:dyDescent="0.25">
      <c r="A20073" t="e">
        <v>#N/A</v>
      </c>
    </row>
    <row r="20074" spans="1:1" x14ac:dyDescent="0.25">
      <c r="A20074" t="e">
        <v>#N/A</v>
      </c>
    </row>
    <row r="20075" spans="1:1" x14ac:dyDescent="0.25">
      <c r="A20075" t="e">
        <v>#N/A</v>
      </c>
    </row>
    <row r="20076" spans="1:1" x14ac:dyDescent="0.25">
      <c r="A20076" t="e">
        <v>#N/A</v>
      </c>
    </row>
    <row r="20077" spans="1:1" x14ac:dyDescent="0.25">
      <c r="A20077" t="e">
        <v>#N/A</v>
      </c>
    </row>
    <row r="20078" spans="1:1" x14ac:dyDescent="0.25">
      <c r="A20078" t="e">
        <v>#N/A</v>
      </c>
    </row>
    <row r="20079" spans="1:1" x14ac:dyDescent="0.25">
      <c r="A20079" t="e">
        <v>#N/A</v>
      </c>
    </row>
    <row r="20080" spans="1:1" x14ac:dyDescent="0.25">
      <c r="A20080" t="e">
        <v>#N/A</v>
      </c>
    </row>
    <row r="20081" spans="1:1" x14ac:dyDescent="0.25">
      <c r="A20081" t="e">
        <v>#N/A</v>
      </c>
    </row>
    <row r="20082" spans="1:1" x14ac:dyDescent="0.25">
      <c r="A20082" t="e">
        <v>#N/A</v>
      </c>
    </row>
    <row r="20083" spans="1:1" x14ac:dyDescent="0.25">
      <c r="A20083" t="e">
        <v>#N/A</v>
      </c>
    </row>
    <row r="20084" spans="1:1" x14ac:dyDescent="0.25">
      <c r="A20084" t="e">
        <v>#N/A</v>
      </c>
    </row>
    <row r="20085" spans="1:1" x14ac:dyDescent="0.25">
      <c r="A20085" t="e">
        <v>#N/A</v>
      </c>
    </row>
    <row r="20086" spans="1:1" x14ac:dyDescent="0.25">
      <c r="A20086" t="e">
        <v>#N/A</v>
      </c>
    </row>
    <row r="20087" spans="1:1" x14ac:dyDescent="0.25">
      <c r="A20087" t="e">
        <v>#N/A</v>
      </c>
    </row>
    <row r="20088" spans="1:1" x14ac:dyDescent="0.25">
      <c r="A20088" t="e">
        <v>#N/A</v>
      </c>
    </row>
    <row r="20089" spans="1:1" x14ac:dyDescent="0.25">
      <c r="A20089" t="e">
        <v>#N/A</v>
      </c>
    </row>
    <row r="20090" spans="1:1" x14ac:dyDescent="0.25">
      <c r="A20090" t="e">
        <v>#N/A</v>
      </c>
    </row>
    <row r="20091" spans="1:1" x14ac:dyDescent="0.25">
      <c r="A20091" t="e">
        <v>#N/A</v>
      </c>
    </row>
    <row r="20092" spans="1:1" x14ac:dyDescent="0.25">
      <c r="A20092" t="e">
        <v>#N/A</v>
      </c>
    </row>
    <row r="20093" spans="1:1" x14ac:dyDescent="0.25">
      <c r="A20093" t="e">
        <v>#N/A</v>
      </c>
    </row>
    <row r="20094" spans="1:1" x14ac:dyDescent="0.25">
      <c r="A20094" t="e">
        <v>#N/A</v>
      </c>
    </row>
    <row r="20095" spans="1:1" x14ac:dyDescent="0.25">
      <c r="A20095" t="e">
        <v>#N/A</v>
      </c>
    </row>
    <row r="20096" spans="1:1" x14ac:dyDescent="0.25">
      <c r="A20096" t="e">
        <v>#N/A</v>
      </c>
    </row>
    <row r="20097" spans="1:1" x14ac:dyDescent="0.25">
      <c r="A20097" t="e">
        <v>#N/A</v>
      </c>
    </row>
    <row r="20098" spans="1:1" x14ac:dyDescent="0.25">
      <c r="A20098" t="e">
        <v>#N/A</v>
      </c>
    </row>
    <row r="20099" spans="1:1" x14ac:dyDescent="0.25">
      <c r="A20099" t="e">
        <v>#N/A</v>
      </c>
    </row>
    <row r="20100" spans="1:1" x14ac:dyDescent="0.25">
      <c r="A20100" t="e">
        <v>#N/A</v>
      </c>
    </row>
    <row r="20101" spans="1:1" x14ac:dyDescent="0.25">
      <c r="A20101" t="e">
        <v>#N/A</v>
      </c>
    </row>
    <row r="20102" spans="1:1" x14ac:dyDescent="0.25">
      <c r="A20102" t="e">
        <v>#N/A</v>
      </c>
    </row>
    <row r="20103" spans="1:1" x14ac:dyDescent="0.25">
      <c r="A20103" t="e">
        <v>#N/A</v>
      </c>
    </row>
    <row r="20104" spans="1:1" x14ac:dyDescent="0.25">
      <c r="A20104" t="e">
        <v>#N/A</v>
      </c>
    </row>
    <row r="20105" spans="1:1" x14ac:dyDescent="0.25">
      <c r="A20105" t="e">
        <v>#N/A</v>
      </c>
    </row>
    <row r="20106" spans="1:1" x14ac:dyDescent="0.25">
      <c r="A20106" t="e">
        <v>#N/A</v>
      </c>
    </row>
    <row r="20107" spans="1:1" x14ac:dyDescent="0.25">
      <c r="A20107" t="e">
        <v>#N/A</v>
      </c>
    </row>
    <row r="20108" spans="1:1" x14ac:dyDescent="0.25">
      <c r="A20108" t="e">
        <v>#N/A</v>
      </c>
    </row>
    <row r="20109" spans="1:1" x14ac:dyDescent="0.25">
      <c r="A20109" t="e">
        <v>#N/A</v>
      </c>
    </row>
    <row r="20110" spans="1:1" x14ac:dyDescent="0.25">
      <c r="A20110" t="e">
        <v>#N/A</v>
      </c>
    </row>
    <row r="20111" spans="1:1" x14ac:dyDescent="0.25">
      <c r="A20111" t="e">
        <v>#N/A</v>
      </c>
    </row>
    <row r="20112" spans="1:1" x14ac:dyDescent="0.25">
      <c r="A20112" t="e">
        <v>#N/A</v>
      </c>
    </row>
    <row r="20113" spans="1:1" x14ac:dyDescent="0.25">
      <c r="A20113" t="e">
        <v>#N/A</v>
      </c>
    </row>
    <row r="20114" spans="1:1" x14ac:dyDescent="0.25">
      <c r="A20114" t="e">
        <v>#N/A</v>
      </c>
    </row>
    <row r="20115" spans="1:1" x14ac:dyDescent="0.25">
      <c r="A20115" t="e">
        <v>#N/A</v>
      </c>
    </row>
    <row r="20116" spans="1:1" x14ac:dyDescent="0.25">
      <c r="A20116" t="e">
        <v>#N/A</v>
      </c>
    </row>
    <row r="20117" spans="1:1" x14ac:dyDescent="0.25">
      <c r="A20117" t="e">
        <v>#N/A</v>
      </c>
    </row>
    <row r="20118" spans="1:1" x14ac:dyDescent="0.25">
      <c r="A20118" t="e">
        <v>#N/A</v>
      </c>
    </row>
    <row r="20119" spans="1:1" x14ac:dyDescent="0.25">
      <c r="A20119" t="e">
        <v>#N/A</v>
      </c>
    </row>
    <row r="20120" spans="1:1" x14ac:dyDescent="0.25">
      <c r="A20120" t="e">
        <v>#N/A</v>
      </c>
    </row>
    <row r="20121" spans="1:1" x14ac:dyDescent="0.25">
      <c r="A20121" t="e">
        <v>#N/A</v>
      </c>
    </row>
    <row r="20122" spans="1:1" x14ac:dyDescent="0.25">
      <c r="A20122" t="e">
        <v>#N/A</v>
      </c>
    </row>
    <row r="20123" spans="1:1" x14ac:dyDescent="0.25">
      <c r="A20123" t="e">
        <v>#N/A</v>
      </c>
    </row>
    <row r="20124" spans="1:1" x14ac:dyDescent="0.25">
      <c r="A20124" t="e">
        <v>#N/A</v>
      </c>
    </row>
    <row r="20125" spans="1:1" x14ac:dyDescent="0.25">
      <c r="A20125" t="e">
        <v>#N/A</v>
      </c>
    </row>
    <row r="20126" spans="1:1" x14ac:dyDescent="0.25">
      <c r="A20126" t="e">
        <v>#N/A</v>
      </c>
    </row>
    <row r="20127" spans="1:1" x14ac:dyDescent="0.25">
      <c r="A20127" t="e">
        <v>#N/A</v>
      </c>
    </row>
    <row r="20128" spans="1:1" x14ac:dyDescent="0.25">
      <c r="A20128" t="e">
        <v>#N/A</v>
      </c>
    </row>
    <row r="20129" spans="1:1" x14ac:dyDescent="0.25">
      <c r="A20129" t="e">
        <v>#N/A</v>
      </c>
    </row>
    <row r="20130" spans="1:1" x14ac:dyDescent="0.25">
      <c r="A20130" t="e">
        <v>#N/A</v>
      </c>
    </row>
    <row r="20131" spans="1:1" x14ac:dyDescent="0.25">
      <c r="A20131" t="e">
        <v>#N/A</v>
      </c>
    </row>
    <row r="20132" spans="1:1" x14ac:dyDescent="0.25">
      <c r="A20132" t="e">
        <v>#N/A</v>
      </c>
    </row>
    <row r="20133" spans="1:1" x14ac:dyDescent="0.25">
      <c r="A20133" t="e">
        <v>#N/A</v>
      </c>
    </row>
    <row r="20134" spans="1:1" x14ac:dyDescent="0.25">
      <c r="A20134" t="e">
        <v>#N/A</v>
      </c>
    </row>
    <row r="20135" spans="1:1" x14ac:dyDescent="0.25">
      <c r="A20135" t="e">
        <v>#N/A</v>
      </c>
    </row>
    <row r="20136" spans="1:1" x14ac:dyDescent="0.25">
      <c r="A20136" t="e">
        <v>#N/A</v>
      </c>
    </row>
    <row r="20137" spans="1:1" x14ac:dyDescent="0.25">
      <c r="A20137" t="e">
        <v>#N/A</v>
      </c>
    </row>
    <row r="20138" spans="1:1" x14ac:dyDescent="0.25">
      <c r="A20138" t="e">
        <v>#N/A</v>
      </c>
    </row>
    <row r="20139" spans="1:1" x14ac:dyDescent="0.25">
      <c r="A20139" t="e">
        <v>#N/A</v>
      </c>
    </row>
    <row r="20140" spans="1:1" x14ac:dyDescent="0.25">
      <c r="A20140" t="e">
        <v>#N/A</v>
      </c>
    </row>
    <row r="20141" spans="1:1" x14ac:dyDescent="0.25">
      <c r="A20141" t="e">
        <v>#N/A</v>
      </c>
    </row>
    <row r="20142" spans="1:1" x14ac:dyDescent="0.25">
      <c r="A20142" t="e">
        <v>#N/A</v>
      </c>
    </row>
    <row r="20143" spans="1:1" x14ac:dyDescent="0.25">
      <c r="A20143" t="e">
        <v>#N/A</v>
      </c>
    </row>
    <row r="20144" spans="1:1" x14ac:dyDescent="0.25">
      <c r="A20144" t="e">
        <v>#N/A</v>
      </c>
    </row>
    <row r="20145" spans="1:1" x14ac:dyDescent="0.25">
      <c r="A20145" t="e">
        <v>#N/A</v>
      </c>
    </row>
    <row r="20146" spans="1:1" x14ac:dyDescent="0.25">
      <c r="A20146" t="e">
        <v>#N/A</v>
      </c>
    </row>
    <row r="20147" spans="1:1" x14ac:dyDescent="0.25">
      <c r="A20147" t="e">
        <v>#N/A</v>
      </c>
    </row>
    <row r="20148" spans="1:1" x14ac:dyDescent="0.25">
      <c r="A20148" t="e">
        <v>#N/A</v>
      </c>
    </row>
    <row r="20149" spans="1:1" x14ac:dyDescent="0.25">
      <c r="A20149" t="e">
        <v>#N/A</v>
      </c>
    </row>
    <row r="20150" spans="1:1" x14ac:dyDescent="0.25">
      <c r="A20150" t="e">
        <v>#N/A</v>
      </c>
    </row>
    <row r="20151" spans="1:1" x14ac:dyDescent="0.25">
      <c r="A20151" t="e">
        <v>#N/A</v>
      </c>
    </row>
    <row r="20152" spans="1:1" x14ac:dyDescent="0.25">
      <c r="A20152" t="e">
        <v>#N/A</v>
      </c>
    </row>
    <row r="20153" spans="1:1" x14ac:dyDescent="0.25">
      <c r="A20153" t="e">
        <v>#N/A</v>
      </c>
    </row>
    <row r="20154" spans="1:1" x14ac:dyDescent="0.25">
      <c r="A20154" t="e">
        <v>#N/A</v>
      </c>
    </row>
    <row r="20155" spans="1:1" x14ac:dyDescent="0.25">
      <c r="A20155" t="e">
        <v>#N/A</v>
      </c>
    </row>
    <row r="20156" spans="1:1" x14ac:dyDescent="0.25">
      <c r="A20156" t="e">
        <v>#N/A</v>
      </c>
    </row>
    <row r="20157" spans="1:1" x14ac:dyDescent="0.25">
      <c r="A20157" t="e">
        <v>#N/A</v>
      </c>
    </row>
    <row r="20158" spans="1:1" x14ac:dyDescent="0.25">
      <c r="A20158" t="e">
        <v>#N/A</v>
      </c>
    </row>
    <row r="20159" spans="1:1" x14ac:dyDescent="0.25">
      <c r="A20159" t="e">
        <v>#N/A</v>
      </c>
    </row>
    <row r="20160" spans="1:1" x14ac:dyDescent="0.25">
      <c r="A20160" t="e">
        <v>#N/A</v>
      </c>
    </row>
    <row r="20161" spans="1:1" x14ac:dyDescent="0.25">
      <c r="A20161" t="e">
        <v>#N/A</v>
      </c>
    </row>
    <row r="20162" spans="1:1" x14ac:dyDescent="0.25">
      <c r="A20162" t="e">
        <v>#N/A</v>
      </c>
    </row>
    <row r="20163" spans="1:1" x14ac:dyDescent="0.25">
      <c r="A20163" t="e">
        <v>#N/A</v>
      </c>
    </row>
    <row r="20164" spans="1:1" x14ac:dyDescent="0.25">
      <c r="A20164" t="e">
        <v>#N/A</v>
      </c>
    </row>
    <row r="20165" spans="1:1" x14ac:dyDescent="0.25">
      <c r="A20165" t="e">
        <v>#N/A</v>
      </c>
    </row>
    <row r="20166" spans="1:1" x14ac:dyDescent="0.25">
      <c r="A20166" t="e">
        <v>#N/A</v>
      </c>
    </row>
    <row r="20167" spans="1:1" x14ac:dyDescent="0.25">
      <c r="A20167" t="e">
        <v>#N/A</v>
      </c>
    </row>
    <row r="20168" spans="1:1" x14ac:dyDescent="0.25">
      <c r="A20168" t="e">
        <v>#N/A</v>
      </c>
    </row>
    <row r="20169" spans="1:1" x14ac:dyDescent="0.25">
      <c r="A20169" t="e">
        <v>#N/A</v>
      </c>
    </row>
    <row r="20170" spans="1:1" x14ac:dyDescent="0.25">
      <c r="A20170" t="e">
        <v>#N/A</v>
      </c>
    </row>
    <row r="20171" spans="1:1" x14ac:dyDescent="0.25">
      <c r="A20171" t="e">
        <v>#N/A</v>
      </c>
    </row>
    <row r="20172" spans="1:1" x14ac:dyDescent="0.25">
      <c r="A20172" t="e">
        <v>#N/A</v>
      </c>
    </row>
    <row r="20173" spans="1:1" x14ac:dyDescent="0.25">
      <c r="A20173" t="e">
        <v>#N/A</v>
      </c>
    </row>
    <row r="20174" spans="1:1" x14ac:dyDescent="0.25">
      <c r="A20174" t="e">
        <v>#N/A</v>
      </c>
    </row>
    <row r="20175" spans="1:1" x14ac:dyDescent="0.25">
      <c r="A20175" t="e">
        <v>#N/A</v>
      </c>
    </row>
    <row r="20176" spans="1:1" x14ac:dyDescent="0.25">
      <c r="A20176" t="e">
        <v>#N/A</v>
      </c>
    </row>
    <row r="20177" spans="1:1" x14ac:dyDescent="0.25">
      <c r="A20177" t="e">
        <v>#N/A</v>
      </c>
    </row>
    <row r="20178" spans="1:1" x14ac:dyDescent="0.25">
      <c r="A20178" t="e">
        <v>#N/A</v>
      </c>
    </row>
    <row r="20179" spans="1:1" x14ac:dyDescent="0.25">
      <c r="A20179" t="e">
        <v>#N/A</v>
      </c>
    </row>
    <row r="20180" spans="1:1" x14ac:dyDescent="0.25">
      <c r="A20180" t="e">
        <v>#N/A</v>
      </c>
    </row>
    <row r="20181" spans="1:1" x14ac:dyDescent="0.25">
      <c r="A20181" t="e">
        <v>#N/A</v>
      </c>
    </row>
    <row r="20182" spans="1:1" x14ac:dyDescent="0.25">
      <c r="A20182" t="e">
        <v>#N/A</v>
      </c>
    </row>
    <row r="20183" spans="1:1" x14ac:dyDescent="0.25">
      <c r="A20183" t="e">
        <v>#N/A</v>
      </c>
    </row>
    <row r="20184" spans="1:1" x14ac:dyDescent="0.25">
      <c r="A20184" t="e">
        <v>#N/A</v>
      </c>
    </row>
    <row r="20185" spans="1:1" x14ac:dyDescent="0.25">
      <c r="A20185" t="e">
        <v>#N/A</v>
      </c>
    </row>
    <row r="20186" spans="1:1" x14ac:dyDescent="0.25">
      <c r="A20186" t="e">
        <v>#N/A</v>
      </c>
    </row>
    <row r="20187" spans="1:1" x14ac:dyDescent="0.25">
      <c r="A20187" t="e">
        <v>#N/A</v>
      </c>
    </row>
    <row r="20188" spans="1:1" x14ac:dyDescent="0.25">
      <c r="A20188" t="e">
        <v>#N/A</v>
      </c>
    </row>
    <row r="20189" spans="1:1" x14ac:dyDescent="0.25">
      <c r="A20189" t="e">
        <v>#N/A</v>
      </c>
    </row>
    <row r="20190" spans="1:1" x14ac:dyDescent="0.25">
      <c r="A20190" t="e">
        <v>#N/A</v>
      </c>
    </row>
    <row r="20191" spans="1:1" x14ac:dyDescent="0.25">
      <c r="A20191" t="e">
        <v>#N/A</v>
      </c>
    </row>
    <row r="20192" spans="1:1" x14ac:dyDescent="0.25">
      <c r="A20192" t="e">
        <v>#N/A</v>
      </c>
    </row>
    <row r="20193" spans="1:1" x14ac:dyDescent="0.25">
      <c r="A20193" t="e">
        <v>#N/A</v>
      </c>
    </row>
    <row r="20194" spans="1:1" x14ac:dyDescent="0.25">
      <c r="A20194" t="e">
        <v>#N/A</v>
      </c>
    </row>
    <row r="20195" spans="1:1" x14ac:dyDescent="0.25">
      <c r="A20195" t="e">
        <v>#N/A</v>
      </c>
    </row>
    <row r="20196" spans="1:1" x14ac:dyDescent="0.25">
      <c r="A20196" t="e">
        <v>#N/A</v>
      </c>
    </row>
    <row r="20197" spans="1:1" x14ac:dyDescent="0.25">
      <c r="A20197" t="e">
        <v>#N/A</v>
      </c>
    </row>
    <row r="20198" spans="1:1" x14ac:dyDescent="0.25">
      <c r="A20198" t="e">
        <v>#N/A</v>
      </c>
    </row>
    <row r="20199" spans="1:1" x14ac:dyDescent="0.25">
      <c r="A20199" t="e">
        <v>#N/A</v>
      </c>
    </row>
    <row r="20200" spans="1:1" x14ac:dyDescent="0.25">
      <c r="A20200" t="e">
        <v>#N/A</v>
      </c>
    </row>
    <row r="20201" spans="1:1" x14ac:dyDescent="0.25">
      <c r="A20201" t="e">
        <v>#N/A</v>
      </c>
    </row>
    <row r="20202" spans="1:1" x14ac:dyDescent="0.25">
      <c r="A20202" t="e">
        <v>#N/A</v>
      </c>
    </row>
    <row r="20203" spans="1:1" x14ac:dyDescent="0.25">
      <c r="A20203" t="e">
        <v>#N/A</v>
      </c>
    </row>
    <row r="20204" spans="1:1" x14ac:dyDescent="0.25">
      <c r="A20204" t="e">
        <v>#N/A</v>
      </c>
    </row>
    <row r="20205" spans="1:1" x14ac:dyDescent="0.25">
      <c r="A20205" t="e">
        <v>#N/A</v>
      </c>
    </row>
    <row r="20206" spans="1:1" x14ac:dyDescent="0.25">
      <c r="A20206" t="e">
        <v>#N/A</v>
      </c>
    </row>
    <row r="20207" spans="1:1" x14ac:dyDescent="0.25">
      <c r="A20207" t="e">
        <v>#N/A</v>
      </c>
    </row>
    <row r="20208" spans="1:1" x14ac:dyDescent="0.25">
      <c r="A20208" t="e">
        <v>#N/A</v>
      </c>
    </row>
    <row r="20209" spans="1:1" x14ac:dyDescent="0.25">
      <c r="A20209" t="e">
        <v>#N/A</v>
      </c>
    </row>
    <row r="20210" spans="1:1" x14ac:dyDescent="0.25">
      <c r="A20210" t="e">
        <v>#N/A</v>
      </c>
    </row>
    <row r="20211" spans="1:1" x14ac:dyDescent="0.25">
      <c r="A20211" t="e">
        <v>#N/A</v>
      </c>
    </row>
    <row r="20212" spans="1:1" x14ac:dyDescent="0.25">
      <c r="A20212" t="e">
        <v>#N/A</v>
      </c>
    </row>
    <row r="20213" spans="1:1" x14ac:dyDescent="0.25">
      <c r="A20213" t="e">
        <v>#N/A</v>
      </c>
    </row>
    <row r="20214" spans="1:1" x14ac:dyDescent="0.25">
      <c r="A20214" t="e">
        <v>#N/A</v>
      </c>
    </row>
    <row r="20215" spans="1:1" x14ac:dyDescent="0.25">
      <c r="A20215" t="e">
        <v>#N/A</v>
      </c>
    </row>
    <row r="20216" spans="1:1" x14ac:dyDescent="0.25">
      <c r="A20216" t="e">
        <v>#N/A</v>
      </c>
    </row>
    <row r="20217" spans="1:1" x14ac:dyDescent="0.25">
      <c r="A20217" t="e">
        <v>#N/A</v>
      </c>
    </row>
    <row r="20218" spans="1:1" x14ac:dyDescent="0.25">
      <c r="A20218" t="e">
        <v>#N/A</v>
      </c>
    </row>
    <row r="20219" spans="1:1" x14ac:dyDescent="0.25">
      <c r="A20219" t="e">
        <v>#N/A</v>
      </c>
    </row>
    <row r="20220" spans="1:1" x14ac:dyDescent="0.25">
      <c r="A20220" t="e">
        <v>#N/A</v>
      </c>
    </row>
    <row r="20221" spans="1:1" x14ac:dyDescent="0.25">
      <c r="A20221" t="e">
        <v>#N/A</v>
      </c>
    </row>
    <row r="20222" spans="1:1" x14ac:dyDescent="0.25">
      <c r="A20222" t="e">
        <v>#N/A</v>
      </c>
    </row>
    <row r="20223" spans="1:1" x14ac:dyDescent="0.25">
      <c r="A20223" t="e">
        <v>#N/A</v>
      </c>
    </row>
    <row r="20224" spans="1:1" x14ac:dyDescent="0.25">
      <c r="A20224" t="e">
        <v>#N/A</v>
      </c>
    </row>
    <row r="20225" spans="1:1" x14ac:dyDescent="0.25">
      <c r="A20225" t="e">
        <v>#N/A</v>
      </c>
    </row>
    <row r="20226" spans="1:1" x14ac:dyDescent="0.25">
      <c r="A20226" t="e">
        <v>#N/A</v>
      </c>
    </row>
    <row r="20227" spans="1:1" x14ac:dyDescent="0.25">
      <c r="A20227" t="e">
        <v>#N/A</v>
      </c>
    </row>
    <row r="20228" spans="1:1" x14ac:dyDescent="0.25">
      <c r="A20228" t="e">
        <v>#N/A</v>
      </c>
    </row>
    <row r="20229" spans="1:1" x14ac:dyDescent="0.25">
      <c r="A20229" t="e">
        <v>#N/A</v>
      </c>
    </row>
    <row r="20230" spans="1:1" x14ac:dyDescent="0.25">
      <c r="A20230" t="e">
        <v>#N/A</v>
      </c>
    </row>
    <row r="20231" spans="1:1" x14ac:dyDescent="0.25">
      <c r="A20231" t="e">
        <v>#N/A</v>
      </c>
    </row>
    <row r="20232" spans="1:1" x14ac:dyDescent="0.25">
      <c r="A20232" t="e">
        <v>#N/A</v>
      </c>
    </row>
    <row r="20233" spans="1:1" x14ac:dyDescent="0.25">
      <c r="A20233" t="e">
        <v>#N/A</v>
      </c>
    </row>
    <row r="20234" spans="1:1" x14ac:dyDescent="0.25">
      <c r="A20234" t="e">
        <v>#N/A</v>
      </c>
    </row>
    <row r="20235" spans="1:1" x14ac:dyDescent="0.25">
      <c r="A20235" t="e">
        <v>#N/A</v>
      </c>
    </row>
    <row r="20236" spans="1:1" x14ac:dyDescent="0.25">
      <c r="A20236" t="e">
        <v>#N/A</v>
      </c>
    </row>
    <row r="20237" spans="1:1" x14ac:dyDescent="0.25">
      <c r="A20237" t="e">
        <v>#N/A</v>
      </c>
    </row>
    <row r="20238" spans="1:1" x14ac:dyDescent="0.25">
      <c r="A20238" t="e">
        <v>#N/A</v>
      </c>
    </row>
    <row r="20239" spans="1:1" x14ac:dyDescent="0.25">
      <c r="A20239" t="e">
        <v>#N/A</v>
      </c>
    </row>
    <row r="20240" spans="1:1" x14ac:dyDescent="0.25">
      <c r="A20240" t="e">
        <v>#N/A</v>
      </c>
    </row>
    <row r="20241" spans="1:1" x14ac:dyDescent="0.25">
      <c r="A20241" t="e">
        <v>#N/A</v>
      </c>
    </row>
    <row r="20242" spans="1:1" x14ac:dyDescent="0.25">
      <c r="A20242" t="e">
        <v>#N/A</v>
      </c>
    </row>
    <row r="20243" spans="1:1" x14ac:dyDescent="0.25">
      <c r="A20243" t="e">
        <v>#N/A</v>
      </c>
    </row>
    <row r="20244" spans="1:1" x14ac:dyDescent="0.25">
      <c r="A20244" t="e">
        <v>#N/A</v>
      </c>
    </row>
    <row r="20245" spans="1:1" x14ac:dyDescent="0.25">
      <c r="A20245" t="e">
        <v>#N/A</v>
      </c>
    </row>
    <row r="20246" spans="1:1" x14ac:dyDescent="0.25">
      <c r="A20246" t="e">
        <v>#N/A</v>
      </c>
    </row>
    <row r="20247" spans="1:1" x14ac:dyDescent="0.25">
      <c r="A20247" t="e">
        <v>#N/A</v>
      </c>
    </row>
    <row r="20248" spans="1:1" x14ac:dyDescent="0.25">
      <c r="A20248" t="e">
        <v>#N/A</v>
      </c>
    </row>
    <row r="20249" spans="1:1" x14ac:dyDescent="0.25">
      <c r="A20249" t="e">
        <v>#N/A</v>
      </c>
    </row>
    <row r="20250" spans="1:1" x14ac:dyDescent="0.25">
      <c r="A20250" t="e">
        <v>#N/A</v>
      </c>
    </row>
    <row r="20251" spans="1:1" x14ac:dyDescent="0.25">
      <c r="A20251" t="e">
        <v>#N/A</v>
      </c>
    </row>
    <row r="20252" spans="1:1" x14ac:dyDescent="0.25">
      <c r="A20252" t="e">
        <v>#N/A</v>
      </c>
    </row>
    <row r="20253" spans="1:1" x14ac:dyDescent="0.25">
      <c r="A20253" t="e">
        <v>#N/A</v>
      </c>
    </row>
    <row r="20254" spans="1:1" x14ac:dyDescent="0.25">
      <c r="A20254" t="e">
        <v>#N/A</v>
      </c>
    </row>
    <row r="20255" spans="1:1" x14ac:dyDescent="0.25">
      <c r="A20255" t="e">
        <v>#N/A</v>
      </c>
    </row>
    <row r="20256" spans="1:1" x14ac:dyDescent="0.25">
      <c r="A20256" t="e">
        <v>#N/A</v>
      </c>
    </row>
    <row r="20257" spans="1:1" x14ac:dyDescent="0.25">
      <c r="A20257" t="e">
        <v>#N/A</v>
      </c>
    </row>
    <row r="20258" spans="1:1" x14ac:dyDescent="0.25">
      <c r="A20258" t="e">
        <v>#N/A</v>
      </c>
    </row>
    <row r="20259" spans="1:1" x14ac:dyDescent="0.25">
      <c r="A20259" t="e">
        <v>#N/A</v>
      </c>
    </row>
    <row r="20260" spans="1:1" x14ac:dyDescent="0.25">
      <c r="A20260" t="e">
        <v>#N/A</v>
      </c>
    </row>
    <row r="20261" spans="1:1" x14ac:dyDescent="0.25">
      <c r="A20261" t="e">
        <v>#N/A</v>
      </c>
    </row>
    <row r="20262" spans="1:1" x14ac:dyDescent="0.25">
      <c r="A20262" t="e">
        <v>#N/A</v>
      </c>
    </row>
    <row r="20263" spans="1:1" x14ac:dyDescent="0.25">
      <c r="A20263" t="e">
        <v>#N/A</v>
      </c>
    </row>
    <row r="20264" spans="1:1" x14ac:dyDescent="0.25">
      <c r="A20264" t="e">
        <v>#N/A</v>
      </c>
    </row>
    <row r="20265" spans="1:1" x14ac:dyDescent="0.25">
      <c r="A20265" t="e">
        <v>#N/A</v>
      </c>
    </row>
    <row r="20266" spans="1:1" x14ac:dyDescent="0.25">
      <c r="A20266" t="e">
        <v>#N/A</v>
      </c>
    </row>
    <row r="20267" spans="1:1" x14ac:dyDescent="0.25">
      <c r="A20267" t="e">
        <v>#N/A</v>
      </c>
    </row>
    <row r="20268" spans="1:1" x14ac:dyDescent="0.25">
      <c r="A20268" t="e">
        <v>#N/A</v>
      </c>
    </row>
    <row r="20269" spans="1:1" x14ac:dyDescent="0.25">
      <c r="A20269" t="e">
        <v>#N/A</v>
      </c>
    </row>
    <row r="20270" spans="1:1" x14ac:dyDescent="0.25">
      <c r="A20270" t="e">
        <v>#N/A</v>
      </c>
    </row>
    <row r="20271" spans="1:1" x14ac:dyDescent="0.25">
      <c r="A20271" t="e">
        <v>#N/A</v>
      </c>
    </row>
    <row r="20272" spans="1:1" x14ac:dyDescent="0.25">
      <c r="A20272" t="e">
        <v>#N/A</v>
      </c>
    </row>
    <row r="20273" spans="1:1" x14ac:dyDescent="0.25">
      <c r="A20273" t="e">
        <v>#N/A</v>
      </c>
    </row>
    <row r="20274" spans="1:1" x14ac:dyDescent="0.25">
      <c r="A20274" t="e">
        <v>#N/A</v>
      </c>
    </row>
    <row r="20275" spans="1:1" x14ac:dyDescent="0.25">
      <c r="A20275" t="e">
        <v>#N/A</v>
      </c>
    </row>
    <row r="20276" spans="1:1" x14ac:dyDescent="0.25">
      <c r="A20276" t="e">
        <v>#N/A</v>
      </c>
    </row>
    <row r="20277" spans="1:1" x14ac:dyDescent="0.25">
      <c r="A20277" t="e">
        <v>#N/A</v>
      </c>
    </row>
    <row r="20278" spans="1:1" x14ac:dyDescent="0.25">
      <c r="A20278" t="e">
        <v>#N/A</v>
      </c>
    </row>
    <row r="20279" spans="1:1" x14ac:dyDescent="0.25">
      <c r="A20279" t="e">
        <v>#N/A</v>
      </c>
    </row>
    <row r="20280" spans="1:1" x14ac:dyDescent="0.25">
      <c r="A20280" t="e">
        <v>#N/A</v>
      </c>
    </row>
    <row r="20281" spans="1:1" x14ac:dyDescent="0.25">
      <c r="A20281" t="e">
        <v>#N/A</v>
      </c>
    </row>
    <row r="20282" spans="1:1" x14ac:dyDescent="0.25">
      <c r="A20282" t="e">
        <v>#N/A</v>
      </c>
    </row>
    <row r="20283" spans="1:1" x14ac:dyDescent="0.25">
      <c r="A20283" t="e">
        <v>#N/A</v>
      </c>
    </row>
    <row r="20284" spans="1:1" x14ac:dyDescent="0.25">
      <c r="A20284" t="e">
        <v>#N/A</v>
      </c>
    </row>
    <row r="20285" spans="1:1" x14ac:dyDescent="0.25">
      <c r="A20285" t="e">
        <v>#N/A</v>
      </c>
    </row>
    <row r="20286" spans="1:1" x14ac:dyDescent="0.25">
      <c r="A20286" t="e">
        <v>#N/A</v>
      </c>
    </row>
    <row r="20287" spans="1:1" x14ac:dyDescent="0.25">
      <c r="A20287" t="e">
        <v>#N/A</v>
      </c>
    </row>
    <row r="20288" spans="1:1" x14ac:dyDescent="0.25">
      <c r="A20288" t="e">
        <v>#N/A</v>
      </c>
    </row>
    <row r="20289" spans="1:1" x14ac:dyDescent="0.25">
      <c r="A20289" t="e">
        <v>#N/A</v>
      </c>
    </row>
    <row r="20290" spans="1:1" x14ac:dyDescent="0.25">
      <c r="A20290" t="e">
        <v>#N/A</v>
      </c>
    </row>
    <row r="20291" spans="1:1" x14ac:dyDescent="0.25">
      <c r="A20291" t="e">
        <v>#N/A</v>
      </c>
    </row>
    <row r="20292" spans="1:1" x14ac:dyDescent="0.25">
      <c r="A20292" t="e">
        <v>#N/A</v>
      </c>
    </row>
    <row r="20293" spans="1:1" x14ac:dyDescent="0.25">
      <c r="A20293" t="e">
        <v>#N/A</v>
      </c>
    </row>
    <row r="20294" spans="1:1" x14ac:dyDescent="0.25">
      <c r="A20294" t="e">
        <v>#N/A</v>
      </c>
    </row>
    <row r="20295" spans="1:1" x14ac:dyDescent="0.25">
      <c r="A20295" t="e">
        <v>#N/A</v>
      </c>
    </row>
    <row r="20296" spans="1:1" x14ac:dyDescent="0.25">
      <c r="A20296" t="e">
        <v>#N/A</v>
      </c>
    </row>
    <row r="20297" spans="1:1" x14ac:dyDescent="0.25">
      <c r="A20297" t="e">
        <v>#N/A</v>
      </c>
    </row>
    <row r="20298" spans="1:1" x14ac:dyDescent="0.25">
      <c r="A20298" t="e">
        <v>#N/A</v>
      </c>
    </row>
    <row r="20299" spans="1:1" x14ac:dyDescent="0.25">
      <c r="A20299" t="e">
        <v>#N/A</v>
      </c>
    </row>
    <row r="20300" spans="1:1" x14ac:dyDescent="0.25">
      <c r="A20300" t="e">
        <v>#N/A</v>
      </c>
    </row>
    <row r="20301" spans="1:1" x14ac:dyDescent="0.25">
      <c r="A20301" t="e">
        <v>#N/A</v>
      </c>
    </row>
    <row r="20302" spans="1:1" x14ac:dyDescent="0.25">
      <c r="A20302" t="e">
        <v>#N/A</v>
      </c>
    </row>
    <row r="20303" spans="1:1" x14ac:dyDescent="0.25">
      <c r="A20303" t="e">
        <v>#N/A</v>
      </c>
    </row>
    <row r="20304" spans="1:1" x14ac:dyDescent="0.25">
      <c r="A20304" t="e">
        <v>#N/A</v>
      </c>
    </row>
    <row r="20305" spans="1:1" x14ac:dyDescent="0.25">
      <c r="A20305" t="e">
        <v>#N/A</v>
      </c>
    </row>
    <row r="20306" spans="1:1" x14ac:dyDescent="0.25">
      <c r="A20306" t="e">
        <v>#N/A</v>
      </c>
    </row>
    <row r="20307" spans="1:1" x14ac:dyDescent="0.25">
      <c r="A20307" t="e">
        <v>#N/A</v>
      </c>
    </row>
    <row r="20308" spans="1:1" x14ac:dyDescent="0.25">
      <c r="A20308" t="e">
        <v>#N/A</v>
      </c>
    </row>
    <row r="20309" spans="1:1" x14ac:dyDescent="0.25">
      <c r="A20309" t="e">
        <v>#N/A</v>
      </c>
    </row>
    <row r="20310" spans="1:1" x14ac:dyDescent="0.25">
      <c r="A20310" t="e">
        <v>#N/A</v>
      </c>
    </row>
    <row r="20311" spans="1:1" x14ac:dyDescent="0.25">
      <c r="A20311" t="e">
        <v>#N/A</v>
      </c>
    </row>
    <row r="20312" spans="1:1" x14ac:dyDescent="0.25">
      <c r="A20312" t="e">
        <v>#N/A</v>
      </c>
    </row>
    <row r="20313" spans="1:1" x14ac:dyDescent="0.25">
      <c r="A20313" t="e">
        <v>#N/A</v>
      </c>
    </row>
    <row r="20314" spans="1:1" x14ac:dyDescent="0.25">
      <c r="A20314" t="e">
        <v>#N/A</v>
      </c>
    </row>
    <row r="20315" spans="1:1" x14ac:dyDescent="0.25">
      <c r="A20315" t="e">
        <v>#N/A</v>
      </c>
    </row>
    <row r="20316" spans="1:1" x14ac:dyDescent="0.25">
      <c r="A20316" t="e">
        <v>#N/A</v>
      </c>
    </row>
    <row r="20317" spans="1:1" x14ac:dyDescent="0.25">
      <c r="A20317" t="e">
        <v>#N/A</v>
      </c>
    </row>
    <row r="20318" spans="1:1" x14ac:dyDescent="0.25">
      <c r="A20318" t="e">
        <v>#N/A</v>
      </c>
    </row>
    <row r="20319" spans="1:1" x14ac:dyDescent="0.25">
      <c r="A20319" t="e">
        <v>#N/A</v>
      </c>
    </row>
    <row r="20320" spans="1:1" x14ac:dyDescent="0.25">
      <c r="A20320" t="e">
        <v>#N/A</v>
      </c>
    </row>
    <row r="20321" spans="1:1" x14ac:dyDescent="0.25">
      <c r="A20321" t="e">
        <v>#N/A</v>
      </c>
    </row>
    <row r="20322" spans="1:1" x14ac:dyDescent="0.25">
      <c r="A20322" t="e">
        <v>#N/A</v>
      </c>
    </row>
    <row r="20323" spans="1:1" x14ac:dyDescent="0.25">
      <c r="A20323" t="e">
        <v>#N/A</v>
      </c>
    </row>
    <row r="20324" spans="1:1" x14ac:dyDescent="0.25">
      <c r="A20324" t="e">
        <v>#N/A</v>
      </c>
    </row>
    <row r="20325" spans="1:1" x14ac:dyDescent="0.25">
      <c r="A20325" t="e">
        <v>#N/A</v>
      </c>
    </row>
    <row r="20326" spans="1:1" x14ac:dyDescent="0.25">
      <c r="A20326" t="e">
        <v>#N/A</v>
      </c>
    </row>
    <row r="20327" spans="1:1" x14ac:dyDescent="0.25">
      <c r="A20327" t="e">
        <v>#N/A</v>
      </c>
    </row>
    <row r="20328" spans="1:1" x14ac:dyDescent="0.25">
      <c r="A20328" t="e">
        <v>#N/A</v>
      </c>
    </row>
    <row r="20329" spans="1:1" x14ac:dyDescent="0.25">
      <c r="A20329" t="e">
        <v>#N/A</v>
      </c>
    </row>
    <row r="20330" spans="1:1" x14ac:dyDescent="0.25">
      <c r="A20330" t="e">
        <v>#N/A</v>
      </c>
    </row>
    <row r="20331" spans="1:1" x14ac:dyDescent="0.25">
      <c r="A20331" t="e">
        <v>#N/A</v>
      </c>
    </row>
    <row r="20332" spans="1:1" x14ac:dyDescent="0.25">
      <c r="A20332" t="e">
        <v>#N/A</v>
      </c>
    </row>
    <row r="20333" spans="1:1" x14ac:dyDescent="0.25">
      <c r="A20333" t="e">
        <v>#N/A</v>
      </c>
    </row>
    <row r="20334" spans="1:1" x14ac:dyDescent="0.25">
      <c r="A20334" t="e">
        <v>#N/A</v>
      </c>
    </row>
    <row r="20335" spans="1:1" x14ac:dyDescent="0.25">
      <c r="A20335" t="e">
        <v>#N/A</v>
      </c>
    </row>
    <row r="20336" spans="1:1" x14ac:dyDescent="0.25">
      <c r="A20336" t="e">
        <v>#N/A</v>
      </c>
    </row>
    <row r="20337" spans="1:1" x14ac:dyDescent="0.25">
      <c r="A20337" t="e">
        <v>#N/A</v>
      </c>
    </row>
    <row r="20338" spans="1:1" x14ac:dyDescent="0.25">
      <c r="A20338" t="e">
        <v>#N/A</v>
      </c>
    </row>
    <row r="20339" spans="1:1" x14ac:dyDescent="0.25">
      <c r="A20339" t="e">
        <v>#N/A</v>
      </c>
    </row>
    <row r="20340" spans="1:1" x14ac:dyDescent="0.25">
      <c r="A20340" t="e">
        <v>#N/A</v>
      </c>
    </row>
    <row r="20341" spans="1:1" x14ac:dyDescent="0.25">
      <c r="A20341" t="e">
        <v>#N/A</v>
      </c>
    </row>
    <row r="20342" spans="1:1" x14ac:dyDescent="0.25">
      <c r="A20342" t="e">
        <v>#N/A</v>
      </c>
    </row>
    <row r="20343" spans="1:1" x14ac:dyDescent="0.25">
      <c r="A20343" t="e">
        <v>#N/A</v>
      </c>
    </row>
    <row r="20344" spans="1:1" x14ac:dyDescent="0.25">
      <c r="A20344" t="e">
        <v>#N/A</v>
      </c>
    </row>
    <row r="20345" spans="1:1" x14ac:dyDescent="0.25">
      <c r="A20345" t="e">
        <v>#N/A</v>
      </c>
    </row>
    <row r="20346" spans="1:1" x14ac:dyDescent="0.25">
      <c r="A20346" t="e">
        <v>#N/A</v>
      </c>
    </row>
    <row r="20347" spans="1:1" x14ac:dyDescent="0.25">
      <c r="A20347" t="e">
        <v>#N/A</v>
      </c>
    </row>
    <row r="20348" spans="1:1" x14ac:dyDescent="0.25">
      <c r="A20348" t="e">
        <v>#N/A</v>
      </c>
    </row>
    <row r="20349" spans="1:1" x14ac:dyDescent="0.25">
      <c r="A20349" t="e">
        <v>#N/A</v>
      </c>
    </row>
    <row r="20350" spans="1:1" x14ac:dyDescent="0.25">
      <c r="A20350" t="e">
        <v>#N/A</v>
      </c>
    </row>
    <row r="20351" spans="1:1" x14ac:dyDescent="0.25">
      <c r="A20351" t="e">
        <v>#N/A</v>
      </c>
    </row>
    <row r="20352" spans="1:1" x14ac:dyDescent="0.25">
      <c r="A20352" t="e">
        <v>#N/A</v>
      </c>
    </row>
    <row r="20353" spans="1:1" x14ac:dyDescent="0.25">
      <c r="A20353" t="e">
        <v>#N/A</v>
      </c>
    </row>
    <row r="20354" spans="1:1" x14ac:dyDescent="0.25">
      <c r="A20354" t="e">
        <v>#N/A</v>
      </c>
    </row>
    <row r="20355" spans="1:1" x14ac:dyDescent="0.25">
      <c r="A20355" t="e">
        <v>#N/A</v>
      </c>
    </row>
    <row r="20356" spans="1:1" x14ac:dyDescent="0.25">
      <c r="A20356" t="e">
        <v>#N/A</v>
      </c>
    </row>
    <row r="20357" spans="1:1" x14ac:dyDescent="0.25">
      <c r="A20357" t="e">
        <v>#N/A</v>
      </c>
    </row>
    <row r="20358" spans="1:1" x14ac:dyDescent="0.25">
      <c r="A20358" t="e">
        <v>#N/A</v>
      </c>
    </row>
    <row r="20359" spans="1:1" x14ac:dyDescent="0.25">
      <c r="A20359" t="e">
        <v>#N/A</v>
      </c>
    </row>
    <row r="20360" spans="1:1" x14ac:dyDescent="0.25">
      <c r="A20360" t="e">
        <v>#N/A</v>
      </c>
    </row>
    <row r="20361" spans="1:1" x14ac:dyDescent="0.25">
      <c r="A20361" t="e">
        <v>#N/A</v>
      </c>
    </row>
    <row r="20362" spans="1:1" x14ac:dyDescent="0.25">
      <c r="A20362" t="e">
        <v>#N/A</v>
      </c>
    </row>
    <row r="20363" spans="1:1" x14ac:dyDescent="0.25">
      <c r="A20363" t="e">
        <v>#N/A</v>
      </c>
    </row>
    <row r="20364" spans="1:1" x14ac:dyDescent="0.25">
      <c r="A20364" t="e">
        <v>#N/A</v>
      </c>
    </row>
    <row r="20365" spans="1:1" x14ac:dyDescent="0.25">
      <c r="A20365" t="e">
        <v>#N/A</v>
      </c>
    </row>
    <row r="20366" spans="1:1" x14ac:dyDescent="0.25">
      <c r="A20366" t="e">
        <v>#N/A</v>
      </c>
    </row>
    <row r="20367" spans="1:1" x14ac:dyDescent="0.25">
      <c r="A20367" t="e">
        <v>#N/A</v>
      </c>
    </row>
    <row r="20368" spans="1:1" x14ac:dyDescent="0.25">
      <c r="A20368" t="e">
        <v>#N/A</v>
      </c>
    </row>
    <row r="20369" spans="1:1" x14ac:dyDescent="0.25">
      <c r="A20369" t="e">
        <v>#N/A</v>
      </c>
    </row>
    <row r="20370" spans="1:1" x14ac:dyDescent="0.25">
      <c r="A20370" t="e">
        <v>#N/A</v>
      </c>
    </row>
    <row r="20371" spans="1:1" x14ac:dyDescent="0.25">
      <c r="A20371" t="e">
        <v>#N/A</v>
      </c>
    </row>
    <row r="20372" spans="1:1" x14ac:dyDescent="0.25">
      <c r="A20372" t="e">
        <v>#N/A</v>
      </c>
    </row>
    <row r="20373" spans="1:1" x14ac:dyDescent="0.25">
      <c r="A20373" t="e">
        <v>#N/A</v>
      </c>
    </row>
    <row r="20374" spans="1:1" x14ac:dyDescent="0.25">
      <c r="A20374" t="e">
        <v>#N/A</v>
      </c>
    </row>
    <row r="20375" spans="1:1" x14ac:dyDescent="0.25">
      <c r="A20375" t="e">
        <v>#N/A</v>
      </c>
    </row>
    <row r="20376" spans="1:1" x14ac:dyDescent="0.25">
      <c r="A20376" t="e">
        <v>#N/A</v>
      </c>
    </row>
    <row r="20377" spans="1:1" x14ac:dyDescent="0.25">
      <c r="A20377" t="e">
        <v>#N/A</v>
      </c>
    </row>
    <row r="20378" spans="1:1" x14ac:dyDescent="0.25">
      <c r="A20378" t="e">
        <v>#N/A</v>
      </c>
    </row>
    <row r="20379" spans="1:1" x14ac:dyDescent="0.25">
      <c r="A20379" t="e">
        <v>#N/A</v>
      </c>
    </row>
    <row r="20380" spans="1:1" x14ac:dyDescent="0.25">
      <c r="A20380" t="e">
        <v>#N/A</v>
      </c>
    </row>
    <row r="20381" spans="1:1" x14ac:dyDescent="0.25">
      <c r="A20381" t="e">
        <v>#N/A</v>
      </c>
    </row>
    <row r="20382" spans="1:1" x14ac:dyDescent="0.25">
      <c r="A20382" t="e">
        <v>#N/A</v>
      </c>
    </row>
    <row r="20383" spans="1:1" x14ac:dyDescent="0.25">
      <c r="A20383" t="e">
        <v>#N/A</v>
      </c>
    </row>
    <row r="20384" spans="1:1" x14ac:dyDescent="0.25">
      <c r="A20384" t="e">
        <v>#N/A</v>
      </c>
    </row>
    <row r="20385" spans="1:1" x14ac:dyDescent="0.25">
      <c r="A20385" t="e">
        <v>#N/A</v>
      </c>
    </row>
    <row r="20386" spans="1:1" x14ac:dyDescent="0.25">
      <c r="A20386" t="e">
        <v>#N/A</v>
      </c>
    </row>
    <row r="20387" spans="1:1" x14ac:dyDescent="0.25">
      <c r="A20387" t="e">
        <v>#N/A</v>
      </c>
    </row>
    <row r="20388" spans="1:1" x14ac:dyDescent="0.25">
      <c r="A20388" t="e">
        <v>#N/A</v>
      </c>
    </row>
    <row r="20389" spans="1:1" x14ac:dyDescent="0.25">
      <c r="A20389" t="e">
        <v>#N/A</v>
      </c>
    </row>
    <row r="20390" spans="1:1" x14ac:dyDescent="0.25">
      <c r="A20390" t="e">
        <v>#N/A</v>
      </c>
    </row>
    <row r="20391" spans="1:1" x14ac:dyDescent="0.25">
      <c r="A20391" t="e">
        <v>#N/A</v>
      </c>
    </row>
    <row r="20392" spans="1:1" x14ac:dyDescent="0.25">
      <c r="A20392" t="e">
        <v>#N/A</v>
      </c>
    </row>
    <row r="20393" spans="1:1" x14ac:dyDescent="0.25">
      <c r="A20393" t="e">
        <v>#N/A</v>
      </c>
    </row>
    <row r="20394" spans="1:1" x14ac:dyDescent="0.25">
      <c r="A20394" t="e">
        <v>#N/A</v>
      </c>
    </row>
    <row r="20395" spans="1:1" x14ac:dyDescent="0.25">
      <c r="A20395" t="e">
        <v>#N/A</v>
      </c>
    </row>
    <row r="20396" spans="1:1" x14ac:dyDescent="0.25">
      <c r="A20396" t="e">
        <v>#N/A</v>
      </c>
    </row>
    <row r="20397" spans="1:1" x14ac:dyDescent="0.25">
      <c r="A20397" t="e">
        <v>#N/A</v>
      </c>
    </row>
    <row r="20398" spans="1:1" x14ac:dyDescent="0.25">
      <c r="A20398" t="e">
        <v>#N/A</v>
      </c>
    </row>
    <row r="20399" spans="1:1" x14ac:dyDescent="0.25">
      <c r="A20399" t="e">
        <v>#N/A</v>
      </c>
    </row>
    <row r="20400" spans="1:1" x14ac:dyDescent="0.25">
      <c r="A20400" t="e">
        <v>#N/A</v>
      </c>
    </row>
    <row r="20401" spans="1:1" x14ac:dyDescent="0.25">
      <c r="A20401" t="e">
        <v>#N/A</v>
      </c>
    </row>
    <row r="20402" spans="1:1" x14ac:dyDescent="0.25">
      <c r="A20402" t="e">
        <v>#N/A</v>
      </c>
    </row>
    <row r="20403" spans="1:1" x14ac:dyDescent="0.25">
      <c r="A20403" t="e">
        <v>#N/A</v>
      </c>
    </row>
    <row r="20404" spans="1:1" x14ac:dyDescent="0.25">
      <c r="A20404" t="e">
        <v>#N/A</v>
      </c>
    </row>
    <row r="20405" spans="1:1" x14ac:dyDescent="0.25">
      <c r="A20405" t="e">
        <v>#N/A</v>
      </c>
    </row>
    <row r="20406" spans="1:1" x14ac:dyDescent="0.25">
      <c r="A20406" t="e">
        <v>#N/A</v>
      </c>
    </row>
    <row r="20407" spans="1:1" x14ac:dyDescent="0.25">
      <c r="A20407" t="e">
        <v>#N/A</v>
      </c>
    </row>
    <row r="20408" spans="1:1" x14ac:dyDescent="0.25">
      <c r="A20408" t="e">
        <v>#N/A</v>
      </c>
    </row>
    <row r="20409" spans="1:1" x14ac:dyDescent="0.25">
      <c r="A20409" t="e">
        <v>#N/A</v>
      </c>
    </row>
    <row r="20410" spans="1:1" x14ac:dyDescent="0.25">
      <c r="A20410" t="e">
        <v>#N/A</v>
      </c>
    </row>
    <row r="20411" spans="1:1" x14ac:dyDescent="0.25">
      <c r="A20411" t="e">
        <v>#N/A</v>
      </c>
    </row>
    <row r="20412" spans="1:1" x14ac:dyDescent="0.25">
      <c r="A20412" t="e">
        <v>#N/A</v>
      </c>
    </row>
    <row r="20413" spans="1:1" x14ac:dyDescent="0.25">
      <c r="A20413" t="e">
        <v>#N/A</v>
      </c>
    </row>
    <row r="20414" spans="1:1" x14ac:dyDescent="0.25">
      <c r="A20414" t="e">
        <v>#N/A</v>
      </c>
    </row>
    <row r="20415" spans="1:1" x14ac:dyDescent="0.25">
      <c r="A20415" t="e">
        <v>#N/A</v>
      </c>
    </row>
    <row r="20416" spans="1:1" x14ac:dyDescent="0.25">
      <c r="A20416" t="e">
        <v>#N/A</v>
      </c>
    </row>
    <row r="20417" spans="1:1" x14ac:dyDescent="0.25">
      <c r="A20417" t="e">
        <v>#N/A</v>
      </c>
    </row>
    <row r="20418" spans="1:1" x14ac:dyDescent="0.25">
      <c r="A20418" t="e">
        <v>#N/A</v>
      </c>
    </row>
    <row r="20419" spans="1:1" x14ac:dyDescent="0.25">
      <c r="A20419" t="e">
        <v>#N/A</v>
      </c>
    </row>
    <row r="20420" spans="1:1" x14ac:dyDescent="0.25">
      <c r="A20420" t="e">
        <v>#N/A</v>
      </c>
    </row>
    <row r="20421" spans="1:1" x14ac:dyDescent="0.25">
      <c r="A20421" t="e">
        <v>#N/A</v>
      </c>
    </row>
    <row r="20422" spans="1:1" x14ac:dyDescent="0.25">
      <c r="A20422" t="e">
        <v>#N/A</v>
      </c>
    </row>
    <row r="20423" spans="1:1" x14ac:dyDescent="0.25">
      <c r="A20423" t="e">
        <v>#N/A</v>
      </c>
    </row>
    <row r="20424" spans="1:1" x14ac:dyDescent="0.25">
      <c r="A20424" t="e">
        <v>#N/A</v>
      </c>
    </row>
    <row r="20425" spans="1:1" x14ac:dyDescent="0.25">
      <c r="A20425" t="e">
        <v>#N/A</v>
      </c>
    </row>
    <row r="20426" spans="1:1" x14ac:dyDescent="0.25">
      <c r="A20426" t="e">
        <v>#N/A</v>
      </c>
    </row>
    <row r="20427" spans="1:1" x14ac:dyDescent="0.25">
      <c r="A20427" t="e">
        <v>#N/A</v>
      </c>
    </row>
    <row r="20428" spans="1:1" x14ac:dyDescent="0.25">
      <c r="A20428" t="e">
        <v>#N/A</v>
      </c>
    </row>
    <row r="20429" spans="1:1" x14ac:dyDescent="0.25">
      <c r="A20429" t="e">
        <v>#N/A</v>
      </c>
    </row>
    <row r="20430" spans="1:1" x14ac:dyDescent="0.25">
      <c r="A20430" t="e">
        <v>#N/A</v>
      </c>
    </row>
    <row r="20431" spans="1:1" x14ac:dyDescent="0.25">
      <c r="A20431" t="e">
        <v>#N/A</v>
      </c>
    </row>
    <row r="20432" spans="1:1" x14ac:dyDescent="0.25">
      <c r="A20432" t="e">
        <v>#N/A</v>
      </c>
    </row>
    <row r="20433" spans="1:1" x14ac:dyDescent="0.25">
      <c r="A20433" t="e">
        <v>#N/A</v>
      </c>
    </row>
    <row r="20434" spans="1:1" x14ac:dyDescent="0.25">
      <c r="A20434" t="e">
        <v>#N/A</v>
      </c>
    </row>
    <row r="20435" spans="1:1" x14ac:dyDescent="0.25">
      <c r="A20435" t="e">
        <v>#N/A</v>
      </c>
    </row>
    <row r="20436" spans="1:1" x14ac:dyDescent="0.25">
      <c r="A20436" t="e">
        <v>#N/A</v>
      </c>
    </row>
    <row r="20437" spans="1:1" x14ac:dyDescent="0.25">
      <c r="A20437" t="e">
        <v>#N/A</v>
      </c>
    </row>
    <row r="20438" spans="1:1" x14ac:dyDescent="0.25">
      <c r="A20438" t="e">
        <v>#N/A</v>
      </c>
    </row>
    <row r="20439" spans="1:1" x14ac:dyDescent="0.25">
      <c r="A20439" t="e">
        <v>#N/A</v>
      </c>
    </row>
    <row r="20440" spans="1:1" x14ac:dyDescent="0.25">
      <c r="A20440" t="e">
        <v>#N/A</v>
      </c>
    </row>
    <row r="20441" spans="1:1" x14ac:dyDescent="0.25">
      <c r="A20441" t="e">
        <v>#N/A</v>
      </c>
    </row>
    <row r="20442" spans="1:1" x14ac:dyDescent="0.25">
      <c r="A20442" t="e">
        <v>#N/A</v>
      </c>
    </row>
    <row r="20443" spans="1:1" x14ac:dyDescent="0.25">
      <c r="A20443" t="e">
        <v>#N/A</v>
      </c>
    </row>
    <row r="20444" spans="1:1" x14ac:dyDescent="0.25">
      <c r="A20444" t="e">
        <v>#N/A</v>
      </c>
    </row>
    <row r="20445" spans="1:1" x14ac:dyDescent="0.25">
      <c r="A20445" t="e">
        <v>#N/A</v>
      </c>
    </row>
    <row r="20446" spans="1:1" x14ac:dyDescent="0.25">
      <c r="A20446" t="e">
        <v>#N/A</v>
      </c>
    </row>
    <row r="20447" spans="1:1" x14ac:dyDescent="0.25">
      <c r="A20447" t="e">
        <v>#N/A</v>
      </c>
    </row>
    <row r="20448" spans="1:1" x14ac:dyDescent="0.25">
      <c r="A20448" t="e">
        <v>#N/A</v>
      </c>
    </row>
    <row r="20449" spans="1:1" x14ac:dyDescent="0.25">
      <c r="A20449" t="e">
        <v>#N/A</v>
      </c>
    </row>
    <row r="20450" spans="1:1" x14ac:dyDescent="0.25">
      <c r="A20450" t="e">
        <v>#N/A</v>
      </c>
    </row>
    <row r="20451" spans="1:1" x14ac:dyDescent="0.25">
      <c r="A20451" t="e">
        <v>#N/A</v>
      </c>
    </row>
    <row r="20452" spans="1:1" x14ac:dyDescent="0.25">
      <c r="A20452" t="e">
        <v>#N/A</v>
      </c>
    </row>
    <row r="20453" spans="1:1" x14ac:dyDescent="0.25">
      <c r="A20453" t="e">
        <v>#N/A</v>
      </c>
    </row>
    <row r="20454" spans="1:1" x14ac:dyDescent="0.25">
      <c r="A20454" t="e">
        <v>#N/A</v>
      </c>
    </row>
    <row r="20455" spans="1:1" x14ac:dyDescent="0.25">
      <c r="A20455" t="e">
        <v>#N/A</v>
      </c>
    </row>
    <row r="20456" spans="1:1" x14ac:dyDescent="0.25">
      <c r="A20456" t="e">
        <v>#N/A</v>
      </c>
    </row>
    <row r="20457" spans="1:1" x14ac:dyDescent="0.25">
      <c r="A20457" t="e">
        <v>#N/A</v>
      </c>
    </row>
    <row r="20458" spans="1:1" x14ac:dyDescent="0.25">
      <c r="A20458" t="e">
        <v>#N/A</v>
      </c>
    </row>
    <row r="20459" spans="1:1" x14ac:dyDescent="0.25">
      <c r="A20459" t="e">
        <v>#N/A</v>
      </c>
    </row>
    <row r="20460" spans="1:1" x14ac:dyDescent="0.25">
      <c r="A20460" t="e">
        <v>#N/A</v>
      </c>
    </row>
    <row r="20461" spans="1:1" x14ac:dyDescent="0.25">
      <c r="A20461" t="e">
        <v>#N/A</v>
      </c>
    </row>
    <row r="20462" spans="1:1" x14ac:dyDescent="0.25">
      <c r="A20462" t="e">
        <v>#N/A</v>
      </c>
    </row>
    <row r="20463" spans="1:1" x14ac:dyDescent="0.25">
      <c r="A20463" t="e">
        <v>#N/A</v>
      </c>
    </row>
    <row r="20464" spans="1:1" x14ac:dyDescent="0.25">
      <c r="A20464" t="e">
        <v>#N/A</v>
      </c>
    </row>
    <row r="20465" spans="1:1" x14ac:dyDescent="0.25">
      <c r="A20465" t="e">
        <v>#N/A</v>
      </c>
    </row>
    <row r="20466" spans="1:1" x14ac:dyDescent="0.25">
      <c r="A20466" t="e">
        <v>#N/A</v>
      </c>
    </row>
    <row r="20467" spans="1:1" x14ac:dyDescent="0.25">
      <c r="A20467" t="e">
        <v>#N/A</v>
      </c>
    </row>
    <row r="20468" spans="1:1" x14ac:dyDescent="0.25">
      <c r="A20468" t="e">
        <v>#N/A</v>
      </c>
    </row>
    <row r="20469" spans="1:1" x14ac:dyDescent="0.25">
      <c r="A20469" t="e">
        <v>#N/A</v>
      </c>
    </row>
    <row r="20470" spans="1:1" x14ac:dyDescent="0.25">
      <c r="A20470" t="e">
        <v>#N/A</v>
      </c>
    </row>
    <row r="20471" spans="1:1" x14ac:dyDescent="0.25">
      <c r="A20471" t="e">
        <v>#N/A</v>
      </c>
    </row>
    <row r="20472" spans="1:1" x14ac:dyDescent="0.25">
      <c r="A20472" t="e">
        <v>#N/A</v>
      </c>
    </row>
    <row r="20473" spans="1:1" x14ac:dyDescent="0.25">
      <c r="A20473" t="e">
        <v>#N/A</v>
      </c>
    </row>
    <row r="20474" spans="1:1" x14ac:dyDescent="0.25">
      <c r="A20474" t="e">
        <v>#N/A</v>
      </c>
    </row>
    <row r="20475" spans="1:1" x14ac:dyDescent="0.25">
      <c r="A20475" t="e">
        <v>#N/A</v>
      </c>
    </row>
    <row r="20476" spans="1:1" x14ac:dyDescent="0.25">
      <c r="A20476" t="e">
        <v>#N/A</v>
      </c>
    </row>
    <row r="20477" spans="1:1" x14ac:dyDescent="0.25">
      <c r="A20477" t="e">
        <v>#N/A</v>
      </c>
    </row>
    <row r="20478" spans="1:1" x14ac:dyDescent="0.25">
      <c r="A20478" t="e">
        <v>#N/A</v>
      </c>
    </row>
    <row r="20479" spans="1:1" x14ac:dyDescent="0.25">
      <c r="A20479" t="e">
        <v>#N/A</v>
      </c>
    </row>
    <row r="20480" spans="1:1" x14ac:dyDescent="0.25">
      <c r="A20480" t="e">
        <v>#N/A</v>
      </c>
    </row>
    <row r="20481" spans="1:1" x14ac:dyDescent="0.25">
      <c r="A20481" t="e">
        <v>#N/A</v>
      </c>
    </row>
    <row r="20482" spans="1:1" x14ac:dyDescent="0.25">
      <c r="A20482" t="e">
        <v>#N/A</v>
      </c>
    </row>
    <row r="20483" spans="1:1" x14ac:dyDescent="0.25">
      <c r="A20483" t="e">
        <v>#N/A</v>
      </c>
    </row>
    <row r="20484" spans="1:1" x14ac:dyDescent="0.25">
      <c r="A20484" t="e">
        <v>#N/A</v>
      </c>
    </row>
    <row r="20485" spans="1:1" x14ac:dyDescent="0.25">
      <c r="A20485" t="e">
        <v>#N/A</v>
      </c>
    </row>
    <row r="20486" spans="1:1" x14ac:dyDescent="0.25">
      <c r="A20486" t="e">
        <v>#N/A</v>
      </c>
    </row>
    <row r="20487" spans="1:1" x14ac:dyDescent="0.25">
      <c r="A20487" t="e">
        <v>#N/A</v>
      </c>
    </row>
    <row r="20488" spans="1:1" x14ac:dyDescent="0.25">
      <c r="A20488" t="e">
        <v>#N/A</v>
      </c>
    </row>
    <row r="20489" spans="1:1" x14ac:dyDescent="0.25">
      <c r="A20489" t="e">
        <v>#N/A</v>
      </c>
    </row>
    <row r="20490" spans="1:1" x14ac:dyDescent="0.25">
      <c r="A20490" t="e">
        <v>#N/A</v>
      </c>
    </row>
    <row r="20491" spans="1:1" x14ac:dyDescent="0.25">
      <c r="A20491" t="e">
        <v>#N/A</v>
      </c>
    </row>
    <row r="20492" spans="1:1" x14ac:dyDescent="0.25">
      <c r="A20492" t="e">
        <v>#N/A</v>
      </c>
    </row>
    <row r="20493" spans="1:1" x14ac:dyDescent="0.25">
      <c r="A20493" t="e">
        <v>#N/A</v>
      </c>
    </row>
    <row r="20494" spans="1:1" x14ac:dyDescent="0.25">
      <c r="A20494" t="e">
        <v>#N/A</v>
      </c>
    </row>
    <row r="20495" spans="1:1" x14ac:dyDescent="0.25">
      <c r="A20495" t="e">
        <v>#N/A</v>
      </c>
    </row>
    <row r="20496" spans="1:1" x14ac:dyDescent="0.25">
      <c r="A20496" t="e">
        <v>#N/A</v>
      </c>
    </row>
    <row r="20497" spans="1:1" x14ac:dyDescent="0.25">
      <c r="A20497" t="e">
        <v>#N/A</v>
      </c>
    </row>
    <row r="20498" spans="1:1" x14ac:dyDescent="0.25">
      <c r="A20498" t="e">
        <v>#N/A</v>
      </c>
    </row>
    <row r="20499" spans="1:1" x14ac:dyDescent="0.25">
      <c r="A20499" t="e">
        <v>#N/A</v>
      </c>
    </row>
    <row r="20500" spans="1:1" x14ac:dyDescent="0.25">
      <c r="A20500" t="e">
        <v>#N/A</v>
      </c>
    </row>
    <row r="20501" spans="1:1" x14ac:dyDescent="0.25">
      <c r="A20501" t="e">
        <v>#N/A</v>
      </c>
    </row>
    <row r="20502" spans="1:1" x14ac:dyDescent="0.25">
      <c r="A20502" t="e">
        <v>#N/A</v>
      </c>
    </row>
    <row r="20503" spans="1:1" x14ac:dyDescent="0.25">
      <c r="A20503" t="e">
        <v>#N/A</v>
      </c>
    </row>
    <row r="20504" spans="1:1" x14ac:dyDescent="0.25">
      <c r="A20504" t="e">
        <v>#N/A</v>
      </c>
    </row>
    <row r="20505" spans="1:1" x14ac:dyDescent="0.25">
      <c r="A20505" t="e">
        <v>#N/A</v>
      </c>
    </row>
    <row r="20506" spans="1:1" x14ac:dyDescent="0.25">
      <c r="A20506" t="e">
        <v>#N/A</v>
      </c>
    </row>
    <row r="20507" spans="1:1" x14ac:dyDescent="0.25">
      <c r="A20507" t="e">
        <v>#N/A</v>
      </c>
    </row>
    <row r="20508" spans="1:1" x14ac:dyDescent="0.25">
      <c r="A20508" t="e">
        <v>#N/A</v>
      </c>
    </row>
    <row r="20509" spans="1:1" x14ac:dyDescent="0.25">
      <c r="A20509" t="e">
        <v>#N/A</v>
      </c>
    </row>
    <row r="20510" spans="1:1" x14ac:dyDescent="0.25">
      <c r="A20510" t="e">
        <v>#N/A</v>
      </c>
    </row>
    <row r="20511" spans="1:1" x14ac:dyDescent="0.25">
      <c r="A20511" t="e">
        <v>#N/A</v>
      </c>
    </row>
    <row r="20512" spans="1:1" x14ac:dyDescent="0.25">
      <c r="A20512" t="e">
        <v>#N/A</v>
      </c>
    </row>
    <row r="20513" spans="1:1" x14ac:dyDescent="0.25">
      <c r="A20513" t="e">
        <v>#N/A</v>
      </c>
    </row>
    <row r="20514" spans="1:1" x14ac:dyDescent="0.25">
      <c r="A20514" t="e">
        <v>#N/A</v>
      </c>
    </row>
    <row r="20515" spans="1:1" x14ac:dyDescent="0.25">
      <c r="A20515" t="e">
        <v>#N/A</v>
      </c>
    </row>
    <row r="20516" spans="1:1" x14ac:dyDescent="0.25">
      <c r="A20516" t="e">
        <v>#N/A</v>
      </c>
    </row>
    <row r="20517" spans="1:1" x14ac:dyDescent="0.25">
      <c r="A20517" t="e">
        <v>#N/A</v>
      </c>
    </row>
    <row r="20518" spans="1:1" x14ac:dyDescent="0.25">
      <c r="A20518" t="e">
        <v>#N/A</v>
      </c>
    </row>
    <row r="20519" spans="1:1" x14ac:dyDescent="0.25">
      <c r="A20519" t="e">
        <v>#N/A</v>
      </c>
    </row>
    <row r="20520" spans="1:1" x14ac:dyDescent="0.25">
      <c r="A20520" t="e">
        <v>#N/A</v>
      </c>
    </row>
    <row r="20521" spans="1:1" x14ac:dyDescent="0.25">
      <c r="A20521" t="e">
        <v>#N/A</v>
      </c>
    </row>
    <row r="20522" spans="1:1" x14ac:dyDescent="0.25">
      <c r="A20522" t="e">
        <v>#N/A</v>
      </c>
    </row>
    <row r="20523" spans="1:1" x14ac:dyDescent="0.25">
      <c r="A20523" t="e">
        <v>#N/A</v>
      </c>
    </row>
    <row r="20524" spans="1:1" x14ac:dyDescent="0.25">
      <c r="A20524" t="e">
        <v>#N/A</v>
      </c>
    </row>
    <row r="20525" spans="1:1" x14ac:dyDescent="0.25">
      <c r="A20525" t="e">
        <v>#N/A</v>
      </c>
    </row>
    <row r="20526" spans="1:1" x14ac:dyDescent="0.25">
      <c r="A20526" t="e">
        <v>#N/A</v>
      </c>
    </row>
    <row r="20527" spans="1:1" x14ac:dyDescent="0.25">
      <c r="A20527" t="e">
        <v>#N/A</v>
      </c>
    </row>
    <row r="20528" spans="1:1" x14ac:dyDescent="0.25">
      <c r="A20528" t="e">
        <v>#N/A</v>
      </c>
    </row>
    <row r="20529" spans="1:1" x14ac:dyDescent="0.25">
      <c r="A20529" t="e">
        <v>#N/A</v>
      </c>
    </row>
    <row r="20530" spans="1:1" x14ac:dyDescent="0.25">
      <c r="A20530" t="e">
        <v>#N/A</v>
      </c>
    </row>
    <row r="20531" spans="1:1" x14ac:dyDescent="0.25">
      <c r="A20531" t="e">
        <v>#N/A</v>
      </c>
    </row>
    <row r="20532" spans="1:1" x14ac:dyDescent="0.25">
      <c r="A20532" t="e">
        <v>#N/A</v>
      </c>
    </row>
    <row r="20533" spans="1:1" x14ac:dyDescent="0.25">
      <c r="A20533" t="e">
        <v>#N/A</v>
      </c>
    </row>
    <row r="20534" spans="1:1" x14ac:dyDescent="0.25">
      <c r="A20534" t="e">
        <v>#N/A</v>
      </c>
    </row>
    <row r="20535" spans="1:1" x14ac:dyDescent="0.25">
      <c r="A20535" t="e">
        <v>#N/A</v>
      </c>
    </row>
    <row r="20536" spans="1:1" x14ac:dyDescent="0.25">
      <c r="A20536" t="e">
        <v>#N/A</v>
      </c>
    </row>
    <row r="20537" spans="1:1" x14ac:dyDescent="0.25">
      <c r="A20537" t="e">
        <v>#N/A</v>
      </c>
    </row>
    <row r="20538" spans="1:1" x14ac:dyDescent="0.25">
      <c r="A20538" t="e">
        <v>#N/A</v>
      </c>
    </row>
    <row r="20539" spans="1:1" x14ac:dyDescent="0.25">
      <c r="A20539" t="e">
        <v>#N/A</v>
      </c>
    </row>
    <row r="20540" spans="1:1" x14ac:dyDescent="0.25">
      <c r="A20540" t="e">
        <v>#N/A</v>
      </c>
    </row>
    <row r="20541" spans="1:1" x14ac:dyDescent="0.25">
      <c r="A20541" t="e">
        <v>#N/A</v>
      </c>
    </row>
    <row r="20542" spans="1:1" x14ac:dyDescent="0.25">
      <c r="A20542" t="e">
        <v>#N/A</v>
      </c>
    </row>
    <row r="20543" spans="1:1" x14ac:dyDescent="0.25">
      <c r="A20543" t="e">
        <v>#N/A</v>
      </c>
    </row>
    <row r="20544" spans="1:1" x14ac:dyDescent="0.25">
      <c r="A20544" t="e">
        <v>#N/A</v>
      </c>
    </row>
    <row r="20545" spans="1:1" x14ac:dyDescent="0.25">
      <c r="A20545" t="e">
        <v>#N/A</v>
      </c>
    </row>
    <row r="20546" spans="1:1" x14ac:dyDescent="0.25">
      <c r="A20546" t="e">
        <v>#N/A</v>
      </c>
    </row>
    <row r="20547" spans="1:1" x14ac:dyDescent="0.25">
      <c r="A20547" t="e">
        <v>#N/A</v>
      </c>
    </row>
    <row r="20548" spans="1:1" x14ac:dyDescent="0.25">
      <c r="A20548" t="e">
        <v>#N/A</v>
      </c>
    </row>
    <row r="20549" spans="1:1" x14ac:dyDescent="0.25">
      <c r="A20549" t="e">
        <v>#N/A</v>
      </c>
    </row>
    <row r="20550" spans="1:1" x14ac:dyDescent="0.25">
      <c r="A20550" t="e">
        <v>#N/A</v>
      </c>
    </row>
    <row r="20551" spans="1:1" x14ac:dyDescent="0.25">
      <c r="A20551" t="e">
        <v>#N/A</v>
      </c>
    </row>
    <row r="20552" spans="1:1" x14ac:dyDescent="0.25">
      <c r="A20552" t="e">
        <v>#N/A</v>
      </c>
    </row>
    <row r="20553" spans="1:1" x14ac:dyDescent="0.25">
      <c r="A20553" t="e">
        <v>#N/A</v>
      </c>
    </row>
    <row r="20554" spans="1:1" x14ac:dyDescent="0.25">
      <c r="A20554" t="e">
        <v>#N/A</v>
      </c>
    </row>
    <row r="20555" spans="1:1" x14ac:dyDescent="0.25">
      <c r="A20555" t="e">
        <v>#N/A</v>
      </c>
    </row>
    <row r="20556" spans="1:1" x14ac:dyDescent="0.25">
      <c r="A20556" t="e">
        <v>#N/A</v>
      </c>
    </row>
    <row r="20557" spans="1:1" x14ac:dyDescent="0.25">
      <c r="A20557" t="e">
        <v>#N/A</v>
      </c>
    </row>
    <row r="20558" spans="1:1" x14ac:dyDescent="0.25">
      <c r="A20558" t="e">
        <v>#N/A</v>
      </c>
    </row>
    <row r="20559" spans="1:1" x14ac:dyDescent="0.25">
      <c r="A20559" t="e">
        <v>#N/A</v>
      </c>
    </row>
    <row r="20560" spans="1:1" x14ac:dyDescent="0.25">
      <c r="A20560" t="e">
        <v>#N/A</v>
      </c>
    </row>
    <row r="20561" spans="1:1" x14ac:dyDescent="0.25">
      <c r="A20561" t="e">
        <v>#N/A</v>
      </c>
    </row>
    <row r="20562" spans="1:1" x14ac:dyDescent="0.25">
      <c r="A20562" t="e">
        <v>#N/A</v>
      </c>
    </row>
    <row r="20563" spans="1:1" x14ac:dyDescent="0.25">
      <c r="A20563" t="e">
        <v>#N/A</v>
      </c>
    </row>
    <row r="20564" spans="1:1" x14ac:dyDescent="0.25">
      <c r="A20564" t="e">
        <v>#N/A</v>
      </c>
    </row>
    <row r="20565" spans="1:1" x14ac:dyDescent="0.25">
      <c r="A20565" t="e">
        <v>#N/A</v>
      </c>
    </row>
    <row r="20566" spans="1:1" x14ac:dyDescent="0.25">
      <c r="A20566" t="e">
        <v>#N/A</v>
      </c>
    </row>
    <row r="20567" spans="1:1" x14ac:dyDescent="0.25">
      <c r="A20567" t="e">
        <v>#N/A</v>
      </c>
    </row>
    <row r="20568" spans="1:1" x14ac:dyDescent="0.25">
      <c r="A20568" t="e">
        <v>#N/A</v>
      </c>
    </row>
    <row r="20569" spans="1:1" x14ac:dyDescent="0.25">
      <c r="A20569" t="e">
        <v>#N/A</v>
      </c>
    </row>
    <row r="20570" spans="1:1" x14ac:dyDescent="0.25">
      <c r="A20570" t="e">
        <v>#N/A</v>
      </c>
    </row>
    <row r="20571" spans="1:1" x14ac:dyDescent="0.25">
      <c r="A20571" t="e">
        <v>#N/A</v>
      </c>
    </row>
    <row r="20572" spans="1:1" x14ac:dyDescent="0.25">
      <c r="A20572" t="e">
        <v>#N/A</v>
      </c>
    </row>
    <row r="20573" spans="1:1" x14ac:dyDescent="0.25">
      <c r="A20573" t="e">
        <v>#N/A</v>
      </c>
    </row>
    <row r="20574" spans="1:1" x14ac:dyDescent="0.25">
      <c r="A20574" t="e">
        <v>#N/A</v>
      </c>
    </row>
    <row r="20575" spans="1:1" x14ac:dyDescent="0.25">
      <c r="A20575" t="e">
        <v>#N/A</v>
      </c>
    </row>
    <row r="20576" spans="1:1" x14ac:dyDescent="0.25">
      <c r="A20576" t="e">
        <v>#N/A</v>
      </c>
    </row>
    <row r="20577" spans="1:1" x14ac:dyDescent="0.25">
      <c r="A20577" t="e">
        <v>#N/A</v>
      </c>
    </row>
    <row r="20578" spans="1:1" x14ac:dyDescent="0.25">
      <c r="A20578" t="e">
        <v>#N/A</v>
      </c>
    </row>
    <row r="20579" spans="1:1" x14ac:dyDescent="0.25">
      <c r="A20579" t="e">
        <v>#N/A</v>
      </c>
    </row>
    <row r="20580" spans="1:1" x14ac:dyDescent="0.25">
      <c r="A20580" t="e">
        <v>#N/A</v>
      </c>
    </row>
    <row r="20581" spans="1:1" x14ac:dyDescent="0.25">
      <c r="A20581" t="e">
        <v>#N/A</v>
      </c>
    </row>
    <row r="20582" spans="1:1" x14ac:dyDescent="0.25">
      <c r="A20582" t="e">
        <v>#N/A</v>
      </c>
    </row>
    <row r="20583" spans="1:1" x14ac:dyDescent="0.25">
      <c r="A20583" t="e">
        <v>#N/A</v>
      </c>
    </row>
    <row r="20584" spans="1:1" x14ac:dyDescent="0.25">
      <c r="A20584" t="e">
        <v>#N/A</v>
      </c>
    </row>
    <row r="20585" spans="1:1" x14ac:dyDescent="0.25">
      <c r="A20585" t="e">
        <v>#N/A</v>
      </c>
    </row>
    <row r="20586" spans="1:1" x14ac:dyDescent="0.25">
      <c r="A20586" t="e">
        <v>#N/A</v>
      </c>
    </row>
    <row r="20587" spans="1:1" x14ac:dyDescent="0.25">
      <c r="A20587" t="e">
        <v>#N/A</v>
      </c>
    </row>
    <row r="20588" spans="1:1" x14ac:dyDescent="0.25">
      <c r="A20588" t="e">
        <v>#N/A</v>
      </c>
    </row>
    <row r="20589" spans="1:1" x14ac:dyDescent="0.25">
      <c r="A20589" t="e">
        <v>#N/A</v>
      </c>
    </row>
    <row r="20590" spans="1:1" x14ac:dyDescent="0.25">
      <c r="A20590" t="e">
        <v>#N/A</v>
      </c>
    </row>
    <row r="20591" spans="1:1" x14ac:dyDescent="0.25">
      <c r="A20591" t="e">
        <v>#N/A</v>
      </c>
    </row>
    <row r="20592" spans="1:1" x14ac:dyDescent="0.25">
      <c r="A20592" t="e">
        <v>#N/A</v>
      </c>
    </row>
    <row r="20593" spans="1:1" x14ac:dyDescent="0.25">
      <c r="A20593" t="e">
        <v>#N/A</v>
      </c>
    </row>
    <row r="20594" spans="1:1" x14ac:dyDescent="0.25">
      <c r="A20594" t="e">
        <v>#N/A</v>
      </c>
    </row>
    <row r="20595" spans="1:1" x14ac:dyDescent="0.25">
      <c r="A20595" t="e">
        <v>#N/A</v>
      </c>
    </row>
    <row r="20596" spans="1:1" x14ac:dyDescent="0.25">
      <c r="A20596" t="e">
        <v>#N/A</v>
      </c>
    </row>
    <row r="20597" spans="1:1" x14ac:dyDescent="0.25">
      <c r="A20597" t="e">
        <v>#N/A</v>
      </c>
    </row>
    <row r="20598" spans="1:1" x14ac:dyDescent="0.25">
      <c r="A20598" t="e">
        <v>#N/A</v>
      </c>
    </row>
    <row r="20599" spans="1:1" x14ac:dyDescent="0.25">
      <c r="A20599" t="e">
        <v>#N/A</v>
      </c>
    </row>
    <row r="20600" spans="1:1" x14ac:dyDescent="0.25">
      <c r="A20600" t="e">
        <v>#N/A</v>
      </c>
    </row>
    <row r="20601" spans="1:1" x14ac:dyDescent="0.25">
      <c r="A20601" t="e">
        <v>#N/A</v>
      </c>
    </row>
    <row r="20602" spans="1:1" x14ac:dyDescent="0.25">
      <c r="A20602" t="e">
        <v>#N/A</v>
      </c>
    </row>
    <row r="20603" spans="1:1" x14ac:dyDescent="0.25">
      <c r="A20603" t="e">
        <v>#N/A</v>
      </c>
    </row>
    <row r="20604" spans="1:1" x14ac:dyDescent="0.25">
      <c r="A20604" t="e">
        <v>#N/A</v>
      </c>
    </row>
    <row r="20605" spans="1:1" x14ac:dyDescent="0.25">
      <c r="A20605" t="e">
        <v>#N/A</v>
      </c>
    </row>
    <row r="20606" spans="1:1" x14ac:dyDescent="0.25">
      <c r="A20606" t="e">
        <v>#N/A</v>
      </c>
    </row>
    <row r="20607" spans="1:1" x14ac:dyDescent="0.25">
      <c r="A20607" t="e">
        <v>#N/A</v>
      </c>
    </row>
    <row r="20608" spans="1:1" x14ac:dyDescent="0.25">
      <c r="A20608" t="e">
        <v>#N/A</v>
      </c>
    </row>
    <row r="20609" spans="1:1" x14ac:dyDescent="0.25">
      <c r="A20609" t="e">
        <v>#N/A</v>
      </c>
    </row>
    <row r="20610" spans="1:1" x14ac:dyDescent="0.25">
      <c r="A20610" t="e">
        <v>#N/A</v>
      </c>
    </row>
    <row r="20611" spans="1:1" x14ac:dyDescent="0.25">
      <c r="A20611" t="e">
        <v>#N/A</v>
      </c>
    </row>
    <row r="20612" spans="1:1" x14ac:dyDescent="0.25">
      <c r="A20612" t="e">
        <v>#N/A</v>
      </c>
    </row>
    <row r="20613" spans="1:1" x14ac:dyDescent="0.25">
      <c r="A20613" t="e">
        <v>#N/A</v>
      </c>
    </row>
    <row r="20614" spans="1:1" x14ac:dyDescent="0.25">
      <c r="A20614" t="e">
        <v>#N/A</v>
      </c>
    </row>
    <row r="20615" spans="1:1" x14ac:dyDescent="0.25">
      <c r="A20615" t="e">
        <v>#N/A</v>
      </c>
    </row>
    <row r="20616" spans="1:1" x14ac:dyDescent="0.25">
      <c r="A20616" t="e">
        <v>#N/A</v>
      </c>
    </row>
    <row r="20617" spans="1:1" x14ac:dyDescent="0.25">
      <c r="A20617" t="e">
        <v>#N/A</v>
      </c>
    </row>
    <row r="20618" spans="1:1" x14ac:dyDescent="0.25">
      <c r="A20618" t="e">
        <v>#N/A</v>
      </c>
    </row>
    <row r="20619" spans="1:1" x14ac:dyDescent="0.25">
      <c r="A20619" t="e">
        <v>#N/A</v>
      </c>
    </row>
    <row r="20620" spans="1:1" x14ac:dyDescent="0.25">
      <c r="A20620" t="e">
        <v>#N/A</v>
      </c>
    </row>
    <row r="20621" spans="1:1" x14ac:dyDescent="0.25">
      <c r="A20621" t="e">
        <v>#N/A</v>
      </c>
    </row>
    <row r="20622" spans="1:1" x14ac:dyDescent="0.25">
      <c r="A20622" t="e">
        <v>#N/A</v>
      </c>
    </row>
    <row r="20623" spans="1:1" x14ac:dyDescent="0.25">
      <c r="A20623" t="e">
        <v>#N/A</v>
      </c>
    </row>
    <row r="20624" spans="1:1" x14ac:dyDescent="0.25">
      <c r="A20624" t="e">
        <v>#N/A</v>
      </c>
    </row>
    <row r="20625" spans="1:1" x14ac:dyDescent="0.25">
      <c r="A20625" t="e">
        <v>#N/A</v>
      </c>
    </row>
    <row r="20626" spans="1:1" x14ac:dyDescent="0.25">
      <c r="A20626" t="e">
        <v>#N/A</v>
      </c>
    </row>
    <row r="20627" spans="1:1" x14ac:dyDescent="0.25">
      <c r="A20627" t="e">
        <v>#N/A</v>
      </c>
    </row>
    <row r="20628" spans="1:1" x14ac:dyDescent="0.25">
      <c r="A20628" t="e">
        <v>#N/A</v>
      </c>
    </row>
    <row r="20629" spans="1:1" x14ac:dyDescent="0.25">
      <c r="A20629" t="e">
        <v>#N/A</v>
      </c>
    </row>
    <row r="20630" spans="1:1" x14ac:dyDescent="0.25">
      <c r="A20630" t="e">
        <v>#N/A</v>
      </c>
    </row>
    <row r="20631" spans="1:1" x14ac:dyDescent="0.25">
      <c r="A20631" t="e">
        <v>#N/A</v>
      </c>
    </row>
    <row r="20632" spans="1:1" x14ac:dyDescent="0.25">
      <c r="A20632" t="e">
        <v>#N/A</v>
      </c>
    </row>
    <row r="20633" spans="1:1" x14ac:dyDescent="0.25">
      <c r="A20633" t="e">
        <v>#N/A</v>
      </c>
    </row>
    <row r="20634" spans="1:1" x14ac:dyDescent="0.25">
      <c r="A20634" t="e">
        <v>#N/A</v>
      </c>
    </row>
    <row r="20635" spans="1:1" x14ac:dyDescent="0.25">
      <c r="A20635" t="e">
        <v>#N/A</v>
      </c>
    </row>
    <row r="20636" spans="1:1" x14ac:dyDescent="0.25">
      <c r="A20636" t="e">
        <v>#N/A</v>
      </c>
    </row>
    <row r="20637" spans="1:1" x14ac:dyDescent="0.25">
      <c r="A20637" t="e">
        <v>#N/A</v>
      </c>
    </row>
    <row r="20638" spans="1:1" x14ac:dyDescent="0.25">
      <c r="A20638" t="e">
        <v>#N/A</v>
      </c>
    </row>
    <row r="20639" spans="1:1" x14ac:dyDescent="0.25">
      <c r="A20639" t="e">
        <v>#N/A</v>
      </c>
    </row>
    <row r="20640" spans="1:1" x14ac:dyDescent="0.25">
      <c r="A20640" t="e">
        <v>#N/A</v>
      </c>
    </row>
    <row r="20641" spans="1:1" x14ac:dyDescent="0.25">
      <c r="A20641" t="e">
        <v>#N/A</v>
      </c>
    </row>
    <row r="20642" spans="1:1" x14ac:dyDescent="0.25">
      <c r="A20642" t="e">
        <v>#N/A</v>
      </c>
    </row>
    <row r="20643" spans="1:1" x14ac:dyDescent="0.25">
      <c r="A20643" t="e">
        <v>#N/A</v>
      </c>
    </row>
    <row r="20644" spans="1:1" x14ac:dyDescent="0.25">
      <c r="A20644" t="e">
        <v>#N/A</v>
      </c>
    </row>
    <row r="20645" spans="1:1" x14ac:dyDescent="0.25">
      <c r="A20645" t="e">
        <v>#N/A</v>
      </c>
    </row>
    <row r="20646" spans="1:1" x14ac:dyDescent="0.25">
      <c r="A20646" t="e">
        <v>#N/A</v>
      </c>
    </row>
    <row r="20647" spans="1:1" x14ac:dyDescent="0.25">
      <c r="A20647" t="e">
        <v>#N/A</v>
      </c>
    </row>
    <row r="20648" spans="1:1" x14ac:dyDescent="0.25">
      <c r="A20648" t="e">
        <v>#N/A</v>
      </c>
    </row>
    <row r="20649" spans="1:1" x14ac:dyDescent="0.25">
      <c r="A20649" t="e">
        <v>#N/A</v>
      </c>
    </row>
    <row r="20650" spans="1:1" x14ac:dyDescent="0.25">
      <c r="A20650" t="e">
        <v>#N/A</v>
      </c>
    </row>
    <row r="20651" spans="1:1" x14ac:dyDescent="0.25">
      <c r="A20651" t="e">
        <v>#N/A</v>
      </c>
    </row>
    <row r="20652" spans="1:1" x14ac:dyDescent="0.25">
      <c r="A20652" t="e">
        <v>#N/A</v>
      </c>
    </row>
    <row r="20653" spans="1:1" x14ac:dyDescent="0.25">
      <c r="A20653" t="e">
        <v>#N/A</v>
      </c>
    </row>
    <row r="20654" spans="1:1" x14ac:dyDescent="0.25">
      <c r="A20654" t="e">
        <v>#N/A</v>
      </c>
    </row>
    <row r="20655" spans="1:1" x14ac:dyDescent="0.25">
      <c r="A20655" t="e">
        <v>#N/A</v>
      </c>
    </row>
    <row r="20656" spans="1:1" x14ac:dyDescent="0.25">
      <c r="A20656" t="e">
        <v>#N/A</v>
      </c>
    </row>
    <row r="20657" spans="1:1" x14ac:dyDescent="0.25">
      <c r="A20657" t="e">
        <v>#N/A</v>
      </c>
    </row>
    <row r="20658" spans="1:1" x14ac:dyDescent="0.25">
      <c r="A20658" t="e">
        <v>#N/A</v>
      </c>
    </row>
    <row r="20659" spans="1:1" x14ac:dyDescent="0.25">
      <c r="A20659" t="e">
        <v>#N/A</v>
      </c>
    </row>
    <row r="20660" spans="1:1" x14ac:dyDescent="0.25">
      <c r="A20660" t="e">
        <v>#N/A</v>
      </c>
    </row>
    <row r="20661" spans="1:1" x14ac:dyDescent="0.25">
      <c r="A20661" t="e">
        <v>#N/A</v>
      </c>
    </row>
    <row r="20662" spans="1:1" x14ac:dyDescent="0.25">
      <c r="A20662" t="e">
        <v>#N/A</v>
      </c>
    </row>
    <row r="20663" spans="1:1" x14ac:dyDescent="0.25">
      <c r="A20663" t="e">
        <v>#N/A</v>
      </c>
    </row>
    <row r="20664" spans="1:1" x14ac:dyDescent="0.25">
      <c r="A20664" t="e">
        <v>#N/A</v>
      </c>
    </row>
    <row r="20665" spans="1:1" x14ac:dyDescent="0.25">
      <c r="A20665" t="e">
        <v>#N/A</v>
      </c>
    </row>
    <row r="20666" spans="1:1" x14ac:dyDescent="0.25">
      <c r="A20666" t="e">
        <v>#N/A</v>
      </c>
    </row>
    <row r="20667" spans="1:1" x14ac:dyDescent="0.25">
      <c r="A20667" t="e">
        <v>#N/A</v>
      </c>
    </row>
    <row r="20668" spans="1:1" x14ac:dyDescent="0.25">
      <c r="A20668" t="e">
        <v>#N/A</v>
      </c>
    </row>
    <row r="20669" spans="1:1" x14ac:dyDescent="0.25">
      <c r="A20669" t="e">
        <v>#N/A</v>
      </c>
    </row>
    <row r="20670" spans="1:1" x14ac:dyDescent="0.25">
      <c r="A20670" t="e">
        <v>#N/A</v>
      </c>
    </row>
    <row r="20671" spans="1:1" x14ac:dyDescent="0.25">
      <c r="A20671" t="e">
        <v>#N/A</v>
      </c>
    </row>
    <row r="20672" spans="1:1" x14ac:dyDescent="0.25">
      <c r="A20672" t="e">
        <v>#N/A</v>
      </c>
    </row>
    <row r="20673" spans="1:1" x14ac:dyDescent="0.25">
      <c r="A20673" t="e">
        <v>#N/A</v>
      </c>
    </row>
    <row r="20674" spans="1:1" x14ac:dyDescent="0.25">
      <c r="A20674" t="e">
        <v>#N/A</v>
      </c>
    </row>
    <row r="20675" spans="1:1" x14ac:dyDescent="0.25">
      <c r="A20675" t="e">
        <v>#N/A</v>
      </c>
    </row>
    <row r="20676" spans="1:1" x14ac:dyDescent="0.25">
      <c r="A20676" t="e">
        <v>#N/A</v>
      </c>
    </row>
    <row r="20677" spans="1:1" x14ac:dyDescent="0.25">
      <c r="A20677" t="e">
        <v>#N/A</v>
      </c>
    </row>
    <row r="20678" spans="1:1" x14ac:dyDescent="0.25">
      <c r="A20678" t="e">
        <v>#N/A</v>
      </c>
    </row>
    <row r="20679" spans="1:1" x14ac:dyDescent="0.25">
      <c r="A20679" t="e">
        <v>#N/A</v>
      </c>
    </row>
    <row r="20680" spans="1:1" x14ac:dyDescent="0.25">
      <c r="A20680" t="e">
        <v>#N/A</v>
      </c>
    </row>
    <row r="20681" spans="1:1" x14ac:dyDescent="0.25">
      <c r="A20681" t="e">
        <v>#N/A</v>
      </c>
    </row>
    <row r="20682" spans="1:1" x14ac:dyDescent="0.25">
      <c r="A20682" t="e">
        <v>#N/A</v>
      </c>
    </row>
    <row r="20683" spans="1:1" x14ac:dyDescent="0.25">
      <c r="A20683" t="e">
        <v>#N/A</v>
      </c>
    </row>
    <row r="20684" spans="1:1" x14ac:dyDescent="0.25">
      <c r="A20684" t="e">
        <v>#N/A</v>
      </c>
    </row>
    <row r="20685" spans="1:1" x14ac:dyDescent="0.25">
      <c r="A20685" t="e">
        <v>#N/A</v>
      </c>
    </row>
    <row r="20686" spans="1:1" x14ac:dyDescent="0.25">
      <c r="A20686" t="e">
        <v>#N/A</v>
      </c>
    </row>
    <row r="20687" spans="1:1" x14ac:dyDescent="0.25">
      <c r="A20687" t="e">
        <v>#N/A</v>
      </c>
    </row>
    <row r="20688" spans="1:1" x14ac:dyDescent="0.25">
      <c r="A20688" t="e">
        <v>#N/A</v>
      </c>
    </row>
    <row r="20689" spans="1:1" x14ac:dyDescent="0.25">
      <c r="A20689" t="e">
        <v>#N/A</v>
      </c>
    </row>
    <row r="20690" spans="1:1" x14ac:dyDescent="0.25">
      <c r="A20690" t="e">
        <v>#N/A</v>
      </c>
    </row>
    <row r="20691" spans="1:1" x14ac:dyDescent="0.25">
      <c r="A20691" t="e">
        <v>#N/A</v>
      </c>
    </row>
    <row r="20692" spans="1:1" x14ac:dyDescent="0.25">
      <c r="A20692" t="e">
        <v>#N/A</v>
      </c>
    </row>
    <row r="20693" spans="1:1" x14ac:dyDescent="0.25">
      <c r="A20693" t="e">
        <v>#N/A</v>
      </c>
    </row>
    <row r="20694" spans="1:1" x14ac:dyDescent="0.25">
      <c r="A20694" t="e">
        <v>#N/A</v>
      </c>
    </row>
    <row r="20695" spans="1:1" x14ac:dyDescent="0.25">
      <c r="A20695" t="e">
        <v>#N/A</v>
      </c>
    </row>
    <row r="20696" spans="1:1" x14ac:dyDescent="0.25">
      <c r="A20696" t="e">
        <v>#N/A</v>
      </c>
    </row>
    <row r="20697" spans="1:1" x14ac:dyDescent="0.25">
      <c r="A20697" t="e">
        <v>#N/A</v>
      </c>
    </row>
    <row r="20698" spans="1:1" x14ac:dyDescent="0.25">
      <c r="A20698" t="e">
        <v>#N/A</v>
      </c>
    </row>
    <row r="20699" spans="1:1" x14ac:dyDescent="0.25">
      <c r="A20699" t="e">
        <v>#N/A</v>
      </c>
    </row>
    <row r="20700" spans="1:1" x14ac:dyDescent="0.25">
      <c r="A20700" t="e">
        <v>#N/A</v>
      </c>
    </row>
    <row r="20701" spans="1:1" x14ac:dyDescent="0.25">
      <c r="A20701" t="e">
        <v>#N/A</v>
      </c>
    </row>
    <row r="20702" spans="1:1" x14ac:dyDescent="0.25">
      <c r="A20702" t="e">
        <v>#N/A</v>
      </c>
    </row>
    <row r="20703" spans="1:1" x14ac:dyDescent="0.25">
      <c r="A20703" t="e">
        <v>#N/A</v>
      </c>
    </row>
    <row r="20704" spans="1:1" x14ac:dyDescent="0.25">
      <c r="A20704" t="e">
        <v>#N/A</v>
      </c>
    </row>
    <row r="20705" spans="1:1" x14ac:dyDescent="0.25">
      <c r="A20705" t="e">
        <v>#N/A</v>
      </c>
    </row>
    <row r="20706" spans="1:1" x14ac:dyDescent="0.25">
      <c r="A20706" t="e">
        <v>#N/A</v>
      </c>
    </row>
    <row r="20707" spans="1:1" x14ac:dyDescent="0.25">
      <c r="A20707" t="e">
        <v>#N/A</v>
      </c>
    </row>
    <row r="20708" spans="1:1" x14ac:dyDescent="0.25">
      <c r="A20708" t="e">
        <v>#N/A</v>
      </c>
    </row>
    <row r="20709" spans="1:1" x14ac:dyDescent="0.25">
      <c r="A20709" t="e">
        <v>#N/A</v>
      </c>
    </row>
    <row r="20710" spans="1:1" x14ac:dyDescent="0.25">
      <c r="A20710" t="e">
        <v>#N/A</v>
      </c>
    </row>
    <row r="20711" spans="1:1" x14ac:dyDescent="0.25">
      <c r="A20711" t="e">
        <v>#N/A</v>
      </c>
    </row>
    <row r="20712" spans="1:1" x14ac:dyDescent="0.25">
      <c r="A20712" t="e">
        <v>#N/A</v>
      </c>
    </row>
    <row r="20713" spans="1:1" x14ac:dyDescent="0.25">
      <c r="A20713" t="e">
        <v>#N/A</v>
      </c>
    </row>
    <row r="20714" spans="1:1" x14ac:dyDescent="0.25">
      <c r="A20714" t="e">
        <v>#N/A</v>
      </c>
    </row>
    <row r="20715" spans="1:1" x14ac:dyDescent="0.25">
      <c r="A20715" t="e">
        <v>#N/A</v>
      </c>
    </row>
    <row r="20716" spans="1:1" x14ac:dyDescent="0.25">
      <c r="A20716" t="e">
        <v>#N/A</v>
      </c>
    </row>
    <row r="20717" spans="1:1" x14ac:dyDescent="0.25">
      <c r="A20717" t="e">
        <v>#N/A</v>
      </c>
    </row>
    <row r="20718" spans="1:1" x14ac:dyDescent="0.25">
      <c r="A20718" t="e">
        <v>#N/A</v>
      </c>
    </row>
    <row r="20719" spans="1:1" x14ac:dyDescent="0.25">
      <c r="A20719" t="e">
        <v>#N/A</v>
      </c>
    </row>
    <row r="20720" spans="1:1" x14ac:dyDescent="0.25">
      <c r="A20720" t="e">
        <v>#N/A</v>
      </c>
    </row>
    <row r="20721" spans="1:1" x14ac:dyDescent="0.25">
      <c r="A20721" t="e">
        <v>#N/A</v>
      </c>
    </row>
    <row r="20722" spans="1:1" x14ac:dyDescent="0.25">
      <c r="A20722" t="e">
        <v>#N/A</v>
      </c>
    </row>
    <row r="20723" spans="1:1" x14ac:dyDescent="0.25">
      <c r="A20723" t="e">
        <v>#N/A</v>
      </c>
    </row>
    <row r="20724" spans="1:1" x14ac:dyDescent="0.25">
      <c r="A20724" t="e">
        <v>#N/A</v>
      </c>
    </row>
    <row r="20725" spans="1:1" x14ac:dyDescent="0.25">
      <c r="A20725" t="e">
        <v>#N/A</v>
      </c>
    </row>
    <row r="20726" spans="1:1" x14ac:dyDescent="0.25">
      <c r="A20726" t="e">
        <v>#N/A</v>
      </c>
    </row>
    <row r="20727" spans="1:1" x14ac:dyDescent="0.25">
      <c r="A20727" t="e">
        <v>#N/A</v>
      </c>
    </row>
    <row r="20728" spans="1:1" x14ac:dyDescent="0.25">
      <c r="A20728" t="e">
        <v>#N/A</v>
      </c>
    </row>
    <row r="20729" spans="1:1" x14ac:dyDescent="0.25">
      <c r="A20729" t="e">
        <v>#N/A</v>
      </c>
    </row>
    <row r="20730" spans="1:1" x14ac:dyDescent="0.25">
      <c r="A20730" t="e">
        <v>#N/A</v>
      </c>
    </row>
    <row r="20731" spans="1:1" x14ac:dyDescent="0.25">
      <c r="A20731" t="e">
        <v>#N/A</v>
      </c>
    </row>
    <row r="20732" spans="1:1" x14ac:dyDescent="0.25">
      <c r="A20732" t="e">
        <v>#N/A</v>
      </c>
    </row>
    <row r="20733" spans="1:1" x14ac:dyDescent="0.25">
      <c r="A20733" t="e">
        <v>#N/A</v>
      </c>
    </row>
    <row r="20734" spans="1:1" x14ac:dyDescent="0.25">
      <c r="A20734" t="e">
        <v>#N/A</v>
      </c>
    </row>
    <row r="20735" spans="1:1" x14ac:dyDescent="0.25">
      <c r="A20735" t="e">
        <v>#N/A</v>
      </c>
    </row>
    <row r="20736" spans="1:1" x14ac:dyDescent="0.25">
      <c r="A20736" t="e">
        <v>#N/A</v>
      </c>
    </row>
    <row r="20737" spans="1:1" x14ac:dyDescent="0.25">
      <c r="A20737" t="e">
        <v>#N/A</v>
      </c>
    </row>
    <row r="20738" spans="1:1" x14ac:dyDescent="0.25">
      <c r="A20738" t="e">
        <v>#N/A</v>
      </c>
    </row>
    <row r="20739" spans="1:1" x14ac:dyDescent="0.25">
      <c r="A20739" t="e">
        <v>#N/A</v>
      </c>
    </row>
    <row r="20740" spans="1:1" x14ac:dyDescent="0.25">
      <c r="A20740" t="e">
        <v>#N/A</v>
      </c>
    </row>
    <row r="20741" spans="1:1" x14ac:dyDescent="0.25">
      <c r="A20741" t="e">
        <v>#N/A</v>
      </c>
    </row>
    <row r="20742" spans="1:1" x14ac:dyDescent="0.25">
      <c r="A20742" t="e">
        <v>#N/A</v>
      </c>
    </row>
    <row r="20743" spans="1:1" x14ac:dyDescent="0.25">
      <c r="A20743" t="e">
        <v>#N/A</v>
      </c>
    </row>
    <row r="20744" spans="1:1" x14ac:dyDescent="0.25">
      <c r="A20744" t="e">
        <v>#N/A</v>
      </c>
    </row>
    <row r="20745" spans="1:1" x14ac:dyDescent="0.25">
      <c r="A20745" t="e">
        <v>#N/A</v>
      </c>
    </row>
    <row r="20746" spans="1:1" x14ac:dyDescent="0.25">
      <c r="A20746" t="e">
        <v>#N/A</v>
      </c>
    </row>
    <row r="20747" spans="1:1" x14ac:dyDescent="0.25">
      <c r="A20747" t="e">
        <v>#N/A</v>
      </c>
    </row>
    <row r="20748" spans="1:1" x14ac:dyDescent="0.25">
      <c r="A20748" t="e">
        <v>#N/A</v>
      </c>
    </row>
    <row r="20749" spans="1:1" x14ac:dyDescent="0.25">
      <c r="A20749" t="e">
        <v>#N/A</v>
      </c>
    </row>
    <row r="20750" spans="1:1" x14ac:dyDescent="0.25">
      <c r="A20750" t="e">
        <v>#N/A</v>
      </c>
    </row>
    <row r="20751" spans="1:1" x14ac:dyDescent="0.25">
      <c r="A20751" t="e">
        <v>#N/A</v>
      </c>
    </row>
    <row r="20752" spans="1:1" x14ac:dyDescent="0.25">
      <c r="A20752" t="e">
        <v>#N/A</v>
      </c>
    </row>
    <row r="20753" spans="1:1" x14ac:dyDescent="0.25">
      <c r="A20753" t="e">
        <v>#N/A</v>
      </c>
    </row>
    <row r="20754" spans="1:1" x14ac:dyDescent="0.25">
      <c r="A20754" t="e">
        <v>#N/A</v>
      </c>
    </row>
    <row r="20755" spans="1:1" x14ac:dyDescent="0.25">
      <c r="A20755" t="e">
        <v>#N/A</v>
      </c>
    </row>
    <row r="20756" spans="1:1" x14ac:dyDescent="0.25">
      <c r="A20756" t="e">
        <v>#N/A</v>
      </c>
    </row>
    <row r="20757" spans="1:1" x14ac:dyDescent="0.25">
      <c r="A20757" t="e">
        <v>#N/A</v>
      </c>
    </row>
    <row r="20758" spans="1:1" x14ac:dyDescent="0.25">
      <c r="A20758" t="e">
        <v>#N/A</v>
      </c>
    </row>
    <row r="20759" spans="1:1" x14ac:dyDescent="0.25">
      <c r="A20759" t="e">
        <v>#N/A</v>
      </c>
    </row>
    <row r="20760" spans="1:1" x14ac:dyDescent="0.25">
      <c r="A20760" t="e">
        <v>#N/A</v>
      </c>
    </row>
    <row r="20761" spans="1:1" x14ac:dyDescent="0.25">
      <c r="A20761" t="e">
        <v>#N/A</v>
      </c>
    </row>
    <row r="20762" spans="1:1" x14ac:dyDescent="0.25">
      <c r="A20762" t="e">
        <v>#N/A</v>
      </c>
    </row>
    <row r="20763" spans="1:1" x14ac:dyDescent="0.25">
      <c r="A20763" t="e">
        <v>#N/A</v>
      </c>
    </row>
    <row r="20764" spans="1:1" x14ac:dyDescent="0.25">
      <c r="A20764" t="e">
        <v>#N/A</v>
      </c>
    </row>
    <row r="20765" spans="1:1" x14ac:dyDescent="0.25">
      <c r="A20765" t="e">
        <v>#N/A</v>
      </c>
    </row>
    <row r="20766" spans="1:1" x14ac:dyDescent="0.25">
      <c r="A20766" t="e">
        <v>#N/A</v>
      </c>
    </row>
    <row r="20767" spans="1:1" x14ac:dyDescent="0.25">
      <c r="A20767" t="e">
        <v>#N/A</v>
      </c>
    </row>
    <row r="20768" spans="1:1" x14ac:dyDescent="0.25">
      <c r="A20768" t="e">
        <v>#N/A</v>
      </c>
    </row>
    <row r="20769" spans="1:1" x14ac:dyDescent="0.25">
      <c r="A20769" t="e">
        <v>#N/A</v>
      </c>
    </row>
    <row r="20770" spans="1:1" x14ac:dyDescent="0.25">
      <c r="A20770" t="e">
        <v>#N/A</v>
      </c>
    </row>
    <row r="20771" spans="1:1" x14ac:dyDescent="0.25">
      <c r="A20771" t="e">
        <v>#N/A</v>
      </c>
    </row>
    <row r="20772" spans="1:1" x14ac:dyDescent="0.25">
      <c r="A20772" t="e">
        <v>#N/A</v>
      </c>
    </row>
    <row r="20773" spans="1:1" x14ac:dyDescent="0.25">
      <c r="A20773" t="e">
        <v>#N/A</v>
      </c>
    </row>
    <row r="20774" spans="1:1" x14ac:dyDescent="0.25">
      <c r="A20774" t="e">
        <v>#N/A</v>
      </c>
    </row>
    <row r="20775" spans="1:1" x14ac:dyDescent="0.25">
      <c r="A20775" t="e">
        <v>#N/A</v>
      </c>
    </row>
    <row r="20776" spans="1:1" x14ac:dyDescent="0.25">
      <c r="A20776" t="e">
        <v>#N/A</v>
      </c>
    </row>
    <row r="20777" spans="1:1" x14ac:dyDescent="0.25">
      <c r="A20777" t="e">
        <v>#N/A</v>
      </c>
    </row>
    <row r="20778" spans="1:1" x14ac:dyDescent="0.25">
      <c r="A20778" t="e">
        <v>#N/A</v>
      </c>
    </row>
    <row r="20779" spans="1:1" x14ac:dyDescent="0.25">
      <c r="A20779" t="e">
        <v>#N/A</v>
      </c>
    </row>
    <row r="20780" spans="1:1" x14ac:dyDescent="0.25">
      <c r="A20780" t="e">
        <v>#N/A</v>
      </c>
    </row>
    <row r="20781" spans="1:1" x14ac:dyDescent="0.25">
      <c r="A20781" t="e">
        <v>#N/A</v>
      </c>
    </row>
    <row r="20782" spans="1:1" x14ac:dyDescent="0.25">
      <c r="A20782" t="e">
        <v>#N/A</v>
      </c>
    </row>
    <row r="20783" spans="1:1" x14ac:dyDescent="0.25">
      <c r="A20783" t="e">
        <v>#N/A</v>
      </c>
    </row>
    <row r="20784" spans="1:1" x14ac:dyDescent="0.25">
      <c r="A20784" t="e">
        <v>#N/A</v>
      </c>
    </row>
    <row r="20785" spans="1:1" x14ac:dyDescent="0.25">
      <c r="A20785" t="e">
        <v>#N/A</v>
      </c>
    </row>
    <row r="20786" spans="1:1" x14ac:dyDescent="0.25">
      <c r="A20786" t="e">
        <v>#N/A</v>
      </c>
    </row>
    <row r="20787" spans="1:1" x14ac:dyDescent="0.25">
      <c r="A20787" t="e">
        <v>#N/A</v>
      </c>
    </row>
    <row r="20788" spans="1:1" x14ac:dyDescent="0.25">
      <c r="A20788" t="e">
        <v>#N/A</v>
      </c>
    </row>
    <row r="20789" spans="1:1" x14ac:dyDescent="0.25">
      <c r="A20789" t="e">
        <v>#N/A</v>
      </c>
    </row>
    <row r="20790" spans="1:1" x14ac:dyDescent="0.25">
      <c r="A20790" t="e">
        <v>#N/A</v>
      </c>
    </row>
    <row r="20791" spans="1:1" x14ac:dyDescent="0.25">
      <c r="A20791" t="e">
        <v>#N/A</v>
      </c>
    </row>
    <row r="20792" spans="1:1" x14ac:dyDescent="0.25">
      <c r="A20792" t="e">
        <v>#N/A</v>
      </c>
    </row>
    <row r="20793" spans="1:1" x14ac:dyDescent="0.25">
      <c r="A20793" t="e">
        <v>#N/A</v>
      </c>
    </row>
    <row r="20794" spans="1:1" x14ac:dyDescent="0.25">
      <c r="A20794" t="e">
        <v>#N/A</v>
      </c>
    </row>
    <row r="20795" spans="1:1" x14ac:dyDescent="0.25">
      <c r="A20795" t="e">
        <v>#N/A</v>
      </c>
    </row>
    <row r="20796" spans="1:1" x14ac:dyDescent="0.25">
      <c r="A20796" t="e">
        <v>#N/A</v>
      </c>
    </row>
    <row r="20797" spans="1:1" x14ac:dyDescent="0.25">
      <c r="A20797" t="e">
        <v>#N/A</v>
      </c>
    </row>
    <row r="20798" spans="1:1" x14ac:dyDescent="0.25">
      <c r="A20798" t="e">
        <v>#N/A</v>
      </c>
    </row>
    <row r="20799" spans="1:1" x14ac:dyDescent="0.25">
      <c r="A20799" t="e">
        <v>#N/A</v>
      </c>
    </row>
    <row r="20800" spans="1:1" x14ac:dyDescent="0.25">
      <c r="A20800" t="e">
        <v>#N/A</v>
      </c>
    </row>
    <row r="20801" spans="1:1" x14ac:dyDescent="0.25">
      <c r="A20801" t="e">
        <v>#N/A</v>
      </c>
    </row>
    <row r="20802" spans="1:1" x14ac:dyDescent="0.25">
      <c r="A20802" t="e">
        <v>#N/A</v>
      </c>
    </row>
    <row r="20803" spans="1:1" x14ac:dyDescent="0.25">
      <c r="A20803" t="e">
        <v>#N/A</v>
      </c>
    </row>
    <row r="20804" spans="1:1" x14ac:dyDescent="0.25">
      <c r="A20804" t="e">
        <v>#N/A</v>
      </c>
    </row>
    <row r="20805" spans="1:1" x14ac:dyDescent="0.25">
      <c r="A20805" t="e">
        <v>#N/A</v>
      </c>
    </row>
    <row r="20806" spans="1:1" x14ac:dyDescent="0.25">
      <c r="A20806" t="e">
        <v>#N/A</v>
      </c>
    </row>
    <row r="20807" spans="1:1" x14ac:dyDescent="0.25">
      <c r="A20807" t="e">
        <v>#N/A</v>
      </c>
    </row>
    <row r="20808" spans="1:1" x14ac:dyDescent="0.25">
      <c r="A20808" t="e">
        <v>#N/A</v>
      </c>
    </row>
    <row r="20809" spans="1:1" x14ac:dyDescent="0.25">
      <c r="A20809" t="e">
        <v>#N/A</v>
      </c>
    </row>
    <row r="20810" spans="1:1" x14ac:dyDescent="0.25">
      <c r="A20810" t="e">
        <v>#N/A</v>
      </c>
    </row>
    <row r="20811" spans="1:1" x14ac:dyDescent="0.25">
      <c r="A20811" t="e">
        <v>#N/A</v>
      </c>
    </row>
    <row r="20812" spans="1:1" x14ac:dyDescent="0.25">
      <c r="A20812" t="e">
        <v>#N/A</v>
      </c>
    </row>
    <row r="20813" spans="1:1" x14ac:dyDescent="0.25">
      <c r="A20813" t="e">
        <v>#N/A</v>
      </c>
    </row>
    <row r="20814" spans="1:1" x14ac:dyDescent="0.25">
      <c r="A20814" t="e">
        <v>#N/A</v>
      </c>
    </row>
    <row r="20815" spans="1:1" x14ac:dyDescent="0.25">
      <c r="A20815" t="e">
        <v>#N/A</v>
      </c>
    </row>
    <row r="20816" spans="1:1" x14ac:dyDescent="0.25">
      <c r="A20816" t="e">
        <v>#N/A</v>
      </c>
    </row>
    <row r="20817" spans="1:1" x14ac:dyDescent="0.25">
      <c r="A20817" t="e">
        <v>#N/A</v>
      </c>
    </row>
    <row r="20818" spans="1:1" x14ac:dyDescent="0.25">
      <c r="A20818" t="e">
        <v>#N/A</v>
      </c>
    </row>
    <row r="20819" spans="1:1" x14ac:dyDescent="0.25">
      <c r="A20819" t="e">
        <v>#N/A</v>
      </c>
    </row>
    <row r="20820" spans="1:1" x14ac:dyDescent="0.25">
      <c r="A20820" t="e">
        <v>#N/A</v>
      </c>
    </row>
    <row r="20821" spans="1:1" x14ac:dyDescent="0.25">
      <c r="A20821" t="e">
        <v>#N/A</v>
      </c>
    </row>
    <row r="20822" spans="1:1" x14ac:dyDescent="0.25">
      <c r="A20822" t="e">
        <v>#N/A</v>
      </c>
    </row>
    <row r="20823" spans="1:1" x14ac:dyDescent="0.25">
      <c r="A20823" t="e">
        <v>#N/A</v>
      </c>
    </row>
    <row r="20824" spans="1:1" x14ac:dyDescent="0.25">
      <c r="A20824" t="e">
        <v>#N/A</v>
      </c>
    </row>
    <row r="20825" spans="1:1" x14ac:dyDescent="0.25">
      <c r="A20825" t="e">
        <v>#N/A</v>
      </c>
    </row>
    <row r="20826" spans="1:1" x14ac:dyDescent="0.25">
      <c r="A20826" t="e">
        <v>#N/A</v>
      </c>
    </row>
    <row r="20827" spans="1:1" x14ac:dyDescent="0.25">
      <c r="A20827" t="e">
        <v>#N/A</v>
      </c>
    </row>
    <row r="20828" spans="1:1" x14ac:dyDescent="0.25">
      <c r="A20828" t="e">
        <v>#N/A</v>
      </c>
    </row>
    <row r="20829" spans="1:1" x14ac:dyDescent="0.25">
      <c r="A20829" t="e">
        <v>#N/A</v>
      </c>
    </row>
    <row r="20830" spans="1:1" x14ac:dyDescent="0.25">
      <c r="A20830" t="e">
        <v>#N/A</v>
      </c>
    </row>
    <row r="20831" spans="1:1" x14ac:dyDescent="0.25">
      <c r="A20831" t="e">
        <v>#N/A</v>
      </c>
    </row>
    <row r="20832" spans="1:1" x14ac:dyDescent="0.25">
      <c r="A20832" t="e">
        <v>#N/A</v>
      </c>
    </row>
    <row r="20833" spans="1:1" x14ac:dyDescent="0.25">
      <c r="A20833" t="e">
        <v>#N/A</v>
      </c>
    </row>
    <row r="20834" spans="1:1" x14ac:dyDescent="0.25">
      <c r="A20834" t="e">
        <v>#N/A</v>
      </c>
    </row>
    <row r="20835" spans="1:1" x14ac:dyDescent="0.25">
      <c r="A20835" t="e">
        <v>#N/A</v>
      </c>
    </row>
    <row r="20836" spans="1:1" x14ac:dyDescent="0.25">
      <c r="A20836" t="e">
        <v>#N/A</v>
      </c>
    </row>
    <row r="20837" spans="1:1" x14ac:dyDescent="0.25">
      <c r="A20837" t="e">
        <v>#N/A</v>
      </c>
    </row>
    <row r="20838" spans="1:1" x14ac:dyDescent="0.25">
      <c r="A20838" t="e">
        <v>#N/A</v>
      </c>
    </row>
    <row r="20839" spans="1:1" x14ac:dyDescent="0.25">
      <c r="A20839" t="e">
        <v>#N/A</v>
      </c>
    </row>
    <row r="20840" spans="1:1" x14ac:dyDescent="0.25">
      <c r="A20840" t="e">
        <v>#N/A</v>
      </c>
    </row>
    <row r="20841" spans="1:1" x14ac:dyDescent="0.25">
      <c r="A20841" t="e">
        <v>#N/A</v>
      </c>
    </row>
    <row r="20842" spans="1:1" x14ac:dyDescent="0.25">
      <c r="A20842" t="e">
        <v>#N/A</v>
      </c>
    </row>
    <row r="20843" spans="1:1" x14ac:dyDescent="0.25">
      <c r="A20843" t="e">
        <v>#N/A</v>
      </c>
    </row>
    <row r="20844" spans="1:1" x14ac:dyDescent="0.25">
      <c r="A20844" t="e">
        <v>#N/A</v>
      </c>
    </row>
    <row r="20845" spans="1:1" x14ac:dyDescent="0.25">
      <c r="A20845" t="e">
        <v>#N/A</v>
      </c>
    </row>
    <row r="20846" spans="1:1" x14ac:dyDescent="0.25">
      <c r="A20846" t="e">
        <v>#N/A</v>
      </c>
    </row>
    <row r="20847" spans="1:1" x14ac:dyDescent="0.25">
      <c r="A20847" t="e">
        <v>#N/A</v>
      </c>
    </row>
    <row r="20848" spans="1:1" x14ac:dyDescent="0.25">
      <c r="A20848" t="e">
        <v>#N/A</v>
      </c>
    </row>
    <row r="20849" spans="1:1" x14ac:dyDescent="0.25">
      <c r="A20849" t="e">
        <v>#N/A</v>
      </c>
    </row>
    <row r="20850" spans="1:1" x14ac:dyDescent="0.25">
      <c r="A20850" t="e">
        <v>#N/A</v>
      </c>
    </row>
    <row r="20851" spans="1:1" x14ac:dyDescent="0.25">
      <c r="A20851" t="e">
        <v>#N/A</v>
      </c>
    </row>
    <row r="20852" spans="1:1" x14ac:dyDescent="0.25">
      <c r="A20852" t="e">
        <v>#N/A</v>
      </c>
    </row>
    <row r="20853" spans="1:1" x14ac:dyDescent="0.25">
      <c r="A20853" t="e">
        <v>#N/A</v>
      </c>
    </row>
    <row r="20854" spans="1:1" x14ac:dyDescent="0.25">
      <c r="A20854" t="e">
        <v>#N/A</v>
      </c>
    </row>
    <row r="20855" spans="1:1" x14ac:dyDescent="0.25">
      <c r="A20855" t="e">
        <v>#N/A</v>
      </c>
    </row>
    <row r="20856" spans="1:1" x14ac:dyDescent="0.25">
      <c r="A20856" t="e">
        <v>#N/A</v>
      </c>
    </row>
    <row r="20857" spans="1:1" x14ac:dyDescent="0.25">
      <c r="A20857" t="e">
        <v>#N/A</v>
      </c>
    </row>
    <row r="20858" spans="1:1" x14ac:dyDescent="0.25">
      <c r="A20858" t="e">
        <v>#N/A</v>
      </c>
    </row>
    <row r="20859" spans="1:1" x14ac:dyDescent="0.25">
      <c r="A20859" t="e">
        <v>#N/A</v>
      </c>
    </row>
    <row r="20860" spans="1:1" x14ac:dyDescent="0.25">
      <c r="A20860" t="e">
        <v>#N/A</v>
      </c>
    </row>
    <row r="20861" spans="1:1" x14ac:dyDescent="0.25">
      <c r="A20861" t="e">
        <v>#N/A</v>
      </c>
    </row>
    <row r="20862" spans="1:1" x14ac:dyDescent="0.25">
      <c r="A20862" t="e">
        <v>#N/A</v>
      </c>
    </row>
    <row r="20863" spans="1:1" x14ac:dyDescent="0.25">
      <c r="A20863" t="e">
        <v>#N/A</v>
      </c>
    </row>
    <row r="20864" spans="1:1" x14ac:dyDescent="0.25">
      <c r="A20864" t="e">
        <v>#N/A</v>
      </c>
    </row>
    <row r="20865" spans="1:1" x14ac:dyDescent="0.25">
      <c r="A20865" t="e">
        <v>#N/A</v>
      </c>
    </row>
    <row r="20866" spans="1:1" x14ac:dyDescent="0.25">
      <c r="A20866" t="e">
        <v>#N/A</v>
      </c>
    </row>
    <row r="20867" spans="1:1" x14ac:dyDescent="0.25">
      <c r="A20867" t="e">
        <v>#N/A</v>
      </c>
    </row>
    <row r="20868" spans="1:1" x14ac:dyDescent="0.25">
      <c r="A20868" t="e">
        <v>#N/A</v>
      </c>
    </row>
    <row r="20869" spans="1:1" x14ac:dyDescent="0.25">
      <c r="A20869" t="e">
        <v>#N/A</v>
      </c>
    </row>
    <row r="20870" spans="1:1" x14ac:dyDescent="0.25">
      <c r="A20870" t="e">
        <v>#N/A</v>
      </c>
    </row>
    <row r="20871" spans="1:1" x14ac:dyDescent="0.25">
      <c r="A20871" t="e">
        <v>#N/A</v>
      </c>
    </row>
    <row r="20872" spans="1:1" x14ac:dyDescent="0.25">
      <c r="A20872" t="e">
        <v>#N/A</v>
      </c>
    </row>
    <row r="20873" spans="1:1" x14ac:dyDescent="0.25">
      <c r="A20873" t="e">
        <v>#N/A</v>
      </c>
    </row>
    <row r="20874" spans="1:1" x14ac:dyDescent="0.25">
      <c r="A20874" t="e">
        <v>#N/A</v>
      </c>
    </row>
    <row r="20875" spans="1:1" x14ac:dyDescent="0.25">
      <c r="A20875" t="e">
        <v>#N/A</v>
      </c>
    </row>
    <row r="20876" spans="1:1" x14ac:dyDescent="0.25">
      <c r="A20876" t="e">
        <v>#N/A</v>
      </c>
    </row>
    <row r="20877" spans="1:1" x14ac:dyDescent="0.25">
      <c r="A20877" t="e">
        <v>#N/A</v>
      </c>
    </row>
    <row r="20878" spans="1:1" x14ac:dyDescent="0.25">
      <c r="A20878" t="e">
        <v>#N/A</v>
      </c>
    </row>
    <row r="20879" spans="1:1" x14ac:dyDescent="0.25">
      <c r="A20879" t="e">
        <v>#N/A</v>
      </c>
    </row>
    <row r="20880" spans="1:1" x14ac:dyDescent="0.25">
      <c r="A20880" t="e">
        <v>#N/A</v>
      </c>
    </row>
    <row r="20881" spans="1:1" x14ac:dyDescent="0.25">
      <c r="A20881" t="e">
        <v>#N/A</v>
      </c>
    </row>
    <row r="20882" spans="1:1" x14ac:dyDescent="0.25">
      <c r="A20882" t="e">
        <v>#N/A</v>
      </c>
    </row>
    <row r="20883" spans="1:1" x14ac:dyDescent="0.25">
      <c r="A20883" t="e">
        <v>#N/A</v>
      </c>
    </row>
    <row r="20884" spans="1:1" x14ac:dyDescent="0.25">
      <c r="A20884" t="e">
        <v>#N/A</v>
      </c>
    </row>
    <row r="20885" spans="1:1" x14ac:dyDescent="0.25">
      <c r="A20885" t="e">
        <v>#N/A</v>
      </c>
    </row>
    <row r="20886" spans="1:1" x14ac:dyDescent="0.25">
      <c r="A20886" t="e">
        <v>#N/A</v>
      </c>
    </row>
    <row r="20887" spans="1:1" x14ac:dyDescent="0.25">
      <c r="A20887" t="e">
        <v>#N/A</v>
      </c>
    </row>
    <row r="20888" spans="1:1" x14ac:dyDescent="0.25">
      <c r="A20888" t="e">
        <v>#N/A</v>
      </c>
    </row>
    <row r="20889" spans="1:1" x14ac:dyDescent="0.25">
      <c r="A20889" t="e">
        <v>#N/A</v>
      </c>
    </row>
    <row r="20890" spans="1:1" x14ac:dyDescent="0.25">
      <c r="A20890" t="e">
        <v>#N/A</v>
      </c>
    </row>
    <row r="20891" spans="1:1" x14ac:dyDescent="0.25">
      <c r="A20891" t="e">
        <v>#N/A</v>
      </c>
    </row>
    <row r="20892" spans="1:1" x14ac:dyDescent="0.25">
      <c r="A20892" t="e">
        <v>#N/A</v>
      </c>
    </row>
    <row r="20893" spans="1:1" x14ac:dyDescent="0.25">
      <c r="A20893" t="e">
        <v>#N/A</v>
      </c>
    </row>
    <row r="20894" spans="1:1" x14ac:dyDescent="0.25">
      <c r="A20894" t="e">
        <v>#N/A</v>
      </c>
    </row>
    <row r="20895" spans="1:1" x14ac:dyDescent="0.25">
      <c r="A20895" t="e">
        <v>#N/A</v>
      </c>
    </row>
    <row r="20896" spans="1:1" x14ac:dyDescent="0.25">
      <c r="A20896" t="e">
        <v>#N/A</v>
      </c>
    </row>
    <row r="20897" spans="1:1" x14ac:dyDescent="0.25">
      <c r="A20897" t="e">
        <v>#N/A</v>
      </c>
    </row>
    <row r="20898" spans="1:1" x14ac:dyDescent="0.25">
      <c r="A20898" t="e">
        <v>#N/A</v>
      </c>
    </row>
    <row r="20899" spans="1:1" x14ac:dyDescent="0.25">
      <c r="A20899" t="e">
        <v>#N/A</v>
      </c>
    </row>
    <row r="20900" spans="1:1" x14ac:dyDescent="0.25">
      <c r="A20900" t="e">
        <v>#N/A</v>
      </c>
    </row>
    <row r="20901" spans="1:1" x14ac:dyDescent="0.25">
      <c r="A20901" t="e">
        <v>#N/A</v>
      </c>
    </row>
    <row r="20902" spans="1:1" x14ac:dyDescent="0.25">
      <c r="A20902" t="e">
        <v>#N/A</v>
      </c>
    </row>
    <row r="20903" spans="1:1" x14ac:dyDescent="0.25">
      <c r="A20903" t="e">
        <v>#N/A</v>
      </c>
    </row>
    <row r="20904" spans="1:1" x14ac:dyDescent="0.25">
      <c r="A20904" t="e">
        <v>#N/A</v>
      </c>
    </row>
    <row r="20905" spans="1:1" x14ac:dyDescent="0.25">
      <c r="A20905" t="e">
        <v>#N/A</v>
      </c>
    </row>
    <row r="20906" spans="1:1" x14ac:dyDescent="0.25">
      <c r="A20906" t="e">
        <v>#N/A</v>
      </c>
    </row>
    <row r="20907" spans="1:1" x14ac:dyDescent="0.25">
      <c r="A20907" t="e">
        <v>#N/A</v>
      </c>
    </row>
    <row r="20908" spans="1:1" x14ac:dyDescent="0.25">
      <c r="A20908" t="e">
        <v>#N/A</v>
      </c>
    </row>
    <row r="20909" spans="1:1" x14ac:dyDescent="0.25">
      <c r="A20909" t="e">
        <v>#N/A</v>
      </c>
    </row>
    <row r="20910" spans="1:1" x14ac:dyDescent="0.25">
      <c r="A20910" t="e">
        <v>#N/A</v>
      </c>
    </row>
    <row r="20911" spans="1:1" x14ac:dyDescent="0.25">
      <c r="A20911" t="e">
        <v>#N/A</v>
      </c>
    </row>
    <row r="20912" spans="1:1" x14ac:dyDescent="0.25">
      <c r="A20912" t="e">
        <v>#N/A</v>
      </c>
    </row>
    <row r="20913" spans="1:1" x14ac:dyDescent="0.25">
      <c r="A20913" t="e">
        <v>#N/A</v>
      </c>
    </row>
    <row r="20914" spans="1:1" x14ac:dyDescent="0.25">
      <c r="A20914" t="e">
        <v>#N/A</v>
      </c>
    </row>
    <row r="20915" spans="1:1" x14ac:dyDescent="0.25">
      <c r="A20915" t="e">
        <v>#N/A</v>
      </c>
    </row>
    <row r="20916" spans="1:1" x14ac:dyDescent="0.25">
      <c r="A20916" t="e">
        <v>#N/A</v>
      </c>
    </row>
    <row r="20917" spans="1:1" x14ac:dyDescent="0.25">
      <c r="A20917" t="e">
        <v>#N/A</v>
      </c>
    </row>
    <row r="20918" spans="1:1" x14ac:dyDescent="0.25">
      <c r="A20918" t="e">
        <v>#N/A</v>
      </c>
    </row>
    <row r="20919" spans="1:1" x14ac:dyDescent="0.25">
      <c r="A20919" t="e">
        <v>#N/A</v>
      </c>
    </row>
    <row r="20920" spans="1:1" x14ac:dyDescent="0.25">
      <c r="A20920" t="e">
        <v>#N/A</v>
      </c>
    </row>
    <row r="20921" spans="1:1" x14ac:dyDescent="0.25">
      <c r="A20921" t="e">
        <v>#N/A</v>
      </c>
    </row>
    <row r="20922" spans="1:1" x14ac:dyDescent="0.25">
      <c r="A20922" t="e">
        <v>#N/A</v>
      </c>
    </row>
    <row r="20923" spans="1:1" x14ac:dyDescent="0.25">
      <c r="A20923" t="e">
        <v>#N/A</v>
      </c>
    </row>
    <row r="20924" spans="1:1" x14ac:dyDescent="0.25">
      <c r="A20924" t="e">
        <v>#N/A</v>
      </c>
    </row>
    <row r="20925" spans="1:1" x14ac:dyDescent="0.25">
      <c r="A20925" t="e">
        <v>#N/A</v>
      </c>
    </row>
    <row r="20926" spans="1:1" x14ac:dyDescent="0.25">
      <c r="A20926" t="e">
        <v>#N/A</v>
      </c>
    </row>
    <row r="20927" spans="1:1" x14ac:dyDescent="0.25">
      <c r="A20927" t="e">
        <v>#N/A</v>
      </c>
    </row>
    <row r="20928" spans="1:1" x14ac:dyDescent="0.25">
      <c r="A20928" t="e">
        <v>#N/A</v>
      </c>
    </row>
    <row r="20929" spans="1:1" x14ac:dyDescent="0.25">
      <c r="A20929" t="e">
        <v>#N/A</v>
      </c>
    </row>
    <row r="20930" spans="1:1" x14ac:dyDescent="0.25">
      <c r="A20930" t="e">
        <v>#N/A</v>
      </c>
    </row>
    <row r="20931" spans="1:1" x14ac:dyDescent="0.25">
      <c r="A20931" t="e">
        <v>#N/A</v>
      </c>
    </row>
    <row r="20932" spans="1:1" x14ac:dyDescent="0.25">
      <c r="A20932" t="e">
        <v>#N/A</v>
      </c>
    </row>
    <row r="20933" spans="1:1" x14ac:dyDescent="0.25">
      <c r="A20933" t="e">
        <v>#N/A</v>
      </c>
    </row>
    <row r="20934" spans="1:1" x14ac:dyDescent="0.25">
      <c r="A20934" t="e">
        <v>#N/A</v>
      </c>
    </row>
    <row r="20935" spans="1:1" x14ac:dyDescent="0.25">
      <c r="A20935" t="e">
        <v>#N/A</v>
      </c>
    </row>
    <row r="20936" spans="1:1" x14ac:dyDescent="0.25">
      <c r="A20936" t="e">
        <v>#N/A</v>
      </c>
    </row>
    <row r="20937" spans="1:1" x14ac:dyDescent="0.25">
      <c r="A20937" t="e">
        <v>#N/A</v>
      </c>
    </row>
    <row r="20938" spans="1:1" x14ac:dyDescent="0.25">
      <c r="A20938" t="e">
        <v>#N/A</v>
      </c>
    </row>
    <row r="20939" spans="1:1" x14ac:dyDescent="0.25">
      <c r="A20939" t="e">
        <v>#N/A</v>
      </c>
    </row>
    <row r="20940" spans="1:1" x14ac:dyDescent="0.25">
      <c r="A20940" t="e">
        <v>#N/A</v>
      </c>
    </row>
    <row r="20941" spans="1:1" x14ac:dyDescent="0.25">
      <c r="A20941" t="e">
        <v>#N/A</v>
      </c>
    </row>
    <row r="20942" spans="1:1" x14ac:dyDescent="0.25">
      <c r="A20942" t="e">
        <v>#N/A</v>
      </c>
    </row>
    <row r="20943" spans="1:1" x14ac:dyDescent="0.25">
      <c r="A20943" t="e">
        <v>#N/A</v>
      </c>
    </row>
    <row r="20944" spans="1:1" x14ac:dyDescent="0.25">
      <c r="A20944" t="e">
        <v>#N/A</v>
      </c>
    </row>
    <row r="20945" spans="1:1" x14ac:dyDescent="0.25">
      <c r="A20945" t="e">
        <v>#N/A</v>
      </c>
    </row>
    <row r="20946" spans="1:1" x14ac:dyDescent="0.25">
      <c r="A20946" t="e">
        <v>#N/A</v>
      </c>
    </row>
    <row r="20947" spans="1:1" x14ac:dyDescent="0.25">
      <c r="A20947" t="e">
        <v>#N/A</v>
      </c>
    </row>
    <row r="20948" spans="1:1" x14ac:dyDescent="0.25">
      <c r="A20948" t="e">
        <v>#N/A</v>
      </c>
    </row>
    <row r="20949" spans="1:1" x14ac:dyDescent="0.25">
      <c r="A20949" t="e">
        <v>#N/A</v>
      </c>
    </row>
    <row r="20950" spans="1:1" x14ac:dyDescent="0.25">
      <c r="A20950" t="e">
        <v>#N/A</v>
      </c>
    </row>
    <row r="20951" spans="1:1" x14ac:dyDescent="0.25">
      <c r="A20951" t="e">
        <v>#N/A</v>
      </c>
    </row>
    <row r="20952" spans="1:1" x14ac:dyDescent="0.25">
      <c r="A20952" t="e">
        <v>#N/A</v>
      </c>
    </row>
    <row r="20953" spans="1:1" x14ac:dyDescent="0.25">
      <c r="A20953" t="e">
        <v>#N/A</v>
      </c>
    </row>
    <row r="20954" spans="1:1" x14ac:dyDescent="0.25">
      <c r="A20954" t="e">
        <v>#N/A</v>
      </c>
    </row>
    <row r="20955" spans="1:1" x14ac:dyDescent="0.25">
      <c r="A20955" t="e">
        <v>#N/A</v>
      </c>
    </row>
    <row r="20956" spans="1:1" x14ac:dyDescent="0.25">
      <c r="A20956" t="e">
        <v>#N/A</v>
      </c>
    </row>
    <row r="20957" spans="1:1" x14ac:dyDescent="0.25">
      <c r="A20957" t="e">
        <v>#N/A</v>
      </c>
    </row>
    <row r="20958" spans="1:1" x14ac:dyDescent="0.25">
      <c r="A20958" t="e">
        <v>#N/A</v>
      </c>
    </row>
    <row r="20959" spans="1:1" x14ac:dyDescent="0.25">
      <c r="A20959" t="e">
        <v>#N/A</v>
      </c>
    </row>
    <row r="20960" spans="1:1" x14ac:dyDescent="0.25">
      <c r="A20960" t="e">
        <v>#N/A</v>
      </c>
    </row>
    <row r="20961" spans="1:1" x14ac:dyDescent="0.25">
      <c r="A20961" t="e">
        <v>#N/A</v>
      </c>
    </row>
    <row r="20962" spans="1:1" x14ac:dyDescent="0.25">
      <c r="A20962" t="e">
        <v>#N/A</v>
      </c>
    </row>
    <row r="20963" spans="1:1" x14ac:dyDescent="0.25">
      <c r="A20963" t="e">
        <v>#N/A</v>
      </c>
    </row>
    <row r="20964" spans="1:1" x14ac:dyDescent="0.25">
      <c r="A20964" t="e">
        <v>#N/A</v>
      </c>
    </row>
    <row r="20965" spans="1:1" x14ac:dyDescent="0.25">
      <c r="A20965" t="e">
        <v>#N/A</v>
      </c>
    </row>
    <row r="20966" spans="1:1" x14ac:dyDescent="0.25">
      <c r="A20966" t="e">
        <v>#N/A</v>
      </c>
    </row>
    <row r="20967" spans="1:1" x14ac:dyDescent="0.25">
      <c r="A20967" t="e">
        <v>#N/A</v>
      </c>
    </row>
    <row r="20968" spans="1:1" x14ac:dyDescent="0.25">
      <c r="A20968" t="e">
        <v>#N/A</v>
      </c>
    </row>
    <row r="20969" spans="1:1" x14ac:dyDescent="0.25">
      <c r="A20969" t="e">
        <v>#N/A</v>
      </c>
    </row>
    <row r="20970" spans="1:1" x14ac:dyDescent="0.25">
      <c r="A20970" t="e">
        <v>#N/A</v>
      </c>
    </row>
    <row r="20971" spans="1:1" x14ac:dyDescent="0.25">
      <c r="A20971" t="e">
        <v>#N/A</v>
      </c>
    </row>
    <row r="20972" spans="1:1" x14ac:dyDescent="0.25">
      <c r="A20972" t="e">
        <v>#N/A</v>
      </c>
    </row>
    <row r="20973" spans="1:1" x14ac:dyDescent="0.25">
      <c r="A20973" t="e">
        <v>#N/A</v>
      </c>
    </row>
    <row r="20974" spans="1:1" x14ac:dyDescent="0.25">
      <c r="A20974" t="e">
        <v>#N/A</v>
      </c>
    </row>
    <row r="20975" spans="1:1" x14ac:dyDescent="0.25">
      <c r="A20975" t="e">
        <v>#N/A</v>
      </c>
    </row>
    <row r="20976" spans="1:1" x14ac:dyDescent="0.25">
      <c r="A20976" t="e">
        <v>#N/A</v>
      </c>
    </row>
    <row r="20977" spans="1:1" x14ac:dyDescent="0.25">
      <c r="A20977" t="e">
        <v>#N/A</v>
      </c>
    </row>
    <row r="20978" spans="1:1" x14ac:dyDescent="0.25">
      <c r="A20978" t="e">
        <v>#N/A</v>
      </c>
    </row>
    <row r="20979" spans="1:1" x14ac:dyDescent="0.25">
      <c r="A20979" t="e">
        <v>#N/A</v>
      </c>
    </row>
    <row r="20980" spans="1:1" x14ac:dyDescent="0.25">
      <c r="A20980" t="e">
        <v>#N/A</v>
      </c>
    </row>
    <row r="20981" spans="1:1" x14ac:dyDescent="0.25">
      <c r="A20981" t="e">
        <v>#N/A</v>
      </c>
    </row>
    <row r="20982" spans="1:1" x14ac:dyDescent="0.25">
      <c r="A20982" t="e">
        <v>#N/A</v>
      </c>
    </row>
    <row r="20983" spans="1:1" x14ac:dyDescent="0.25">
      <c r="A20983" t="e">
        <v>#N/A</v>
      </c>
    </row>
    <row r="20984" spans="1:1" x14ac:dyDescent="0.25">
      <c r="A20984" t="e">
        <v>#N/A</v>
      </c>
    </row>
    <row r="20985" spans="1:1" x14ac:dyDescent="0.25">
      <c r="A20985" t="e">
        <v>#N/A</v>
      </c>
    </row>
    <row r="20986" spans="1:1" x14ac:dyDescent="0.25">
      <c r="A20986" t="e">
        <v>#N/A</v>
      </c>
    </row>
    <row r="20987" spans="1:1" x14ac:dyDescent="0.25">
      <c r="A20987" t="e">
        <v>#N/A</v>
      </c>
    </row>
    <row r="20988" spans="1:1" x14ac:dyDescent="0.25">
      <c r="A20988" t="e">
        <v>#N/A</v>
      </c>
    </row>
    <row r="20989" spans="1:1" x14ac:dyDescent="0.25">
      <c r="A20989" t="e">
        <v>#N/A</v>
      </c>
    </row>
    <row r="20990" spans="1:1" x14ac:dyDescent="0.25">
      <c r="A20990" t="e">
        <v>#N/A</v>
      </c>
    </row>
    <row r="20991" spans="1:1" x14ac:dyDescent="0.25">
      <c r="A20991" t="e">
        <v>#N/A</v>
      </c>
    </row>
    <row r="20992" spans="1:1" x14ac:dyDescent="0.25">
      <c r="A20992" t="e">
        <v>#N/A</v>
      </c>
    </row>
    <row r="20993" spans="1:1" x14ac:dyDescent="0.25">
      <c r="A20993" t="e">
        <v>#N/A</v>
      </c>
    </row>
    <row r="20994" spans="1:1" x14ac:dyDescent="0.25">
      <c r="A20994" t="e">
        <v>#N/A</v>
      </c>
    </row>
    <row r="20995" spans="1:1" x14ac:dyDescent="0.25">
      <c r="A20995" t="e">
        <v>#N/A</v>
      </c>
    </row>
    <row r="20996" spans="1:1" x14ac:dyDescent="0.25">
      <c r="A20996" t="e">
        <v>#N/A</v>
      </c>
    </row>
    <row r="20997" spans="1:1" x14ac:dyDescent="0.25">
      <c r="A20997" t="e">
        <v>#N/A</v>
      </c>
    </row>
    <row r="20998" spans="1:1" x14ac:dyDescent="0.25">
      <c r="A20998" t="e">
        <v>#N/A</v>
      </c>
    </row>
    <row r="20999" spans="1:1" x14ac:dyDescent="0.25">
      <c r="A20999" t="e">
        <v>#N/A</v>
      </c>
    </row>
    <row r="21000" spans="1:1" x14ac:dyDescent="0.25">
      <c r="A21000" t="e">
        <v>#N/A</v>
      </c>
    </row>
    <row r="21001" spans="1:1" x14ac:dyDescent="0.25">
      <c r="A21001" t="e">
        <v>#N/A</v>
      </c>
    </row>
    <row r="21002" spans="1:1" x14ac:dyDescent="0.25">
      <c r="A21002" t="e">
        <v>#N/A</v>
      </c>
    </row>
    <row r="21003" spans="1:1" x14ac:dyDescent="0.25">
      <c r="A21003" t="e">
        <v>#N/A</v>
      </c>
    </row>
    <row r="21004" spans="1:1" x14ac:dyDescent="0.25">
      <c r="A21004" t="e">
        <v>#N/A</v>
      </c>
    </row>
    <row r="21005" spans="1:1" x14ac:dyDescent="0.25">
      <c r="A21005" t="e">
        <v>#N/A</v>
      </c>
    </row>
    <row r="21006" spans="1:1" x14ac:dyDescent="0.25">
      <c r="A21006" t="e">
        <v>#N/A</v>
      </c>
    </row>
    <row r="21007" spans="1:1" x14ac:dyDescent="0.25">
      <c r="A21007" t="e">
        <v>#N/A</v>
      </c>
    </row>
    <row r="21008" spans="1:1" x14ac:dyDescent="0.25">
      <c r="A21008" t="e">
        <v>#N/A</v>
      </c>
    </row>
    <row r="21009" spans="1:1" x14ac:dyDescent="0.25">
      <c r="A21009" t="e">
        <v>#N/A</v>
      </c>
    </row>
    <row r="21010" spans="1:1" x14ac:dyDescent="0.25">
      <c r="A21010" t="e">
        <v>#N/A</v>
      </c>
    </row>
    <row r="21011" spans="1:1" x14ac:dyDescent="0.25">
      <c r="A21011" t="e">
        <v>#N/A</v>
      </c>
    </row>
    <row r="21012" spans="1:1" x14ac:dyDescent="0.25">
      <c r="A21012" t="e">
        <v>#N/A</v>
      </c>
    </row>
    <row r="21013" spans="1:1" x14ac:dyDescent="0.25">
      <c r="A21013" t="e">
        <v>#N/A</v>
      </c>
    </row>
    <row r="21014" spans="1:1" x14ac:dyDescent="0.25">
      <c r="A21014" t="e">
        <v>#N/A</v>
      </c>
    </row>
    <row r="21015" spans="1:1" x14ac:dyDescent="0.25">
      <c r="A21015" t="e">
        <v>#N/A</v>
      </c>
    </row>
    <row r="21016" spans="1:1" x14ac:dyDescent="0.25">
      <c r="A21016" t="e">
        <v>#N/A</v>
      </c>
    </row>
    <row r="21017" spans="1:1" x14ac:dyDescent="0.25">
      <c r="A21017" t="e">
        <v>#N/A</v>
      </c>
    </row>
    <row r="21018" spans="1:1" x14ac:dyDescent="0.25">
      <c r="A21018" t="e">
        <v>#N/A</v>
      </c>
    </row>
    <row r="21019" spans="1:1" x14ac:dyDescent="0.25">
      <c r="A21019" t="e">
        <v>#N/A</v>
      </c>
    </row>
    <row r="21020" spans="1:1" x14ac:dyDescent="0.25">
      <c r="A21020" t="e">
        <v>#N/A</v>
      </c>
    </row>
    <row r="21021" spans="1:1" x14ac:dyDescent="0.25">
      <c r="A21021" t="e">
        <v>#N/A</v>
      </c>
    </row>
    <row r="21022" spans="1:1" x14ac:dyDescent="0.25">
      <c r="A21022" t="e">
        <v>#N/A</v>
      </c>
    </row>
    <row r="21023" spans="1:1" x14ac:dyDescent="0.25">
      <c r="A21023" t="e">
        <v>#N/A</v>
      </c>
    </row>
    <row r="21024" spans="1:1" x14ac:dyDescent="0.25">
      <c r="A21024" t="e">
        <v>#N/A</v>
      </c>
    </row>
    <row r="21025" spans="1:1" x14ac:dyDescent="0.25">
      <c r="A21025" t="e">
        <v>#N/A</v>
      </c>
    </row>
    <row r="21026" spans="1:1" x14ac:dyDescent="0.25">
      <c r="A21026" t="e">
        <v>#N/A</v>
      </c>
    </row>
    <row r="21027" spans="1:1" x14ac:dyDescent="0.25">
      <c r="A21027" t="e">
        <v>#N/A</v>
      </c>
    </row>
    <row r="21028" spans="1:1" x14ac:dyDescent="0.25">
      <c r="A21028" t="e">
        <v>#N/A</v>
      </c>
    </row>
    <row r="21029" spans="1:1" x14ac:dyDescent="0.25">
      <c r="A21029" t="e">
        <v>#N/A</v>
      </c>
    </row>
    <row r="21030" spans="1:1" x14ac:dyDescent="0.25">
      <c r="A21030" t="e">
        <v>#N/A</v>
      </c>
    </row>
    <row r="21031" spans="1:1" x14ac:dyDescent="0.25">
      <c r="A21031" t="e">
        <v>#N/A</v>
      </c>
    </row>
    <row r="21032" spans="1:1" x14ac:dyDescent="0.25">
      <c r="A21032" t="e">
        <v>#N/A</v>
      </c>
    </row>
    <row r="21033" spans="1:1" x14ac:dyDescent="0.25">
      <c r="A21033" t="e">
        <v>#N/A</v>
      </c>
    </row>
    <row r="21034" spans="1:1" x14ac:dyDescent="0.25">
      <c r="A21034" t="e">
        <v>#N/A</v>
      </c>
    </row>
    <row r="21035" spans="1:1" x14ac:dyDescent="0.25">
      <c r="A21035" t="e">
        <v>#N/A</v>
      </c>
    </row>
    <row r="21036" spans="1:1" x14ac:dyDescent="0.25">
      <c r="A21036" t="e">
        <v>#N/A</v>
      </c>
    </row>
    <row r="21037" spans="1:1" x14ac:dyDescent="0.25">
      <c r="A21037" t="e">
        <v>#N/A</v>
      </c>
    </row>
    <row r="21038" spans="1:1" x14ac:dyDescent="0.25">
      <c r="A21038" t="e">
        <v>#N/A</v>
      </c>
    </row>
    <row r="21039" spans="1:1" x14ac:dyDescent="0.25">
      <c r="A21039" t="e">
        <v>#N/A</v>
      </c>
    </row>
    <row r="21040" spans="1:1" x14ac:dyDescent="0.25">
      <c r="A21040" t="e">
        <v>#N/A</v>
      </c>
    </row>
    <row r="21041" spans="1:1" x14ac:dyDescent="0.25">
      <c r="A21041" t="e">
        <v>#N/A</v>
      </c>
    </row>
    <row r="21042" spans="1:1" x14ac:dyDescent="0.25">
      <c r="A21042" t="e">
        <v>#N/A</v>
      </c>
    </row>
    <row r="21043" spans="1:1" x14ac:dyDescent="0.25">
      <c r="A21043" t="e">
        <v>#N/A</v>
      </c>
    </row>
    <row r="21044" spans="1:1" x14ac:dyDescent="0.25">
      <c r="A21044" t="e">
        <v>#N/A</v>
      </c>
    </row>
    <row r="21045" spans="1:1" x14ac:dyDescent="0.25">
      <c r="A21045" t="e">
        <v>#N/A</v>
      </c>
    </row>
    <row r="21046" spans="1:1" x14ac:dyDescent="0.25">
      <c r="A21046" t="e">
        <v>#N/A</v>
      </c>
    </row>
    <row r="21047" spans="1:1" x14ac:dyDescent="0.25">
      <c r="A21047" t="e">
        <v>#N/A</v>
      </c>
    </row>
    <row r="21048" spans="1:1" x14ac:dyDescent="0.25">
      <c r="A21048" t="e">
        <v>#N/A</v>
      </c>
    </row>
    <row r="21049" spans="1:1" x14ac:dyDescent="0.25">
      <c r="A21049" t="e">
        <v>#N/A</v>
      </c>
    </row>
    <row r="21050" spans="1:1" x14ac:dyDescent="0.25">
      <c r="A21050" t="e">
        <v>#N/A</v>
      </c>
    </row>
    <row r="21051" spans="1:1" x14ac:dyDescent="0.25">
      <c r="A21051" t="e">
        <v>#N/A</v>
      </c>
    </row>
    <row r="21052" spans="1:1" x14ac:dyDescent="0.25">
      <c r="A21052" t="e">
        <v>#N/A</v>
      </c>
    </row>
    <row r="21053" spans="1:1" x14ac:dyDescent="0.25">
      <c r="A21053" t="e">
        <v>#N/A</v>
      </c>
    </row>
    <row r="21054" spans="1:1" x14ac:dyDescent="0.25">
      <c r="A21054" t="e">
        <v>#N/A</v>
      </c>
    </row>
    <row r="21055" spans="1:1" x14ac:dyDescent="0.25">
      <c r="A21055" t="e">
        <v>#N/A</v>
      </c>
    </row>
    <row r="21056" spans="1:1" x14ac:dyDescent="0.25">
      <c r="A21056" t="e">
        <v>#N/A</v>
      </c>
    </row>
    <row r="21057" spans="1:1" x14ac:dyDescent="0.25">
      <c r="A21057" t="e">
        <v>#N/A</v>
      </c>
    </row>
    <row r="21058" spans="1:1" x14ac:dyDescent="0.25">
      <c r="A21058" t="e">
        <v>#N/A</v>
      </c>
    </row>
    <row r="21059" spans="1:1" x14ac:dyDescent="0.25">
      <c r="A21059" t="e">
        <v>#N/A</v>
      </c>
    </row>
    <row r="21060" spans="1:1" x14ac:dyDescent="0.25">
      <c r="A21060" t="e">
        <v>#N/A</v>
      </c>
    </row>
    <row r="21061" spans="1:1" x14ac:dyDescent="0.25">
      <c r="A21061" t="e">
        <v>#N/A</v>
      </c>
    </row>
    <row r="21062" spans="1:1" x14ac:dyDescent="0.25">
      <c r="A21062" t="e">
        <v>#N/A</v>
      </c>
    </row>
    <row r="21063" spans="1:1" x14ac:dyDescent="0.25">
      <c r="A21063" t="e">
        <v>#N/A</v>
      </c>
    </row>
    <row r="21064" spans="1:1" x14ac:dyDescent="0.25">
      <c r="A21064" t="e">
        <v>#N/A</v>
      </c>
    </row>
    <row r="21065" spans="1:1" x14ac:dyDescent="0.25">
      <c r="A21065" t="e">
        <v>#N/A</v>
      </c>
    </row>
    <row r="21066" spans="1:1" x14ac:dyDescent="0.25">
      <c r="A21066" t="e">
        <v>#N/A</v>
      </c>
    </row>
    <row r="21067" spans="1:1" x14ac:dyDescent="0.25">
      <c r="A21067" t="e">
        <v>#N/A</v>
      </c>
    </row>
    <row r="21068" spans="1:1" x14ac:dyDescent="0.25">
      <c r="A21068" t="e">
        <v>#N/A</v>
      </c>
    </row>
    <row r="21069" spans="1:1" x14ac:dyDescent="0.25">
      <c r="A21069" t="e">
        <v>#N/A</v>
      </c>
    </row>
    <row r="21070" spans="1:1" x14ac:dyDescent="0.25">
      <c r="A21070" t="e">
        <v>#N/A</v>
      </c>
    </row>
    <row r="21071" spans="1:1" x14ac:dyDescent="0.25">
      <c r="A21071" t="e">
        <v>#N/A</v>
      </c>
    </row>
    <row r="21072" spans="1:1" x14ac:dyDescent="0.25">
      <c r="A21072" t="e">
        <v>#N/A</v>
      </c>
    </row>
    <row r="21073" spans="1:1" x14ac:dyDescent="0.25">
      <c r="A21073" t="e">
        <v>#N/A</v>
      </c>
    </row>
    <row r="21074" spans="1:1" x14ac:dyDescent="0.25">
      <c r="A21074" t="e">
        <v>#N/A</v>
      </c>
    </row>
    <row r="21075" spans="1:1" x14ac:dyDescent="0.25">
      <c r="A21075" t="e">
        <v>#N/A</v>
      </c>
    </row>
    <row r="21076" spans="1:1" x14ac:dyDescent="0.25">
      <c r="A21076" t="e">
        <v>#N/A</v>
      </c>
    </row>
    <row r="21077" spans="1:1" x14ac:dyDescent="0.25">
      <c r="A21077" t="e">
        <v>#N/A</v>
      </c>
    </row>
    <row r="21078" spans="1:1" x14ac:dyDescent="0.25">
      <c r="A21078" t="e">
        <v>#N/A</v>
      </c>
    </row>
    <row r="21079" spans="1:1" x14ac:dyDescent="0.25">
      <c r="A21079" t="e">
        <v>#N/A</v>
      </c>
    </row>
    <row r="21080" spans="1:1" x14ac:dyDescent="0.25">
      <c r="A21080" t="e">
        <v>#N/A</v>
      </c>
    </row>
    <row r="21081" spans="1:1" x14ac:dyDescent="0.25">
      <c r="A21081" t="e">
        <v>#N/A</v>
      </c>
    </row>
    <row r="21082" spans="1:1" x14ac:dyDescent="0.25">
      <c r="A21082" t="e">
        <v>#N/A</v>
      </c>
    </row>
    <row r="21083" spans="1:1" x14ac:dyDescent="0.25">
      <c r="A21083" t="e">
        <v>#N/A</v>
      </c>
    </row>
    <row r="21084" spans="1:1" x14ac:dyDescent="0.25">
      <c r="A21084" t="e">
        <v>#N/A</v>
      </c>
    </row>
    <row r="21085" spans="1:1" x14ac:dyDescent="0.25">
      <c r="A21085" t="e">
        <v>#N/A</v>
      </c>
    </row>
    <row r="21086" spans="1:1" x14ac:dyDescent="0.25">
      <c r="A21086" t="e">
        <v>#N/A</v>
      </c>
    </row>
    <row r="21087" spans="1:1" x14ac:dyDescent="0.25">
      <c r="A21087" t="e">
        <v>#N/A</v>
      </c>
    </row>
    <row r="21088" spans="1:1" x14ac:dyDescent="0.25">
      <c r="A21088" t="e">
        <v>#N/A</v>
      </c>
    </row>
    <row r="21089" spans="1:1" x14ac:dyDescent="0.25">
      <c r="A21089" t="e">
        <v>#N/A</v>
      </c>
    </row>
    <row r="21090" spans="1:1" x14ac:dyDescent="0.25">
      <c r="A21090" t="e">
        <v>#N/A</v>
      </c>
    </row>
    <row r="21091" spans="1:1" x14ac:dyDescent="0.25">
      <c r="A21091" t="e">
        <v>#N/A</v>
      </c>
    </row>
    <row r="21092" spans="1:1" x14ac:dyDescent="0.25">
      <c r="A21092" t="e">
        <v>#N/A</v>
      </c>
    </row>
    <row r="21093" spans="1:1" x14ac:dyDescent="0.25">
      <c r="A21093" t="e">
        <v>#N/A</v>
      </c>
    </row>
    <row r="21094" spans="1:1" x14ac:dyDescent="0.25">
      <c r="A21094" t="e">
        <v>#N/A</v>
      </c>
    </row>
    <row r="21095" spans="1:1" x14ac:dyDescent="0.25">
      <c r="A21095" t="e">
        <v>#N/A</v>
      </c>
    </row>
    <row r="21096" spans="1:1" x14ac:dyDescent="0.25">
      <c r="A21096" t="e">
        <v>#N/A</v>
      </c>
    </row>
    <row r="21097" spans="1:1" x14ac:dyDescent="0.25">
      <c r="A21097" t="e">
        <v>#N/A</v>
      </c>
    </row>
    <row r="21098" spans="1:1" x14ac:dyDescent="0.25">
      <c r="A21098" t="e">
        <v>#N/A</v>
      </c>
    </row>
    <row r="21099" spans="1:1" x14ac:dyDescent="0.25">
      <c r="A21099" t="e">
        <v>#N/A</v>
      </c>
    </row>
    <row r="21100" spans="1:1" x14ac:dyDescent="0.25">
      <c r="A21100" t="e">
        <v>#N/A</v>
      </c>
    </row>
    <row r="21101" spans="1:1" x14ac:dyDescent="0.25">
      <c r="A21101" t="e">
        <v>#N/A</v>
      </c>
    </row>
    <row r="21102" spans="1:1" x14ac:dyDescent="0.25">
      <c r="A21102" t="e">
        <v>#N/A</v>
      </c>
    </row>
    <row r="21103" spans="1:1" x14ac:dyDescent="0.25">
      <c r="A21103" t="e">
        <v>#N/A</v>
      </c>
    </row>
    <row r="21104" spans="1:1" x14ac:dyDescent="0.25">
      <c r="A21104" t="e">
        <v>#N/A</v>
      </c>
    </row>
    <row r="21105" spans="1:1" x14ac:dyDescent="0.25">
      <c r="A21105" t="e">
        <v>#N/A</v>
      </c>
    </row>
    <row r="21106" spans="1:1" x14ac:dyDescent="0.25">
      <c r="A21106" t="e">
        <v>#N/A</v>
      </c>
    </row>
    <row r="21107" spans="1:1" x14ac:dyDescent="0.25">
      <c r="A21107" t="e">
        <v>#N/A</v>
      </c>
    </row>
    <row r="21108" spans="1:1" x14ac:dyDescent="0.25">
      <c r="A21108" t="e">
        <v>#N/A</v>
      </c>
    </row>
    <row r="21109" spans="1:1" x14ac:dyDescent="0.25">
      <c r="A21109" t="e">
        <v>#N/A</v>
      </c>
    </row>
    <row r="21110" spans="1:1" x14ac:dyDescent="0.25">
      <c r="A21110" t="e">
        <v>#N/A</v>
      </c>
    </row>
    <row r="21111" spans="1:1" x14ac:dyDescent="0.25">
      <c r="A21111" t="e">
        <v>#N/A</v>
      </c>
    </row>
    <row r="21112" spans="1:1" x14ac:dyDescent="0.25">
      <c r="A21112" t="e">
        <v>#N/A</v>
      </c>
    </row>
    <row r="21113" spans="1:1" x14ac:dyDescent="0.25">
      <c r="A21113" t="e">
        <v>#N/A</v>
      </c>
    </row>
    <row r="21114" spans="1:1" x14ac:dyDescent="0.25">
      <c r="A21114" t="e">
        <v>#N/A</v>
      </c>
    </row>
    <row r="21115" spans="1:1" x14ac:dyDescent="0.25">
      <c r="A21115" t="e">
        <v>#N/A</v>
      </c>
    </row>
    <row r="21116" spans="1:1" x14ac:dyDescent="0.25">
      <c r="A21116" t="e">
        <v>#N/A</v>
      </c>
    </row>
    <row r="21117" spans="1:1" x14ac:dyDescent="0.25">
      <c r="A21117" t="e">
        <v>#N/A</v>
      </c>
    </row>
    <row r="21118" spans="1:1" x14ac:dyDescent="0.25">
      <c r="A21118" t="e">
        <v>#N/A</v>
      </c>
    </row>
    <row r="21119" spans="1:1" x14ac:dyDescent="0.25">
      <c r="A21119" t="e">
        <v>#N/A</v>
      </c>
    </row>
    <row r="21120" spans="1:1" x14ac:dyDescent="0.25">
      <c r="A21120" t="e">
        <v>#N/A</v>
      </c>
    </row>
    <row r="21121" spans="1:1" x14ac:dyDescent="0.25">
      <c r="A21121" t="e">
        <v>#N/A</v>
      </c>
    </row>
    <row r="21122" spans="1:1" x14ac:dyDescent="0.25">
      <c r="A21122" t="e">
        <v>#N/A</v>
      </c>
    </row>
    <row r="21123" spans="1:1" x14ac:dyDescent="0.25">
      <c r="A21123" t="e">
        <v>#N/A</v>
      </c>
    </row>
    <row r="21124" spans="1:1" x14ac:dyDescent="0.25">
      <c r="A21124" t="e">
        <v>#N/A</v>
      </c>
    </row>
    <row r="21125" spans="1:1" x14ac:dyDescent="0.25">
      <c r="A21125" t="e">
        <v>#N/A</v>
      </c>
    </row>
    <row r="21126" spans="1:1" x14ac:dyDescent="0.25">
      <c r="A21126" t="e">
        <v>#N/A</v>
      </c>
    </row>
    <row r="21127" spans="1:1" x14ac:dyDescent="0.25">
      <c r="A21127" t="e">
        <v>#N/A</v>
      </c>
    </row>
    <row r="21128" spans="1:1" x14ac:dyDescent="0.25">
      <c r="A21128" t="e">
        <v>#N/A</v>
      </c>
    </row>
    <row r="21129" spans="1:1" x14ac:dyDescent="0.25">
      <c r="A21129" t="e">
        <v>#N/A</v>
      </c>
    </row>
    <row r="21130" spans="1:1" x14ac:dyDescent="0.25">
      <c r="A21130" t="e">
        <v>#N/A</v>
      </c>
    </row>
    <row r="21131" spans="1:1" x14ac:dyDescent="0.25">
      <c r="A21131" t="e">
        <v>#N/A</v>
      </c>
    </row>
    <row r="21132" spans="1:1" x14ac:dyDescent="0.25">
      <c r="A21132" t="e">
        <v>#N/A</v>
      </c>
    </row>
    <row r="21133" spans="1:1" x14ac:dyDescent="0.25">
      <c r="A21133" t="e">
        <v>#N/A</v>
      </c>
    </row>
    <row r="21134" spans="1:1" x14ac:dyDescent="0.25">
      <c r="A21134" t="e">
        <v>#N/A</v>
      </c>
    </row>
    <row r="21135" spans="1:1" x14ac:dyDescent="0.25">
      <c r="A21135" t="e">
        <v>#N/A</v>
      </c>
    </row>
    <row r="21136" spans="1:1" x14ac:dyDescent="0.25">
      <c r="A21136" t="e">
        <v>#N/A</v>
      </c>
    </row>
    <row r="21137" spans="1:1" x14ac:dyDescent="0.25">
      <c r="A21137" t="e">
        <v>#N/A</v>
      </c>
    </row>
    <row r="21138" spans="1:1" x14ac:dyDescent="0.25">
      <c r="A21138" t="e">
        <v>#N/A</v>
      </c>
    </row>
    <row r="21139" spans="1:1" x14ac:dyDescent="0.25">
      <c r="A21139" t="e">
        <v>#N/A</v>
      </c>
    </row>
    <row r="21140" spans="1:1" x14ac:dyDescent="0.25">
      <c r="A21140" t="e">
        <v>#N/A</v>
      </c>
    </row>
    <row r="21141" spans="1:1" x14ac:dyDescent="0.25">
      <c r="A21141" t="e">
        <v>#N/A</v>
      </c>
    </row>
    <row r="21142" spans="1:1" x14ac:dyDescent="0.25">
      <c r="A21142" t="e">
        <v>#N/A</v>
      </c>
    </row>
    <row r="21143" spans="1:1" x14ac:dyDescent="0.25">
      <c r="A21143" t="e">
        <v>#N/A</v>
      </c>
    </row>
    <row r="21144" spans="1:1" x14ac:dyDescent="0.25">
      <c r="A21144" t="e">
        <v>#N/A</v>
      </c>
    </row>
    <row r="21145" spans="1:1" x14ac:dyDescent="0.25">
      <c r="A21145" t="e">
        <v>#N/A</v>
      </c>
    </row>
    <row r="21146" spans="1:1" x14ac:dyDescent="0.25">
      <c r="A21146" t="e">
        <v>#N/A</v>
      </c>
    </row>
    <row r="21147" spans="1:1" x14ac:dyDescent="0.25">
      <c r="A21147" t="e">
        <v>#N/A</v>
      </c>
    </row>
    <row r="21148" spans="1:1" x14ac:dyDescent="0.25">
      <c r="A21148" t="e">
        <v>#N/A</v>
      </c>
    </row>
    <row r="21149" spans="1:1" x14ac:dyDescent="0.25">
      <c r="A21149" t="e">
        <v>#N/A</v>
      </c>
    </row>
    <row r="21150" spans="1:1" x14ac:dyDescent="0.25">
      <c r="A21150" t="e">
        <v>#N/A</v>
      </c>
    </row>
    <row r="21151" spans="1:1" x14ac:dyDescent="0.25">
      <c r="A21151" t="e">
        <v>#N/A</v>
      </c>
    </row>
    <row r="21152" spans="1:1" x14ac:dyDescent="0.25">
      <c r="A21152" t="e">
        <v>#N/A</v>
      </c>
    </row>
    <row r="21153" spans="1:1" x14ac:dyDescent="0.25">
      <c r="A21153" t="e">
        <v>#N/A</v>
      </c>
    </row>
    <row r="21154" spans="1:1" x14ac:dyDescent="0.25">
      <c r="A21154" t="e">
        <v>#N/A</v>
      </c>
    </row>
    <row r="21155" spans="1:1" x14ac:dyDescent="0.25">
      <c r="A21155" t="e">
        <v>#N/A</v>
      </c>
    </row>
    <row r="21156" spans="1:1" x14ac:dyDescent="0.25">
      <c r="A21156" t="e">
        <v>#N/A</v>
      </c>
    </row>
    <row r="21157" spans="1:1" x14ac:dyDescent="0.25">
      <c r="A21157" t="e">
        <v>#N/A</v>
      </c>
    </row>
    <row r="21158" spans="1:1" x14ac:dyDescent="0.25">
      <c r="A21158" t="e">
        <v>#N/A</v>
      </c>
    </row>
    <row r="21159" spans="1:1" x14ac:dyDescent="0.25">
      <c r="A21159" t="e">
        <v>#N/A</v>
      </c>
    </row>
    <row r="21160" spans="1:1" x14ac:dyDescent="0.25">
      <c r="A21160" t="e">
        <v>#N/A</v>
      </c>
    </row>
    <row r="21161" spans="1:1" x14ac:dyDescent="0.25">
      <c r="A21161" t="e">
        <v>#N/A</v>
      </c>
    </row>
    <row r="21162" spans="1:1" x14ac:dyDescent="0.25">
      <c r="A21162" t="e">
        <v>#N/A</v>
      </c>
    </row>
    <row r="21163" spans="1:1" x14ac:dyDescent="0.25">
      <c r="A21163" t="e">
        <v>#N/A</v>
      </c>
    </row>
    <row r="21164" spans="1:1" x14ac:dyDescent="0.25">
      <c r="A21164" t="e">
        <v>#N/A</v>
      </c>
    </row>
    <row r="21165" spans="1:1" x14ac:dyDescent="0.25">
      <c r="A21165" t="e">
        <v>#N/A</v>
      </c>
    </row>
    <row r="21166" spans="1:1" x14ac:dyDescent="0.25">
      <c r="A21166" t="e">
        <v>#N/A</v>
      </c>
    </row>
    <row r="21167" spans="1:1" x14ac:dyDescent="0.25">
      <c r="A21167" t="e">
        <v>#N/A</v>
      </c>
    </row>
    <row r="21168" spans="1:1" x14ac:dyDescent="0.25">
      <c r="A21168" t="e">
        <v>#N/A</v>
      </c>
    </row>
    <row r="21169" spans="1:1" x14ac:dyDescent="0.25">
      <c r="A21169" t="e">
        <v>#N/A</v>
      </c>
    </row>
    <row r="21170" spans="1:1" x14ac:dyDescent="0.25">
      <c r="A21170" t="e">
        <v>#N/A</v>
      </c>
    </row>
    <row r="21171" spans="1:1" x14ac:dyDescent="0.25">
      <c r="A21171" t="e">
        <v>#N/A</v>
      </c>
    </row>
    <row r="21172" spans="1:1" x14ac:dyDescent="0.25">
      <c r="A21172" t="e">
        <v>#N/A</v>
      </c>
    </row>
    <row r="21173" spans="1:1" x14ac:dyDescent="0.25">
      <c r="A21173" t="e">
        <v>#N/A</v>
      </c>
    </row>
    <row r="21174" spans="1:1" x14ac:dyDescent="0.25">
      <c r="A21174" t="e">
        <v>#N/A</v>
      </c>
    </row>
    <row r="21175" spans="1:1" x14ac:dyDescent="0.25">
      <c r="A21175" t="e">
        <v>#N/A</v>
      </c>
    </row>
    <row r="21176" spans="1:1" x14ac:dyDescent="0.25">
      <c r="A21176" t="e">
        <v>#N/A</v>
      </c>
    </row>
    <row r="21177" spans="1:1" x14ac:dyDescent="0.25">
      <c r="A21177" t="e">
        <v>#N/A</v>
      </c>
    </row>
    <row r="21178" spans="1:1" x14ac:dyDescent="0.25">
      <c r="A21178" t="e">
        <v>#N/A</v>
      </c>
    </row>
    <row r="21179" spans="1:1" x14ac:dyDescent="0.25">
      <c r="A21179" t="e">
        <v>#N/A</v>
      </c>
    </row>
    <row r="21180" spans="1:1" x14ac:dyDescent="0.25">
      <c r="A21180" t="e">
        <v>#N/A</v>
      </c>
    </row>
    <row r="21181" spans="1:1" x14ac:dyDescent="0.25">
      <c r="A21181" t="e">
        <v>#N/A</v>
      </c>
    </row>
    <row r="21182" spans="1:1" x14ac:dyDescent="0.25">
      <c r="A21182" t="e">
        <v>#N/A</v>
      </c>
    </row>
    <row r="21183" spans="1:1" x14ac:dyDescent="0.25">
      <c r="A21183" t="e">
        <v>#N/A</v>
      </c>
    </row>
    <row r="21184" spans="1:1" x14ac:dyDescent="0.25">
      <c r="A21184" t="e">
        <v>#N/A</v>
      </c>
    </row>
    <row r="21185" spans="1:1" x14ac:dyDescent="0.25">
      <c r="A21185" t="e">
        <v>#N/A</v>
      </c>
    </row>
    <row r="21186" spans="1:1" x14ac:dyDescent="0.25">
      <c r="A21186" t="e">
        <v>#N/A</v>
      </c>
    </row>
    <row r="21187" spans="1:1" x14ac:dyDescent="0.25">
      <c r="A21187" t="e">
        <v>#N/A</v>
      </c>
    </row>
    <row r="21188" spans="1:1" x14ac:dyDescent="0.25">
      <c r="A21188" t="e">
        <v>#N/A</v>
      </c>
    </row>
    <row r="21189" spans="1:1" x14ac:dyDescent="0.25">
      <c r="A21189" t="e">
        <v>#N/A</v>
      </c>
    </row>
    <row r="21190" spans="1:1" x14ac:dyDescent="0.25">
      <c r="A21190" t="e">
        <v>#N/A</v>
      </c>
    </row>
    <row r="21191" spans="1:1" x14ac:dyDescent="0.25">
      <c r="A21191" t="e">
        <v>#N/A</v>
      </c>
    </row>
    <row r="21192" spans="1:1" x14ac:dyDescent="0.25">
      <c r="A21192" t="e">
        <v>#N/A</v>
      </c>
    </row>
    <row r="21193" spans="1:1" x14ac:dyDescent="0.25">
      <c r="A21193" t="e">
        <v>#N/A</v>
      </c>
    </row>
    <row r="21194" spans="1:1" x14ac:dyDescent="0.25">
      <c r="A21194" t="e">
        <v>#N/A</v>
      </c>
    </row>
    <row r="21195" spans="1:1" x14ac:dyDescent="0.25">
      <c r="A21195" t="e">
        <v>#N/A</v>
      </c>
    </row>
    <row r="21196" spans="1:1" x14ac:dyDescent="0.25">
      <c r="A21196" t="e">
        <v>#N/A</v>
      </c>
    </row>
    <row r="21197" spans="1:1" x14ac:dyDescent="0.25">
      <c r="A21197" t="e">
        <v>#N/A</v>
      </c>
    </row>
    <row r="21198" spans="1:1" x14ac:dyDescent="0.25">
      <c r="A21198" t="e">
        <v>#N/A</v>
      </c>
    </row>
    <row r="21199" spans="1:1" x14ac:dyDescent="0.25">
      <c r="A21199" t="e">
        <v>#N/A</v>
      </c>
    </row>
    <row r="21200" spans="1:1" x14ac:dyDescent="0.25">
      <c r="A21200" t="e">
        <v>#N/A</v>
      </c>
    </row>
    <row r="21201" spans="1:1" x14ac:dyDescent="0.25">
      <c r="A21201" t="e">
        <v>#N/A</v>
      </c>
    </row>
    <row r="21202" spans="1:1" x14ac:dyDescent="0.25">
      <c r="A21202" t="e">
        <v>#N/A</v>
      </c>
    </row>
    <row r="21203" spans="1:1" x14ac:dyDescent="0.25">
      <c r="A21203" t="e">
        <v>#N/A</v>
      </c>
    </row>
    <row r="21204" spans="1:1" x14ac:dyDescent="0.25">
      <c r="A21204" t="e">
        <v>#N/A</v>
      </c>
    </row>
    <row r="21205" spans="1:1" x14ac:dyDescent="0.25">
      <c r="A21205" t="e">
        <v>#N/A</v>
      </c>
    </row>
    <row r="21206" spans="1:1" x14ac:dyDescent="0.25">
      <c r="A21206" t="e">
        <v>#N/A</v>
      </c>
    </row>
    <row r="21207" spans="1:1" x14ac:dyDescent="0.25">
      <c r="A21207" t="e">
        <v>#N/A</v>
      </c>
    </row>
    <row r="21208" spans="1:1" x14ac:dyDescent="0.25">
      <c r="A21208" t="e">
        <v>#N/A</v>
      </c>
    </row>
    <row r="21209" spans="1:1" x14ac:dyDescent="0.25">
      <c r="A21209" t="e">
        <v>#N/A</v>
      </c>
    </row>
    <row r="21210" spans="1:1" x14ac:dyDescent="0.25">
      <c r="A21210" t="e">
        <v>#N/A</v>
      </c>
    </row>
    <row r="21211" spans="1:1" x14ac:dyDescent="0.25">
      <c r="A21211" t="e">
        <v>#N/A</v>
      </c>
    </row>
    <row r="21212" spans="1:1" x14ac:dyDescent="0.25">
      <c r="A21212" t="e">
        <v>#N/A</v>
      </c>
    </row>
    <row r="21213" spans="1:1" x14ac:dyDescent="0.25">
      <c r="A21213" t="e">
        <v>#N/A</v>
      </c>
    </row>
    <row r="21214" spans="1:1" x14ac:dyDescent="0.25">
      <c r="A21214" t="e">
        <v>#N/A</v>
      </c>
    </row>
    <row r="21215" spans="1:1" x14ac:dyDescent="0.25">
      <c r="A21215" t="e">
        <v>#N/A</v>
      </c>
    </row>
    <row r="21216" spans="1:1" x14ac:dyDescent="0.25">
      <c r="A21216" t="e">
        <v>#N/A</v>
      </c>
    </row>
    <row r="21217" spans="1:1" x14ac:dyDescent="0.25">
      <c r="A21217" t="e">
        <v>#N/A</v>
      </c>
    </row>
    <row r="21218" spans="1:1" x14ac:dyDescent="0.25">
      <c r="A21218" t="e">
        <v>#N/A</v>
      </c>
    </row>
    <row r="21219" spans="1:1" x14ac:dyDescent="0.25">
      <c r="A21219" t="e">
        <v>#N/A</v>
      </c>
    </row>
    <row r="21220" spans="1:1" x14ac:dyDescent="0.25">
      <c r="A21220" t="e">
        <v>#N/A</v>
      </c>
    </row>
    <row r="21221" spans="1:1" x14ac:dyDescent="0.25">
      <c r="A21221" t="e">
        <v>#N/A</v>
      </c>
    </row>
    <row r="21222" spans="1:1" x14ac:dyDescent="0.25">
      <c r="A21222" t="e">
        <v>#N/A</v>
      </c>
    </row>
    <row r="21223" spans="1:1" x14ac:dyDescent="0.25">
      <c r="A21223" t="e">
        <v>#N/A</v>
      </c>
    </row>
    <row r="21224" spans="1:1" x14ac:dyDescent="0.25">
      <c r="A21224" t="e">
        <v>#N/A</v>
      </c>
    </row>
    <row r="21225" spans="1:1" x14ac:dyDescent="0.25">
      <c r="A21225" t="e">
        <v>#N/A</v>
      </c>
    </row>
    <row r="21226" spans="1:1" x14ac:dyDescent="0.25">
      <c r="A21226" t="e">
        <v>#N/A</v>
      </c>
    </row>
    <row r="21227" spans="1:1" x14ac:dyDescent="0.25">
      <c r="A21227" t="e">
        <v>#N/A</v>
      </c>
    </row>
    <row r="21228" spans="1:1" x14ac:dyDescent="0.25">
      <c r="A21228" t="e">
        <v>#N/A</v>
      </c>
    </row>
    <row r="21229" spans="1:1" x14ac:dyDescent="0.25">
      <c r="A21229" t="e">
        <v>#N/A</v>
      </c>
    </row>
    <row r="21230" spans="1:1" x14ac:dyDescent="0.25">
      <c r="A21230" t="e">
        <v>#N/A</v>
      </c>
    </row>
    <row r="21231" spans="1:1" x14ac:dyDescent="0.25">
      <c r="A21231" t="e">
        <v>#N/A</v>
      </c>
    </row>
    <row r="21232" spans="1:1" x14ac:dyDescent="0.25">
      <c r="A21232" t="e">
        <v>#N/A</v>
      </c>
    </row>
    <row r="21233" spans="1:1" x14ac:dyDescent="0.25">
      <c r="A21233" t="e">
        <v>#N/A</v>
      </c>
    </row>
    <row r="21234" spans="1:1" x14ac:dyDescent="0.25">
      <c r="A21234" t="e">
        <v>#N/A</v>
      </c>
    </row>
    <row r="21235" spans="1:1" x14ac:dyDescent="0.25">
      <c r="A21235" t="e">
        <v>#N/A</v>
      </c>
    </row>
    <row r="21236" spans="1:1" x14ac:dyDescent="0.25">
      <c r="A21236" t="e">
        <v>#N/A</v>
      </c>
    </row>
    <row r="21237" spans="1:1" x14ac:dyDescent="0.25">
      <c r="A21237" t="e">
        <v>#N/A</v>
      </c>
    </row>
    <row r="21238" spans="1:1" x14ac:dyDescent="0.25">
      <c r="A21238" t="e">
        <v>#N/A</v>
      </c>
    </row>
    <row r="21239" spans="1:1" x14ac:dyDescent="0.25">
      <c r="A21239" t="e">
        <v>#N/A</v>
      </c>
    </row>
    <row r="21240" spans="1:1" x14ac:dyDescent="0.25">
      <c r="A21240" t="e">
        <v>#N/A</v>
      </c>
    </row>
    <row r="21241" spans="1:1" x14ac:dyDescent="0.25">
      <c r="A21241" t="e">
        <v>#N/A</v>
      </c>
    </row>
    <row r="21242" spans="1:1" x14ac:dyDescent="0.25">
      <c r="A21242" t="e">
        <v>#N/A</v>
      </c>
    </row>
    <row r="21243" spans="1:1" x14ac:dyDescent="0.25">
      <c r="A21243" t="e">
        <v>#N/A</v>
      </c>
    </row>
    <row r="21244" spans="1:1" x14ac:dyDescent="0.25">
      <c r="A21244" t="e">
        <v>#N/A</v>
      </c>
    </row>
    <row r="21245" spans="1:1" x14ac:dyDescent="0.25">
      <c r="A21245" t="e">
        <v>#N/A</v>
      </c>
    </row>
    <row r="21246" spans="1:1" x14ac:dyDescent="0.25">
      <c r="A21246" t="e">
        <v>#N/A</v>
      </c>
    </row>
    <row r="21247" spans="1:1" x14ac:dyDescent="0.25">
      <c r="A21247" t="e">
        <v>#N/A</v>
      </c>
    </row>
    <row r="21248" spans="1:1" x14ac:dyDescent="0.25">
      <c r="A21248" t="e">
        <v>#N/A</v>
      </c>
    </row>
    <row r="21249" spans="1:1" x14ac:dyDescent="0.25">
      <c r="A21249" t="e">
        <v>#N/A</v>
      </c>
    </row>
    <row r="21250" spans="1:1" x14ac:dyDescent="0.25">
      <c r="A21250" t="e">
        <v>#N/A</v>
      </c>
    </row>
    <row r="21251" spans="1:1" x14ac:dyDescent="0.25">
      <c r="A21251" t="e">
        <v>#N/A</v>
      </c>
    </row>
    <row r="21252" spans="1:1" x14ac:dyDescent="0.25">
      <c r="A21252" t="e">
        <v>#N/A</v>
      </c>
    </row>
    <row r="21253" spans="1:1" x14ac:dyDescent="0.25">
      <c r="A21253" t="e">
        <v>#N/A</v>
      </c>
    </row>
    <row r="21254" spans="1:1" x14ac:dyDescent="0.25">
      <c r="A21254" t="e">
        <v>#N/A</v>
      </c>
    </row>
    <row r="21255" spans="1:1" x14ac:dyDescent="0.25">
      <c r="A21255" t="e">
        <v>#N/A</v>
      </c>
    </row>
    <row r="21256" spans="1:1" x14ac:dyDescent="0.25">
      <c r="A21256" t="e">
        <v>#N/A</v>
      </c>
    </row>
    <row r="21257" spans="1:1" x14ac:dyDescent="0.25">
      <c r="A21257" t="e">
        <v>#N/A</v>
      </c>
    </row>
    <row r="21258" spans="1:1" x14ac:dyDescent="0.25">
      <c r="A21258" t="e">
        <v>#N/A</v>
      </c>
    </row>
    <row r="21259" spans="1:1" x14ac:dyDescent="0.25">
      <c r="A21259" t="e">
        <v>#N/A</v>
      </c>
    </row>
    <row r="21260" spans="1:1" x14ac:dyDescent="0.25">
      <c r="A21260" t="e">
        <v>#N/A</v>
      </c>
    </row>
    <row r="21261" spans="1:1" x14ac:dyDescent="0.25">
      <c r="A21261" t="e">
        <v>#N/A</v>
      </c>
    </row>
    <row r="21262" spans="1:1" x14ac:dyDescent="0.25">
      <c r="A21262" t="e">
        <v>#N/A</v>
      </c>
    </row>
    <row r="21263" spans="1:1" x14ac:dyDescent="0.25">
      <c r="A21263" t="e">
        <v>#N/A</v>
      </c>
    </row>
    <row r="21264" spans="1:1" x14ac:dyDescent="0.25">
      <c r="A21264" t="e">
        <v>#N/A</v>
      </c>
    </row>
    <row r="21265" spans="1:1" x14ac:dyDescent="0.25">
      <c r="A21265" t="e">
        <v>#N/A</v>
      </c>
    </row>
    <row r="21266" spans="1:1" x14ac:dyDescent="0.25">
      <c r="A21266" t="e">
        <v>#N/A</v>
      </c>
    </row>
    <row r="21267" spans="1:1" x14ac:dyDescent="0.25">
      <c r="A21267" t="e">
        <v>#N/A</v>
      </c>
    </row>
    <row r="21268" spans="1:1" x14ac:dyDescent="0.25">
      <c r="A21268" t="e">
        <v>#N/A</v>
      </c>
    </row>
    <row r="21269" spans="1:1" x14ac:dyDescent="0.25">
      <c r="A21269" t="e">
        <v>#N/A</v>
      </c>
    </row>
    <row r="21270" spans="1:1" x14ac:dyDescent="0.25">
      <c r="A21270" t="e">
        <v>#N/A</v>
      </c>
    </row>
    <row r="21271" spans="1:1" x14ac:dyDescent="0.25">
      <c r="A21271" t="e">
        <v>#N/A</v>
      </c>
    </row>
    <row r="21272" spans="1:1" x14ac:dyDescent="0.25">
      <c r="A21272" t="e">
        <v>#N/A</v>
      </c>
    </row>
    <row r="21273" spans="1:1" x14ac:dyDescent="0.25">
      <c r="A21273" t="e">
        <v>#N/A</v>
      </c>
    </row>
    <row r="21274" spans="1:1" x14ac:dyDescent="0.25">
      <c r="A21274" t="e">
        <v>#N/A</v>
      </c>
    </row>
    <row r="21275" spans="1:1" x14ac:dyDescent="0.25">
      <c r="A21275" t="e">
        <v>#N/A</v>
      </c>
    </row>
    <row r="21276" spans="1:1" x14ac:dyDescent="0.25">
      <c r="A21276" t="e">
        <v>#N/A</v>
      </c>
    </row>
    <row r="21277" spans="1:1" x14ac:dyDescent="0.25">
      <c r="A21277" t="e">
        <v>#N/A</v>
      </c>
    </row>
    <row r="21278" spans="1:1" x14ac:dyDescent="0.25">
      <c r="A21278" t="e">
        <v>#N/A</v>
      </c>
    </row>
    <row r="21279" spans="1:1" x14ac:dyDescent="0.25">
      <c r="A21279" t="e">
        <v>#N/A</v>
      </c>
    </row>
    <row r="21280" spans="1:1" x14ac:dyDescent="0.25">
      <c r="A21280" t="e">
        <v>#N/A</v>
      </c>
    </row>
    <row r="21281" spans="1:1" x14ac:dyDescent="0.25">
      <c r="A21281" t="e">
        <v>#N/A</v>
      </c>
    </row>
    <row r="21282" spans="1:1" x14ac:dyDescent="0.25">
      <c r="A21282" t="e">
        <v>#N/A</v>
      </c>
    </row>
    <row r="21283" spans="1:1" x14ac:dyDescent="0.25">
      <c r="A21283" t="e">
        <v>#N/A</v>
      </c>
    </row>
    <row r="21284" spans="1:1" x14ac:dyDescent="0.25">
      <c r="A21284" t="e">
        <v>#N/A</v>
      </c>
    </row>
    <row r="21285" spans="1:1" x14ac:dyDescent="0.25">
      <c r="A21285" t="e">
        <v>#N/A</v>
      </c>
    </row>
    <row r="21286" spans="1:1" x14ac:dyDescent="0.25">
      <c r="A21286" t="e">
        <v>#N/A</v>
      </c>
    </row>
    <row r="21287" spans="1:1" x14ac:dyDescent="0.25">
      <c r="A21287" t="e">
        <v>#N/A</v>
      </c>
    </row>
    <row r="21288" spans="1:1" x14ac:dyDescent="0.25">
      <c r="A21288" t="e">
        <v>#N/A</v>
      </c>
    </row>
    <row r="21289" spans="1:1" x14ac:dyDescent="0.25">
      <c r="A21289" t="e">
        <v>#N/A</v>
      </c>
    </row>
    <row r="21290" spans="1:1" x14ac:dyDescent="0.25">
      <c r="A21290" t="e">
        <v>#N/A</v>
      </c>
    </row>
    <row r="21291" spans="1:1" x14ac:dyDescent="0.25">
      <c r="A21291" t="e">
        <v>#N/A</v>
      </c>
    </row>
    <row r="21292" spans="1:1" x14ac:dyDescent="0.25">
      <c r="A21292" t="e">
        <v>#N/A</v>
      </c>
    </row>
    <row r="21293" spans="1:1" x14ac:dyDescent="0.25">
      <c r="A21293" t="e">
        <v>#N/A</v>
      </c>
    </row>
    <row r="21294" spans="1:1" x14ac:dyDescent="0.25">
      <c r="A21294" t="e">
        <v>#N/A</v>
      </c>
    </row>
    <row r="21295" spans="1:1" x14ac:dyDescent="0.25">
      <c r="A21295" t="e">
        <v>#N/A</v>
      </c>
    </row>
    <row r="21296" spans="1:1" x14ac:dyDescent="0.25">
      <c r="A21296" t="e">
        <v>#N/A</v>
      </c>
    </row>
    <row r="21297" spans="1:1" x14ac:dyDescent="0.25">
      <c r="A21297" t="e">
        <v>#N/A</v>
      </c>
    </row>
    <row r="21298" spans="1:1" x14ac:dyDescent="0.25">
      <c r="A21298" t="e">
        <v>#N/A</v>
      </c>
    </row>
    <row r="21299" spans="1:1" x14ac:dyDescent="0.25">
      <c r="A21299" t="e">
        <v>#N/A</v>
      </c>
    </row>
    <row r="21300" spans="1:1" x14ac:dyDescent="0.25">
      <c r="A21300" t="e">
        <v>#N/A</v>
      </c>
    </row>
    <row r="21301" spans="1:1" x14ac:dyDescent="0.25">
      <c r="A21301" t="e">
        <v>#N/A</v>
      </c>
    </row>
    <row r="21302" spans="1:1" x14ac:dyDescent="0.25">
      <c r="A21302" t="e">
        <v>#N/A</v>
      </c>
    </row>
    <row r="21303" spans="1:1" x14ac:dyDescent="0.25">
      <c r="A21303" t="e">
        <v>#N/A</v>
      </c>
    </row>
    <row r="21304" spans="1:1" x14ac:dyDescent="0.25">
      <c r="A21304" t="e">
        <v>#N/A</v>
      </c>
    </row>
    <row r="21305" spans="1:1" x14ac:dyDescent="0.25">
      <c r="A21305" t="e">
        <v>#N/A</v>
      </c>
    </row>
    <row r="21306" spans="1:1" x14ac:dyDescent="0.25">
      <c r="A21306" t="e">
        <v>#N/A</v>
      </c>
    </row>
    <row r="21307" spans="1:1" x14ac:dyDescent="0.25">
      <c r="A21307" t="e">
        <v>#N/A</v>
      </c>
    </row>
    <row r="21308" spans="1:1" x14ac:dyDescent="0.25">
      <c r="A21308" t="e">
        <v>#N/A</v>
      </c>
    </row>
    <row r="21309" spans="1:1" x14ac:dyDescent="0.25">
      <c r="A21309" t="e">
        <v>#N/A</v>
      </c>
    </row>
    <row r="21310" spans="1:1" x14ac:dyDescent="0.25">
      <c r="A21310" t="e">
        <v>#N/A</v>
      </c>
    </row>
    <row r="21311" spans="1:1" x14ac:dyDescent="0.25">
      <c r="A21311" t="e">
        <v>#N/A</v>
      </c>
    </row>
    <row r="21312" spans="1:1" x14ac:dyDescent="0.25">
      <c r="A21312" t="e">
        <v>#N/A</v>
      </c>
    </row>
    <row r="21313" spans="1:1" x14ac:dyDescent="0.25">
      <c r="A21313" t="e">
        <v>#N/A</v>
      </c>
    </row>
    <row r="21314" spans="1:1" x14ac:dyDescent="0.25">
      <c r="A21314" t="e">
        <v>#N/A</v>
      </c>
    </row>
    <row r="21315" spans="1:1" x14ac:dyDescent="0.25">
      <c r="A21315" t="e">
        <v>#N/A</v>
      </c>
    </row>
    <row r="21316" spans="1:1" x14ac:dyDescent="0.25">
      <c r="A21316" t="e">
        <v>#N/A</v>
      </c>
    </row>
    <row r="21317" spans="1:1" x14ac:dyDescent="0.25">
      <c r="A21317" t="e">
        <v>#N/A</v>
      </c>
    </row>
    <row r="21318" spans="1:1" x14ac:dyDescent="0.25">
      <c r="A21318" t="e">
        <v>#N/A</v>
      </c>
    </row>
    <row r="21319" spans="1:1" x14ac:dyDescent="0.25">
      <c r="A21319" t="e">
        <v>#N/A</v>
      </c>
    </row>
    <row r="21320" spans="1:1" x14ac:dyDescent="0.25">
      <c r="A21320" t="e">
        <v>#N/A</v>
      </c>
    </row>
    <row r="21321" spans="1:1" x14ac:dyDescent="0.25">
      <c r="A21321" t="e">
        <v>#N/A</v>
      </c>
    </row>
    <row r="21322" spans="1:1" x14ac:dyDescent="0.25">
      <c r="A21322" t="e">
        <v>#N/A</v>
      </c>
    </row>
    <row r="21323" spans="1:1" x14ac:dyDescent="0.25">
      <c r="A21323" t="e">
        <v>#N/A</v>
      </c>
    </row>
    <row r="21324" spans="1:1" x14ac:dyDescent="0.25">
      <c r="A21324" t="e">
        <v>#N/A</v>
      </c>
    </row>
    <row r="21325" spans="1:1" x14ac:dyDescent="0.25">
      <c r="A21325" t="e">
        <v>#N/A</v>
      </c>
    </row>
    <row r="21326" spans="1:1" x14ac:dyDescent="0.25">
      <c r="A21326" t="e">
        <v>#N/A</v>
      </c>
    </row>
    <row r="21327" spans="1:1" x14ac:dyDescent="0.25">
      <c r="A21327" t="e">
        <v>#N/A</v>
      </c>
    </row>
    <row r="21328" spans="1:1" x14ac:dyDescent="0.25">
      <c r="A21328" t="e">
        <v>#N/A</v>
      </c>
    </row>
    <row r="21329" spans="1:1" x14ac:dyDescent="0.25">
      <c r="A21329" t="e">
        <v>#N/A</v>
      </c>
    </row>
    <row r="21330" spans="1:1" x14ac:dyDescent="0.25">
      <c r="A21330" t="e">
        <v>#N/A</v>
      </c>
    </row>
    <row r="21331" spans="1:1" x14ac:dyDescent="0.25">
      <c r="A21331" t="e">
        <v>#N/A</v>
      </c>
    </row>
    <row r="21332" spans="1:1" x14ac:dyDescent="0.25">
      <c r="A21332" t="e">
        <v>#N/A</v>
      </c>
    </row>
    <row r="21333" spans="1:1" x14ac:dyDescent="0.25">
      <c r="A21333" t="e">
        <v>#N/A</v>
      </c>
    </row>
    <row r="21334" spans="1:1" x14ac:dyDescent="0.25">
      <c r="A21334" t="e">
        <v>#N/A</v>
      </c>
    </row>
    <row r="21335" spans="1:1" x14ac:dyDescent="0.25">
      <c r="A21335" t="e">
        <v>#N/A</v>
      </c>
    </row>
    <row r="21336" spans="1:1" x14ac:dyDescent="0.25">
      <c r="A21336" t="e">
        <v>#N/A</v>
      </c>
    </row>
    <row r="21337" spans="1:1" x14ac:dyDescent="0.25">
      <c r="A21337" t="e">
        <v>#N/A</v>
      </c>
    </row>
    <row r="21338" spans="1:1" x14ac:dyDescent="0.25">
      <c r="A21338" t="e">
        <v>#N/A</v>
      </c>
    </row>
    <row r="21339" spans="1:1" x14ac:dyDescent="0.25">
      <c r="A21339" t="e">
        <v>#N/A</v>
      </c>
    </row>
    <row r="21340" spans="1:1" x14ac:dyDescent="0.25">
      <c r="A21340" t="e">
        <v>#N/A</v>
      </c>
    </row>
    <row r="21341" spans="1:1" x14ac:dyDescent="0.25">
      <c r="A21341" t="e">
        <v>#N/A</v>
      </c>
    </row>
    <row r="21342" spans="1:1" x14ac:dyDescent="0.25">
      <c r="A21342" t="e">
        <v>#N/A</v>
      </c>
    </row>
    <row r="21343" spans="1:1" x14ac:dyDescent="0.25">
      <c r="A21343" t="e">
        <v>#N/A</v>
      </c>
    </row>
    <row r="21344" spans="1:1" x14ac:dyDescent="0.25">
      <c r="A21344" t="e">
        <v>#N/A</v>
      </c>
    </row>
    <row r="21345" spans="1:1" x14ac:dyDescent="0.25">
      <c r="A21345" t="e">
        <v>#N/A</v>
      </c>
    </row>
    <row r="21346" spans="1:1" x14ac:dyDescent="0.25">
      <c r="A21346" t="e">
        <v>#N/A</v>
      </c>
    </row>
    <row r="21347" spans="1:1" x14ac:dyDescent="0.25">
      <c r="A21347" t="e">
        <v>#N/A</v>
      </c>
    </row>
    <row r="21348" spans="1:1" x14ac:dyDescent="0.25">
      <c r="A21348" t="e">
        <v>#N/A</v>
      </c>
    </row>
    <row r="21349" spans="1:1" x14ac:dyDescent="0.25">
      <c r="A21349" t="e">
        <v>#N/A</v>
      </c>
    </row>
    <row r="21350" spans="1:1" x14ac:dyDescent="0.25">
      <c r="A21350" t="e">
        <v>#N/A</v>
      </c>
    </row>
    <row r="21351" spans="1:1" x14ac:dyDescent="0.25">
      <c r="A21351" t="e">
        <v>#N/A</v>
      </c>
    </row>
    <row r="21352" spans="1:1" x14ac:dyDescent="0.25">
      <c r="A21352" t="e">
        <v>#N/A</v>
      </c>
    </row>
    <row r="21353" spans="1:1" x14ac:dyDescent="0.25">
      <c r="A21353" t="e">
        <v>#N/A</v>
      </c>
    </row>
    <row r="21354" spans="1:1" x14ac:dyDescent="0.25">
      <c r="A21354" t="e">
        <v>#N/A</v>
      </c>
    </row>
    <row r="21355" spans="1:1" x14ac:dyDescent="0.25">
      <c r="A21355" t="e">
        <v>#N/A</v>
      </c>
    </row>
    <row r="21356" spans="1:1" x14ac:dyDescent="0.25">
      <c r="A21356" t="e">
        <v>#N/A</v>
      </c>
    </row>
    <row r="21357" spans="1:1" x14ac:dyDescent="0.25">
      <c r="A21357" t="e">
        <v>#N/A</v>
      </c>
    </row>
    <row r="21358" spans="1:1" x14ac:dyDescent="0.25">
      <c r="A21358" t="e">
        <v>#N/A</v>
      </c>
    </row>
    <row r="21359" spans="1:1" x14ac:dyDescent="0.25">
      <c r="A21359" t="e">
        <v>#N/A</v>
      </c>
    </row>
    <row r="21360" spans="1:1" x14ac:dyDescent="0.25">
      <c r="A21360" t="e">
        <v>#N/A</v>
      </c>
    </row>
    <row r="21361" spans="1:1" x14ac:dyDescent="0.25">
      <c r="A21361" t="e">
        <v>#N/A</v>
      </c>
    </row>
    <row r="21362" spans="1:1" x14ac:dyDescent="0.25">
      <c r="A21362" t="e">
        <v>#N/A</v>
      </c>
    </row>
    <row r="21363" spans="1:1" x14ac:dyDescent="0.25">
      <c r="A21363" t="e">
        <v>#N/A</v>
      </c>
    </row>
    <row r="21364" spans="1:1" x14ac:dyDescent="0.25">
      <c r="A21364" t="e">
        <v>#N/A</v>
      </c>
    </row>
    <row r="21365" spans="1:1" x14ac:dyDescent="0.25">
      <c r="A21365" t="e">
        <v>#N/A</v>
      </c>
    </row>
    <row r="21366" spans="1:1" x14ac:dyDescent="0.25">
      <c r="A21366" t="e">
        <v>#N/A</v>
      </c>
    </row>
    <row r="21367" spans="1:1" x14ac:dyDescent="0.25">
      <c r="A21367" t="e">
        <v>#N/A</v>
      </c>
    </row>
    <row r="21368" spans="1:1" x14ac:dyDescent="0.25">
      <c r="A21368" t="e">
        <v>#N/A</v>
      </c>
    </row>
    <row r="21369" spans="1:1" x14ac:dyDescent="0.25">
      <c r="A21369" t="e">
        <v>#N/A</v>
      </c>
    </row>
    <row r="21370" spans="1:1" x14ac:dyDescent="0.25">
      <c r="A21370" t="e">
        <v>#N/A</v>
      </c>
    </row>
    <row r="21371" spans="1:1" x14ac:dyDescent="0.25">
      <c r="A21371" t="e">
        <v>#N/A</v>
      </c>
    </row>
    <row r="21372" spans="1:1" x14ac:dyDescent="0.25">
      <c r="A21372" t="e">
        <v>#N/A</v>
      </c>
    </row>
    <row r="21373" spans="1:1" x14ac:dyDescent="0.25">
      <c r="A21373" t="e">
        <v>#N/A</v>
      </c>
    </row>
    <row r="21374" spans="1:1" x14ac:dyDescent="0.25">
      <c r="A21374" t="e">
        <v>#N/A</v>
      </c>
    </row>
    <row r="21375" spans="1:1" x14ac:dyDescent="0.25">
      <c r="A21375" t="e">
        <v>#N/A</v>
      </c>
    </row>
    <row r="21376" spans="1:1" x14ac:dyDescent="0.25">
      <c r="A21376" t="e">
        <v>#N/A</v>
      </c>
    </row>
    <row r="21377" spans="1:1" x14ac:dyDescent="0.25">
      <c r="A21377" t="e">
        <v>#N/A</v>
      </c>
    </row>
    <row r="21378" spans="1:1" x14ac:dyDescent="0.25">
      <c r="A21378" t="e">
        <v>#N/A</v>
      </c>
    </row>
    <row r="21379" spans="1:1" x14ac:dyDescent="0.25">
      <c r="A21379" t="e">
        <v>#N/A</v>
      </c>
    </row>
    <row r="21380" spans="1:1" x14ac:dyDescent="0.25">
      <c r="A21380" t="e">
        <v>#N/A</v>
      </c>
    </row>
    <row r="21381" spans="1:1" x14ac:dyDescent="0.25">
      <c r="A21381" t="e">
        <v>#N/A</v>
      </c>
    </row>
    <row r="21382" spans="1:1" x14ac:dyDescent="0.25">
      <c r="A21382" t="e">
        <v>#N/A</v>
      </c>
    </row>
    <row r="21383" spans="1:1" x14ac:dyDescent="0.25">
      <c r="A21383" t="e">
        <v>#N/A</v>
      </c>
    </row>
    <row r="21384" spans="1:1" x14ac:dyDescent="0.25">
      <c r="A21384" t="e">
        <v>#N/A</v>
      </c>
    </row>
    <row r="21385" spans="1:1" x14ac:dyDescent="0.25">
      <c r="A21385" t="e">
        <v>#N/A</v>
      </c>
    </row>
    <row r="21386" spans="1:1" x14ac:dyDescent="0.25">
      <c r="A21386" t="e">
        <v>#N/A</v>
      </c>
    </row>
    <row r="21387" spans="1:1" x14ac:dyDescent="0.25">
      <c r="A21387" t="e">
        <v>#N/A</v>
      </c>
    </row>
    <row r="21388" spans="1:1" x14ac:dyDescent="0.25">
      <c r="A21388" t="e">
        <v>#N/A</v>
      </c>
    </row>
    <row r="21389" spans="1:1" x14ac:dyDescent="0.25">
      <c r="A21389" t="e">
        <v>#N/A</v>
      </c>
    </row>
    <row r="21390" spans="1:1" x14ac:dyDescent="0.25">
      <c r="A21390" t="e">
        <v>#N/A</v>
      </c>
    </row>
    <row r="21391" spans="1:1" x14ac:dyDescent="0.25">
      <c r="A21391" t="e">
        <v>#N/A</v>
      </c>
    </row>
    <row r="21392" spans="1:1" x14ac:dyDescent="0.25">
      <c r="A21392" t="e">
        <v>#N/A</v>
      </c>
    </row>
    <row r="21393" spans="1:1" x14ac:dyDescent="0.25">
      <c r="A21393" t="e">
        <v>#N/A</v>
      </c>
    </row>
    <row r="21394" spans="1:1" x14ac:dyDescent="0.25">
      <c r="A21394" t="e">
        <v>#N/A</v>
      </c>
    </row>
    <row r="21395" spans="1:1" x14ac:dyDescent="0.25">
      <c r="A21395" t="e">
        <v>#N/A</v>
      </c>
    </row>
    <row r="21396" spans="1:1" x14ac:dyDescent="0.25">
      <c r="A21396" t="e">
        <v>#N/A</v>
      </c>
    </row>
    <row r="21397" spans="1:1" x14ac:dyDescent="0.25">
      <c r="A21397" t="e">
        <v>#N/A</v>
      </c>
    </row>
    <row r="21398" spans="1:1" x14ac:dyDescent="0.25">
      <c r="A21398" t="e">
        <v>#N/A</v>
      </c>
    </row>
    <row r="21399" spans="1:1" x14ac:dyDescent="0.25">
      <c r="A21399" t="e">
        <v>#N/A</v>
      </c>
    </row>
    <row r="21400" spans="1:1" x14ac:dyDescent="0.25">
      <c r="A21400" t="e">
        <v>#N/A</v>
      </c>
    </row>
    <row r="21401" spans="1:1" x14ac:dyDescent="0.25">
      <c r="A21401" t="e">
        <v>#N/A</v>
      </c>
    </row>
    <row r="21402" spans="1:1" x14ac:dyDescent="0.25">
      <c r="A21402" t="e">
        <v>#N/A</v>
      </c>
    </row>
    <row r="21403" spans="1:1" x14ac:dyDescent="0.25">
      <c r="A21403" t="e">
        <v>#N/A</v>
      </c>
    </row>
    <row r="21404" spans="1:1" x14ac:dyDescent="0.25">
      <c r="A21404" t="e">
        <v>#N/A</v>
      </c>
    </row>
    <row r="21405" spans="1:1" x14ac:dyDescent="0.25">
      <c r="A21405" t="e">
        <v>#N/A</v>
      </c>
    </row>
    <row r="21406" spans="1:1" x14ac:dyDescent="0.25">
      <c r="A21406" t="e">
        <v>#N/A</v>
      </c>
    </row>
    <row r="21407" spans="1:1" x14ac:dyDescent="0.25">
      <c r="A21407" t="e">
        <v>#N/A</v>
      </c>
    </row>
    <row r="21408" spans="1:1" x14ac:dyDescent="0.25">
      <c r="A21408" t="e">
        <v>#N/A</v>
      </c>
    </row>
    <row r="21409" spans="1:1" x14ac:dyDescent="0.25">
      <c r="A21409" t="e">
        <v>#N/A</v>
      </c>
    </row>
    <row r="21410" spans="1:1" x14ac:dyDescent="0.25">
      <c r="A21410" t="e">
        <v>#N/A</v>
      </c>
    </row>
    <row r="21411" spans="1:1" x14ac:dyDescent="0.25">
      <c r="A21411" t="e">
        <v>#N/A</v>
      </c>
    </row>
    <row r="21412" spans="1:1" x14ac:dyDescent="0.25">
      <c r="A21412" t="e">
        <v>#N/A</v>
      </c>
    </row>
    <row r="21413" spans="1:1" x14ac:dyDescent="0.25">
      <c r="A21413" t="e">
        <v>#N/A</v>
      </c>
    </row>
    <row r="21414" spans="1:1" x14ac:dyDescent="0.25">
      <c r="A21414" t="e">
        <v>#N/A</v>
      </c>
    </row>
    <row r="21415" spans="1:1" x14ac:dyDescent="0.25">
      <c r="A21415" t="e">
        <v>#N/A</v>
      </c>
    </row>
    <row r="21416" spans="1:1" x14ac:dyDescent="0.25">
      <c r="A21416" t="e">
        <v>#N/A</v>
      </c>
    </row>
    <row r="21417" spans="1:1" x14ac:dyDescent="0.25">
      <c r="A21417" t="e">
        <v>#N/A</v>
      </c>
    </row>
    <row r="21418" spans="1:1" x14ac:dyDescent="0.25">
      <c r="A21418" t="e">
        <v>#N/A</v>
      </c>
    </row>
    <row r="21419" spans="1:1" x14ac:dyDescent="0.25">
      <c r="A21419" t="e">
        <v>#N/A</v>
      </c>
    </row>
    <row r="21420" spans="1:1" x14ac:dyDescent="0.25">
      <c r="A21420" t="e">
        <v>#N/A</v>
      </c>
    </row>
    <row r="21421" spans="1:1" x14ac:dyDescent="0.25">
      <c r="A21421" t="e">
        <v>#N/A</v>
      </c>
    </row>
    <row r="21422" spans="1:1" x14ac:dyDescent="0.25">
      <c r="A21422" t="e">
        <v>#N/A</v>
      </c>
    </row>
    <row r="21423" spans="1:1" x14ac:dyDescent="0.25">
      <c r="A21423" t="e">
        <v>#N/A</v>
      </c>
    </row>
    <row r="21424" spans="1:1" x14ac:dyDescent="0.25">
      <c r="A21424" t="e">
        <v>#N/A</v>
      </c>
    </row>
    <row r="21425" spans="1:1" x14ac:dyDescent="0.25">
      <c r="A21425" t="e">
        <v>#N/A</v>
      </c>
    </row>
    <row r="21426" spans="1:1" x14ac:dyDescent="0.25">
      <c r="A21426" t="e">
        <v>#N/A</v>
      </c>
    </row>
    <row r="21427" spans="1:1" x14ac:dyDescent="0.25">
      <c r="A21427" t="e">
        <v>#N/A</v>
      </c>
    </row>
    <row r="21428" spans="1:1" x14ac:dyDescent="0.25">
      <c r="A21428" t="e">
        <v>#N/A</v>
      </c>
    </row>
    <row r="21429" spans="1:1" x14ac:dyDescent="0.25">
      <c r="A21429" t="e">
        <v>#N/A</v>
      </c>
    </row>
    <row r="21430" spans="1:1" x14ac:dyDescent="0.25">
      <c r="A21430" t="e">
        <v>#N/A</v>
      </c>
    </row>
    <row r="21431" spans="1:1" x14ac:dyDescent="0.25">
      <c r="A21431" t="e">
        <v>#N/A</v>
      </c>
    </row>
    <row r="21432" spans="1:1" x14ac:dyDescent="0.25">
      <c r="A21432" t="e">
        <v>#N/A</v>
      </c>
    </row>
    <row r="21433" spans="1:1" x14ac:dyDescent="0.25">
      <c r="A21433" t="e">
        <v>#N/A</v>
      </c>
    </row>
    <row r="21434" spans="1:1" x14ac:dyDescent="0.25">
      <c r="A21434" t="e">
        <v>#N/A</v>
      </c>
    </row>
    <row r="21435" spans="1:1" x14ac:dyDescent="0.25">
      <c r="A21435" t="e">
        <v>#N/A</v>
      </c>
    </row>
    <row r="21436" spans="1:1" x14ac:dyDescent="0.25">
      <c r="A21436" t="e">
        <v>#N/A</v>
      </c>
    </row>
    <row r="21437" spans="1:1" x14ac:dyDescent="0.25">
      <c r="A21437" t="e">
        <v>#N/A</v>
      </c>
    </row>
    <row r="21438" spans="1:1" x14ac:dyDescent="0.25">
      <c r="A21438" t="e">
        <v>#N/A</v>
      </c>
    </row>
    <row r="21439" spans="1:1" x14ac:dyDescent="0.25">
      <c r="A21439" t="e">
        <v>#N/A</v>
      </c>
    </row>
    <row r="21440" spans="1:1" x14ac:dyDescent="0.25">
      <c r="A21440" t="e">
        <v>#N/A</v>
      </c>
    </row>
    <row r="21441" spans="1:1" x14ac:dyDescent="0.25">
      <c r="A21441" t="e">
        <v>#N/A</v>
      </c>
    </row>
    <row r="21442" spans="1:1" x14ac:dyDescent="0.25">
      <c r="A21442" t="e">
        <v>#N/A</v>
      </c>
    </row>
    <row r="21443" spans="1:1" x14ac:dyDescent="0.25">
      <c r="A21443" t="e">
        <v>#N/A</v>
      </c>
    </row>
    <row r="21444" spans="1:1" x14ac:dyDescent="0.25">
      <c r="A21444" t="e">
        <v>#N/A</v>
      </c>
    </row>
    <row r="21445" spans="1:1" x14ac:dyDescent="0.25">
      <c r="A21445" t="e">
        <v>#N/A</v>
      </c>
    </row>
    <row r="21446" spans="1:1" x14ac:dyDescent="0.25">
      <c r="A21446" t="e">
        <v>#N/A</v>
      </c>
    </row>
    <row r="21447" spans="1:1" x14ac:dyDescent="0.25">
      <c r="A21447" t="e">
        <v>#N/A</v>
      </c>
    </row>
    <row r="21448" spans="1:1" x14ac:dyDescent="0.25">
      <c r="A21448" t="e">
        <v>#N/A</v>
      </c>
    </row>
    <row r="21449" spans="1:1" x14ac:dyDescent="0.25">
      <c r="A21449" t="e">
        <v>#N/A</v>
      </c>
    </row>
    <row r="21450" spans="1:1" x14ac:dyDescent="0.25">
      <c r="A21450" t="e">
        <v>#N/A</v>
      </c>
    </row>
    <row r="21451" spans="1:1" x14ac:dyDescent="0.25">
      <c r="A21451" t="e">
        <v>#N/A</v>
      </c>
    </row>
    <row r="21452" spans="1:1" x14ac:dyDescent="0.25">
      <c r="A21452" t="e">
        <v>#N/A</v>
      </c>
    </row>
    <row r="21453" spans="1:1" x14ac:dyDescent="0.25">
      <c r="A21453" t="e">
        <v>#N/A</v>
      </c>
    </row>
    <row r="21454" spans="1:1" x14ac:dyDescent="0.25">
      <c r="A21454" t="e">
        <v>#N/A</v>
      </c>
    </row>
    <row r="21455" spans="1:1" x14ac:dyDescent="0.25">
      <c r="A21455" t="e">
        <v>#N/A</v>
      </c>
    </row>
    <row r="21456" spans="1:1" x14ac:dyDescent="0.25">
      <c r="A21456" t="e">
        <v>#N/A</v>
      </c>
    </row>
    <row r="21457" spans="1:1" x14ac:dyDescent="0.25">
      <c r="A21457" t="e">
        <v>#N/A</v>
      </c>
    </row>
    <row r="21458" spans="1:1" x14ac:dyDescent="0.25">
      <c r="A21458" t="e">
        <v>#N/A</v>
      </c>
    </row>
    <row r="21459" spans="1:1" x14ac:dyDescent="0.25">
      <c r="A21459" t="e">
        <v>#N/A</v>
      </c>
    </row>
    <row r="21460" spans="1:1" x14ac:dyDescent="0.25">
      <c r="A21460" t="e">
        <v>#N/A</v>
      </c>
    </row>
    <row r="21461" spans="1:1" x14ac:dyDescent="0.25">
      <c r="A21461" t="e">
        <v>#N/A</v>
      </c>
    </row>
    <row r="21462" spans="1:1" x14ac:dyDescent="0.25">
      <c r="A21462" t="e">
        <v>#N/A</v>
      </c>
    </row>
    <row r="21463" spans="1:1" x14ac:dyDescent="0.25">
      <c r="A21463" t="e">
        <v>#N/A</v>
      </c>
    </row>
    <row r="21464" spans="1:1" x14ac:dyDescent="0.25">
      <c r="A21464" t="e">
        <v>#N/A</v>
      </c>
    </row>
    <row r="21465" spans="1:1" x14ac:dyDescent="0.25">
      <c r="A21465" t="e">
        <v>#N/A</v>
      </c>
    </row>
    <row r="21466" spans="1:1" x14ac:dyDescent="0.25">
      <c r="A21466" t="e">
        <v>#N/A</v>
      </c>
    </row>
    <row r="21467" spans="1:1" x14ac:dyDescent="0.25">
      <c r="A21467" t="e">
        <v>#N/A</v>
      </c>
    </row>
    <row r="21468" spans="1:1" x14ac:dyDescent="0.25">
      <c r="A21468" t="e">
        <v>#N/A</v>
      </c>
    </row>
    <row r="21469" spans="1:1" x14ac:dyDescent="0.25">
      <c r="A21469" t="e">
        <v>#N/A</v>
      </c>
    </row>
    <row r="21470" spans="1:1" x14ac:dyDescent="0.25">
      <c r="A21470" t="e">
        <v>#N/A</v>
      </c>
    </row>
    <row r="21471" spans="1:1" x14ac:dyDescent="0.25">
      <c r="A21471" t="e">
        <v>#N/A</v>
      </c>
    </row>
    <row r="21472" spans="1:1" x14ac:dyDescent="0.25">
      <c r="A21472" t="e">
        <v>#N/A</v>
      </c>
    </row>
    <row r="21473" spans="1:1" x14ac:dyDescent="0.25">
      <c r="A21473" t="e">
        <v>#N/A</v>
      </c>
    </row>
    <row r="21474" spans="1:1" x14ac:dyDescent="0.25">
      <c r="A21474" t="e">
        <v>#N/A</v>
      </c>
    </row>
    <row r="21475" spans="1:1" x14ac:dyDescent="0.25">
      <c r="A21475" t="e">
        <v>#N/A</v>
      </c>
    </row>
    <row r="21476" spans="1:1" x14ac:dyDescent="0.25">
      <c r="A21476" t="e">
        <v>#N/A</v>
      </c>
    </row>
    <row r="21477" spans="1:1" x14ac:dyDescent="0.25">
      <c r="A21477" t="e">
        <v>#N/A</v>
      </c>
    </row>
    <row r="21478" spans="1:1" x14ac:dyDescent="0.25">
      <c r="A21478" t="e">
        <v>#N/A</v>
      </c>
    </row>
    <row r="21479" spans="1:1" x14ac:dyDescent="0.25">
      <c r="A21479" t="e">
        <v>#N/A</v>
      </c>
    </row>
    <row r="21480" spans="1:1" x14ac:dyDescent="0.25">
      <c r="A21480" t="e">
        <v>#N/A</v>
      </c>
    </row>
    <row r="21481" spans="1:1" x14ac:dyDescent="0.25">
      <c r="A21481" t="e">
        <v>#N/A</v>
      </c>
    </row>
    <row r="21482" spans="1:1" x14ac:dyDescent="0.25">
      <c r="A21482" t="e">
        <v>#N/A</v>
      </c>
    </row>
    <row r="21483" spans="1:1" x14ac:dyDescent="0.25">
      <c r="A21483" t="e">
        <v>#N/A</v>
      </c>
    </row>
    <row r="21484" spans="1:1" x14ac:dyDescent="0.25">
      <c r="A21484" t="e">
        <v>#N/A</v>
      </c>
    </row>
    <row r="21485" spans="1:1" x14ac:dyDescent="0.25">
      <c r="A21485" t="e">
        <v>#N/A</v>
      </c>
    </row>
    <row r="21486" spans="1:1" x14ac:dyDescent="0.25">
      <c r="A21486" t="e">
        <v>#N/A</v>
      </c>
    </row>
    <row r="21487" spans="1:1" x14ac:dyDescent="0.25">
      <c r="A21487" t="e">
        <v>#N/A</v>
      </c>
    </row>
    <row r="21488" spans="1:1" x14ac:dyDescent="0.25">
      <c r="A21488" t="e">
        <v>#N/A</v>
      </c>
    </row>
    <row r="21489" spans="1:1" x14ac:dyDescent="0.25">
      <c r="A21489" t="e">
        <v>#N/A</v>
      </c>
    </row>
    <row r="21490" spans="1:1" x14ac:dyDescent="0.25">
      <c r="A21490" t="e">
        <v>#N/A</v>
      </c>
    </row>
    <row r="21491" spans="1:1" x14ac:dyDescent="0.25">
      <c r="A21491" t="e">
        <v>#N/A</v>
      </c>
    </row>
    <row r="21492" spans="1:1" x14ac:dyDescent="0.25">
      <c r="A21492" t="e">
        <v>#N/A</v>
      </c>
    </row>
    <row r="21493" spans="1:1" x14ac:dyDescent="0.25">
      <c r="A21493" t="e">
        <v>#N/A</v>
      </c>
    </row>
    <row r="21494" spans="1:1" x14ac:dyDescent="0.25">
      <c r="A21494" t="e">
        <v>#N/A</v>
      </c>
    </row>
    <row r="21495" spans="1:1" x14ac:dyDescent="0.25">
      <c r="A21495" t="e">
        <v>#N/A</v>
      </c>
    </row>
    <row r="21496" spans="1:1" x14ac:dyDescent="0.25">
      <c r="A21496" t="e">
        <v>#N/A</v>
      </c>
    </row>
    <row r="21497" spans="1:1" x14ac:dyDescent="0.25">
      <c r="A21497" t="e">
        <v>#N/A</v>
      </c>
    </row>
    <row r="21498" spans="1:1" x14ac:dyDescent="0.25">
      <c r="A21498" t="e">
        <v>#N/A</v>
      </c>
    </row>
    <row r="21499" spans="1:1" x14ac:dyDescent="0.25">
      <c r="A21499" t="e">
        <v>#N/A</v>
      </c>
    </row>
    <row r="21500" spans="1:1" x14ac:dyDescent="0.25">
      <c r="A21500" t="e">
        <v>#N/A</v>
      </c>
    </row>
    <row r="21501" spans="1:1" x14ac:dyDescent="0.25">
      <c r="A21501" t="e">
        <v>#N/A</v>
      </c>
    </row>
    <row r="21502" spans="1:1" x14ac:dyDescent="0.25">
      <c r="A21502" t="e">
        <v>#N/A</v>
      </c>
    </row>
    <row r="21503" spans="1:1" x14ac:dyDescent="0.25">
      <c r="A21503" t="e">
        <v>#N/A</v>
      </c>
    </row>
    <row r="21504" spans="1:1" x14ac:dyDescent="0.25">
      <c r="A21504" t="e">
        <v>#N/A</v>
      </c>
    </row>
    <row r="21505" spans="1:1" x14ac:dyDescent="0.25">
      <c r="A21505" t="e">
        <v>#N/A</v>
      </c>
    </row>
    <row r="21506" spans="1:1" x14ac:dyDescent="0.25">
      <c r="A21506" t="e">
        <v>#N/A</v>
      </c>
    </row>
    <row r="21507" spans="1:1" x14ac:dyDescent="0.25">
      <c r="A21507" t="e">
        <v>#N/A</v>
      </c>
    </row>
    <row r="21508" spans="1:1" x14ac:dyDescent="0.25">
      <c r="A21508" t="e">
        <v>#N/A</v>
      </c>
    </row>
    <row r="21509" spans="1:1" x14ac:dyDescent="0.25">
      <c r="A21509" t="e">
        <v>#N/A</v>
      </c>
    </row>
    <row r="21510" spans="1:1" x14ac:dyDescent="0.25">
      <c r="A21510" t="e">
        <v>#N/A</v>
      </c>
    </row>
    <row r="21511" spans="1:1" x14ac:dyDescent="0.25">
      <c r="A21511" t="e">
        <v>#N/A</v>
      </c>
    </row>
    <row r="21512" spans="1:1" x14ac:dyDescent="0.25">
      <c r="A21512" t="e">
        <v>#N/A</v>
      </c>
    </row>
    <row r="21513" spans="1:1" x14ac:dyDescent="0.25">
      <c r="A21513" t="e">
        <v>#N/A</v>
      </c>
    </row>
    <row r="21514" spans="1:1" x14ac:dyDescent="0.25">
      <c r="A21514" t="e">
        <v>#N/A</v>
      </c>
    </row>
    <row r="21515" spans="1:1" x14ac:dyDescent="0.25">
      <c r="A21515" t="e">
        <v>#N/A</v>
      </c>
    </row>
    <row r="21516" spans="1:1" x14ac:dyDescent="0.25">
      <c r="A21516" t="e">
        <v>#N/A</v>
      </c>
    </row>
    <row r="21517" spans="1:1" x14ac:dyDescent="0.25">
      <c r="A21517" t="e">
        <v>#N/A</v>
      </c>
    </row>
    <row r="21518" spans="1:1" x14ac:dyDescent="0.25">
      <c r="A21518" t="e">
        <v>#N/A</v>
      </c>
    </row>
    <row r="21519" spans="1:1" x14ac:dyDescent="0.25">
      <c r="A21519" t="e">
        <v>#N/A</v>
      </c>
    </row>
    <row r="21520" spans="1:1" x14ac:dyDescent="0.25">
      <c r="A21520" t="e">
        <v>#N/A</v>
      </c>
    </row>
    <row r="21521" spans="1:1" x14ac:dyDescent="0.25">
      <c r="A21521" t="e">
        <v>#N/A</v>
      </c>
    </row>
    <row r="21522" spans="1:1" x14ac:dyDescent="0.25">
      <c r="A21522" t="e">
        <v>#N/A</v>
      </c>
    </row>
    <row r="21523" spans="1:1" x14ac:dyDescent="0.25">
      <c r="A21523" t="e">
        <v>#N/A</v>
      </c>
    </row>
    <row r="21524" spans="1:1" x14ac:dyDescent="0.25">
      <c r="A21524" t="e">
        <v>#N/A</v>
      </c>
    </row>
    <row r="21525" spans="1:1" x14ac:dyDescent="0.25">
      <c r="A21525" t="e">
        <v>#N/A</v>
      </c>
    </row>
    <row r="21526" spans="1:1" x14ac:dyDescent="0.25">
      <c r="A21526" t="e">
        <v>#N/A</v>
      </c>
    </row>
    <row r="21527" spans="1:1" x14ac:dyDescent="0.25">
      <c r="A21527" t="e">
        <v>#N/A</v>
      </c>
    </row>
    <row r="21528" spans="1:1" x14ac:dyDescent="0.25">
      <c r="A21528" t="e">
        <v>#N/A</v>
      </c>
    </row>
    <row r="21529" spans="1:1" x14ac:dyDescent="0.25">
      <c r="A21529" t="e">
        <v>#N/A</v>
      </c>
    </row>
    <row r="21530" spans="1:1" x14ac:dyDescent="0.25">
      <c r="A21530" t="e">
        <v>#N/A</v>
      </c>
    </row>
    <row r="21531" spans="1:1" x14ac:dyDescent="0.25">
      <c r="A21531" t="e">
        <v>#N/A</v>
      </c>
    </row>
    <row r="21532" spans="1:1" x14ac:dyDescent="0.25">
      <c r="A21532" t="e">
        <v>#N/A</v>
      </c>
    </row>
    <row r="21533" spans="1:1" x14ac:dyDescent="0.25">
      <c r="A21533" t="e">
        <v>#N/A</v>
      </c>
    </row>
    <row r="21534" spans="1:1" x14ac:dyDescent="0.25">
      <c r="A21534" t="e">
        <v>#N/A</v>
      </c>
    </row>
    <row r="21535" spans="1:1" x14ac:dyDescent="0.25">
      <c r="A21535" t="e">
        <v>#N/A</v>
      </c>
    </row>
    <row r="21536" spans="1:1" x14ac:dyDescent="0.25">
      <c r="A21536" t="e">
        <v>#N/A</v>
      </c>
    </row>
    <row r="21537" spans="1:1" x14ac:dyDescent="0.25">
      <c r="A21537" t="e">
        <v>#N/A</v>
      </c>
    </row>
    <row r="21538" spans="1:1" x14ac:dyDescent="0.25">
      <c r="A21538" t="e">
        <v>#N/A</v>
      </c>
    </row>
    <row r="21539" spans="1:1" x14ac:dyDescent="0.25">
      <c r="A21539" t="e">
        <v>#N/A</v>
      </c>
    </row>
    <row r="21540" spans="1:1" x14ac:dyDescent="0.25">
      <c r="A21540" t="e">
        <v>#N/A</v>
      </c>
    </row>
    <row r="21541" spans="1:1" x14ac:dyDescent="0.25">
      <c r="A21541" t="e">
        <v>#N/A</v>
      </c>
    </row>
    <row r="21542" spans="1:1" x14ac:dyDescent="0.25">
      <c r="A21542" t="e">
        <v>#N/A</v>
      </c>
    </row>
    <row r="21543" spans="1:1" x14ac:dyDescent="0.25">
      <c r="A21543" t="e">
        <v>#N/A</v>
      </c>
    </row>
    <row r="21544" spans="1:1" x14ac:dyDescent="0.25">
      <c r="A21544" t="e">
        <v>#N/A</v>
      </c>
    </row>
    <row r="21545" spans="1:1" x14ac:dyDescent="0.25">
      <c r="A21545" t="e">
        <v>#N/A</v>
      </c>
    </row>
    <row r="21546" spans="1:1" x14ac:dyDescent="0.25">
      <c r="A21546" t="e">
        <v>#N/A</v>
      </c>
    </row>
    <row r="21547" spans="1:1" x14ac:dyDescent="0.25">
      <c r="A21547" t="e">
        <v>#N/A</v>
      </c>
    </row>
    <row r="21548" spans="1:1" x14ac:dyDescent="0.25">
      <c r="A21548" t="e">
        <v>#N/A</v>
      </c>
    </row>
    <row r="21549" spans="1:1" x14ac:dyDescent="0.25">
      <c r="A21549" t="e">
        <v>#N/A</v>
      </c>
    </row>
    <row r="21550" spans="1:1" x14ac:dyDescent="0.25">
      <c r="A21550" t="e">
        <v>#N/A</v>
      </c>
    </row>
    <row r="21551" spans="1:1" x14ac:dyDescent="0.25">
      <c r="A21551" t="e">
        <v>#N/A</v>
      </c>
    </row>
    <row r="21552" spans="1:1" x14ac:dyDescent="0.25">
      <c r="A21552" t="e">
        <v>#N/A</v>
      </c>
    </row>
    <row r="21553" spans="1:1" x14ac:dyDescent="0.25">
      <c r="A21553" t="e">
        <v>#N/A</v>
      </c>
    </row>
    <row r="21554" spans="1:1" x14ac:dyDescent="0.25">
      <c r="A21554" t="e">
        <v>#N/A</v>
      </c>
    </row>
    <row r="21555" spans="1:1" x14ac:dyDescent="0.25">
      <c r="A21555" t="e">
        <v>#N/A</v>
      </c>
    </row>
    <row r="21556" spans="1:1" x14ac:dyDescent="0.25">
      <c r="A21556" t="e">
        <v>#N/A</v>
      </c>
    </row>
    <row r="21557" spans="1:1" x14ac:dyDescent="0.25">
      <c r="A21557" t="e">
        <v>#N/A</v>
      </c>
    </row>
    <row r="21558" spans="1:1" x14ac:dyDescent="0.25">
      <c r="A21558" t="e">
        <v>#N/A</v>
      </c>
    </row>
    <row r="21559" spans="1:1" x14ac:dyDescent="0.25">
      <c r="A21559" t="e">
        <v>#N/A</v>
      </c>
    </row>
    <row r="21560" spans="1:1" x14ac:dyDescent="0.25">
      <c r="A21560" t="e">
        <v>#N/A</v>
      </c>
    </row>
    <row r="21561" spans="1:1" x14ac:dyDescent="0.25">
      <c r="A21561" t="e">
        <v>#N/A</v>
      </c>
    </row>
    <row r="21562" spans="1:1" x14ac:dyDescent="0.25">
      <c r="A21562" t="e">
        <v>#N/A</v>
      </c>
    </row>
    <row r="21563" spans="1:1" x14ac:dyDescent="0.25">
      <c r="A21563" t="e">
        <v>#N/A</v>
      </c>
    </row>
    <row r="21564" spans="1:1" x14ac:dyDescent="0.25">
      <c r="A21564" t="e">
        <v>#N/A</v>
      </c>
    </row>
    <row r="21565" spans="1:1" x14ac:dyDescent="0.25">
      <c r="A21565" t="e">
        <v>#N/A</v>
      </c>
    </row>
    <row r="21566" spans="1:1" x14ac:dyDescent="0.25">
      <c r="A21566" t="e">
        <v>#N/A</v>
      </c>
    </row>
    <row r="21567" spans="1:1" x14ac:dyDescent="0.25">
      <c r="A21567" t="e">
        <v>#N/A</v>
      </c>
    </row>
    <row r="21568" spans="1:1" x14ac:dyDescent="0.25">
      <c r="A21568" t="e">
        <v>#N/A</v>
      </c>
    </row>
    <row r="21569" spans="1:1" x14ac:dyDescent="0.25">
      <c r="A21569" t="e">
        <v>#N/A</v>
      </c>
    </row>
    <row r="21570" spans="1:1" x14ac:dyDescent="0.25">
      <c r="A21570" t="e">
        <v>#N/A</v>
      </c>
    </row>
    <row r="21571" spans="1:1" x14ac:dyDescent="0.25">
      <c r="A21571" t="e">
        <v>#N/A</v>
      </c>
    </row>
    <row r="21572" spans="1:1" x14ac:dyDescent="0.25">
      <c r="A21572" t="e">
        <v>#N/A</v>
      </c>
    </row>
    <row r="21573" spans="1:1" x14ac:dyDescent="0.25">
      <c r="A21573" t="e">
        <v>#N/A</v>
      </c>
    </row>
    <row r="21574" spans="1:1" x14ac:dyDescent="0.25">
      <c r="A21574" t="e">
        <v>#N/A</v>
      </c>
    </row>
    <row r="21575" spans="1:1" x14ac:dyDescent="0.25">
      <c r="A21575" t="e">
        <v>#N/A</v>
      </c>
    </row>
    <row r="21576" spans="1:1" x14ac:dyDescent="0.25">
      <c r="A21576" t="e">
        <v>#N/A</v>
      </c>
    </row>
    <row r="21577" spans="1:1" x14ac:dyDescent="0.25">
      <c r="A21577" t="e">
        <v>#N/A</v>
      </c>
    </row>
    <row r="21578" spans="1:1" x14ac:dyDescent="0.25">
      <c r="A21578" t="e">
        <v>#N/A</v>
      </c>
    </row>
    <row r="21579" spans="1:1" x14ac:dyDescent="0.25">
      <c r="A21579" t="e">
        <v>#N/A</v>
      </c>
    </row>
    <row r="21580" spans="1:1" x14ac:dyDescent="0.25">
      <c r="A21580" t="e">
        <v>#N/A</v>
      </c>
    </row>
    <row r="21581" spans="1:1" x14ac:dyDescent="0.25">
      <c r="A21581" t="e">
        <v>#N/A</v>
      </c>
    </row>
    <row r="21582" spans="1:1" x14ac:dyDescent="0.25">
      <c r="A21582" t="e">
        <v>#N/A</v>
      </c>
    </row>
    <row r="21583" spans="1:1" x14ac:dyDescent="0.25">
      <c r="A21583" t="e">
        <v>#N/A</v>
      </c>
    </row>
    <row r="21584" spans="1:1" x14ac:dyDescent="0.25">
      <c r="A21584" t="e">
        <v>#N/A</v>
      </c>
    </row>
    <row r="21585" spans="1:1" x14ac:dyDescent="0.25">
      <c r="A21585" t="e">
        <v>#N/A</v>
      </c>
    </row>
    <row r="21586" spans="1:1" x14ac:dyDescent="0.25">
      <c r="A21586" t="e">
        <v>#N/A</v>
      </c>
    </row>
    <row r="21587" spans="1:1" x14ac:dyDescent="0.25">
      <c r="A21587" t="e">
        <v>#N/A</v>
      </c>
    </row>
    <row r="21588" spans="1:1" x14ac:dyDescent="0.25">
      <c r="A21588" t="e">
        <v>#N/A</v>
      </c>
    </row>
    <row r="21589" spans="1:1" x14ac:dyDescent="0.25">
      <c r="A21589" t="e">
        <v>#N/A</v>
      </c>
    </row>
    <row r="21590" spans="1:1" x14ac:dyDescent="0.25">
      <c r="A21590" t="e">
        <v>#N/A</v>
      </c>
    </row>
    <row r="21591" spans="1:1" x14ac:dyDescent="0.25">
      <c r="A21591" t="e">
        <v>#N/A</v>
      </c>
    </row>
    <row r="21592" spans="1:1" x14ac:dyDescent="0.25">
      <c r="A21592" t="e">
        <v>#N/A</v>
      </c>
    </row>
    <row r="21593" spans="1:1" x14ac:dyDescent="0.25">
      <c r="A21593" t="e">
        <v>#N/A</v>
      </c>
    </row>
    <row r="21594" spans="1:1" x14ac:dyDescent="0.25">
      <c r="A21594" t="e">
        <v>#N/A</v>
      </c>
    </row>
    <row r="21595" spans="1:1" x14ac:dyDescent="0.25">
      <c r="A21595" t="e">
        <v>#N/A</v>
      </c>
    </row>
    <row r="21596" spans="1:1" x14ac:dyDescent="0.25">
      <c r="A21596" t="e">
        <v>#N/A</v>
      </c>
    </row>
    <row r="21597" spans="1:1" x14ac:dyDescent="0.25">
      <c r="A21597" t="e">
        <v>#N/A</v>
      </c>
    </row>
    <row r="21598" spans="1:1" x14ac:dyDescent="0.25">
      <c r="A21598" t="e">
        <v>#N/A</v>
      </c>
    </row>
    <row r="21599" spans="1:1" x14ac:dyDescent="0.25">
      <c r="A21599" t="e">
        <v>#N/A</v>
      </c>
    </row>
    <row r="21600" spans="1:1" x14ac:dyDescent="0.25">
      <c r="A21600" t="e">
        <v>#N/A</v>
      </c>
    </row>
    <row r="21601" spans="1:1" x14ac:dyDescent="0.25">
      <c r="A21601" t="e">
        <v>#N/A</v>
      </c>
    </row>
    <row r="21602" spans="1:1" x14ac:dyDescent="0.25">
      <c r="A21602" t="e">
        <v>#N/A</v>
      </c>
    </row>
    <row r="21603" spans="1:1" x14ac:dyDescent="0.25">
      <c r="A21603" t="e">
        <v>#N/A</v>
      </c>
    </row>
    <row r="21604" spans="1:1" x14ac:dyDescent="0.25">
      <c r="A21604" t="e">
        <v>#N/A</v>
      </c>
    </row>
    <row r="21605" spans="1:1" x14ac:dyDescent="0.25">
      <c r="A21605" t="e">
        <v>#N/A</v>
      </c>
    </row>
    <row r="21606" spans="1:1" x14ac:dyDescent="0.25">
      <c r="A21606" t="e">
        <v>#N/A</v>
      </c>
    </row>
    <row r="21607" spans="1:1" x14ac:dyDescent="0.25">
      <c r="A21607" t="e">
        <v>#N/A</v>
      </c>
    </row>
    <row r="21608" spans="1:1" x14ac:dyDescent="0.25">
      <c r="A21608" t="e">
        <v>#N/A</v>
      </c>
    </row>
    <row r="21609" spans="1:1" x14ac:dyDescent="0.25">
      <c r="A21609" t="e">
        <v>#N/A</v>
      </c>
    </row>
    <row r="21610" spans="1:1" x14ac:dyDescent="0.25">
      <c r="A21610" t="e">
        <v>#N/A</v>
      </c>
    </row>
    <row r="21611" spans="1:1" x14ac:dyDescent="0.25">
      <c r="A21611" t="e">
        <v>#N/A</v>
      </c>
    </row>
    <row r="21612" spans="1:1" x14ac:dyDescent="0.25">
      <c r="A21612" t="e">
        <v>#N/A</v>
      </c>
    </row>
    <row r="21613" spans="1:1" x14ac:dyDescent="0.25">
      <c r="A21613" t="e">
        <v>#N/A</v>
      </c>
    </row>
    <row r="21614" spans="1:1" x14ac:dyDescent="0.25">
      <c r="A21614" t="e">
        <v>#N/A</v>
      </c>
    </row>
    <row r="21615" spans="1:1" x14ac:dyDescent="0.25">
      <c r="A21615" t="e">
        <v>#N/A</v>
      </c>
    </row>
    <row r="21616" spans="1:1" x14ac:dyDescent="0.25">
      <c r="A21616" t="e">
        <v>#N/A</v>
      </c>
    </row>
    <row r="21617" spans="1:1" x14ac:dyDescent="0.25">
      <c r="A21617" t="e">
        <v>#N/A</v>
      </c>
    </row>
    <row r="21618" spans="1:1" x14ac:dyDescent="0.25">
      <c r="A21618" t="e">
        <v>#N/A</v>
      </c>
    </row>
    <row r="21619" spans="1:1" x14ac:dyDescent="0.25">
      <c r="A21619" t="e">
        <v>#N/A</v>
      </c>
    </row>
    <row r="21620" spans="1:1" x14ac:dyDescent="0.25">
      <c r="A21620" t="e">
        <v>#N/A</v>
      </c>
    </row>
    <row r="21621" spans="1:1" x14ac:dyDescent="0.25">
      <c r="A21621" t="e">
        <v>#N/A</v>
      </c>
    </row>
    <row r="21622" spans="1:1" x14ac:dyDescent="0.25">
      <c r="A21622" t="e">
        <v>#N/A</v>
      </c>
    </row>
    <row r="21623" spans="1:1" x14ac:dyDescent="0.25">
      <c r="A21623" t="e">
        <v>#N/A</v>
      </c>
    </row>
    <row r="21624" spans="1:1" x14ac:dyDescent="0.25">
      <c r="A21624" t="e">
        <v>#N/A</v>
      </c>
    </row>
    <row r="21625" spans="1:1" x14ac:dyDescent="0.25">
      <c r="A21625" t="e">
        <v>#N/A</v>
      </c>
    </row>
    <row r="21626" spans="1:1" x14ac:dyDescent="0.25">
      <c r="A21626" t="e">
        <v>#N/A</v>
      </c>
    </row>
    <row r="21627" spans="1:1" x14ac:dyDescent="0.25">
      <c r="A21627" t="e">
        <v>#N/A</v>
      </c>
    </row>
    <row r="21628" spans="1:1" x14ac:dyDescent="0.25">
      <c r="A21628" t="e">
        <v>#N/A</v>
      </c>
    </row>
    <row r="21629" spans="1:1" x14ac:dyDescent="0.25">
      <c r="A21629" t="e">
        <v>#N/A</v>
      </c>
    </row>
    <row r="21630" spans="1:1" x14ac:dyDescent="0.25">
      <c r="A21630" t="e">
        <v>#N/A</v>
      </c>
    </row>
    <row r="21631" spans="1:1" x14ac:dyDescent="0.25">
      <c r="A21631" t="e">
        <v>#N/A</v>
      </c>
    </row>
    <row r="21632" spans="1:1" x14ac:dyDescent="0.25">
      <c r="A21632" t="e">
        <v>#N/A</v>
      </c>
    </row>
    <row r="21633" spans="1:1" x14ac:dyDescent="0.25">
      <c r="A21633" t="e">
        <v>#N/A</v>
      </c>
    </row>
    <row r="21634" spans="1:1" x14ac:dyDescent="0.25">
      <c r="A21634" t="e">
        <v>#N/A</v>
      </c>
    </row>
    <row r="21635" spans="1:1" x14ac:dyDescent="0.25">
      <c r="A21635" t="e">
        <v>#N/A</v>
      </c>
    </row>
    <row r="21636" spans="1:1" x14ac:dyDescent="0.25">
      <c r="A21636" t="e">
        <v>#N/A</v>
      </c>
    </row>
    <row r="21637" spans="1:1" x14ac:dyDescent="0.25">
      <c r="A21637" t="e">
        <v>#N/A</v>
      </c>
    </row>
    <row r="21638" spans="1:1" x14ac:dyDescent="0.25">
      <c r="A21638" t="e">
        <v>#N/A</v>
      </c>
    </row>
    <row r="21639" spans="1:1" x14ac:dyDescent="0.25">
      <c r="A21639" t="e">
        <v>#N/A</v>
      </c>
    </row>
    <row r="21640" spans="1:1" x14ac:dyDescent="0.25">
      <c r="A21640" t="e">
        <v>#N/A</v>
      </c>
    </row>
    <row r="21641" spans="1:1" x14ac:dyDescent="0.25">
      <c r="A21641" t="e">
        <v>#N/A</v>
      </c>
    </row>
    <row r="21642" spans="1:1" x14ac:dyDescent="0.25">
      <c r="A21642" t="e">
        <v>#N/A</v>
      </c>
    </row>
    <row r="21643" spans="1:1" x14ac:dyDescent="0.25">
      <c r="A21643" t="e">
        <v>#N/A</v>
      </c>
    </row>
    <row r="21644" spans="1:1" x14ac:dyDescent="0.25">
      <c r="A21644" t="e">
        <v>#N/A</v>
      </c>
    </row>
    <row r="21645" spans="1:1" x14ac:dyDescent="0.25">
      <c r="A21645" t="e">
        <v>#N/A</v>
      </c>
    </row>
    <row r="21646" spans="1:1" x14ac:dyDescent="0.25">
      <c r="A21646" t="e">
        <v>#N/A</v>
      </c>
    </row>
    <row r="21647" spans="1:1" x14ac:dyDescent="0.25">
      <c r="A21647" t="e">
        <v>#N/A</v>
      </c>
    </row>
    <row r="21648" spans="1:1" x14ac:dyDescent="0.25">
      <c r="A21648" t="e">
        <v>#N/A</v>
      </c>
    </row>
    <row r="21649" spans="1:1" x14ac:dyDescent="0.25">
      <c r="A21649" t="e">
        <v>#N/A</v>
      </c>
    </row>
    <row r="21650" spans="1:1" x14ac:dyDescent="0.25">
      <c r="A21650" t="e">
        <v>#N/A</v>
      </c>
    </row>
    <row r="21651" spans="1:1" x14ac:dyDescent="0.25">
      <c r="A21651" t="e">
        <v>#N/A</v>
      </c>
    </row>
    <row r="21652" spans="1:1" x14ac:dyDescent="0.25">
      <c r="A21652" t="e">
        <v>#N/A</v>
      </c>
    </row>
    <row r="21653" spans="1:1" x14ac:dyDescent="0.25">
      <c r="A21653" t="e">
        <v>#N/A</v>
      </c>
    </row>
    <row r="21654" spans="1:1" x14ac:dyDescent="0.25">
      <c r="A21654" t="e">
        <v>#N/A</v>
      </c>
    </row>
    <row r="21655" spans="1:1" x14ac:dyDescent="0.25">
      <c r="A21655" t="e">
        <v>#N/A</v>
      </c>
    </row>
    <row r="21656" spans="1:1" x14ac:dyDescent="0.25">
      <c r="A21656" t="e">
        <v>#N/A</v>
      </c>
    </row>
    <row r="21657" spans="1:1" x14ac:dyDescent="0.25">
      <c r="A21657" t="e">
        <v>#N/A</v>
      </c>
    </row>
    <row r="21658" spans="1:1" x14ac:dyDescent="0.25">
      <c r="A21658" t="e">
        <v>#N/A</v>
      </c>
    </row>
    <row r="21659" spans="1:1" x14ac:dyDescent="0.25">
      <c r="A21659" t="e">
        <v>#N/A</v>
      </c>
    </row>
    <row r="21660" spans="1:1" x14ac:dyDescent="0.25">
      <c r="A21660" t="e">
        <v>#N/A</v>
      </c>
    </row>
    <row r="21661" spans="1:1" x14ac:dyDescent="0.25">
      <c r="A21661" t="e">
        <v>#N/A</v>
      </c>
    </row>
    <row r="21662" spans="1:1" x14ac:dyDescent="0.25">
      <c r="A21662" t="e">
        <v>#N/A</v>
      </c>
    </row>
    <row r="21663" spans="1:1" x14ac:dyDescent="0.25">
      <c r="A21663" t="e">
        <v>#N/A</v>
      </c>
    </row>
    <row r="21664" spans="1:1" x14ac:dyDescent="0.25">
      <c r="A21664" t="e">
        <v>#N/A</v>
      </c>
    </row>
    <row r="21665" spans="1:1" x14ac:dyDescent="0.25">
      <c r="A21665" t="e">
        <v>#N/A</v>
      </c>
    </row>
    <row r="21666" spans="1:1" x14ac:dyDescent="0.25">
      <c r="A21666" t="e">
        <v>#N/A</v>
      </c>
    </row>
    <row r="21667" spans="1:1" x14ac:dyDescent="0.25">
      <c r="A21667" t="e">
        <v>#N/A</v>
      </c>
    </row>
    <row r="21668" spans="1:1" x14ac:dyDescent="0.25">
      <c r="A21668" t="e">
        <v>#N/A</v>
      </c>
    </row>
    <row r="21669" spans="1:1" x14ac:dyDescent="0.25">
      <c r="A21669" t="e">
        <v>#N/A</v>
      </c>
    </row>
    <row r="21670" spans="1:1" x14ac:dyDescent="0.25">
      <c r="A21670" t="e">
        <v>#N/A</v>
      </c>
    </row>
    <row r="21671" spans="1:1" x14ac:dyDescent="0.25">
      <c r="A21671" t="e">
        <v>#N/A</v>
      </c>
    </row>
    <row r="21672" spans="1:1" x14ac:dyDescent="0.25">
      <c r="A21672" t="e">
        <v>#N/A</v>
      </c>
    </row>
    <row r="21673" spans="1:1" x14ac:dyDescent="0.25">
      <c r="A21673" t="e">
        <v>#N/A</v>
      </c>
    </row>
    <row r="21674" spans="1:1" x14ac:dyDescent="0.25">
      <c r="A21674" t="e">
        <v>#N/A</v>
      </c>
    </row>
    <row r="21675" spans="1:1" x14ac:dyDescent="0.25">
      <c r="A21675" t="e">
        <v>#N/A</v>
      </c>
    </row>
    <row r="21676" spans="1:1" x14ac:dyDescent="0.25">
      <c r="A21676" t="e">
        <v>#N/A</v>
      </c>
    </row>
    <row r="21677" spans="1:1" x14ac:dyDescent="0.25">
      <c r="A21677" t="e">
        <v>#N/A</v>
      </c>
    </row>
    <row r="21678" spans="1:1" x14ac:dyDescent="0.25">
      <c r="A21678" t="e">
        <v>#N/A</v>
      </c>
    </row>
    <row r="21679" spans="1:1" x14ac:dyDescent="0.25">
      <c r="A21679" t="e">
        <v>#N/A</v>
      </c>
    </row>
    <row r="21680" spans="1:1" x14ac:dyDescent="0.25">
      <c r="A21680" t="e">
        <v>#N/A</v>
      </c>
    </row>
    <row r="21681" spans="1:1" x14ac:dyDescent="0.25">
      <c r="A21681" t="e">
        <v>#N/A</v>
      </c>
    </row>
    <row r="21682" spans="1:1" x14ac:dyDescent="0.25">
      <c r="A21682" t="e">
        <v>#N/A</v>
      </c>
    </row>
    <row r="21683" spans="1:1" x14ac:dyDescent="0.25">
      <c r="A21683" t="e">
        <v>#N/A</v>
      </c>
    </row>
    <row r="21684" spans="1:1" x14ac:dyDescent="0.25">
      <c r="A21684" t="e">
        <v>#N/A</v>
      </c>
    </row>
    <row r="21685" spans="1:1" x14ac:dyDescent="0.25">
      <c r="A21685" t="e">
        <v>#N/A</v>
      </c>
    </row>
    <row r="21686" spans="1:1" x14ac:dyDescent="0.25">
      <c r="A21686" t="e">
        <v>#N/A</v>
      </c>
    </row>
    <row r="21687" spans="1:1" x14ac:dyDescent="0.25">
      <c r="A21687" t="e">
        <v>#N/A</v>
      </c>
    </row>
    <row r="21688" spans="1:1" x14ac:dyDescent="0.25">
      <c r="A21688" t="e">
        <v>#N/A</v>
      </c>
    </row>
    <row r="21689" spans="1:1" x14ac:dyDescent="0.25">
      <c r="A21689" t="e">
        <v>#N/A</v>
      </c>
    </row>
    <row r="21690" spans="1:1" x14ac:dyDescent="0.25">
      <c r="A21690" t="e">
        <v>#N/A</v>
      </c>
    </row>
    <row r="21691" spans="1:1" x14ac:dyDescent="0.25">
      <c r="A21691" t="e">
        <v>#N/A</v>
      </c>
    </row>
    <row r="21692" spans="1:1" x14ac:dyDescent="0.25">
      <c r="A21692" t="e">
        <v>#N/A</v>
      </c>
    </row>
    <row r="21693" spans="1:1" x14ac:dyDescent="0.25">
      <c r="A21693" t="e">
        <v>#N/A</v>
      </c>
    </row>
    <row r="21694" spans="1:1" x14ac:dyDescent="0.25">
      <c r="A21694" t="e">
        <v>#N/A</v>
      </c>
    </row>
    <row r="21695" spans="1:1" x14ac:dyDescent="0.25">
      <c r="A21695" t="e">
        <v>#N/A</v>
      </c>
    </row>
    <row r="21696" spans="1:1" x14ac:dyDescent="0.25">
      <c r="A21696" t="e">
        <v>#N/A</v>
      </c>
    </row>
    <row r="21697" spans="1:1" x14ac:dyDescent="0.25">
      <c r="A21697" t="e">
        <v>#N/A</v>
      </c>
    </row>
    <row r="21698" spans="1:1" x14ac:dyDescent="0.25">
      <c r="A21698" t="e">
        <v>#N/A</v>
      </c>
    </row>
    <row r="21699" spans="1:1" x14ac:dyDescent="0.25">
      <c r="A21699" t="e">
        <v>#N/A</v>
      </c>
    </row>
    <row r="21700" spans="1:1" x14ac:dyDescent="0.25">
      <c r="A21700" t="e">
        <v>#N/A</v>
      </c>
    </row>
    <row r="21701" spans="1:1" x14ac:dyDescent="0.25">
      <c r="A21701" t="e">
        <v>#N/A</v>
      </c>
    </row>
    <row r="21702" spans="1:1" x14ac:dyDescent="0.25">
      <c r="A21702" t="e">
        <v>#N/A</v>
      </c>
    </row>
    <row r="21703" spans="1:1" x14ac:dyDescent="0.25">
      <c r="A21703" t="e">
        <v>#N/A</v>
      </c>
    </row>
    <row r="21704" spans="1:1" x14ac:dyDescent="0.25">
      <c r="A21704" t="e">
        <v>#N/A</v>
      </c>
    </row>
    <row r="21705" spans="1:1" x14ac:dyDescent="0.25">
      <c r="A21705" t="e">
        <v>#N/A</v>
      </c>
    </row>
    <row r="21706" spans="1:1" x14ac:dyDescent="0.25">
      <c r="A21706" t="e">
        <v>#N/A</v>
      </c>
    </row>
    <row r="21707" spans="1:1" x14ac:dyDescent="0.25">
      <c r="A21707" t="e">
        <v>#N/A</v>
      </c>
    </row>
    <row r="21708" spans="1:1" x14ac:dyDescent="0.25">
      <c r="A21708" t="e">
        <v>#N/A</v>
      </c>
    </row>
    <row r="21709" spans="1:1" x14ac:dyDescent="0.25">
      <c r="A21709" t="e">
        <v>#N/A</v>
      </c>
    </row>
    <row r="21710" spans="1:1" x14ac:dyDescent="0.25">
      <c r="A21710" t="e">
        <v>#N/A</v>
      </c>
    </row>
    <row r="21711" spans="1:1" x14ac:dyDescent="0.25">
      <c r="A21711" t="e">
        <v>#N/A</v>
      </c>
    </row>
    <row r="21712" spans="1:1" x14ac:dyDescent="0.25">
      <c r="A21712" t="e">
        <v>#N/A</v>
      </c>
    </row>
    <row r="21713" spans="1:1" x14ac:dyDescent="0.25">
      <c r="A21713" t="e">
        <v>#N/A</v>
      </c>
    </row>
    <row r="21714" spans="1:1" x14ac:dyDescent="0.25">
      <c r="A21714" t="e">
        <v>#N/A</v>
      </c>
    </row>
    <row r="21715" spans="1:1" x14ac:dyDescent="0.25">
      <c r="A21715" t="e">
        <v>#N/A</v>
      </c>
    </row>
    <row r="21716" spans="1:1" x14ac:dyDescent="0.25">
      <c r="A21716" t="e">
        <v>#N/A</v>
      </c>
    </row>
    <row r="21717" spans="1:1" x14ac:dyDescent="0.25">
      <c r="A21717" t="e">
        <v>#N/A</v>
      </c>
    </row>
    <row r="21718" spans="1:1" x14ac:dyDescent="0.25">
      <c r="A21718" t="e">
        <v>#N/A</v>
      </c>
    </row>
    <row r="21719" spans="1:1" x14ac:dyDescent="0.25">
      <c r="A21719" t="e">
        <v>#N/A</v>
      </c>
    </row>
    <row r="21720" spans="1:1" x14ac:dyDescent="0.25">
      <c r="A21720" t="e">
        <v>#N/A</v>
      </c>
    </row>
    <row r="21721" spans="1:1" x14ac:dyDescent="0.25">
      <c r="A21721" t="e">
        <v>#N/A</v>
      </c>
    </row>
    <row r="21722" spans="1:1" x14ac:dyDescent="0.25">
      <c r="A21722" t="e">
        <v>#N/A</v>
      </c>
    </row>
    <row r="21723" spans="1:1" x14ac:dyDescent="0.25">
      <c r="A21723" t="e">
        <v>#N/A</v>
      </c>
    </row>
    <row r="21724" spans="1:1" x14ac:dyDescent="0.25">
      <c r="A21724" t="e">
        <v>#N/A</v>
      </c>
    </row>
    <row r="21725" spans="1:1" x14ac:dyDescent="0.25">
      <c r="A21725" t="e">
        <v>#N/A</v>
      </c>
    </row>
    <row r="21726" spans="1:1" x14ac:dyDescent="0.25">
      <c r="A21726" t="e">
        <v>#N/A</v>
      </c>
    </row>
    <row r="21727" spans="1:1" x14ac:dyDescent="0.25">
      <c r="A21727" t="e">
        <v>#N/A</v>
      </c>
    </row>
    <row r="21728" spans="1:1" x14ac:dyDescent="0.25">
      <c r="A21728" t="e">
        <v>#N/A</v>
      </c>
    </row>
    <row r="21729" spans="1:1" x14ac:dyDescent="0.25">
      <c r="A21729" t="e">
        <v>#N/A</v>
      </c>
    </row>
    <row r="21730" spans="1:1" x14ac:dyDescent="0.25">
      <c r="A21730" t="e">
        <v>#N/A</v>
      </c>
    </row>
    <row r="21731" spans="1:1" x14ac:dyDescent="0.25">
      <c r="A21731" t="e">
        <v>#N/A</v>
      </c>
    </row>
    <row r="21732" spans="1:1" x14ac:dyDescent="0.25">
      <c r="A21732" t="e">
        <v>#N/A</v>
      </c>
    </row>
    <row r="21733" spans="1:1" x14ac:dyDescent="0.25">
      <c r="A21733" t="e">
        <v>#N/A</v>
      </c>
    </row>
    <row r="21734" spans="1:1" x14ac:dyDescent="0.25">
      <c r="A21734" t="e">
        <v>#N/A</v>
      </c>
    </row>
    <row r="21735" spans="1:1" x14ac:dyDescent="0.25">
      <c r="A21735" t="e">
        <v>#N/A</v>
      </c>
    </row>
    <row r="21736" spans="1:1" x14ac:dyDescent="0.25">
      <c r="A21736" t="e">
        <v>#N/A</v>
      </c>
    </row>
    <row r="21737" spans="1:1" x14ac:dyDescent="0.25">
      <c r="A21737" t="e">
        <v>#N/A</v>
      </c>
    </row>
    <row r="21738" spans="1:1" x14ac:dyDescent="0.25">
      <c r="A21738" t="e">
        <v>#N/A</v>
      </c>
    </row>
    <row r="21739" spans="1:1" x14ac:dyDescent="0.25">
      <c r="A21739" t="e">
        <v>#N/A</v>
      </c>
    </row>
    <row r="21740" spans="1:1" x14ac:dyDescent="0.25">
      <c r="A21740" t="e">
        <v>#N/A</v>
      </c>
    </row>
    <row r="21741" spans="1:1" x14ac:dyDescent="0.25">
      <c r="A21741" t="e">
        <v>#N/A</v>
      </c>
    </row>
    <row r="21742" spans="1:1" x14ac:dyDescent="0.25">
      <c r="A21742" t="e">
        <v>#N/A</v>
      </c>
    </row>
    <row r="21743" spans="1:1" x14ac:dyDescent="0.25">
      <c r="A21743" t="e">
        <v>#N/A</v>
      </c>
    </row>
    <row r="21744" spans="1:1" x14ac:dyDescent="0.25">
      <c r="A21744" t="e">
        <v>#N/A</v>
      </c>
    </row>
    <row r="21745" spans="1:1" x14ac:dyDescent="0.25">
      <c r="A21745" t="e">
        <v>#N/A</v>
      </c>
    </row>
    <row r="21746" spans="1:1" x14ac:dyDescent="0.25">
      <c r="A21746" t="e">
        <v>#N/A</v>
      </c>
    </row>
    <row r="21747" spans="1:1" x14ac:dyDescent="0.25">
      <c r="A21747" t="e">
        <v>#N/A</v>
      </c>
    </row>
    <row r="21748" spans="1:1" x14ac:dyDescent="0.25">
      <c r="A21748" t="e">
        <v>#N/A</v>
      </c>
    </row>
    <row r="21749" spans="1:1" x14ac:dyDescent="0.25">
      <c r="A21749" t="e">
        <v>#N/A</v>
      </c>
    </row>
    <row r="21750" spans="1:1" x14ac:dyDescent="0.25">
      <c r="A21750" t="e">
        <v>#N/A</v>
      </c>
    </row>
    <row r="21751" spans="1:1" x14ac:dyDescent="0.25">
      <c r="A21751" t="e">
        <v>#N/A</v>
      </c>
    </row>
    <row r="21752" spans="1:1" x14ac:dyDescent="0.25">
      <c r="A21752" t="e">
        <v>#N/A</v>
      </c>
    </row>
    <row r="21753" spans="1:1" x14ac:dyDescent="0.25">
      <c r="A21753" t="e">
        <v>#N/A</v>
      </c>
    </row>
    <row r="21754" spans="1:1" x14ac:dyDescent="0.25">
      <c r="A21754" t="e">
        <v>#N/A</v>
      </c>
    </row>
    <row r="21755" spans="1:1" x14ac:dyDescent="0.25">
      <c r="A21755" t="e">
        <v>#N/A</v>
      </c>
    </row>
    <row r="21756" spans="1:1" x14ac:dyDescent="0.25">
      <c r="A21756" t="e">
        <v>#N/A</v>
      </c>
    </row>
    <row r="21757" spans="1:1" x14ac:dyDescent="0.25">
      <c r="A21757" t="e">
        <v>#N/A</v>
      </c>
    </row>
    <row r="21758" spans="1:1" x14ac:dyDescent="0.25">
      <c r="A21758" t="e">
        <v>#N/A</v>
      </c>
    </row>
    <row r="21759" spans="1:1" x14ac:dyDescent="0.25">
      <c r="A21759" t="e">
        <v>#N/A</v>
      </c>
    </row>
    <row r="21760" spans="1:1" x14ac:dyDescent="0.25">
      <c r="A21760" t="e">
        <v>#N/A</v>
      </c>
    </row>
    <row r="21761" spans="1:1" x14ac:dyDescent="0.25">
      <c r="A21761" t="e">
        <v>#N/A</v>
      </c>
    </row>
    <row r="21762" spans="1:1" x14ac:dyDescent="0.25">
      <c r="A21762" t="e">
        <v>#N/A</v>
      </c>
    </row>
    <row r="21763" spans="1:1" x14ac:dyDescent="0.25">
      <c r="A21763" t="e">
        <v>#N/A</v>
      </c>
    </row>
    <row r="21764" spans="1:1" x14ac:dyDescent="0.25">
      <c r="A21764" t="e">
        <v>#N/A</v>
      </c>
    </row>
    <row r="21765" spans="1:1" x14ac:dyDescent="0.25">
      <c r="A21765" t="e">
        <v>#N/A</v>
      </c>
    </row>
    <row r="21766" spans="1:1" x14ac:dyDescent="0.25">
      <c r="A21766" t="e">
        <v>#N/A</v>
      </c>
    </row>
    <row r="21767" spans="1:1" x14ac:dyDescent="0.25">
      <c r="A21767" t="e">
        <v>#N/A</v>
      </c>
    </row>
    <row r="21768" spans="1:1" x14ac:dyDescent="0.25">
      <c r="A21768" t="e">
        <v>#N/A</v>
      </c>
    </row>
    <row r="21769" spans="1:1" x14ac:dyDescent="0.25">
      <c r="A21769" t="e">
        <v>#N/A</v>
      </c>
    </row>
    <row r="21770" spans="1:1" x14ac:dyDescent="0.25">
      <c r="A21770" t="e">
        <v>#N/A</v>
      </c>
    </row>
    <row r="21771" spans="1:1" x14ac:dyDescent="0.25">
      <c r="A21771" t="e">
        <v>#N/A</v>
      </c>
    </row>
    <row r="21772" spans="1:1" x14ac:dyDescent="0.25">
      <c r="A21772" t="e">
        <v>#N/A</v>
      </c>
    </row>
    <row r="21773" spans="1:1" x14ac:dyDescent="0.25">
      <c r="A21773" t="e">
        <v>#N/A</v>
      </c>
    </row>
    <row r="21774" spans="1:1" x14ac:dyDescent="0.25">
      <c r="A21774" t="e">
        <v>#N/A</v>
      </c>
    </row>
    <row r="21775" spans="1:1" x14ac:dyDescent="0.25">
      <c r="A21775" t="e">
        <v>#N/A</v>
      </c>
    </row>
    <row r="21776" spans="1:1" x14ac:dyDescent="0.25">
      <c r="A21776" t="e">
        <v>#N/A</v>
      </c>
    </row>
    <row r="21777" spans="1:1" x14ac:dyDescent="0.25">
      <c r="A21777" t="e">
        <v>#N/A</v>
      </c>
    </row>
    <row r="21778" spans="1:1" x14ac:dyDescent="0.25">
      <c r="A21778" t="e">
        <v>#N/A</v>
      </c>
    </row>
    <row r="21779" spans="1:1" x14ac:dyDescent="0.25">
      <c r="A21779" t="e">
        <v>#N/A</v>
      </c>
    </row>
    <row r="21780" spans="1:1" x14ac:dyDescent="0.25">
      <c r="A21780" t="e">
        <v>#N/A</v>
      </c>
    </row>
    <row r="21781" spans="1:1" x14ac:dyDescent="0.25">
      <c r="A21781" t="e">
        <v>#N/A</v>
      </c>
    </row>
    <row r="21782" spans="1:1" x14ac:dyDescent="0.25">
      <c r="A21782" t="e">
        <v>#N/A</v>
      </c>
    </row>
    <row r="21783" spans="1:1" x14ac:dyDescent="0.25">
      <c r="A21783" t="e">
        <v>#N/A</v>
      </c>
    </row>
    <row r="21784" spans="1:1" x14ac:dyDescent="0.25">
      <c r="A21784" t="e">
        <v>#N/A</v>
      </c>
    </row>
    <row r="21785" spans="1:1" x14ac:dyDescent="0.25">
      <c r="A21785" t="e">
        <v>#N/A</v>
      </c>
    </row>
    <row r="21786" spans="1:1" x14ac:dyDescent="0.25">
      <c r="A21786" t="e">
        <v>#N/A</v>
      </c>
    </row>
    <row r="21787" spans="1:1" x14ac:dyDescent="0.25">
      <c r="A21787" t="e">
        <v>#N/A</v>
      </c>
    </row>
    <row r="21788" spans="1:1" x14ac:dyDescent="0.25">
      <c r="A21788" t="e">
        <v>#N/A</v>
      </c>
    </row>
    <row r="21789" spans="1:1" x14ac:dyDescent="0.25">
      <c r="A21789" t="e">
        <v>#N/A</v>
      </c>
    </row>
    <row r="21790" spans="1:1" x14ac:dyDescent="0.25">
      <c r="A21790" t="e">
        <v>#N/A</v>
      </c>
    </row>
    <row r="21791" spans="1:1" x14ac:dyDescent="0.25">
      <c r="A21791" t="e">
        <v>#N/A</v>
      </c>
    </row>
    <row r="21792" spans="1:1" x14ac:dyDescent="0.25">
      <c r="A21792" t="e">
        <v>#N/A</v>
      </c>
    </row>
    <row r="21793" spans="1:1" x14ac:dyDescent="0.25">
      <c r="A21793" t="e">
        <v>#N/A</v>
      </c>
    </row>
    <row r="21794" spans="1:1" x14ac:dyDescent="0.25">
      <c r="A21794" t="e">
        <v>#N/A</v>
      </c>
    </row>
    <row r="21795" spans="1:1" x14ac:dyDescent="0.25">
      <c r="A21795" t="e">
        <v>#N/A</v>
      </c>
    </row>
    <row r="21796" spans="1:1" x14ac:dyDescent="0.25">
      <c r="A21796" t="e">
        <v>#N/A</v>
      </c>
    </row>
    <row r="21797" spans="1:1" x14ac:dyDescent="0.25">
      <c r="A21797" t="e">
        <v>#N/A</v>
      </c>
    </row>
    <row r="21798" spans="1:1" x14ac:dyDescent="0.25">
      <c r="A21798" t="e">
        <v>#N/A</v>
      </c>
    </row>
    <row r="21799" spans="1:1" x14ac:dyDescent="0.25">
      <c r="A21799" t="e">
        <v>#N/A</v>
      </c>
    </row>
    <row r="21800" spans="1:1" x14ac:dyDescent="0.25">
      <c r="A21800" t="e">
        <v>#N/A</v>
      </c>
    </row>
    <row r="21801" spans="1:1" x14ac:dyDescent="0.25">
      <c r="A21801" t="e">
        <v>#N/A</v>
      </c>
    </row>
    <row r="21802" spans="1:1" x14ac:dyDescent="0.25">
      <c r="A21802" t="e">
        <v>#N/A</v>
      </c>
    </row>
    <row r="21803" spans="1:1" x14ac:dyDescent="0.25">
      <c r="A21803" t="e">
        <v>#N/A</v>
      </c>
    </row>
    <row r="21804" spans="1:1" x14ac:dyDescent="0.25">
      <c r="A21804" t="e">
        <v>#N/A</v>
      </c>
    </row>
    <row r="21805" spans="1:1" x14ac:dyDescent="0.25">
      <c r="A21805" t="e">
        <v>#N/A</v>
      </c>
    </row>
    <row r="21806" spans="1:1" x14ac:dyDescent="0.25">
      <c r="A21806" t="e">
        <v>#N/A</v>
      </c>
    </row>
    <row r="21807" spans="1:1" x14ac:dyDescent="0.25">
      <c r="A21807" t="e">
        <v>#N/A</v>
      </c>
    </row>
    <row r="21808" spans="1:1" x14ac:dyDescent="0.25">
      <c r="A21808" t="e">
        <v>#N/A</v>
      </c>
    </row>
    <row r="21809" spans="1:1" x14ac:dyDescent="0.25">
      <c r="A21809" t="e">
        <v>#N/A</v>
      </c>
    </row>
    <row r="21810" spans="1:1" x14ac:dyDescent="0.25">
      <c r="A21810" t="e">
        <v>#N/A</v>
      </c>
    </row>
    <row r="21811" spans="1:1" x14ac:dyDescent="0.25">
      <c r="A21811" t="e">
        <v>#N/A</v>
      </c>
    </row>
    <row r="21812" spans="1:1" x14ac:dyDescent="0.25">
      <c r="A21812" t="e">
        <v>#N/A</v>
      </c>
    </row>
    <row r="21813" spans="1:1" x14ac:dyDescent="0.25">
      <c r="A21813" t="e">
        <v>#N/A</v>
      </c>
    </row>
    <row r="21814" spans="1:1" x14ac:dyDescent="0.25">
      <c r="A21814" t="e">
        <v>#N/A</v>
      </c>
    </row>
    <row r="21815" spans="1:1" x14ac:dyDescent="0.25">
      <c r="A21815" t="e">
        <v>#N/A</v>
      </c>
    </row>
    <row r="21816" spans="1:1" x14ac:dyDescent="0.25">
      <c r="A21816" t="e">
        <v>#N/A</v>
      </c>
    </row>
    <row r="21817" spans="1:1" x14ac:dyDescent="0.25">
      <c r="A21817" t="e">
        <v>#N/A</v>
      </c>
    </row>
    <row r="21818" spans="1:1" x14ac:dyDescent="0.25">
      <c r="A21818" t="e">
        <v>#N/A</v>
      </c>
    </row>
    <row r="21819" spans="1:1" x14ac:dyDescent="0.25">
      <c r="A21819" t="e">
        <v>#N/A</v>
      </c>
    </row>
    <row r="21820" spans="1:1" x14ac:dyDescent="0.25">
      <c r="A21820" t="e">
        <v>#N/A</v>
      </c>
    </row>
    <row r="21821" spans="1:1" x14ac:dyDescent="0.25">
      <c r="A21821" t="e">
        <v>#N/A</v>
      </c>
    </row>
    <row r="21822" spans="1:1" x14ac:dyDescent="0.25">
      <c r="A21822" t="e">
        <v>#N/A</v>
      </c>
    </row>
    <row r="21823" spans="1:1" x14ac:dyDescent="0.25">
      <c r="A21823" t="e">
        <v>#N/A</v>
      </c>
    </row>
    <row r="21824" spans="1:1" x14ac:dyDescent="0.25">
      <c r="A21824" t="e">
        <v>#N/A</v>
      </c>
    </row>
    <row r="21825" spans="1:1" x14ac:dyDescent="0.25">
      <c r="A21825" t="e">
        <v>#N/A</v>
      </c>
    </row>
    <row r="21826" spans="1:1" x14ac:dyDescent="0.25">
      <c r="A21826" t="e">
        <v>#N/A</v>
      </c>
    </row>
    <row r="21827" spans="1:1" x14ac:dyDescent="0.25">
      <c r="A21827" t="e">
        <v>#N/A</v>
      </c>
    </row>
    <row r="21828" spans="1:1" x14ac:dyDescent="0.25">
      <c r="A21828" t="e">
        <v>#N/A</v>
      </c>
    </row>
    <row r="21829" spans="1:1" x14ac:dyDescent="0.25">
      <c r="A21829" t="e">
        <v>#N/A</v>
      </c>
    </row>
    <row r="21830" spans="1:1" x14ac:dyDescent="0.25">
      <c r="A21830" t="e">
        <v>#N/A</v>
      </c>
    </row>
    <row r="21831" spans="1:1" x14ac:dyDescent="0.25">
      <c r="A21831" t="e">
        <v>#N/A</v>
      </c>
    </row>
    <row r="21832" spans="1:1" x14ac:dyDescent="0.25">
      <c r="A21832" t="e">
        <v>#N/A</v>
      </c>
    </row>
    <row r="21833" spans="1:1" x14ac:dyDescent="0.25">
      <c r="A21833" t="e">
        <v>#N/A</v>
      </c>
    </row>
    <row r="21834" spans="1:1" x14ac:dyDescent="0.25">
      <c r="A21834" t="e">
        <v>#N/A</v>
      </c>
    </row>
    <row r="21835" spans="1:1" x14ac:dyDescent="0.25">
      <c r="A21835" t="e">
        <v>#N/A</v>
      </c>
    </row>
    <row r="21836" spans="1:1" x14ac:dyDescent="0.25">
      <c r="A21836" t="e">
        <v>#N/A</v>
      </c>
    </row>
    <row r="21837" spans="1:1" x14ac:dyDescent="0.25">
      <c r="A21837" t="e">
        <v>#N/A</v>
      </c>
    </row>
    <row r="21838" spans="1:1" x14ac:dyDescent="0.25">
      <c r="A21838" t="e">
        <v>#N/A</v>
      </c>
    </row>
    <row r="21839" spans="1:1" x14ac:dyDescent="0.25">
      <c r="A21839" t="e">
        <v>#N/A</v>
      </c>
    </row>
    <row r="21840" spans="1:1" x14ac:dyDescent="0.25">
      <c r="A21840" t="e">
        <v>#N/A</v>
      </c>
    </row>
    <row r="21841" spans="1:1" x14ac:dyDescent="0.25">
      <c r="A21841" t="e">
        <v>#N/A</v>
      </c>
    </row>
    <row r="21842" spans="1:1" x14ac:dyDescent="0.25">
      <c r="A21842" t="e">
        <v>#N/A</v>
      </c>
    </row>
    <row r="21843" spans="1:1" x14ac:dyDescent="0.25">
      <c r="A21843" t="e">
        <v>#N/A</v>
      </c>
    </row>
    <row r="21844" spans="1:1" x14ac:dyDescent="0.25">
      <c r="A21844" t="e">
        <v>#N/A</v>
      </c>
    </row>
    <row r="21845" spans="1:1" x14ac:dyDescent="0.25">
      <c r="A21845" t="e">
        <v>#N/A</v>
      </c>
    </row>
    <row r="21846" spans="1:1" x14ac:dyDescent="0.25">
      <c r="A21846" t="e">
        <v>#N/A</v>
      </c>
    </row>
    <row r="21847" spans="1:1" x14ac:dyDescent="0.25">
      <c r="A21847" t="e">
        <v>#N/A</v>
      </c>
    </row>
    <row r="21848" spans="1:1" x14ac:dyDescent="0.25">
      <c r="A21848" t="e">
        <v>#N/A</v>
      </c>
    </row>
    <row r="21849" spans="1:1" x14ac:dyDescent="0.25">
      <c r="A21849" t="e">
        <v>#N/A</v>
      </c>
    </row>
    <row r="21850" spans="1:1" x14ac:dyDescent="0.25">
      <c r="A21850" t="e">
        <v>#N/A</v>
      </c>
    </row>
    <row r="21851" spans="1:1" x14ac:dyDescent="0.25">
      <c r="A21851" t="e">
        <v>#N/A</v>
      </c>
    </row>
    <row r="21852" spans="1:1" x14ac:dyDescent="0.25">
      <c r="A21852" t="e">
        <v>#N/A</v>
      </c>
    </row>
    <row r="21853" spans="1:1" x14ac:dyDescent="0.25">
      <c r="A21853" t="e">
        <v>#N/A</v>
      </c>
    </row>
    <row r="21854" spans="1:1" x14ac:dyDescent="0.25">
      <c r="A21854" t="e">
        <v>#N/A</v>
      </c>
    </row>
    <row r="21855" spans="1:1" x14ac:dyDescent="0.25">
      <c r="A21855" t="e">
        <v>#N/A</v>
      </c>
    </row>
    <row r="21856" spans="1:1" x14ac:dyDescent="0.25">
      <c r="A21856" t="e">
        <v>#N/A</v>
      </c>
    </row>
    <row r="21857" spans="1:1" x14ac:dyDescent="0.25">
      <c r="A21857" t="e">
        <v>#N/A</v>
      </c>
    </row>
    <row r="21858" spans="1:1" x14ac:dyDescent="0.25">
      <c r="A21858" t="e">
        <v>#N/A</v>
      </c>
    </row>
    <row r="21859" spans="1:1" x14ac:dyDescent="0.25">
      <c r="A21859" t="e">
        <v>#N/A</v>
      </c>
    </row>
    <row r="21860" spans="1:1" x14ac:dyDescent="0.25">
      <c r="A21860" t="e">
        <v>#N/A</v>
      </c>
    </row>
    <row r="21861" spans="1:1" x14ac:dyDescent="0.25">
      <c r="A21861" t="e">
        <v>#N/A</v>
      </c>
    </row>
    <row r="21862" spans="1:1" x14ac:dyDescent="0.25">
      <c r="A21862" t="e">
        <v>#N/A</v>
      </c>
    </row>
    <row r="21863" spans="1:1" x14ac:dyDescent="0.25">
      <c r="A21863" t="e">
        <v>#N/A</v>
      </c>
    </row>
    <row r="21864" spans="1:1" x14ac:dyDescent="0.25">
      <c r="A21864" t="e">
        <v>#N/A</v>
      </c>
    </row>
    <row r="21865" spans="1:1" x14ac:dyDescent="0.25">
      <c r="A21865" t="e">
        <v>#N/A</v>
      </c>
    </row>
    <row r="21866" spans="1:1" x14ac:dyDescent="0.25">
      <c r="A21866" t="e">
        <v>#N/A</v>
      </c>
    </row>
    <row r="21867" spans="1:1" x14ac:dyDescent="0.25">
      <c r="A21867" t="e">
        <v>#N/A</v>
      </c>
    </row>
    <row r="21868" spans="1:1" x14ac:dyDescent="0.25">
      <c r="A21868" t="e">
        <v>#N/A</v>
      </c>
    </row>
    <row r="21869" spans="1:1" x14ac:dyDescent="0.25">
      <c r="A21869" t="e">
        <v>#N/A</v>
      </c>
    </row>
    <row r="21870" spans="1:1" x14ac:dyDescent="0.25">
      <c r="A21870" t="e">
        <v>#N/A</v>
      </c>
    </row>
    <row r="21871" spans="1:1" x14ac:dyDescent="0.25">
      <c r="A21871" t="e">
        <v>#N/A</v>
      </c>
    </row>
    <row r="21872" spans="1:1" x14ac:dyDescent="0.25">
      <c r="A21872" t="e">
        <v>#N/A</v>
      </c>
    </row>
    <row r="21873" spans="1:1" x14ac:dyDescent="0.25">
      <c r="A21873" t="e">
        <v>#N/A</v>
      </c>
    </row>
    <row r="21874" spans="1:1" x14ac:dyDescent="0.25">
      <c r="A21874" t="e">
        <v>#N/A</v>
      </c>
    </row>
    <row r="21875" spans="1:1" x14ac:dyDescent="0.25">
      <c r="A21875" t="e">
        <v>#N/A</v>
      </c>
    </row>
    <row r="21876" spans="1:1" x14ac:dyDescent="0.25">
      <c r="A21876" t="e">
        <v>#N/A</v>
      </c>
    </row>
    <row r="21877" spans="1:1" x14ac:dyDescent="0.25">
      <c r="A21877" t="e">
        <v>#N/A</v>
      </c>
    </row>
    <row r="21878" spans="1:1" x14ac:dyDescent="0.25">
      <c r="A21878" t="e">
        <v>#N/A</v>
      </c>
    </row>
    <row r="21879" spans="1:1" x14ac:dyDescent="0.25">
      <c r="A21879" t="e">
        <v>#N/A</v>
      </c>
    </row>
    <row r="21880" spans="1:1" x14ac:dyDescent="0.25">
      <c r="A21880" t="e">
        <v>#N/A</v>
      </c>
    </row>
    <row r="21881" spans="1:1" x14ac:dyDescent="0.25">
      <c r="A21881" t="e">
        <v>#N/A</v>
      </c>
    </row>
    <row r="21882" spans="1:1" x14ac:dyDescent="0.25">
      <c r="A21882" t="e">
        <v>#N/A</v>
      </c>
    </row>
    <row r="21883" spans="1:1" x14ac:dyDescent="0.25">
      <c r="A21883" t="e">
        <v>#N/A</v>
      </c>
    </row>
    <row r="21884" spans="1:1" x14ac:dyDescent="0.25">
      <c r="A21884" t="e">
        <v>#N/A</v>
      </c>
    </row>
    <row r="21885" spans="1:1" x14ac:dyDescent="0.25">
      <c r="A21885" t="e">
        <v>#N/A</v>
      </c>
    </row>
    <row r="21886" spans="1:1" x14ac:dyDescent="0.25">
      <c r="A21886" t="e">
        <v>#N/A</v>
      </c>
    </row>
    <row r="21887" spans="1:1" x14ac:dyDescent="0.25">
      <c r="A21887" t="e">
        <v>#N/A</v>
      </c>
    </row>
    <row r="21888" spans="1:1" x14ac:dyDescent="0.25">
      <c r="A21888" t="e">
        <v>#N/A</v>
      </c>
    </row>
    <row r="21889" spans="1:1" x14ac:dyDescent="0.25">
      <c r="A21889" t="e">
        <v>#N/A</v>
      </c>
    </row>
    <row r="21890" spans="1:1" x14ac:dyDescent="0.25">
      <c r="A21890" t="e">
        <v>#N/A</v>
      </c>
    </row>
    <row r="21891" spans="1:1" x14ac:dyDescent="0.25">
      <c r="A21891" t="e">
        <v>#N/A</v>
      </c>
    </row>
    <row r="21892" spans="1:1" x14ac:dyDescent="0.25">
      <c r="A21892" t="e">
        <v>#N/A</v>
      </c>
    </row>
    <row r="21893" spans="1:1" x14ac:dyDescent="0.25">
      <c r="A21893" t="e">
        <v>#N/A</v>
      </c>
    </row>
    <row r="21894" spans="1:1" x14ac:dyDescent="0.25">
      <c r="A21894" t="e">
        <v>#N/A</v>
      </c>
    </row>
    <row r="21895" spans="1:1" x14ac:dyDescent="0.25">
      <c r="A21895" t="e">
        <v>#N/A</v>
      </c>
    </row>
    <row r="21896" spans="1:1" x14ac:dyDescent="0.25">
      <c r="A21896" t="e">
        <v>#N/A</v>
      </c>
    </row>
    <row r="21897" spans="1:1" x14ac:dyDescent="0.25">
      <c r="A21897" t="e">
        <v>#N/A</v>
      </c>
    </row>
    <row r="21898" spans="1:1" x14ac:dyDescent="0.25">
      <c r="A21898" t="e">
        <v>#N/A</v>
      </c>
    </row>
    <row r="21899" spans="1:1" x14ac:dyDescent="0.25">
      <c r="A21899" t="e">
        <v>#N/A</v>
      </c>
    </row>
    <row r="21900" spans="1:1" x14ac:dyDescent="0.25">
      <c r="A21900" t="e">
        <v>#N/A</v>
      </c>
    </row>
    <row r="21901" spans="1:1" x14ac:dyDescent="0.25">
      <c r="A21901" t="e">
        <v>#N/A</v>
      </c>
    </row>
    <row r="21902" spans="1:1" x14ac:dyDescent="0.25">
      <c r="A21902" t="e">
        <v>#N/A</v>
      </c>
    </row>
    <row r="21903" spans="1:1" x14ac:dyDescent="0.25">
      <c r="A21903" t="e">
        <v>#N/A</v>
      </c>
    </row>
    <row r="21904" spans="1:1" x14ac:dyDescent="0.25">
      <c r="A21904" t="e">
        <v>#N/A</v>
      </c>
    </row>
    <row r="21905" spans="1:1" x14ac:dyDescent="0.25">
      <c r="A21905" t="e">
        <v>#N/A</v>
      </c>
    </row>
    <row r="21906" spans="1:1" x14ac:dyDescent="0.25">
      <c r="A21906" t="e">
        <v>#N/A</v>
      </c>
    </row>
    <row r="21907" spans="1:1" x14ac:dyDescent="0.25">
      <c r="A21907" t="e">
        <v>#N/A</v>
      </c>
    </row>
    <row r="21908" spans="1:1" x14ac:dyDescent="0.25">
      <c r="A21908" t="e">
        <v>#N/A</v>
      </c>
    </row>
    <row r="21909" spans="1:1" x14ac:dyDescent="0.25">
      <c r="A21909" t="e">
        <v>#N/A</v>
      </c>
    </row>
    <row r="21910" spans="1:1" x14ac:dyDescent="0.25">
      <c r="A21910" t="e">
        <v>#N/A</v>
      </c>
    </row>
    <row r="21911" spans="1:1" x14ac:dyDescent="0.25">
      <c r="A21911" t="e">
        <v>#N/A</v>
      </c>
    </row>
    <row r="21912" spans="1:1" x14ac:dyDescent="0.25">
      <c r="A21912" t="e">
        <v>#N/A</v>
      </c>
    </row>
    <row r="21913" spans="1:1" x14ac:dyDescent="0.25">
      <c r="A21913" t="e">
        <v>#N/A</v>
      </c>
    </row>
    <row r="21914" spans="1:1" x14ac:dyDescent="0.25">
      <c r="A21914" t="e">
        <v>#N/A</v>
      </c>
    </row>
    <row r="21915" spans="1:1" x14ac:dyDescent="0.25">
      <c r="A21915" t="e">
        <v>#N/A</v>
      </c>
    </row>
    <row r="21916" spans="1:1" x14ac:dyDescent="0.25">
      <c r="A21916" t="e">
        <v>#N/A</v>
      </c>
    </row>
    <row r="21917" spans="1:1" x14ac:dyDescent="0.25">
      <c r="A21917" t="e">
        <v>#N/A</v>
      </c>
    </row>
    <row r="21918" spans="1:1" x14ac:dyDescent="0.25">
      <c r="A21918" t="e">
        <v>#N/A</v>
      </c>
    </row>
    <row r="21919" spans="1:1" x14ac:dyDescent="0.25">
      <c r="A21919" t="e">
        <v>#N/A</v>
      </c>
    </row>
    <row r="21920" spans="1:1" x14ac:dyDescent="0.25">
      <c r="A21920" t="e">
        <v>#N/A</v>
      </c>
    </row>
    <row r="21921" spans="1:1" x14ac:dyDescent="0.25">
      <c r="A21921" t="e">
        <v>#N/A</v>
      </c>
    </row>
    <row r="21922" spans="1:1" x14ac:dyDescent="0.25">
      <c r="A21922" t="e">
        <v>#N/A</v>
      </c>
    </row>
    <row r="21923" spans="1:1" x14ac:dyDescent="0.25">
      <c r="A21923" t="e">
        <v>#N/A</v>
      </c>
    </row>
    <row r="21924" spans="1:1" x14ac:dyDescent="0.25">
      <c r="A21924" t="e">
        <v>#N/A</v>
      </c>
    </row>
    <row r="21925" spans="1:1" x14ac:dyDescent="0.25">
      <c r="A21925" t="e">
        <v>#N/A</v>
      </c>
    </row>
    <row r="21926" spans="1:1" x14ac:dyDescent="0.25">
      <c r="A21926" t="e">
        <v>#N/A</v>
      </c>
    </row>
    <row r="21927" spans="1:1" x14ac:dyDescent="0.25">
      <c r="A21927" t="e">
        <v>#N/A</v>
      </c>
    </row>
    <row r="21928" spans="1:1" x14ac:dyDescent="0.25">
      <c r="A21928" t="e">
        <v>#N/A</v>
      </c>
    </row>
    <row r="21929" spans="1:1" x14ac:dyDescent="0.25">
      <c r="A21929" t="e">
        <v>#N/A</v>
      </c>
    </row>
    <row r="21930" spans="1:1" x14ac:dyDescent="0.25">
      <c r="A21930" t="e">
        <v>#N/A</v>
      </c>
    </row>
    <row r="21931" spans="1:1" x14ac:dyDescent="0.25">
      <c r="A21931" t="e">
        <v>#N/A</v>
      </c>
    </row>
    <row r="21932" spans="1:1" x14ac:dyDescent="0.25">
      <c r="A21932" t="e">
        <v>#N/A</v>
      </c>
    </row>
    <row r="21933" spans="1:1" x14ac:dyDescent="0.25">
      <c r="A21933" t="e">
        <v>#N/A</v>
      </c>
    </row>
    <row r="21934" spans="1:1" x14ac:dyDescent="0.25">
      <c r="A21934" t="e">
        <v>#N/A</v>
      </c>
    </row>
    <row r="21935" spans="1:1" x14ac:dyDescent="0.25">
      <c r="A21935" t="e">
        <v>#N/A</v>
      </c>
    </row>
    <row r="21936" spans="1:1" x14ac:dyDescent="0.25">
      <c r="A21936" t="e">
        <v>#N/A</v>
      </c>
    </row>
    <row r="21937" spans="1:1" x14ac:dyDescent="0.25">
      <c r="A21937" t="e">
        <v>#N/A</v>
      </c>
    </row>
    <row r="21938" spans="1:1" x14ac:dyDescent="0.25">
      <c r="A21938" t="e">
        <v>#N/A</v>
      </c>
    </row>
    <row r="21939" spans="1:1" x14ac:dyDescent="0.25">
      <c r="A21939" t="e">
        <v>#N/A</v>
      </c>
    </row>
    <row r="21940" spans="1:1" x14ac:dyDescent="0.25">
      <c r="A21940" t="e">
        <v>#N/A</v>
      </c>
    </row>
    <row r="21941" spans="1:1" x14ac:dyDescent="0.25">
      <c r="A21941" t="e">
        <v>#N/A</v>
      </c>
    </row>
    <row r="21942" spans="1:1" x14ac:dyDescent="0.25">
      <c r="A21942" t="e">
        <v>#N/A</v>
      </c>
    </row>
    <row r="21943" spans="1:1" x14ac:dyDescent="0.25">
      <c r="A21943" t="e">
        <v>#N/A</v>
      </c>
    </row>
    <row r="21944" spans="1:1" x14ac:dyDescent="0.25">
      <c r="A21944" t="e">
        <v>#N/A</v>
      </c>
    </row>
    <row r="21945" spans="1:1" x14ac:dyDescent="0.25">
      <c r="A21945" t="e">
        <v>#N/A</v>
      </c>
    </row>
    <row r="21946" spans="1:1" x14ac:dyDescent="0.25">
      <c r="A21946" t="e">
        <v>#N/A</v>
      </c>
    </row>
    <row r="21947" spans="1:1" x14ac:dyDescent="0.25">
      <c r="A21947" t="e">
        <v>#N/A</v>
      </c>
    </row>
    <row r="21948" spans="1:1" x14ac:dyDescent="0.25">
      <c r="A21948" t="e">
        <v>#N/A</v>
      </c>
    </row>
    <row r="21949" spans="1:1" x14ac:dyDescent="0.25">
      <c r="A21949" t="e">
        <v>#N/A</v>
      </c>
    </row>
    <row r="21950" spans="1:1" x14ac:dyDescent="0.25">
      <c r="A21950" t="e">
        <v>#N/A</v>
      </c>
    </row>
    <row r="21951" spans="1:1" x14ac:dyDescent="0.25">
      <c r="A21951" t="e">
        <v>#N/A</v>
      </c>
    </row>
    <row r="21952" spans="1:1" x14ac:dyDescent="0.25">
      <c r="A21952" t="e">
        <v>#N/A</v>
      </c>
    </row>
    <row r="21953" spans="1:1" x14ac:dyDescent="0.25">
      <c r="A21953" t="e">
        <v>#N/A</v>
      </c>
    </row>
    <row r="21954" spans="1:1" x14ac:dyDescent="0.25">
      <c r="A21954" t="e">
        <v>#N/A</v>
      </c>
    </row>
    <row r="21955" spans="1:1" x14ac:dyDescent="0.25">
      <c r="A21955" t="e">
        <v>#N/A</v>
      </c>
    </row>
    <row r="21956" spans="1:1" x14ac:dyDescent="0.25">
      <c r="A21956" t="e">
        <v>#N/A</v>
      </c>
    </row>
    <row r="21957" spans="1:1" x14ac:dyDescent="0.25">
      <c r="A21957" t="e">
        <v>#N/A</v>
      </c>
    </row>
    <row r="21958" spans="1:1" x14ac:dyDescent="0.25">
      <c r="A21958" t="e">
        <v>#N/A</v>
      </c>
    </row>
    <row r="21959" spans="1:1" x14ac:dyDescent="0.25">
      <c r="A21959" t="e">
        <v>#N/A</v>
      </c>
    </row>
    <row r="21960" spans="1:1" x14ac:dyDescent="0.25">
      <c r="A21960" t="e">
        <v>#N/A</v>
      </c>
    </row>
    <row r="21961" spans="1:1" x14ac:dyDescent="0.25">
      <c r="A21961" t="e">
        <v>#N/A</v>
      </c>
    </row>
    <row r="21962" spans="1:1" x14ac:dyDescent="0.25">
      <c r="A21962" t="e">
        <v>#N/A</v>
      </c>
    </row>
    <row r="21963" spans="1:1" x14ac:dyDescent="0.25">
      <c r="A21963" t="e">
        <v>#N/A</v>
      </c>
    </row>
    <row r="21964" spans="1:1" x14ac:dyDescent="0.25">
      <c r="A21964" t="e">
        <v>#N/A</v>
      </c>
    </row>
    <row r="21965" spans="1:1" x14ac:dyDescent="0.25">
      <c r="A21965" t="e">
        <v>#N/A</v>
      </c>
    </row>
    <row r="21966" spans="1:1" x14ac:dyDescent="0.25">
      <c r="A21966" t="e">
        <v>#N/A</v>
      </c>
    </row>
    <row r="21967" spans="1:1" x14ac:dyDescent="0.25">
      <c r="A21967" t="e">
        <v>#N/A</v>
      </c>
    </row>
    <row r="21968" spans="1:1" x14ac:dyDescent="0.25">
      <c r="A21968" t="e">
        <v>#N/A</v>
      </c>
    </row>
    <row r="21969" spans="1:1" x14ac:dyDescent="0.25">
      <c r="A21969" t="e">
        <v>#N/A</v>
      </c>
    </row>
    <row r="21970" spans="1:1" x14ac:dyDescent="0.25">
      <c r="A21970" t="e">
        <v>#N/A</v>
      </c>
    </row>
    <row r="21971" spans="1:1" x14ac:dyDescent="0.25">
      <c r="A21971" t="e">
        <v>#N/A</v>
      </c>
    </row>
    <row r="21972" spans="1:1" x14ac:dyDescent="0.25">
      <c r="A21972" t="e">
        <v>#N/A</v>
      </c>
    </row>
    <row r="21973" spans="1:1" x14ac:dyDescent="0.25">
      <c r="A21973" t="e">
        <v>#N/A</v>
      </c>
    </row>
    <row r="21974" spans="1:1" x14ac:dyDescent="0.25">
      <c r="A21974" t="e">
        <v>#N/A</v>
      </c>
    </row>
    <row r="21975" spans="1:1" x14ac:dyDescent="0.25">
      <c r="A21975" t="e">
        <v>#N/A</v>
      </c>
    </row>
    <row r="21976" spans="1:1" x14ac:dyDescent="0.25">
      <c r="A21976" t="e">
        <v>#N/A</v>
      </c>
    </row>
    <row r="21977" spans="1:1" x14ac:dyDescent="0.25">
      <c r="A21977" t="e">
        <v>#N/A</v>
      </c>
    </row>
    <row r="21978" spans="1:1" x14ac:dyDescent="0.25">
      <c r="A21978" t="e">
        <v>#N/A</v>
      </c>
    </row>
    <row r="21979" spans="1:1" x14ac:dyDescent="0.25">
      <c r="A21979" t="e">
        <v>#N/A</v>
      </c>
    </row>
    <row r="21980" spans="1:1" x14ac:dyDescent="0.25">
      <c r="A21980" t="e">
        <v>#N/A</v>
      </c>
    </row>
    <row r="21981" spans="1:1" x14ac:dyDescent="0.25">
      <c r="A21981" t="e">
        <v>#N/A</v>
      </c>
    </row>
    <row r="21982" spans="1:1" x14ac:dyDescent="0.25">
      <c r="A21982" t="e">
        <v>#N/A</v>
      </c>
    </row>
    <row r="21983" spans="1:1" x14ac:dyDescent="0.25">
      <c r="A21983" t="e">
        <v>#N/A</v>
      </c>
    </row>
    <row r="21984" spans="1:1" x14ac:dyDescent="0.25">
      <c r="A21984" t="e">
        <v>#N/A</v>
      </c>
    </row>
    <row r="21985" spans="1:1" x14ac:dyDescent="0.25">
      <c r="A21985" t="e">
        <v>#N/A</v>
      </c>
    </row>
    <row r="21986" spans="1:1" x14ac:dyDescent="0.25">
      <c r="A21986" t="e">
        <v>#N/A</v>
      </c>
    </row>
    <row r="21987" spans="1:1" x14ac:dyDescent="0.25">
      <c r="A21987" t="e">
        <v>#N/A</v>
      </c>
    </row>
    <row r="21988" spans="1:1" x14ac:dyDescent="0.25">
      <c r="A21988" t="e">
        <v>#N/A</v>
      </c>
    </row>
    <row r="21989" spans="1:1" x14ac:dyDescent="0.25">
      <c r="A21989" t="e">
        <v>#N/A</v>
      </c>
    </row>
    <row r="21990" spans="1:1" x14ac:dyDescent="0.25">
      <c r="A21990" t="e">
        <v>#N/A</v>
      </c>
    </row>
    <row r="21991" spans="1:1" x14ac:dyDescent="0.25">
      <c r="A21991" t="e">
        <v>#N/A</v>
      </c>
    </row>
    <row r="21992" spans="1:1" x14ac:dyDescent="0.25">
      <c r="A21992" t="e">
        <v>#N/A</v>
      </c>
    </row>
    <row r="21993" spans="1:1" x14ac:dyDescent="0.25">
      <c r="A21993" t="e">
        <v>#N/A</v>
      </c>
    </row>
    <row r="21994" spans="1:1" x14ac:dyDescent="0.25">
      <c r="A21994" t="e">
        <v>#N/A</v>
      </c>
    </row>
    <row r="21995" spans="1:1" x14ac:dyDescent="0.25">
      <c r="A21995" t="e">
        <v>#N/A</v>
      </c>
    </row>
    <row r="21996" spans="1:1" x14ac:dyDescent="0.25">
      <c r="A21996" t="e">
        <v>#N/A</v>
      </c>
    </row>
    <row r="21997" spans="1:1" x14ac:dyDescent="0.25">
      <c r="A21997" t="e">
        <v>#N/A</v>
      </c>
    </row>
    <row r="21998" spans="1:1" x14ac:dyDescent="0.25">
      <c r="A21998" t="e">
        <v>#N/A</v>
      </c>
    </row>
    <row r="21999" spans="1:1" x14ac:dyDescent="0.25">
      <c r="A21999" t="e">
        <v>#N/A</v>
      </c>
    </row>
    <row r="22000" spans="1:1" x14ac:dyDescent="0.25">
      <c r="A22000" t="e">
        <v>#N/A</v>
      </c>
    </row>
    <row r="22001" spans="1:1" x14ac:dyDescent="0.25">
      <c r="A22001" t="e">
        <v>#N/A</v>
      </c>
    </row>
    <row r="22002" spans="1:1" x14ac:dyDescent="0.25">
      <c r="A22002" t="e">
        <v>#N/A</v>
      </c>
    </row>
    <row r="22003" spans="1:1" x14ac:dyDescent="0.25">
      <c r="A22003" t="e">
        <v>#N/A</v>
      </c>
    </row>
    <row r="22004" spans="1:1" x14ac:dyDescent="0.25">
      <c r="A22004" t="e">
        <v>#N/A</v>
      </c>
    </row>
    <row r="22005" spans="1:1" x14ac:dyDescent="0.25">
      <c r="A22005" t="e">
        <v>#N/A</v>
      </c>
    </row>
    <row r="22006" spans="1:1" x14ac:dyDescent="0.25">
      <c r="A22006" t="e">
        <v>#N/A</v>
      </c>
    </row>
    <row r="22007" spans="1:1" x14ac:dyDescent="0.25">
      <c r="A22007" t="e">
        <v>#N/A</v>
      </c>
    </row>
    <row r="22008" spans="1:1" x14ac:dyDescent="0.25">
      <c r="A22008" t="e">
        <v>#N/A</v>
      </c>
    </row>
    <row r="22009" spans="1:1" x14ac:dyDescent="0.25">
      <c r="A22009" t="e">
        <v>#N/A</v>
      </c>
    </row>
    <row r="22010" spans="1:1" x14ac:dyDescent="0.25">
      <c r="A22010" t="e">
        <v>#N/A</v>
      </c>
    </row>
    <row r="22011" spans="1:1" x14ac:dyDescent="0.25">
      <c r="A22011" t="e">
        <v>#N/A</v>
      </c>
    </row>
    <row r="22012" spans="1:1" x14ac:dyDescent="0.25">
      <c r="A22012" t="e">
        <v>#N/A</v>
      </c>
    </row>
    <row r="22013" spans="1:1" x14ac:dyDescent="0.25">
      <c r="A22013" t="e">
        <v>#N/A</v>
      </c>
    </row>
    <row r="22014" spans="1:1" x14ac:dyDescent="0.25">
      <c r="A22014" t="e">
        <v>#N/A</v>
      </c>
    </row>
    <row r="22015" spans="1:1" x14ac:dyDescent="0.25">
      <c r="A22015" t="e">
        <v>#N/A</v>
      </c>
    </row>
    <row r="22016" spans="1:1" x14ac:dyDescent="0.25">
      <c r="A22016" t="e">
        <v>#N/A</v>
      </c>
    </row>
    <row r="22017" spans="1:1" x14ac:dyDescent="0.25">
      <c r="A22017" t="e">
        <v>#N/A</v>
      </c>
    </row>
    <row r="22018" spans="1:1" x14ac:dyDescent="0.25">
      <c r="A22018" t="e">
        <v>#N/A</v>
      </c>
    </row>
    <row r="22019" spans="1:1" x14ac:dyDescent="0.25">
      <c r="A22019" t="e">
        <v>#N/A</v>
      </c>
    </row>
    <row r="22020" spans="1:1" x14ac:dyDescent="0.25">
      <c r="A22020" t="e">
        <v>#N/A</v>
      </c>
    </row>
    <row r="22021" spans="1:1" x14ac:dyDescent="0.25">
      <c r="A22021" t="e">
        <v>#N/A</v>
      </c>
    </row>
    <row r="22022" spans="1:1" x14ac:dyDescent="0.25">
      <c r="A22022" t="e">
        <v>#N/A</v>
      </c>
    </row>
    <row r="22023" spans="1:1" x14ac:dyDescent="0.25">
      <c r="A22023" t="e">
        <v>#N/A</v>
      </c>
    </row>
    <row r="22024" spans="1:1" x14ac:dyDescent="0.25">
      <c r="A22024" t="e">
        <v>#N/A</v>
      </c>
    </row>
    <row r="22025" spans="1:1" x14ac:dyDescent="0.25">
      <c r="A22025" t="e">
        <v>#N/A</v>
      </c>
    </row>
    <row r="22026" spans="1:1" x14ac:dyDescent="0.25">
      <c r="A22026" t="e">
        <v>#N/A</v>
      </c>
    </row>
    <row r="22027" spans="1:1" x14ac:dyDescent="0.25">
      <c r="A22027" t="e">
        <v>#N/A</v>
      </c>
    </row>
    <row r="22028" spans="1:1" x14ac:dyDescent="0.25">
      <c r="A22028" t="e">
        <v>#N/A</v>
      </c>
    </row>
    <row r="22029" spans="1:1" x14ac:dyDescent="0.25">
      <c r="A22029" t="e">
        <v>#N/A</v>
      </c>
    </row>
    <row r="22030" spans="1:1" x14ac:dyDescent="0.25">
      <c r="A22030" t="e">
        <v>#N/A</v>
      </c>
    </row>
    <row r="22031" spans="1:1" x14ac:dyDescent="0.25">
      <c r="A22031" t="e">
        <v>#N/A</v>
      </c>
    </row>
    <row r="22032" spans="1:1" x14ac:dyDescent="0.25">
      <c r="A22032" t="e">
        <v>#N/A</v>
      </c>
    </row>
    <row r="22033" spans="1:1" x14ac:dyDescent="0.25">
      <c r="A22033" t="e">
        <v>#N/A</v>
      </c>
    </row>
    <row r="22034" spans="1:1" x14ac:dyDescent="0.25">
      <c r="A22034" t="e">
        <v>#N/A</v>
      </c>
    </row>
    <row r="22035" spans="1:1" x14ac:dyDescent="0.25">
      <c r="A22035" t="e">
        <v>#N/A</v>
      </c>
    </row>
    <row r="22036" spans="1:1" x14ac:dyDescent="0.25">
      <c r="A22036" t="e">
        <v>#N/A</v>
      </c>
    </row>
    <row r="22037" spans="1:1" x14ac:dyDescent="0.25">
      <c r="A22037" t="e">
        <v>#N/A</v>
      </c>
    </row>
    <row r="22038" spans="1:1" x14ac:dyDescent="0.25">
      <c r="A22038" t="e">
        <v>#N/A</v>
      </c>
    </row>
    <row r="22039" spans="1:1" x14ac:dyDescent="0.25">
      <c r="A22039" t="e">
        <v>#N/A</v>
      </c>
    </row>
    <row r="22040" spans="1:1" x14ac:dyDescent="0.25">
      <c r="A22040" t="e">
        <v>#N/A</v>
      </c>
    </row>
    <row r="22041" spans="1:1" x14ac:dyDescent="0.25">
      <c r="A22041" t="e">
        <v>#N/A</v>
      </c>
    </row>
    <row r="22042" spans="1:1" x14ac:dyDescent="0.25">
      <c r="A22042" t="e">
        <v>#N/A</v>
      </c>
    </row>
    <row r="22043" spans="1:1" x14ac:dyDescent="0.25">
      <c r="A22043" t="e">
        <v>#N/A</v>
      </c>
    </row>
    <row r="22044" spans="1:1" x14ac:dyDescent="0.25">
      <c r="A22044" t="e">
        <v>#N/A</v>
      </c>
    </row>
    <row r="22045" spans="1:1" x14ac:dyDescent="0.25">
      <c r="A22045" t="e">
        <v>#N/A</v>
      </c>
    </row>
    <row r="22046" spans="1:1" x14ac:dyDescent="0.25">
      <c r="A22046" t="e">
        <v>#N/A</v>
      </c>
    </row>
    <row r="22047" spans="1:1" x14ac:dyDescent="0.25">
      <c r="A22047" t="e">
        <v>#N/A</v>
      </c>
    </row>
    <row r="22048" spans="1:1" x14ac:dyDescent="0.25">
      <c r="A22048" t="e">
        <v>#N/A</v>
      </c>
    </row>
    <row r="22049" spans="1:1" x14ac:dyDescent="0.25">
      <c r="A22049" t="e">
        <v>#N/A</v>
      </c>
    </row>
    <row r="22050" spans="1:1" x14ac:dyDescent="0.25">
      <c r="A22050" t="e">
        <v>#N/A</v>
      </c>
    </row>
    <row r="22051" spans="1:1" x14ac:dyDescent="0.25">
      <c r="A22051" t="e">
        <v>#N/A</v>
      </c>
    </row>
    <row r="22052" spans="1:1" x14ac:dyDescent="0.25">
      <c r="A22052" t="e">
        <v>#N/A</v>
      </c>
    </row>
    <row r="22053" spans="1:1" x14ac:dyDescent="0.25">
      <c r="A22053" t="e">
        <v>#N/A</v>
      </c>
    </row>
    <row r="22054" spans="1:1" x14ac:dyDescent="0.25">
      <c r="A22054" t="e">
        <v>#N/A</v>
      </c>
    </row>
    <row r="22055" spans="1:1" x14ac:dyDescent="0.25">
      <c r="A22055" t="e">
        <v>#N/A</v>
      </c>
    </row>
    <row r="22056" spans="1:1" x14ac:dyDescent="0.25">
      <c r="A22056" t="e">
        <v>#N/A</v>
      </c>
    </row>
    <row r="22057" spans="1:1" x14ac:dyDescent="0.25">
      <c r="A22057" t="e">
        <v>#N/A</v>
      </c>
    </row>
    <row r="22058" spans="1:1" x14ac:dyDescent="0.25">
      <c r="A22058" t="e">
        <v>#N/A</v>
      </c>
    </row>
    <row r="22059" spans="1:1" x14ac:dyDescent="0.25">
      <c r="A22059" t="e">
        <v>#N/A</v>
      </c>
    </row>
    <row r="22060" spans="1:1" x14ac:dyDescent="0.25">
      <c r="A22060" t="e">
        <v>#N/A</v>
      </c>
    </row>
    <row r="22061" spans="1:1" x14ac:dyDescent="0.25">
      <c r="A22061" t="e">
        <v>#N/A</v>
      </c>
    </row>
    <row r="22062" spans="1:1" x14ac:dyDescent="0.25">
      <c r="A22062" t="e">
        <v>#N/A</v>
      </c>
    </row>
    <row r="22063" spans="1:1" x14ac:dyDescent="0.25">
      <c r="A22063" t="e">
        <v>#N/A</v>
      </c>
    </row>
    <row r="22064" spans="1:1" x14ac:dyDescent="0.25">
      <c r="A22064" t="e">
        <v>#N/A</v>
      </c>
    </row>
    <row r="22065" spans="1:1" x14ac:dyDescent="0.25">
      <c r="A22065" t="e">
        <v>#N/A</v>
      </c>
    </row>
    <row r="22066" spans="1:1" x14ac:dyDescent="0.25">
      <c r="A22066" t="e">
        <v>#N/A</v>
      </c>
    </row>
    <row r="22067" spans="1:1" x14ac:dyDescent="0.25">
      <c r="A22067" t="e">
        <v>#N/A</v>
      </c>
    </row>
    <row r="22068" spans="1:1" x14ac:dyDescent="0.25">
      <c r="A22068" t="e">
        <v>#N/A</v>
      </c>
    </row>
    <row r="22069" spans="1:1" x14ac:dyDescent="0.25">
      <c r="A22069" t="e">
        <v>#N/A</v>
      </c>
    </row>
    <row r="22070" spans="1:1" x14ac:dyDescent="0.25">
      <c r="A22070" t="e">
        <v>#N/A</v>
      </c>
    </row>
    <row r="22071" spans="1:1" x14ac:dyDescent="0.25">
      <c r="A22071" t="e">
        <v>#N/A</v>
      </c>
    </row>
    <row r="22072" spans="1:1" x14ac:dyDescent="0.25">
      <c r="A22072" t="e">
        <v>#N/A</v>
      </c>
    </row>
    <row r="22073" spans="1:1" x14ac:dyDescent="0.25">
      <c r="A22073" t="e">
        <v>#N/A</v>
      </c>
    </row>
    <row r="22074" spans="1:1" x14ac:dyDescent="0.25">
      <c r="A22074" t="e">
        <v>#N/A</v>
      </c>
    </row>
    <row r="22075" spans="1:1" x14ac:dyDescent="0.25">
      <c r="A22075" t="e">
        <v>#N/A</v>
      </c>
    </row>
    <row r="22076" spans="1:1" x14ac:dyDescent="0.25">
      <c r="A22076" t="e">
        <v>#N/A</v>
      </c>
    </row>
    <row r="22077" spans="1:1" x14ac:dyDescent="0.25">
      <c r="A22077" t="e">
        <v>#N/A</v>
      </c>
    </row>
    <row r="22078" spans="1:1" x14ac:dyDescent="0.25">
      <c r="A22078" t="e">
        <v>#N/A</v>
      </c>
    </row>
    <row r="22079" spans="1:1" x14ac:dyDescent="0.25">
      <c r="A22079" t="e">
        <v>#N/A</v>
      </c>
    </row>
    <row r="22080" spans="1:1" x14ac:dyDescent="0.25">
      <c r="A22080" t="e">
        <v>#N/A</v>
      </c>
    </row>
    <row r="22081" spans="1:1" x14ac:dyDescent="0.25">
      <c r="A22081" t="e">
        <v>#N/A</v>
      </c>
    </row>
    <row r="22082" spans="1:1" x14ac:dyDescent="0.25">
      <c r="A22082" t="e">
        <v>#N/A</v>
      </c>
    </row>
    <row r="22083" spans="1:1" x14ac:dyDescent="0.25">
      <c r="A22083" t="e">
        <v>#N/A</v>
      </c>
    </row>
    <row r="22084" spans="1:1" x14ac:dyDescent="0.25">
      <c r="A22084" t="e">
        <v>#N/A</v>
      </c>
    </row>
    <row r="22085" spans="1:1" x14ac:dyDescent="0.25">
      <c r="A22085" t="e">
        <v>#N/A</v>
      </c>
    </row>
    <row r="22086" spans="1:1" x14ac:dyDescent="0.25">
      <c r="A22086" t="e">
        <v>#N/A</v>
      </c>
    </row>
    <row r="22087" spans="1:1" x14ac:dyDescent="0.25">
      <c r="A22087" t="e">
        <v>#N/A</v>
      </c>
    </row>
    <row r="22088" spans="1:1" x14ac:dyDescent="0.25">
      <c r="A22088" t="e">
        <v>#N/A</v>
      </c>
    </row>
    <row r="22089" spans="1:1" x14ac:dyDescent="0.25">
      <c r="A22089" t="e">
        <v>#N/A</v>
      </c>
    </row>
    <row r="22090" spans="1:1" x14ac:dyDescent="0.25">
      <c r="A22090" t="e">
        <v>#N/A</v>
      </c>
    </row>
    <row r="22091" spans="1:1" x14ac:dyDescent="0.25">
      <c r="A22091" t="e">
        <v>#N/A</v>
      </c>
    </row>
    <row r="22092" spans="1:1" x14ac:dyDescent="0.25">
      <c r="A22092" t="e">
        <v>#N/A</v>
      </c>
    </row>
    <row r="22093" spans="1:1" x14ac:dyDescent="0.25">
      <c r="A22093" t="e">
        <v>#N/A</v>
      </c>
    </row>
    <row r="22094" spans="1:1" x14ac:dyDescent="0.25">
      <c r="A22094" t="e">
        <v>#N/A</v>
      </c>
    </row>
    <row r="22095" spans="1:1" x14ac:dyDescent="0.25">
      <c r="A22095" t="e">
        <v>#N/A</v>
      </c>
    </row>
    <row r="22096" spans="1:1" x14ac:dyDescent="0.25">
      <c r="A22096" t="e">
        <v>#N/A</v>
      </c>
    </row>
    <row r="22097" spans="1:1" x14ac:dyDescent="0.25">
      <c r="A22097" t="e">
        <v>#N/A</v>
      </c>
    </row>
    <row r="22098" spans="1:1" x14ac:dyDescent="0.25">
      <c r="A22098" t="e">
        <v>#N/A</v>
      </c>
    </row>
    <row r="22099" spans="1:1" x14ac:dyDescent="0.25">
      <c r="A22099" t="e">
        <v>#N/A</v>
      </c>
    </row>
    <row r="22100" spans="1:1" x14ac:dyDescent="0.25">
      <c r="A22100" t="e">
        <v>#N/A</v>
      </c>
    </row>
    <row r="22101" spans="1:1" x14ac:dyDescent="0.25">
      <c r="A22101" t="e">
        <v>#N/A</v>
      </c>
    </row>
    <row r="22102" spans="1:1" x14ac:dyDescent="0.25">
      <c r="A22102" t="e">
        <v>#N/A</v>
      </c>
    </row>
    <row r="22103" spans="1:1" x14ac:dyDescent="0.25">
      <c r="A22103" t="e">
        <v>#N/A</v>
      </c>
    </row>
    <row r="22104" spans="1:1" x14ac:dyDescent="0.25">
      <c r="A22104" t="e">
        <v>#N/A</v>
      </c>
    </row>
    <row r="22105" spans="1:1" x14ac:dyDescent="0.25">
      <c r="A22105" t="e">
        <v>#N/A</v>
      </c>
    </row>
    <row r="22106" spans="1:1" x14ac:dyDescent="0.25">
      <c r="A22106" t="e">
        <v>#N/A</v>
      </c>
    </row>
    <row r="22107" spans="1:1" x14ac:dyDescent="0.25">
      <c r="A22107" t="e">
        <v>#N/A</v>
      </c>
    </row>
    <row r="22108" spans="1:1" x14ac:dyDescent="0.25">
      <c r="A22108" t="e">
        <v>#N/A</v>
      </c>
    </row>
    <row r="22109" spans="1:1" x14ac:dyDescent="0.25">
      <c r="A22109" t="e">
        <v>#N/A</v>
      </c>
    </row>
    <row r="22110" spans="1:1" x14ac:dyDescent="0.25">
      <c r="A22110" t="e">
        <v>#N/A</v>
      </c>
    </row>
    <row r="22111" spans="1:1" x14ac:dyDescent="0.25">
      <c r="A22111" t="e">
        <v>#N/A</v>
      </c>
    </row>
    <row r="22112" spans="1:1" x14ac:dyDescent="0.25">
      <c r="A22112" t="e">
        <v>#N/A</v>
      </c>
    </row>
    <row r="22113" spans="1:1" x14ac:dyDescent="0.25">
      <c r="A22113" t="e">
        <v>#N/A</v>
      </c>
    </row>
    <row r="22114" spans="1:1" x14ac:dyDescent="0.25">
      <c r="A22114" t="e">
        <v>#N/A</v>
      </c>
    </row>
    <row r="22115" spans="1:1" x14ac:dyDescent="0.25">
      <c r="A22115" t="e">
        <v>#N/A</v>
      </c>
    </row>
    <row r="22116" spans="1:1" x14ac:dyDescent="0.25">
      <c r="A22116" t="e">
        <v>#N/A</v>
      </c>
    </row>
    <row r="22117" spans="1:1" x14ac:dyDescent="0.25">
      <c r="A22117" t="e">
        <v>#N/A</v>
      </c>
    </row>
    <row r="22118" spans="1:1" x14ac:dyDescent="0.25">
      <c r="A22118" t="e">
        <v>#N/A</v>
      </c>
    </row>
    <row r="22119" spans="1:1" x14ac:dyDescent="0.25">
      <c r="A22119" t="e">
        <v>#N/A</v>
      </c>
    </row>
    <row r="22120" spans="1:1" x14ac:dyDescent="0.25">
      <c r="A22120" t="e">
        <v>#N/A</v>
      </c>
    </row>
    <row r="22121" spans="1:1" x14ac:dyDescent="0.25">
      <c r="A22121" t="e">
        <v>#N/A</v>
      </c>
    </row>
    <row r="22122" spans="1:1" x14ac:dyDescent="0.25">
      <c r="A22122" t="e">
        <v>#N/A</v>
      </c>
    </row>
    <row r="22123" spans="1:1" x14ac:dyDescent="0.25">
      <c r="A22123" t="e">
        <v>#N/A</v>
      </c>
    </row>
    <row r="22124" spans="1:1" x14ac:dyDescent="0.25">
      <c r="A22124" t="e">
        <v>#N/A</v>
      </c>
    </row>
    <row r="22125" spans="1:1" x14ac:dyDescent="0.25">
      <c r="A22125" t="e">
        <v>#N/A</v>
      </c>
    </row>
    <row r="22126" spans="1:1" x14ac:dyDescent="0.25">
      <c r="A22126" t="e">
        <v>#N/A</v>
      </c>
    </row>
    <row r="22127" spans="1:1" x14ac:dyDescent="0.25">
      <c r="A22127" t="e">
        <v>#N/A</v>
      </c>
    </row>
    <row r="22128" spans="1:1" x14ac:dyDescent="0.25">
      <c r="A22128" t="e">
        <v>#N/A</v>
      </c>
    </row>
    <row r="22129" spans="1:1" x14ac:dyDescent="0.25">
      <c r="A22129" t="e">
        <v>#N/A</v>
      </c>
    </row>
    <row r="22130" spans="1:1" x14ac:dyDescent="0.25">
      <c r="A22130" t="e">
        <v>#N/A</v>
      </c>
    </row>
    <row r="22131" spans="1:1" x14ac:dyDescent="0.25">
      <c r="A22131" t="e">
        <v>#N/A</v>
      </c>
    </row>
    <row r="22132" spans="1:1" x14ac:dyDescent="0.25">
      <c r="A22132" t="e">
        <v>#N/A</v>
      </c>
    </row>
    <row r="22133" spans="1:1" x14ac:dyDescent="0.25">
      <c r="A22133" t="e">
        <v>#N/A</v>
      </c>
    </row>
    <row r="22134" spans="1:1" x14ac:dyDescent="0.25">
      <c r="A22134" t="e">
        <v>#N/A</v>
      </c>
    </row>
    <row r="22135" spans="1:1" x14ac:dyDescent="0.25">
      <c r="A22135" t="e">
        <v>#N/A</v>
      </c>
    </row>
    <row r="22136" spans="1:1" x14ac:dyDescent="0.25">
      <c r="A22136" t="e">
        <v>#N/A</v>
      </c>
    </row>
    <row r="22137" spans="1:1" x14ac:dyDescent="0.25">
      <c r="A22137" t="e">
        <v>#N/A</v>
      </c>
    </row>
    <row r="22138" spans="1:1" x14ac:dyDescent="0.25">
      <c r="A22138" t="e">
        <v>#N/A</v>
      </c>
    </row>
    <row r="22139" spans="1:1" x14ac:dyDescent="0.25">
      <c r="A22139" t="e">
        <v>#N/A</v>
      </c>
    </row>
    <row r="22140" spans="1:1" x14ac:dyDescent="0.25">
      <c r="A22140" t="e">
        <v>#N/A</v>
      </c>
    </row>
    <row r="22141" spans="1:1" x14ac:dyDescent="0.25">
      <c r="A22141" t="e">
        <v>#N/A</v>
      </c>
    </row>
    <row r="22142" spans="1:1" x14ac:dyDescent="0.25">
      <c r="A22142" t="e">
        <v>#N/A</v>
      </c>
    </row>
    <row r="22143" spans="1:1" x14ac:dyDescent="0.25">
      <c r="A22143" t="e">
        <v>#N/A</v>
      </c>
    </row>
    <row r="22144" spans="1:1" x14ac:dyDescent="0.25">
      <c r="A22144" t="e">
        <v>#N/A</v>
      </c>
    </row>
    <row r="22145" spans="1:1" x14ac:dyDescent="0.25">
      <c r="A22145" t="e">
        <v>#N/A</v>
      </c>
    </row>
    <row r="22146" spans="1:1" x14ac:dyDescent="0.25">
      <c r="A22146" t="e">
        <v>#N/A</v>
      </c>
    </row>
    <row r="22147" spans="1:1" x14ac:dyDescent="0.25">
      <c r="A22147" t="e">
        <v>#N/A</v>
      </c>
    </row>
    <row r="22148" spans="1:1" x14ac:dyDescent="0.25">
      <c r="A22148" t="e">
        <v>#N/A</v>
      </c>
    </row>
    <row r="22149" spans="1:1" x14ac:dyDescent="0.25">
      <c r="A22149" t="e">
        <v>#N/A</v>
      </c>
    </row>
    <row r="22150" spans="1:1" x14ac:dyDescent="0.25">
      <c r="A22150" t="e">
        <v>#N/A</v>
      </c>
    </row>
    <row r="22151" spans="1:1" x14ac:dyDescent="0.25">
      <c r="A22151" t="e">
        <v>#N/A</v>
      </c>
    </row>
    <row r="22152" spans="1:1" x14ac:dyDescent="0.25">
      <c r="A22152" t="e">
        <v>#N/A</v>
      </c>
    </row>
    <row r="22153" spans="1:1" x14ac:dyDescent="0.25">
      <c r="A22153" t="e">
        <v>#N/A</v>
      </c>
    </row>
    <row r="22154" spans="1:1" x14ac:dyDescent="0.25">
      <c r="A22154" t="e">
        <v>#N/A</v>
      </c>
    </row>
    <row r="22155" spans="1:1" x14ac:dyDescent="0.25">
      <c r="A22155" t="e">
        <v>#N/A</v>
      </c>
    </row>
    <row r="22156" spans="1:1" x14ac:dyDescent="0.25">
      <c r="A22156" t="e">
        <v>#N/A</v>
      </c>
    </row>
    <row r="22157" spans="1:1" x14ac:dyDescent="0.25">
      <c r="A22157" t="e">
        <v>#N/A</v>
      </c>
    </row>
    <row r="22158" spans="1:1" x14ac:dyDescent="0.25">
      <c r="A22158" t="e">
        <v>#N/A</v>
      </c>
    </row>
    <row r="22159" spans="1:1" x14ac:dyDescent="0.25">
      <c r="A22159" t="e">
        <v>#N/A</v>
      </c>
    </row>
    <row r="22160" spans="1:1" x14ac:dyDescent="0.25">
      <c r="A22160" t="e">
        <v>#N/A</v>
      </c>
    </row>
    <row r="22161" spans="1:1" x14ac:dyDescent="0.25">
      <c r="A22161" t="e">
        <v>#N/A</v>
      </c>
    </row>
    <row r="22162" spans="1:1" x14ac:dyDescent="0.25">
      <c r="A22162" t="e">
        <v>#N/A</v>
      </c>
    </row>
    <row r="22163" spans="1:1" x14ac:dyDescent="0.25">
      <c r="A22163" t="e">
        <v>#N/A</v>
      </c>
    </row>
    <row r="22164" spans="1:1" x14ac:dyDescent="0.25">
      <c r="A22164" t="e">
        <v>#N/A</v>
      </c>
    </row>
    <row r="22165" spans="1:1" x14ac:dyDescent="0.25">
      <c r="A22165" t="e">
        <v>#N/A</v>
      </c>
    </row>
    <row r="22166" spans="1:1" x14ac:dyDescent="0.25">
      <c r="A22166" t="e">
        <v>#N/A</v>
      </c>
    </row>
    <row r="22167" spans="1:1" x14ac:dyDescent="0.25">
      <c r="A22167" t="e">
        <v>#N/A</v>
      </c>
    </row>
    <row r="22168" spans="1:1" x14ac:dyDescent="0.25">
      <c r="A22168" t="e">
        <v>#N/A</v>
      </c>
    </row>
    <row r="22169" spans="1:1" x14ac:dyDescent="0.25">
      <c r="A22169" t="e">
        <v>#N/A</v>
      </c>
    </row>
    <row r="22170" spans="1:1" x14ac:dyDescent="0.25">
      <c r="A22170" t="e">
        <v>#N/A</v>
      </c>
    </row>
    <row r="22171" spans="1:1" x14ac:dyDescent="0.25">
      <c r="A22171" t="e">
        <v>#N/A</v>
      </c>
    </row>
    <row r="22172" spans="1:1" x14ac:dyDescent="0.25">
      <c r="A22172" t="e">
        <v>#N/A</v>
      </c>
    </row>
    <row r="22173" spans="1:1" x14ac:dyDescent="0.25">
      <c r="A22173" t="e">
        <v>#N/A</v>
      </c>
    </row>
    <row r="22174" spans="1:1" x14ac:dyDescent="0.25">
      <c r="A22174" t="e">
        <v>#N/A</v>
      </c>
    </row>
    <row r="22175" spans="1:1" x14ac:dyDescent="0.25">
      <c r="A22175" t="e">
        <v>#N/A</v>
      </c>
    </row>
    <row r="22176" spans="1:1" x14ac:dyDescent="0.25">
      <c r="A22176" t="e">
        <v>#N/A</v>
      </c>
    </row>
    <row r="22177" spans="1:1" x14ac:dyDescent="0.25">
      <c r="A22177" t="e">
        <v>#N/A</v>
      </c>
    </row>
    <row r="22178" spans="1:1" x14ac:dyDescent="0.25">
      <c r="A22178" t="e">
        <v>#N/A</v>
      </c>
    </row>
    <row r="22179" spans="1:1" x14ac:dyDescent="0.25">
      <c r="A22179" t="e">
        <v>#N/A</v>
      </c>
    </row>
    <row r="22180" spans="1:1" x14ac:dyDescent="0.25">
      <c r="A22180" t="e">
        <v>#N/A</v>
      </c>
    </row>
    <row r="22181" spans="1:1" x14ac:dyDescent="0.25">
      <c r="A22181" t="e">
        <v>#N/A</v>
      </c>
    </row>
    <row r="22182" spans="1:1" x14ac:dyDescent="0.25">
      <c r="A22182" t="e">
        <v>#N/A</v>
      </c>
    </row>
    <row r="22183" spans="1:1" x14ac:dyDescent="0.25">
      <c r="A22183" t="e">
        <v>#N/A</v>
      </c>
    </row>
    <row r="22184" spans="1:1" x14ac:dyDescent="0.25">
      <c r="A22184" t="e">
        <v>#N/A</v>
      </c>
    </row>
    <row r="22185" spans="1:1" x14ac:dyDescent="0.25">
      <c r="A22185" t="e">
        <v>#N/A</v>
      </c>
    </row>
    <row r="22186" spans="1:1" x14ac:dyDescent="0.25">
      <c r="A22186" t="e">
        <v>#N/A</v>
      </c>
    </row>
    <row r="22187" spans="1:1" x14ac:dyDescent="0.25">
      <c r="A22187" t="e">
        <v>#N/A</v>
      </c>
    </row>
    <row r="22188" spans="1:1" x14ac:dyDescent="0.25">
      <c r="A22188" t="e">
        <v>#N/A</v>
      </c>
    </row>
    <row r="22189" spans="1:1" x14ac:dyDescent="0.25">
      <c r="A22189" t="e">
        <v>#N/A</v>
      </c>
    </row>
    <row r="22190" spans="1:1" x14ac:dyDescent="0.25">
      <c r="A22190" t="e">
        <v>#N/A</v>
      </c>
    </row>
    <row r="22191" spans="1:1" x14ac:dyDescent="0.25">
      <c r="A22191" t="e">
        <v>#N/A</v>
      </c>
    </row>
    <row r="22192" spans="1:1" x14ac:dyDescent="0.25">
      <c r="A22192" t="e">
        <v>#N/A</v>
      </c>
    </row>
    <row r="22193" spans="1:1" x14ac:dyDescent="0.25">
      <c r="A22193" t="e">
        <v>#N/A</v>
      </c>
    </row>
    <row r="22194" spans="1:1" x14ac:dyDescent="0.25">
      <c r="A22194" t="e">
        <v>#N/A</v>
      </c>
    </row>
    <row r="22195" spans="1:1" x14ac:dyDescent="0.25">
      <c r="A22195" t="e">
        <v>#N/A</v>
      </c>
    </row>
    <row r="22196" spans="1:1" x14ac:dyDescent="0.25">
      <c r="A22196" t="e">
        <v>#N/A</v>
      </c>
    </row>
    <row r="22197" spans="1:1" x14ac:dyDescent="0.25">
      <c r="A22197" t="e">
        <v>#N/A</v>
      </c>
    </row>
    <row r="22198" spans="1:1" x14ac:dyDescent="0.25">
      <c r="A22198" t="e">
        <v>#N/A</v>
      </c>
    </row>
    <row r="22199" spans="1:1" x14ac:dyDescent="0.25">
      <c r="A22199" t="e">
        <v>#N/A</v>
      </c>
    </row>
    <row r="22200" spans="1:1" x14ac:dyDescent="0.25">
      <c r="A22200" t="e">
        <v>#N/A</v>
      </c>
    </row>
    <row r="22201" spans="1:1" x14ac:dyDescent="0.25">
      <c r="A22201" t="e">
        <v>#N/A</v>
      </c>
    </row>
    <row r="22202" spans="1:1" x14ac:dyDescent="0.25">
      <c r="A22202" t="e">
        <v>#N/A</v>
      </c>
    </row>
    <row r="22203" spans="1:1" x14ac:dyDescent="0.25">
      <c r="A22203" t="e">
        <v>#N/A</v>
      </c>
    </row>
    <row r="22204" spans="1:1" x14ac:dyDescent="0.25">
      <c r="A22204" t="e">
        <v>#N/A</v>
      </c>
    </row>
    <row r="22205" spans="1:1" x14ac:dyDescent="0.25">
      <c r="A22205" t="e">
        <v>#N/A</v>
      </c>
    </row>
    <row r="22206" spans="1:1" x14ac:dyDescent="0.25">
      <c r="A22206" t="e">
        <v>#N/A</v>
      </c>
    </row>
    <row r="22207" spans="1:1" x14ac:dyDescent="0.25">
      <c r="A22207" t="e">
        <v>#N/A</v>
      </c>
    </row>
    <row r="22208" spans="1:1" x14ac:dyDescent="0.25">
      <c r="A22208" t="e">
        <v>#N/A</v>
      </c>
    </row>
    <row r="22209" spans="1:1" x14ac:dyDescent="0.25">
      <c r="A22209" t="e">
        <v>#N/A</v>
      </c>
    </row>
    <row r="22210" spans="1:1" x14ac:dyDescent="0.25">
      <c r="A22210" t="e">
        <v>#N/A</v>
      </c>
    </row>
    <row r="22211" spans="1:1" x14ac:dyDescent="0.25">
      <c r="A22211" t="e">
        <v>#N/A</v>
      </c>
    </row>
    <row r="22212" spans="1:1" x14ac:dyDescent="0.25">
      <c r="A22212" t="e">
        <v>#N/A</v>
      </c>
    </row>
    <row r="22213" spans="1:1" x14ac:dyDescent="0.25">
      <c r="A22213" t="e">
        <v>#N/A</v>
      </c>
    </row>
    <row r="22214" spans="1:1" x14ac:dyDescent="0.25">
      <c r="A22214" t="e">
        <v>#N/A</v>
      </c>
    </row>
    <row r="22215" spans="1:1" x14ac:dyDescent="0.25">
      <c r="A22215" t="e">
        <v>#N/A</v>
      </c>
    </row>
    <row r="22216" spans="1:1" x14ac:dyDescent="0.25">
      <c r="A22216" t="e">
        <v>#N/A</v>
      </c>
    </row>
    <row r="22217" spans="1:1" x14ac:dyDescent="0.25">
      <c r="A22217" t="e">
        <v>#N/A</v>
      </c>
    </row>
    <row r="22218" spans="1:1" x14ac:dyDescent="0.25">
      <c r="A22218" t="e">
        <v>#N/A</v>
      </c>
    </row>
    <row r="22219" spans="1:1" x14ac:dyDescent="0.25">
      <c r="A22219" t="e">
        <v>#N/A</v>
      </c>
    </row>
    <row r="22220" spans="1:1" x14ac:dyDescent="0.25">
      <c r="A22220" t="e">
        <v>#N/A</v>
      </c>
    </row>
    <row r="22221" spans="1:1" x14ac:dyDescent="0.25">
      <c r="A22221" t="e">
        <v>#N/A</v>
      </c>
    </row>
    <row r="22222" spans="1:1" x14ac:dyDescent="0.25">
      <c r="A22222" t="e">
        <v>#N/A</v>
      </c>
    </row>
    <row r="22223" spans="1:1" x14ac:dyDescent="0.25">
      <c r="A22223" t="e">
        <v>#N/A</v>
      </c>
    </row>
    <row r="22224" spans="1:1" x14ac:dyDescent="0.25">
      <c r="A22224" t="e">
        <v>#N/A</v>
      </c>
    </row>
    <row r="22225" spans="1:1" x14ac:dyDescent="0.25">
      <c r="A22225" t="e">
        <v>#N/A</v>
      </c>
    </row>
    <row r="22226" spans="1:1" x14ac:dyDescent="0.25">
      <c r="A22226" t="e">
        <v>#N/A</v>
      </c>
    </row>
    <row r="22227" spans="1:1" x14ac:dyDescent="0.25">
      <c r="A22227" t="e">
        <v>#N/A</v>
      </c>
    </row>
    <row r="22228" spans="1:1" x14ac:dyDescent="0.25">
      <c r="A22228" t="e">
        <v>#N/A</v>
      </c>
    </row>
    <row r="22229" spans="1:1" x14ac:dyDescent="0.25">
      <c r="A22229" t="e">
        <v>#N/A</v>
      </c>
    </row>
    <row r="22230" spans="1:1" x14ac:dyDescent="0.25">
      <c r="A22230" t="e">
        <v>#N/A</v>
      </c>
    </row>
    <row r="22231" spans="1:1" x14ac:dyDescent="0.25">
      <c r="A22231" t="e">
        <v>#N/A</v>
      </c>
    </row>
    <row r="22232" spans="1:1" x14ac:dyDescent="0.25">
      <c r="A22232" t="e">
        <v>#N/A</v>
      </c>
    </row>
    <row r="22233" spans="1:1" x14ac:dyDescent="0.25">
      <c r="A22233" t="e">
        <v>#N/A</v>
      </c>
    </row>
    <row r="22234" spans="1:1" x14ac:dyDescent="0.25">
      <c r="A22234" t="e">
        <v>#N/A</v>
      </c>
    </row>
    <row r="22235" spans="1:1" x14ac:dyDescent="0.25">
      <c r="A22235" t="e">
        <v>#N/A</v>
      </c>
    </row>
    <row r="22236" spans="1:1" x14ac:dyDescent="0.25">
      <c r="A22236" t="e">
        <v>#N/A</v>
      </c>
    </row>
    <row r="22237" spans="1:1" x14ac:dyDescent="0.25">
      <c r="A22237" t="e">
        <v>#N/A</v>
      </c>
    </row>
    <row r="22238" spans="1:1" x14ac:dyDescent="0.25">
      <c r="A22238" t="e">
        <v>#N/A</v>
      </c>
    </row>
    <row r="22239" spans="1:1" x14ac:dyDescent="0.25">
      <c r="A22239" t="e">
        <v>#N/A</v>
      </c>
    </row>
    <row r="22240" spans="1:1" x14ac:dyDescent="0.25">
      <c r="A22240" t="e">
        <v>#N/A</v>
      </c>
    </row>
    <row r="22241" spans="1:1" x14ac:dyDescent="0.25">
      <c r="A22241" t="e">
        <v>#N/A</v>
      </c>
    </row>
    <row r="22242" spans="1:1" x14ac:dyDescent="0.25">
      <c r="A22242" t="e">
        <v>#N/A</v>
      </c>
    </row>
    <row r="22243" spans="1:1" x14ac:dyDescent="0.25">
      <c r="A22243" t="e">
        <v>#N/A</v>
      </c>
    </row>
    <row r="22244" spans="1:1" x14ac:dyDescent="0.25">
      <c r="A22244" t="e">
        <v>#N/A</v>
      </c>
    </row>
    <row r="22245" spans="1:1" x14ac:dyDescent="0.25">
      <c r="A22245" t="e">
        <v>#N/A</v>
      </c>
    </row>
    <row r="22246" spans="1:1" x14ac:dyDescent="0.25">
      <c r="A22246" t="e">
        <v>#N/A</v>
      </c>
    </row>
    <row r="22247" spans="1:1" x14ac:dyDescent="0.25">
      <c r="A22247" t="e">
        <v>#N/A</v>
      </c>
    </row>
    <row r="22248" spans="1:1" x14ac:dyDescent="0.25">
      <c r="A22248" t="e">
        <v>#N/A</v>
      </c>
    </row>
    <row r="22249" spans="1:1" x14ac:dyDescent="0.25">
      <c r="A22249" t="e">
        <v>#N/A</v>
      </c>
    </row>
    <row r="22250" spans="1:1" x14ac:dyDescent="0.25">
      <c r="A22250" t="e">
        <v>#N/A</v>
      </c>
    </row>
    <row r="22251" spans="1:1" x14ac:dyDescent="0.25">
      <c r="A22251" t="e">
        <v>#N/A</v>
      </c>
    </row>
    <row r="22252" spans="1:1" x14ac:dyDescent="0.25">
      <c r="A22252" t="e">
        <v>#N/A</v>
      </c>
    </row>
    <row r="22253" spans="1:1" x14ac:dyDescent="0.25">
      <c r="A22253" t="e">
        <v>#N/A</v>
      </c>
    </row>
    <row r="22254" spans="1:1" x14ac:dyDescent="0.25">
      <c r="A22254" t="e">
        <v>#N/A</v>
      </c>
    </row>
    <row r="22255" spans="1:1" x14ac:dyDescent="0.25">
      <c r="A22255" t="e">
        <v>#N/A</v>
      </c>
    </row>
    <row r="22256" spans="1:1" x14ac:dyDescent="0.25">
      <c r="A22256" t="e">
        <v>#N/A</v>
      </c>
    </row>
    <row r="22257" spans="1:1" x14ac:dyDescent="0.25">
      <c r="A22257" t="e">
        <v>#N/A</v>
      </c>
    </row>
    <row r="22258" spans="1:1" x14ac:dyDescent="0.25">
      <c r="A22258" t="e">
        <v>#N/A</v>
      </c>
    </row>
    <row r="22259" spans="1:1" x14ac:dyDescent="0.25">
      <c r="A22259" t="e">
        <v>#N/A</v>
      </c>
    </row>
    <row r="22260" spans="1:1" x14ac:dyDescent="0.25">
      <c r="A22260" t="e">
        <v>#N/A</v>
      </c>
    </row>
    <row r="22261" spans="1:1" x14ac:dyDescent="0.25">
      <c r="A22261" t="e">
        <v>#N/A</v>
      </c>
    </row>
    <row r="22262" spans="1:1" x14ac:dyDescent="0.25">
      <c r="A22262" t="e">
        <v>#N/A</v>
      </c>
    </row>
    <row r="22263" spans="1:1" x14ac:dyDescent="0.25">
      <c r="A22263" t="e">
        <v>#N/A</v>
      </c>
    </row>
    <row r="22264" spans="1:1" x14ac:dyDescent="0.25">
      <c r="A22264" t="e">
        <v>#N/A</v>
      </c>
    </row>
    <row r="22265" spans="1:1" x14ac:dyDescent="0.25">
      <c r="A22265" t="e">
        <v>#N/A</v>
      </c>
    </row>
    <row r="22266" spans="1:1" x14ac:dyDescent="0.25">
      <c r="A22266" t="e">
        <v>#N/A</v>
      </c>
    </row>
    <row r="22267" spans="1:1" x14ac:dyDescent="0.25">
      <c r="A22267" t="e">
        <v>#N/A</v>
      </c>
    </row>
    <row r="22268" spans="1:1" x14ac:dyDescent="0.25">
      <c r="A22268" t="e">
        <v>#N/A</v>
      </c>
    </row>
    <row r="22269" spans="1:1" x14ac:dyDescent="0.25">
      <c r="A22269" t="e">
        <v>#N/A</v>
      </c>
    </row>
    <row r="22270" spans="1:1" x14ac:dyDescent="0.25">
      <c r="A22270" t="e">
        <v>#N/A</v>
      </c>
    </row>
    <row r="22271" spans="1:1" x14ac:dyDescent="0.25">
      <c r="A22271" t="e">
        <v>#N/A</v>
      </c>
    </row>
    <row r="22272" spans="1:1" x14ac:dyDescent="0.25">
      <c r="A22272" t="e">
        <v>#N/A</v>
      </c>
    </row>
    <row r="22273" spans="1:1" x14ac:dyDescent="0.25">
      <c r="A22273" t="e">
        <v>#N/A</v>
      </c>
    </row>
    <row r="22274" spans="1:1" x14ac:dyDescent="0.25">
      <c r="A22274" t="e">
        <v>#N/A</v>
      </c>
    </row>
    <row r="22275" spans="1:1" x14ac:dyDescent="0.25">
      <c r="A22275" t="e">
        <v>#N/A</v>
      </c>
    </row>
    <row r="22276" spans="1:1" x14ac:dyDescent="0.25">
      <c r="A22276" t="e">
        <v>#N/A</v>
      </c>
    </row>
    <row r="22277" spans="1:1" x14ac:dyDescent="0.25">
      <c r="A22277" t="e">
        <v>#N/A</v>
      </c>
    </row>
    <row r="22278" spans="1:1" x14ac:dyDescent="0.25">
      <c r="A22278" t="e">
        <v>#N/A</v>
      </c>
    </row>
    <row r="22279" spans="1:1" x14ac:dyDescent="0.25">
      <c r="A22279" t="e">
        <v>#N/A</v>
      </c>
    </row>
    <row r="22280" spans="1:1" x14ac:dyDescent="0.25">
      <c r="A22280" t="e">
        <v>#N/A</v>
      </c>
    </row>
    <row r="22281" spans="1:1" x14ac:dyDescent="0.25">
      <c r="A22281" t="e">
        <v>#N/A</v>
      </c>
    </row>
    <row r="22282" spans="1:1" x14ac:dyDescent="0.25">
      <c r="A22282" t="e">
        <v>#N/A</v>
      </c>
    </row>
    <row r="22283" spans="1:1" x14ac:dyDescent="0.25">
      <c r="A22283" t="e">
        <v>#N/A</v>
      </c>
    </row>
    <row r="22284" spans="1:1" x14ac:dyDescent="0.25">
      <c r="A22284" t="e">
        <v>#N/A</v>
      </c>
    </row>
    <row r="22285" spans="1:1" x14ac:dyDescent="0.25">
      <c r="A22285" t="e">
        <v>#N/A</v>
      </c>
    </row>
    <row r="22286" spans="1:1" x14ac:dyDescent="0.25">
      <c r="A22286" t="e">
        <v>#N/A</v>
      </c>
    </row>
    <row r="22287" spans="1:1" x14ac:dyDescent="0.25">
      <c r="A22287" t="e">
        <v>#N/A</v>
      </c>
    </row>
    <row r="22288" spans="1:1" x14ac:dyDescent="0.25">
      <c r="A22288" t="e">
        <v>#N/A</v>
      </c>
    </row>
    <row r="22289" spans="1:1" x14ac:dyDescent="0.25">
      <c r="A22289" t="e">
        <v>#N/A</v>
      </c>
    </row>
    <row r="22290" spans="1:1" x14ac:dyDescent="0.25">
      <c r="A22290" t="e">
        <v>#N/A</v>
      </c>
    </row>
    <row r="22291" spans="1:1" x14ac:dyDescent="0.25">
      <c r="A22291" t="e">
        <v>#N/A</v>
      </c>
    </row>
    <row r="22292" spans="1:1" x14ac:dyDescent="0.25">
      <c r="A22292" t="e">
        <v>#N/A</v>
      </c>
    </row>
    <row r="22293" spans="1:1" x14ac:dyDescent="0.25">
      <c r="A22293" t="e">
        <v>#N/A</v>
      </c>
    </row>
    <row r="22294" spans="1:1" x14ac:dyDescent="0.25">
      <c r="A22294" t="e">
        <v>#N/A</v>
      </c>
    </row>
    <row r="22295" spans="1:1" x14ac:dyDescent="0.25">
      <c r="A22295" t="e">
        <v>#N/A</v>
      </c>
    </row>
    <row r="22296" spans="1:1" x14ac:dyDescent="0.25">
      <c r="A22296" t="e">
        <v>#N/A</v>
      </c>
    </row>
    <row r="22297" spans="1:1" x14ac:dyDescent="0.25">
      <c r="A22297" t="e">
        <v>#N/A</v>
      </c>
    </row>
    <row r="22298" spans="1:1" x14ac:dyDescent="0.25">
      <c r="A22298" t="e">
        <v>#N/A</v>
      </c>
    </row>
    <row r="22299" spans="1:1" x14ac:dyDescent="0.25">
      <c r="A22299" t="e">
        <v>#N/A</v>
      </c>
    </row>
    <row r="22300" spans="1:1" x14ac:dyDescent="0.25">
      <c r="A22300" t="e">
        <v>#N/A</v>
      </c>
    </row>
    <row r="22301" spans="1:1" x14ac:dyDescent="0.25">
      <c r="A22301" t="e">
        <v>#N/A</v>
      </c>
    </row>
    <row r="22302" spans="1:1" x14ac:dyDescent="0.25">
      <c r="A22302" t="e">
        <v>#N/A</v>
      </c>
    </row>
    <row r="22303" spans="1:1" x14ac:dyDescent="0.25">
      <c r="A22303" t="e">
        <v>#N/A</v>
      </c>
    </row>
    <row r="22304" spans="1:1" x14ac:dyDescent="0.25">
      <c r="A22304" t="e">
        <v>#N/A</v>
      </c>
    </row>
    <row r="22305" spans="1:1" x14ac:dyDescent="0.25">
      <c r="A22305" t="e">
        <v>#N/A</v>
      </c>
    </row>
    <row r="22306" spans="1:1" x14ac:dyDescent="0.25">
      <c r="A22306" t="e">
        <v>#N/A</v>
      </c>
    </row>
    <row r="22307" spans="1:1" x14ac:dyDescent="0.25">
      <c r="A22307" t="e">
        <v>#N/A</v>
      </c>
    </row>
    <row r="22308" spans="1:1" x14ac:dyDescent="0.25">
      <c r="A22308" t="e">
        <v>#N/A</v>
      </c>
    </row>
    <row r="22309" spans="1:1" x14ac:dyDescent="0.25">
      <c r="A22309" t="e">
        <v>#N/A</v>
      </c>
    </row>
    <row r="22310" spans="1:1" x14ac:dyDescent="0.25">
      <c r="A22310" t="e">
        <v>#N/A</v>
      </c>
    </row>
    <row r="22311" spans="1:1" x14ac:dyDescent="0.25">
      <c r="A22311" t="e">
        <v>#N/A</v>
      </c>
    </row>
    <row r="22312" spans="1:1" x14ac:dyDescent="0.25">
      <c r="A22312" t="e">
        <v>#N/A</v>
      </c>
    </row>
    <row r="22313" spans="1:1" x14ac:dyDescent="0.25">
      <c r="A22313" t="e">
        <v>#N/A</v>
      </c>
    </row>
    <row r="22314" spans="1:1" x14ac:dyDescent="0.25">
      <c r="A22314" t="e">
        <v>#N/A</v>
      </c>
    </row>
    <row r="22315" spans="1:1" x14ac:dyDescent="0.25">
      <c r="A22315" t="e">
        <v>#N/A</v>
      </c>
    </row>
    <row r="22316" spans="1:1" x14ac:dyDescent="0.25">
      <c r="A22316" t="e">
        <v>#N/A</v>
      </c>
    </row>
    <row r="22317" spans="1:1" x14ac:dyDescent="0.25">
      <c r="A22317" t="e">
        <v>#N/A</v>
      </c>
    </row>
    <row r="22318" spans="1:1" x14ac:dyDescent="0.25">
      <c r="A22318" t="e">
        <v>#N/A</v>
      </c>
    </row>
    <row r="22319" spans="1:1" x14ac:dyDescent="0.25">
      <c r="A22319" t="e">
        <v>#N/A</v>
      </c>
    </row>
    <row r="22320" spans="1:1" x14ac:dyDescent="0.25">
      <c r="A22320" t="e">
        <v>#N/A</v>
      </c>
    </row>
    <row r="22321" spans="1:1" x14ac:dyDescent="0.25">
      <c r="A22321" t="e">
        <v>#N/A</v>
      </c>
    </row>
    <row r="22322" spans="1:1" x14ac:dyDescent="0.25">
      <c r="A22322" t="e">
        <v>#N/A</v>
      </c>
    </row>
    <row r="22323" spans="1:1" x14ac:dyDescent="0.25">
      <c r="A22323" t="e">
        <v>#N/A</v>
      </c>
    </row>
    <row r="22324" spans="1:1" x14ac:dyDescent="0.25">
      <c r="A22324" t="e">
        <v>#N/A</v>
      </c>
    </row>
    <row r="22325" spans="1:1" x14ac:dyDescent="0.25">
      <c r="A22325" t="e">
        <v>#N/A</v>
      </c>
    </row>
    <row r="22326" spans="1:1" x14ac:dyDescent="0.25">
      <c r="A22326" t="e">
        <v>#N/A</v>
      </c>
    </row>
    <row r="22327" spans="1:1" x14ac:dyDescent="0.25">
      <c r="A22327" t="e">
        <v>#N/A</v>
      </c>
    </row>
    <row r="22328" spans="1:1" x14ac:dyDescent="0.25">
      <c r="A22328" t="e">
        <v>#N/A</v>
      </c>
    </row>
    <row r="22329" spans="1:1" x14ac:dyDescent="0.25">
      <c r="A22329" t="e">
        <v>#N/A</v>
      </c>
    </row>
    <row r="22330" spans="1:1" x14ac:dyDescent="0.25">
      <c r="A22330" t="e">
        <v>#N/A</v>
      </c>
    </row>
    <row r="22331" spans="1:1" x14ac:dyDescent="0.25">
      <c r="A22331" t="e">
        <v>#N/A</v>
      </c>
    </row>
    <row r="22332" spans="1:1" x14ac:dyDescent="0.25">
      <c r="A22332" t="e">
        <v>#N/A</v>
      </c>
    </row>
    <row r="22333" spans="1:1" x14ac:dyDescent="0.25">
      <c r="A22333" t="e">
        <v>#N/A</v>
      </c>
    </row>
    <row r="22334" spans="1:1" x14ac:dyDescent="0.25">
      <c r="A22334" t="e">
        <v>#N/A</v>
      </c>
    </row>
    <row r="22335" spans="1:1" x14ac:dyDescent="0.25">
      <c r="A22335" t="e">
        <v>#N/A</v>
      </c>
    </row>
    <row r="22336" spans="1:1" x14ac:dyDescent="0.25">
      <c r="A22336" t="e">
        <v>#N/A</v>
      </c>
    </row>
    <row r="22337" spans="1:1" x14ac:dyDescent="0.25">
      <c r="A22337" t="e">
        <v>#N/A</v>
      </c>
    </row>
    <row r="22338" spans="1:1" x14ac:dyDescent="0.25">
      <c r="A22338" t="e">
        <v>#N/A</v>
      </c>
    </row>
    <row r="22339" spans="1:1" x14ac:dyDescent="0.25">
      <c r="A22339" t="e">
        <v>#N/A</v>
      </c>
    </row>
    <row r="22340" spans="1:1" x14ac:dyDescent="0.25">
      <c r="A22340" t="e">
        <v>#N/A</v>
      </c>
    </row>
    <row r="22341" spans="1:1" x14ac:dyDescent="0.25">
      <c r="A22341" t="e">
        <v>#N/A</v>
      </c>
    </row>
    <row r="22342" spans="1:1" x14ac:dyDescent="0.25">
      <c r="A22342" t="e">
        <v>#N/A</v>
      </c>
    </row>
    <row r="22343" spans="1:1" x14ac:dyDescent="0.25">
      <c r="A22343" t="e">
        <v>#N/A</v>
      </c>
    </row>
    <row r="22344" spans="1:1" x14ac:dyDescent="0.25">
      <c r="A22344" t="e">
        <v>#N/A</v>
      </c>
    </row>
    <row r="22345" spans="1:1" x14ac:dyDescent="0.25">
      <c r="A22345" t="e">
        <v>#N/A</v>
      </c>
    </row>
    <row r="22346" spans="1:1" x14ac:dyDescent="0.25">
      <c r="A22346" t="e">
        <v>#N/A</v>
      </c>
    </row>
    <row r="22347" spans="1:1" x14ac:dyDescent="0.25">
      <c r="A22347" t="e">
        <v>#N/A</v>
      </c>
    </row>
    <row r="22348" spans="1:1" x14ac:dyDescent="0.25">
      <c r="A22348" t="e">
        <v>#N/A</v>
      </c>
    </row>
    <row r="22349" spans="1:1" x14ac:dyDescent="0.25">
      <c r="A22349" t="e">
        <v>#N/A</v>
      </c>
    </row>
    <row r="22350" spans="1:1" x14ac:dyDescent="0.25">
      <c r="A22350" t="e">
        <v>#N/A</v>
      </c>
    </row>
    <row r="22351" spans="1:1" x14ac:dyDescent="0.25">
      <c r="A22351" t="e">
        <v>#N/A</v>
      </c>
    </row>
    <row r="22352" spans="1:1" x14ac:dyDescent="0.25">
      <c r="A22352" t="e">
        <v>#N/A</v>
      </c>
    </row>
    <row r="22353" spans="1:1" x14ac:dyDescent="0.25">
      <c r="A22353" t="e">
        <v>#N/A</v>
      </c>
    </row>
    <row r="22354" spans="1:1" x14ac:dyDescent="0.25">
      <c r="A22354" t="e">
        <v>#N/A</v>
      </c>
    </row>
    <row r="22355" spans="1:1" x14ac:dyDescent="0.25">
      <c r="A22355" t="e">
        <v>#N/A</v>
      </c>
    </row>
    <row r="22356" spans="1:1" x14ac:dyDescent="0.25">
      <c r="A22356" t="e">
        <v>#N/A</v>
      </c>
    </row>
    <row r="22357" spans="1:1" x14ac:dyDescent="0.25">
      <c r="A22357" t="e">
        <v>#N/A</v>
      </c>
    </row>
    <row r="22358" spans="1:1" x14ac:dyDescent="0.25">
      <c r="A22358" t="e">
        <v>#N/A</v>
      </c>
    </row>
    <row r="22359" spans="1:1" x14ac:dyDescent="0.25">
      <c r="A22359" t="e">
        <v>#N/A</v>
      </c>
    </row>
    <row r="22360" spans="1:1" x14ac:dyDescent="0.25">
      <c r="A22360" t="e">
        <v>#N/A</v>
      </c>
    </row>
    <row r="22361" spans="1:1" x14ac:dyDescent="0.25">
      <c r="A22361" t="e">
        <v>#N/A</v>
      </c>
    </row>
    <row r="22362" spans="1:1" x14ac:dyDescent="0.25">
      <c r="A22362" t="e">
        <v>#N/A</v>
      </c>
    </row>
    <row r="22363" spans="1:1" x14ac:dyDescent="0.25">
      <c r="A22363" t="e">
        <v>#N/A</v>
      </c>
    </row>
    <row r="22364" spans="1:1" x14ac:dyDescent="0.25">
      <c r="A22364" t="e">
        <v>#N/A</v>
      </c>
    </row>
    <row r="22365" spans="1:1" x14ac:dyDescent="0.25">
      <c r="A22365" t="e">
        <v>#N/A</v>
      </c>
    </row>
    <row r="22366" spans="1:1" x14ac:dyDescent="0.25">
      <c r="A22366" t="e">
        <v>#N/A</v>
      </c>
    </row>
    <row r="22367" spans="1:1" x14ac:dyDescent="0.25">
      <c r="A22367" t="e">
        <v>#N/A</v>
      </c>
    </row>
    <row r="22368" spans="1:1" x14ac:dyDescent="0.25">
      <c r="A22368" t="e">
        <v>#N/A</v>
      </c>
    </row>
    <row r="22369" spans="1:1" x14ac:dyDescent="0.25">
      <c r="A22369" t="e">
        <v>#N/A</v>
      </c>
    </row>
    <row r="22370" spans="1:1" x14ac:dyDescent="0.25">
      <c r="A22370" t="e">
        <v>#N/A</v>
      </c>
    </row>
    <row r="22371" spans="1:1" x14ac:dyDescent="0.25">
      <c r="A22371" t="e">
        <v>#N/A</v>
      </c>
    </row>
    <row r="22372" spans="1:1" x14ac:dyDescent="0.25">
      <c r="A22372" t="e">
        <v>#N/A</v>
      </c>
    </row>
    <row r="22373" spans="1:1" x14ac:dyDescent="0.25">
      <c r="A22373" t="e">
        <v>#N/A</v>
      </c>
    </row>
    <row r="22374" spans="1:1" x14ac:dyDescent="0.25">
      <c r="A22374" t="e">
        <v>#N/A</v>
      </c>
    </row>
    <row r="22375" spans="1:1" x14ac:dyDescent="0.25">
      <c r="A22375" t="e">
        <v>#N/A</v>
      </c>
    </row>
    <row r="22376" spans="1:1" x14ac:dyDescent="0.25">
      <c r="A22376" t="e">
        <v>#N/A</v>
      </c>
    </row>
    <row r="22377" spans="1:1" x14ac:dyDescent="0.25">
      <c r="A22377" t="e">
        <v>#N/A</v>
      </c>
    </row>
    <row r="22378" spans="1:1" x14ac:dyDescent="0.25">
      <c r="A22378" t="e">
        <v>#N/A</v>
      </c>
    </row>
    <row r="22379" spans="1:1" x14ac:dyDescent="0.25">
      <c r="A22379" t="e">
        <v>#N/A</v>
      </c>
    </row>
    <row r="22380" spans="1:1" x14ac:dyDescent="0.25">
      <c r="A22380" t="e">
        <v>#N/A</v>
      </c>
    </row>
    <row r="22381" spans="1:1" x14ac:dyDescent="0.25">
      <c r="A22381" t="e">
        <v>#N/A</v>
      </c>
    </row>
    <row r="22382" spans="1:1" x14ac:dyDescent="0.25">
      <c r="A22382" t="e">
        <v>#N/A</v>
      </c>
    </row>
    <row r="22383" spans="1:1" x14ac:dyDescent="0.25">
      <c r="A22383" t="e">
        <v>#N/A</v>
      </c>
    </row>
    <row r="22384" spans="1:1" x14ac:dyDescent="0.25">
      <c r="A22384" t="e">
        <v>#N/A</v>
      </c>
    </row>
    <row r="22385" spans="1:1" x14ac:dyDescent="0.25">
      <c r="A22385" t="e">
        <v>#N/A</v>
      </c>
    </row>
    <row r="22386" spans="1:1" x14ac:dyDescent="0.25">
      <c r="A22386" t="e">
        <v>#N/A</v>
      </c>
    </row>
    <row r="22387" spans="1:1" x14ac:dyDescent="0.25">
      <c r="A22387" t="e">
        <v>#N/A</v>
      </c>
    </row>
    <row r="22388" spans="1:1" x14ac:dyDescent="0.25">
      <c r="A22388" t="e">
        <v>#N/A</v>
      </c>
    </row>
    <row r="22389" spans="1:1" x14ac:dyDescent="0.25">
      <c r="A22389" t="e">
        <v>#N/A</v>
      </c>
    </row>
    <row r="22390" spans="1:1" x14ac:dyDescent="0.25">
      <c r="A22390" t="e">
        <v>#N/A</v>
      </c>
    </row>
    <row r="22391" spans="1:1" x14ac:dyDescent="0.25">
      <c r="A22391" t="e">
        <v>#N/A</v>
      </c>
    </row>
    <row r="22392" spans="1:1" x14ac:dyDescent="0.25">
      <c r="A22392" t="e">
        <v>#N/A</v>
      </c>
    </row>
    <row r="22393" spans="1:1" x14ac:dyDescent="0.25">
      <c r="A22393" t="e">
        <v>#N/A</v>
      </c>
    </row>
    <row r="22394" spans="1:1" x14ac:dyDescent="0.25">
      <c r="A22394" t="e">
        <v>#N/A</v>
      </c>
    </row>
    <row r="22395" spans="1:1" x14ac:dyDescent="0.25">
      <c r="A22395" t="e">
        <v>#N/A</v>
      </c>
    </row>
    <row r="22396" spans="1:1" x14ac:dyDescent="0.25">
      <c r="A22396" t="e">
        <v>#N/A</v>
      </c>
    </row>
    <row r="22397" spans="1:1" x14ac:dyDescent="0.25">
      <c r="A22397" t="e">
        <v>#N/A</v>
      </c>
    </row>
    <row r="22398" spans="1:1" x14ac:dyDescent="0.25">
      <c r="A22398" t="e">
        <v>#N/A</v>
      </c>
    </row>
    <row r="22399" spans="1:1" x14ac:dyDescent="0.25">
      <c r="A22399" t="e">
        <v>#N/A</v>
      </c>
    </row>
    <row r="22400" spans="1:1" x14ac:dyDescent="0.25">
      <c r="A22400" t="e">
        <v>#N/A</v>
      </c>
    </row>
    <row r="22401" spans="1:1" x14ac:dyDescent="0.25">
      <c r="A22401" t="e">
        <v>#N/A</v>
      </c>
    </row>
    <row r="22402" spans="1:1" x14ac:dyDescent="0.25">
      <c r="A22402" t="e">
        <v>#N/A</v>
      </c>
    </row>
    <row r="22403" spans="1:1" x14ac:dyDescent="0.25">
      <c r="A22403" t="e">
        <v>#N/A</v>
      </c>
    </row>
    <row r="22404" spans="1:1" x14ac:dyDescent="0.25">
      <c r="A22404" t="e">
        <v>#N/A</v>
      </c>
    </row>
    <row r="22405" spans="1:1" x14ac:dyDescent="0.25">
      <c r="A22405" t="e">
        <v>#N/A</v>
      </c>
    </row>
    <row r="22406" spans="1:1" x14ac:dyDescent="0.25">
      <c r="A22406" t="e">
        <v>#N/A</v>
      </c>
    </row>
    <row r="22407" spans="1:1" x14ac:dyDescent="0.25">
      <c r="A22407" t="e">
        <v>#N/A</v>
      </c>
    </row>
    <row r="22408" spans="1:1" x14ac:dyDescent="0.25">
      <c r="A22408" t="e">
        <v>#N/A</v>
      </c>
    </row>
    <row r="22409" spans="1:1" x14ac:dyDescent="0.25">
      <c r="A22409" t="e">
        <v>#N/A</v>
      </c>
    </row>
    <row r="22410" spans="1:1" x14ac:dyDescent="0.25">
      <c r="A22410" t="e">
        <v>#N/A</v>
      </c>
    </row>
    <row r="22411" spans="1:1" x14ac:dyDescent="0.25">
      <c r="A22411" t="e">
        <v>#N/A</v>
      </c>
    </row>
    <row r="22412" spans="1:1" x14ac:dyDescent="0.25">
      <c r="A22412" t="e">
        <v>#N/A</v>
      </c>
    </row>
    <row r="22413" spans="1:1" x14ac:dyDescent="0.25">
      <c r="A22413" t="e">
        <v>#N/A</v>
      </c>
    </row>
    <row r="22414" spans="1:1" x14ac:dyDescent="0.25">
      <c r="A22414" t="e">
        <v>#N/A</v>
      </c>
    </row>
    <row r="22415" spans="1:1" x14ac:dyDescent="0.25">
      <c r="A22415" t="e">
        <v>#N/A</v>
      </c>
    </row>
    <row r="22416" spans="1:1" x14ac:dyDescent="0.25">
      <c r="A22416" t="e">
        <v>#N/A</v>
      </c>
    </row>
    <row r="22417" spans="1:1" x14ac:dyDescent="0.25">
      <c r="A22417" t="e">
        <v>#N/A</v>
      </c>
    </row>
    <row r="22418" spans="1:1" x14ac:dyDescent="0.25">
      <c r="A22418" t="e">
        <v>#N/A</v>
      </c>
    </row>
    <row r="22419" spans="1:1" x14ac:dyDescent="0.25">
      <c r="A22419" t="e">
        <v>#N/A</v>
      </c>
    </row>
    <row r="22420" spans="1:1" x14ac:dyDescent="0.25">
      <c r="A22420" t="e">
        <v>#N/A</v>
      </c>
    </row>
    <row r="22421" spans="1:1" x14ac:dyDescent="0.25">
      <c r="A22421" t="e">
        <v>#N/A</v>
      </c>
    </row>
    <row r="22422" spans="1:1" x14ac:dyDescent="0.25">
      <c r="A22422" t="e">
        <v>#N/A</v>
      </c>
    </row>
    <row r="22423" spans="1:1" x14ac:dyDescent="0.25">
      <c r="A22423" t="e">
        <v>#N/A</v>
      </c>
    </row>
    <row r="22424" spans="1:1" x14ac:dyDescent="0.25">
      <c r="A22424" t="e">
        <v>#N/A</v>
      </c>
    </row>
    <row r="22425" spans="1:1" x14ac:dyDescent="0.25">
      <c r="A22425" t="e">
        <v>#N/A</v>
      </c>
    </row>
    <row r="22426" spans="1:1" x14ac:dyDescent="0.25">
      <c r="A22426" t="e">
        <v>#N/A</v>
      </c>
    </row>
    <row r="22427" spans="1:1" x14ac:dyDescent="0.25">
      <c r="A22427" t="e">
        <v>#N/A</v>
      </c>
    </row>
    <row r="22428" spans="1:1" x14ac:dyDescent="0.25">
      <c r="A22428" t="e">
        <v>#N/A</v>
      </c>
    </row>
    <row r="22429" spans="1:1" x14ac:dyDescent="0.25">
      <c r="A22429" t="e">
        <v>#N/A</v>
      </c>
    </row>
    <row r="22430" spans="1:1" x14ac:dyDescent="0.25">
      <c r="A22430" t="e">
        <v>#N/A</v>
      </c>
    </row>
    <row r="22431" spans="1:1" x14ac:dyDescent="0.25">
      <c r="A22431" t="e">
        <v>#N/A</v>
      </c>
    </row>
    <row r="22432" spans="1:1" x14ac:dyDescent="0.25">
      <c r="A22432" t="e">
        <v>#N/A</v>
      </c>
    </row>
    <row r="22433" spans="1:1" x14ac:dyDescent="0.25">
      <c r="A22433" t="e">
        <v>#N/A</v>
      </c>
    </row>
    <row r="22434" spans="1:1" x14ac:dyDescent="0.25">
      <c r="A22434" t="e">
        <v>#N/A</v>
      </c>
    </row>
    <row r="22435" spans="1:1" x14ac:dyDescent="0.25">
      <c r="A22435" t="e">
        <v>#N/A</v>
      </c>
    </row>
    <row r="22436" spans="1:1" x14ac:dyDescent="0.25">
      <c r="A22436" t="e">
        <v>#N/A</v>
      </c>
    </row>
    <row r="22437" spans="1:1" x14ac:dyDescent="0.25">
      <c r="A22437" t="e">
        <v>#N/A</v>
      </c>
    </row>
    <row r="22438" spans="1:1" x14ac:dyDescent="0.25">
      <c r="A22438" t="e">
        <v>#N/A</v>
      </c>
    </row>
    <row r="22439" spans="1:1" x14ac:dyDescent="0.25">
      <c r="A22439" t="e">
        <v>#N/A</v>
      </c>
    </row>
    <row r="22440" spans="1:1" x14ac:dyDescent="0.25">
      <c r="A22440" t="e">
        <v>#N/A</v>
      </c>
    </row>
    <row r="22441" spans="1:1" x14ac:dyDescent="0.25">
      <c r="A22441" t="e">
        <v>#N/A</v>
      </c>
    </row>
    <row r="22442" spans="1:1" x14ac:dyDescent="0.25">
      <c r="A22442" t="e">
        <v>#N/A</v>
      </c>
    </row>
    <row r="22443" spans="1:1" x14ac:dyDescent="0.25">
      <c r="A22443" t="e">
        <v>#N/A</v>
      </c>
    </row>
    <row r="22444" spans="1:1" x14ac:dyDescent="0.25">
      <c r="A22444" t="e">
        <v>#N/A</v>
      </c>
    </row>
    <row r="22445" spans="1:1" x14ac:dyDescent="0.25">
      <c r="A22445" t="e">
        <v>#N/A</v>
      </c>
    </row>
    <row r="22446" spans="1:1" x14ac:dyDescent="0.25">
      <c r="A22446" t="e">
        <v>#N/A</v>
      </c>
    </row>
    <row r="22447" spans="1:1" x14ac:dyDescent="0.25">
      <c r="A22447" t="e">
        <v>#N/A</v>
      </c>
    </row>
    <row r="22448" spans="1:1" x14ac:dyDescent="0.25">
      <c r="A22448" t="e">
        <v>#N/A</v>
      </c>
    </row>
    <row r="22449" spans="1:1" x14ac:dyDescent="0.25">
      <c r="A22449" t="e">
        <v>#N/A</v>
      </c>
    </row>
    <row r="22450" spans="1:1" x14ac:dyDescent="0.25">
      <c r="A22450" t="e">
        <v>#N/A</v>
      </c>
    </row>
    <row r="22451" spans="1:1" x14ac:dyDescent="0.25">
      <c r="A22451" t="e">
        <v>#N/A</v>
      </c>
    </row>
    <row r="22452" spans="1:1" x14ac:dyDescent="0.25">
      <c r="A22452" t="e">
        <v>#N/A</v>
      </c>
    </row>
    <row r="22453" spans="1:1" x14ac:dyDescent="0.25">
      <c r="A22453" t="e">
        <v>#N/A</v>
      </c>
    </row>
    <row r="22454" spans="1:1" x14ac:dyDescent="0.25">
      <c r="A22454" t="e">
        <v>#N/A</v>
      </c>
    </row>
    <row r="22455" spans="1:1" x14ac:dyDescent="0.25">
      <c r="A22455" t="e">
        <v>#N/A</v>
      </c>
    </row>
    <row r="22456" spans="1:1" x14ac:dyDescent="0.25">
      <c r="A22456" t="e">
        <v>#N/A</v>
      </c>
    </row>
    <row r="22457" spans="1:1" x14ac:dyDescent="0.25">
      <c r="A22457" t="e">
        <v>#N/A</v>
      </c>
    </row>
    <row r="22458" spans="1:1" x14ac:dyDescent="0.25">
      <c r="A22458" t="e">
        <v>#N/A</v>
      </c>
    </row>
    <row r="22459" spans="1:1" x14ac:dyDescent="0.25">
      <c r="A22459" t="e">
        <v>#N/A</v>
      </c>
    </row>
    <row r="22460" spans="1:1" x14ac:dyDescent="0.25">
      <c r="A22460" t="e">
        <v>#N/A</v>
      </c>
    </row>
    <row r="22461" spans="1:1" x14ac:dyDescent="0.25">
      <c r="A22461" t="e">
        <v>#N/A</v>
      </c>
    </row>
    <row r="22462" spans="1:1" x14ac:dyDescent="0.25">
      <c r="A22462" t="e">
        <v>#N/A</v>
      </c>
    </row>
    <row r="22463" spans="1:1" x14ac:dyDescent="0.25">
      <c r="A22463" t="e">
        <v>#N/A</v>
      </c>
    </row>
    <row r="22464" spans="1:1" x14ac:dyDescent="0.25">
      <c r="A22464" t="e">
        <v>#N/A</v>
      </c>
    </row>
    <row r="22465" spans="1:1" x14ac:dyDescent="0.25">
      <c r="A22465" t="e">
        <v>#N/A</v>
      </c>
    </row>
    <row r="22466" spans="1:1" x14ac:dyDescent="0.25">
      <c r="A22466" t="e">
        <v>#N/A</v>
      </c>
    </row>
    <row r="22467" spans="1:1" x14ac:dyDescent="0.25">
      <c r="A22467" t="e">
        <v>#N/A</v>
      </c>
    </row>
    <row r="22468" spans="1:1" x14ac:dyDescent="0.25">
      <c r="A22468" t="e">
        <v>#N/A</v>
      </c>
    </row>
    <row r="22469" spans="1:1" x14ac:dyDescent="0.25">
      <c r="A22469" t="e">
        <v>#N/A</v>
      </c>
    </row>
    <row r="22470" spans="1:1" x14ac:dyDescent="0.25">
      <c r="A22470" t="e">
        <v>#N/A</v>
      </c>
    </row>
    <row r="22471" spans="1:1" x14ac:dyDescent="0.25">
      <c r="A22471" t="e">
        <v>#N/A</v>
      </c>
    </row>
    <row r="22472" spans="1:1" x14ac:dyDescent="0.25">
      <c r="A22472" t="e">
        <v>#N/A</v>
      </c>
    </row>
    <row r="22473" spans="1:1" x14ac:dyDescent="0.25">
      <c r="A22473" t="e">
        <v>#N/A</v>
      </c>
    </row>
    <row r="22474" spans="1:1" x14ac:dyDescent="0.25">
      <c r="A22474" t="e">
        <v>#N/A</v>
      </c>
    </row>
    <row r="22475" spans="1:1" x14ac:dyDescent="0.25">
      <c r="A22475" t="e">
        <v>#N/A</v>
      </c>
    </row>
    <row r="22476" spans="1:1" x14ac:dyDescent="0.25">
      <c r="A22476" t="e">
        <v>#N/A</v>
      </c>
    </row>
    <row r="22477" spans="1:1" x14ac:dyDescent="0.25">
      <c r="A22477" t="e">
        <v>#N/A</v>
      </c>
    </row>
    <row r="22478" spans="1:1" x14ac:dyDescent="0.25">
      <c r="A22478" t="e">
        <v>#N/A</v>
      </c>
    </row>
    <row r="22479" spans="1:1" x14ac:dyDescent="0.25">
      <c r="A22479" t="e">
        <v>#N/A</v>
      </c>
    </row>
    <row r="22480" spans="1:1" x14ac:dyDescent="0.25">
      <c r="A22480" t="e">
        <v>#N/A</v>
      </c>
    </row>
    <row r="22481" spans="1:1" x14ac:dyDescent="0.25">
      <c r="A22481" t="e">
        <v>#N/A</v>
      </c>
    </row>
    <row r="22482" spans="1:1" x14ac:dyDescent="0.25">
      <c r="A22482" t="e">
        <v>#N/A</v>
      </c>
    </row>
    <row r="22483" spans="1:1" x14ac:dyDescent="0.25">
      <c r="A22483" t="e">
        <v>#N/A</v>
      </c>
    </row>
    <row r="22484" spans="1:1" x14ac:dyDescent="0.25">
      <c r="A22484" t="e">
        <v>#N/A</v>
      </c>
    </row>
    <row r="22485" spans="1:1" x14ac:dyDescent="0.25">
      <c r="A22485" t="e">
        <v>#N/A</v>
      </c>
    </row>
    <row r="22486" spans="1:1" x14ac:dyDescent="0.25">
      <c r="A22486" t="e">
        <v>#N/A</v>
      </c>
    </row>
    <row r="22487" spans="1:1" x14ac:dyDescent="0.25">
      <c r="A22487" t="e">
        <v>#N/A</v>
      </c>
    </row>
    <row r="22488" spans="1:1" x14ac:dyDescent="0.25">
      <c r="A22488" t="e">
        <v>#N/A</v>
      </c>
    </row>
    <row r="22489" spans="1:1" x14ac:dyDescent="0.25">
      <c r="A22489" t="e">
        <v>#N/A</v>
      </c>
    </row>
    <row r="22490" spans="1:1" x14ac:dyDescent="0.25">
      <c r="A22490" t="e">
        <v>#N/A</v>
      </c>
    </row>
    <row r="22491" spans="1:1" x14ac:dyDescent="0.25">
      <c r="A22491" t="e">
        <v>#N/A</v>
      </c>
    </row>
    <row r="22492" spans="1:1" x14ac:dyDescent="0.25">
      <c r="A22492" t="e">
        <v>#N/A</v>
      </c>
    </row>
    <row r="22493" spans="1:1" x14ac:dyDescent="0.25">
      <c r="A22493" t="e">
        <v>#N/A</v>
      </c>
    </row>
    <row r="22494" spans="1:1" x14ac:dyDescent="0.25">
      <c r="A22494" t="e">
        <v>#N/A</v>
      </c>
    </row>
    <row r="22495" spans="1:1" x14ac:dyDescent="0.25">
      <c r="A22495" t="e">
        <v>#N/A</v>
      </c>
    </row>
    <row r="22496" spans="1:1" x14ac:dyDescent="0.25">
      <c r="A22496" t="e">
        <v>#N/A</v>
      </c>
    </row>
    <row r="22497" spans="1:1" x14ac:dyDescent="0.25">
      <c r="A22497" t="e">
        <v>#N/A</v>
      </c>
    </row>
    <row r="22498" spans="1:1" x14ac:dyDescent="0.25">
      <c r="A22498" t="e">
        <v>#N/A</v>
      </c>
    </row>
    <row r="22499" spans="1:1" x14ac:dyDescent="0.25">
      <c r="A22499" t="e">
        <v>#N/A</v>
      </c>
    </row>
    <row r="22500" spans="1:1" x14ac:dyDescent="0.25">
      <c r="A22500" t="e">
        <v>#N/A</v>
      </c>
    </row>
    <row r="22501" spans="1:1" x14ac:dyDescent="0.25">
      <c r="A22501" t="e">
        <v>#N/A</v>
      </c>
    </row>
    <row r="22502" spans="1:1" x14ac:dyDescent="0.25">
      <c r="A22502" t="e">
        <v>#N/A</v>
      </c>
    </row>
    <row r="22503" spans="1:1" x14ac:dyDescent="0.25">
      <c r="A22503" t="e">
        <v>#N/A</v>
      </c>
    </row>
    <row r="22504" spans="1:1" x14ac:dyDescent="0.25">
      <c r="A22504" t="e">
        <v>#N/A</v>
      </c>
    </row>
    <row r="22505" spans="1:1" x14ac:dyDescent="0.25">
      <c r="A22505" t="e">
        <v>#N/A</v>
      </c>
    </row>
    <row r="22506" spans="1:1" x14ac:dyDescent="0.25">
      <c r="A22506" t="e">
        <v>#N/A</v>
      </c>
    </row>
    <row r="22507" spans="1:1" x14ac:dyDescent="0.25">
      <c r="A22507" t="e">
        <v>#N/A</v>
      </c>
    </row>
    <row r="22508" spans="1:1" x14ac:dyDescent="0.25">
      <c r="A22508" t="e">
        <v>#N/A</v>
      </c>
    </row>
    <row r="22509" spans="1:1" x14ac:dyDescent="0.25">
      <c r="A22509" t="e">
        <v>#N/A</v>
      </c>
    </row>
    <row r="22510" spans="1:1" x14ac:dyDescent="0.25">
      <c r="A22510" t="e">
        <v>#N/A</v>
      </c>
    </row>
    <row r="22511" spans="1:1" x14ac:dyDescent="0.25">
      <c r="A22511" t="e">
        <v>#N/A</v>
      </c>
    </row>
    <row r="22512" spans="1:1" x14ac:dyDescent="0.25">
      <c r="A22512" t="e">
        <v>#N/A</v>
      </c>
    </row>
    <row r="22513" spans="1:1" x14ac:dyDescent="0.25">
      <c r="A22513" t="e">
        <v>#N/A</v>
      </c>
    </row>
    <row r="22514" spans="1:1" x14ac:dyDescent="0.25">
      <c r="A22514" t="e">
        <v>#N/A</v>
      </c>
    </row>
    <row r="22515" spans="1:1" x14ac:dyDescent="0.25">
      <c r="A22515" t="e">
        <v>#N/A</v>
      </c>
    </row>
    <row r="22516" spans="1:1" x14ac:dyDescent="0.25">
      <c r="A22516" t="e">
        <v>#N/A</v>
      </c>
    </row>
    <row r="22517" spans="1:1" x14ac:dyDescent="0.25">
      <c r="A22517" t="e">
        <v>#N/A</v>
      </c>
    </row>
    <row r="22518" spans="1:1" x14ac:dyDescent="0.25">
      <c r="A22518" t="e">
        <v>#N/A</v>
      </c>
    </row>
    <row r="22519" spans="1:1" x14ac:dyDescent="0.25">
      <c r="A22519" t="e">
        <v>#N/A</v>
      </c>
    </row>
    <row r="22520" spans="1:1" x14ac:dyDescent="0.25">
      <c r="A22520" t="e">
        <v>#N/A</v>
      </c>
    </row>
    <row r="22521" spans="1:1" x14ac:dyDescent="0.25">
      <c r="A22521" t="e">
        <v>#N/A</v>
      </c>
    </row>
    <row r="22522" spans="1:1" x14ac:dyDescent="0.25">
      <c r="A22522" t="e">
        <v>#N/A</v>
      </c>
    </row>
    <row r="22523" spans="1:1" x14ac:dyDescent="0.25">
      <c r="A22523" t="e">
        <v>#N/A</v>
      </c>
    </row>
    <row r="22524" spans="1:1" x14ac:dyDescent="0.25">
      <c r="A22524" t="e">
        <v>#N/A</v>
      </c>
    </row>
    <row r="22525" spans="1:1" x14ac:dyDescent="0.25">
      <c r="A22525" t="e">
        <v>#N/A</v>
      </c>
    </row>
    <row r="22526" spans="1:1" x14ac:dyDescent="0.25">
      <c r="A22526" t="e">
        <v>#N/A</v>
      </c>
    </row>
    <row r="22527" spans="1:1" x14ac:dyDescent="0.25">
      <c r="A22527" t="e">
        <v>#N/A</v>
      </c>
    </row>
    <row r="22528" spans="1:1" x14ac:dyDescent="0.25">
      <c r="A22528" t="e">
        <v>#N/A</v>
      </c>
    </row>
    <row r="22529" spans="1:1" x14ac:dyDescent="0.25">
      <c r="A22529" t="e">
        <v>#N/A</v>
      </c>
    </row>
    <row r="22530" spans="1:1" x14ac:dyDescent="0.25">
      <c r="A22530" t="e">
        <v>#N/A</v>
      </c>
    </row>
    <row r="22531" spans="1:1" x14ac:dyDescent="0.25">
      <c r="A22531" t="e">
        <v>#N/A</v>
      </c>
    </row>
    <row r="22532" spans="1:1" x14ac:dyDescent="0.25">
      <c r="A22532" t="e">
        <v>#N/A</v>
      </c>
    </row>
    <row r="22533" spans="1:1" x14ac:dyDescent="0.25">
      <c r="A22533" t="e">
        <v>#N/A</v>
      </c>
    </row>
    <row r="22534" spans="1:1" x14ac:dyDescent="0.25">
      <c r="A22534" t="e">
        <v>#N/A</v>
      </c>
    </row>
    <row r="22535" spans="1:1" x14ac:dyDescent="0.25">
      <c r="A22535" t="e">
        <v>#N/A</v>
      </c>
    </row>
    <row r="22536" spans="1:1" x14ac:dyDescent="0.25">
      <c r="A22536" t="e">
        <v>#N/A</v>
      </c>
    </row>
    <row r="22537" spans="1:1" x14ac:dyDescent="0.25">
      <c r="A22537" t="e">
        <v>#N/A</v>
      </c>
    </row>
    <row r="22538" spans="1:1" x14ac:dyDescent="0.25">
      <c r="A22538" t="e">
        <v>#N/A</v>
      </c>
    </row>
    <row r="22539" spans="1:1" x14ac:dyDescent="0.25">
      <c r="A22539" t="e">
        <v>#N/A</v>
      </c>
    </row>
    <row r="22540" spans="1:1" x14ac:dyDescent="0.25">
      <c r="A22540" t="e">
        <v>#N/A</v>
      </c>
    </row>
    <row r="22541" spans="1:1" x14ac:dyDescent="0.25">
      <c r="A22541" t="e">
        <v>#N/A</v>
      </c>
    </row>
    <row r="22542" spans="1:1" x14ac:dyDescent="0.25">
      <c r="A22542" t="e">
        <v>#N/A</v>
      </c>
    </row>
    <row r="22543" spans="1:1" x14ac:dyDescent="0.25">
      <c r="A22543" t="e">
        <v>#N/A</v>
      </c>
    </row>
    <row r="22544" spans="1:1" x14ac:dyDescent="0.25">
      <c r="A22544" t="e">
        <v>#N/A</v>
      </c>
    </row>
    <row r="22545" spans="1:1" x14ac:dyDescent="0.25">
      <c r="A22545" t="e">
        <v>#N/A</v>
      </c>
    </row>
    <row r="22546" spans="1:1" x14ac:dyDescent="0.25">
      <c r="A22546" t="e">
        <v>#N/A</v>
      </c>
    </row>
    <row r="22547" spans="1:1" x14ac:dyDescent="0.25">
      <c r="A22547" t="e">
        <v>#N/A</v>
      </c>
    </row>
    <row r="22548" spans="1:1" x14ac:dyDescent="0.25">
      <c r="A22548" t="e">
        <v>#N/A</v>
      </c>
    </row>
    <row r="22549" spans="1:1" x14ac:dyDescent="0.25">
      <c r="A22549" t="e">
        <v>#N/A</v>
      </c>
    </row>
    <row r="22550" spans="1:1" x14ac:dyDescent="0.25">
      <c r="A22550" t="e">
        <v>#N/A</v>
      </c>
    </row>
    <row r="22551" spans="1:1" x14ac:dyDescent="0.25">
      <c r="A22551" t="e">
        <v>#N/A</v>
      </c>
    </row>
    <row r="22552" spans="1:1" x14ac:dyDescent="0.25">
      <c r="A22552" t="e">
        <v>#N/A</v>
      </c>
    </row>
    <row r="22553" spans="1:1" x14ac:dyDescent="0.25">
      <c r="A22553" t="e">
        <v>#N/A</v>
      </c>
    </row>
    <row r="22554" spans="1:1" x14ac:dyDescent="0.25">
      <c r="A22554" t="e">
        <v>#N/A</v>
      </c>
    </row>
    <row r="22555" spans="1:1" x14ac:dyDescent="0.25">
      <c r="A22555" t="e">
        <v>#N/A</v>
      </c>
    </row>
    <row r="22556" spans="1:1" x14ac:dyDescent="0.25">
      <c r="A22556" t="e">
        <v>#N/A</v>
      </c>
    </row>
    <row r="22557" spans="1:1" x14ac:dyDescent="0.25">
      <c r="A22557" t="e">
        <v>#N/A</v>
      </c>
    </row>
    <row r="22558" spans="1:1" x14ac:dyDescent="0.25">
      <c r="A22558" t="e">
        <v>#N/A</v>
      </c>
    </row>
    <row r="22559" spans="1:1" x14ac:dyDescent="0.25">
      <c r="A22559" t="e">
        <v>#N/A</v>
      </c>
    </row>
    <row r="22560" spans="1:1" x14ac:dyDescent="0.25">
      <c r="A22560" t="e">
        <v>#N/A</v>
      </c>
    </row>
    <row r="22561" spans="1:1" x14ac:dyDescent="0.25">
      <c r="A22561" t="e">
        <v>#N/A</v>
      </c>
    </row>
    <row r="22562" spans="1:1" x14ac:dyDescent="0.25">
      <c r="A22562" t="e">
        <v>#N/A</v>
      </c>
    </row>
    <row r="22563" spans="1:1" x14ac:dyDescent="0.25">
      <c r="A22563" t="e">
        <v>#N/A</v>
      </c>
    </row>
    <row r="22564" spans="1:1" x14ac:dyDescent="0.25">
      <c r="A22564" t="e">
        <v>#N/A</v>
      </c>
    </row>
    <row r="22565" spans="1:1" x14ac:dyDescent="0.25">
      <c r="A22565" t="e">
        <v>#N/A</v>
      </c>
    </row>
    <row r="22566" spans="1:1" x14ac:dyDescent="0.25">
      <c r="A22566" t="e">
        <v>#N/A</v>
      </c>
    </row>
    <row r="22567" spans="1:1" x14ac:dyDescent="0.25">
      <c r="A22567" t="e">
        <v>#N/A</v>
      </c>
    </row>
    <row r="22568" spans="1:1" x14ac:dyDescent="0.25">
      <c r="A22568" t="e">
        <v>#N/A</v>
      </c>
    </row>
    <row r="22569" spans="1:1" x14ac:dyDescent="0.25">
      <c r="A22569" t="e">
        <v>#N/A</v>
      </c>
    </row>
    <row r="22570" spans="1:1" x14ac:dyDescent="0.25">
      <c r="A22570" t="e">
        <v>#N/A</v>
      </c>
    </row>
    <row r="22571" spans="1:1" x14ac:dyDescent="0.25">
      <c r="A22571" t="e">
        <v>#N/A</v>
      </c>
    </row>
    <row r="22572" spans="1:1" x14ac:dyDescent="0.25">
      <c r="A22572" t="e">
        <v>#N/A</v>
      </c>
    </row>
    <row r="22573" spans="1:1" x14ac:dyDescent="0.25">
      <c r="A22573" t="e">
        <v>#N/A</v>
      </c>
    </row>
    <row r="22574" spans="1:1" x14ac:dyDescent="0.25">
      <c r="A22574" t="e">
        <v>#N/A</v>
      </c>
    </row>
    <row r="22575" spans="1:1" x14ac:dyDescent="0.25">
      <c r="A22575" t="e">
        <v>#N/A</v>
      </c>
    </row>
    <row r="22576" spans="1:1" x14ac:dyDescent="0.25">
      <c r="A22576" t="e">
        <v>#N/A</v>
      </c>
    </row>
    <row r="22577" spans="1:1" x14ac:dyDescent="0.25">
      <c r="A22577" t="e">
        <v>#N/A</v>
      </c>
    </row>
    <row r="22578" spans="1:1" x14ac:dyDescent="0.25">
      <c r="A22578" t="e">
        <v>#N/A</v>
      </c>
    </row>
    <row r="22579" spans="1:1" x14ac:dyDescent="0.25">
      <c r="A22579" t="e">
        <v>#N/A</v>
      </c>
    </row>
    <row r="22580" spans="1:1" x14ac:dyDescent="0.25">
      <c r="A22580" t="e">
        <v>#N/A</v>
      </c>
    </row>
    <row r="22581" spans="1:1" x14ac:dyDescent="0.25">
      <c r="A22581" t="e">
        <v>#N/A</v>
      </c>
    </row>
    <row r="22582" spans="1:1" x14ac:dyDescent="0.25">
      <c r="A22582" t="e">
        <v>#N/A</v>
      </c>
    </row>
    <row r="22583" spans="1:1" x14ac:dyDescent="0.25">
      <c r="A22583" t="e">
        <v>#N/A</v>
      </c>
    </row>
    <row r="22584" spans="1:1" x14ac:dyDescent="0.25">
      <c r="A22584" t="e">
        <v>#N/A</v>
      </c>
    </row>
    <row r="22585" spans="1:1" x14ac:dyDescent="0.25">
      <c r="A22585" t="e">
        <v>#N/A</v>
      </c>
    </row>
    <row r="22586" spans="1:1" x14ac:dyDescent="0.25">
      <c r="A22586" t="e">
        <v>#N/A</v>
      </c>
    </row>
    <row r="22587" spans="1:1" x14ac:dyDescent="0.25">
      <c r="A22587" t="e">
        <v>#N/A</v>
      </c>
    </row>
    <row r="22588" spans="1:1" x14ac:dyDescent="0.25">
      <c r="A22588" t="e">
        <v>#N/A</v>
      </c>
    </row>
    <row r="22589" spans="1:1" x14ac:dyDescent="0.25">
      <c r="A22589" t="e">
        <v>#N/A</v>
      </c>
    </row>
    <row r="22590" spans="1:1" x14ac:dyDescent="0.25">
      <c r="A22590" t="e">
        <v>#N/A</v>
      </c>
    </row>
    <row r="22591" spans="1:1" x14ac:dyDescent="0.25">
      <c r="A22591" t="e">
        <v>#N/A</v>
      </c>
    </row>
    <row r="22592" spans="1:1" x14ac:dyDescent="0.25">
      <c r="A22592" t="e">
        <v>#N/A</v>
      </c>
    </row>
    <row r="22593" spans="1:1" x14ac:dyDescent="0.25">
      <c r="A22593" t="e">
        <v>#N/A</v>
      </c>
    </row>
    <row r="22594" spans="1:1" x14ac:dyDescent="0.25">
      <c r="A22594" t="e">
        <v>#N/A</v>
      </c>
    </row>
    <row r="22595" spans="1:1" x14ac:dyDescent="0.25">
      <c r="A22595" t="e">
        <v>#N/A</v>
      </c>
    </row>
    <row r="22596" spans="1:1" x14ac:dyDescent="0.25">
      <c r="A22596" t="e">
        <v>#N/A</v>
      </c>
    </row>
    <row r="22597" spans="1:1" x14ac:dyDescent="0.25">
      <c r="A22597" t="e">
        <v>#N/A</v>
      </c>
    </row>
    <row r="22598" spans="1:1" x14ac:dyDescent="0.25">
      <c r="A22598" t="e">
        <v>#N/A</v>
      </c>
    </row>
    <row r="22599" spans="1:1" x14ac:dyDescent="0.25">
      <c r="A22599" t="e">
        <v>#N/A</v>
      </c>
    </row>
    <row r="22600" spans="1:1" x14ac:dyDescent="0.25">
      <c r="A22600" t="e">
        <v>#N/A</v>
      </c>
    </row>
    <row r="22601" spans="1:1" x14ac:dyDescent="0.25">
      <c r="A22601" t="e">
        <v>#N/A</v>
      </c>
    </row>
    <row r="22602" spans="1:1" x14ac:dyDescent="0.25">
      <c r="A22602" t="e">
        <v>#N/A</v>
      </c>
    </row>
    <row r="22603" spans="1:1" x14ac:dyDescent="0.25">
      <c r="A22603" t="e">
        <v>#N/A</v>
      </c>
    </row>
    <row r="22604" spans="1:1" x14ac:dyDescent="0.25">
      <c r="A22604" t="e">
        <v>#N/A</v>
      </c>
    </row>
    <row r="22605" spans="1:1" x14ac:dyDescent="0.25">
      <c r="A22605" t="e">
        <v>#N/A</v>
      </c>
    </row>
    <row r="22606" spans="1:1" x14ac:dyDescent="0.25">
      <c r="A22606" t="e">
        <v>#N/A</v>
      </c>
    </row>
    <row r="22607" spans="1:1" x14ac:dyDescent="0.25">
      <c r="A22607" t="e">
        <v>#N/A</v>
      </c>
    </row>
    <row r="22608" spans="1:1" x14ac:dyDescent="0.25">
      <c r="A22608" t="e">
        <v>#N/A</v>
      </c>
    </row>
    <row r="22609" spans="1:1" x14ac:dyDescent="0.25">
      <c r="A22609" t="e">
        <v>#N/A</v>
      </c>
    </row>
    <row r="22610" spans="1:1" x14ac:dyDescent="0.25">
      <c r="A22610" t="e">
        <v>#N/A</v>
      </c>
    </row>
    <row r="22611" spans="1:1" x14ac:dyDescent="0.25">
      <c r="A22611" t="e">
        <v>#N/A</v>
      </c>
    </row>
    <row r="22612" spans="1:1" x14ac:dyDescent="0.25">
      <c r="A22612" t="e">
        <v>#N/A</v>
      </c>
    </row>
    <row r="22613" spans="1:1" x14ac:dyDescent="0.25">
      <c r="A22613" t="e">
        <v>#N/A</v>
      </c>
    </row>
    <row r="22614" spans="1:1" x14ac:dyDescent="0.25">
      <c r="A22614" t="e">
        <v>#N/A</v>
      </c>
    </row>
    <row r="22615" spans="1:1" x14ac:dyDescent="0.25">
      <c r="A22615" t="e">
        <v>#N/A</v>
      </c>
    </row>
    <row r="22616" spans="1:1" x14ac:dyDescent="0.25">
      <c r="A22616" t="e">
        <v>#N/A</v>
      </c>
    </row>
    <row r="22617" spans="1:1" x14ac:dyDescent="0.25">
      <c r="A22617" t="e">
        <v>#N/A</v>
      </c>
    </row>
    <row r="22618" spans="1:1" x14ac:dyDescent="0.25">
      <c r="A22618" t="e">
        <v>#N/A</v>
      </c>
    </row>
    <row r="22619" spans="1:1" x14ac:dyDescent="0.25">
      <c r="A22619" t="e">
        <v>#N/A</v>
      </c>
    </row>
    <row r="22620" spans="1:1" x14ac:dyDescent="0.25">
      <c r="A22620" t="e">
        <v>#N/A</v>
      </c>
    </row>
    <row r="22621" spans="1:1" x14ac:dyDescent="0.25">
      <c r="A22621" t="e">
        <v>#N/A</v>
      </c>
    </row>
    <row r="22622" spans="1:1" x14ac:dyDescent="0.25">
      <c r="A22622" t="e">
        <v>#N/A</v>
      </c>
    </row>
    <row r="22623" spans="1:1" x14ac:dyDescent="0.25">
      <c r="A22623" t="e">
        <v>#N/A</v>
      </c>
    </row>
    <row r="22624" spans="1:1" x14ac:dyDescent="0.25">
      <c r="A22624" t="e">
        <v>#N/A</v>
      </c>
    </row>
    <row r="22625" spans="1:1" x14ac:dyDescent="0.25">
      <c r="A22625" t="e">
        <v>#N/A</v>
      </c>
    </row>
    <row r="22626" spans="1:1" x14ac:dyDescent="0.25">
      <c r="A22626" t="e">
        <v>#N/A</v>
      </c>
    </row>
    <row r="22627" spans="1:1" x14ac:dyDescent="0.25">
      <c r="A22627" t="e">
        <v>#N/A</v>
      </c>
    </row>
    <row r="22628" spans="1:1" x14ac:dyDescent="0.25">
      <c r="A22628" t="e">
        <v>#N/A</v>
      </c>
    </row>
    <row r="22629" spans="1:1" x14ac:dyDescent="0.25">
      <c r="A22629" t="e">
        <v>#N/A</v>
      </c>
    </row>
    <row r="22630" spans="1:1" x14ac:dyDescent="0.25">
      <c r="A22630" t="e">
        <v>#N/A</v>
      </c>
    </row>
    <row r="22631" spans="1:1" x14ac:dyDescent="0.25">
      <c r="A22631" t="e">
        <v>#N/A</v>
      </c>
    </row>
    <row r="22632" spans="1:1" x14ac:dyDescent="0.25">
      <c r="A22632" t="e">
        <v>#N/A</v>
      </c>
    </row>
    <row r="22633" spans="1:1" x14ac:dyDescent="0.25">
      <c r="A22633" t="e">
        <v>#N/A</v>
      </c>
    </row>
    <row r="22634" spans="1:1" x14ac:dyDescent="0.25">
      <c r="A22634" t="e">
        <v>#N/A</v>
      </c>
    </row>
    <row r="22635" spans="1:1" x14ac:dyDescent="0.25">
      <c r="A22635" t="e">
        <v>#N/A</v>
      </c>
    </row>
    <row r="22636" spans="1:1" x14ac:dyDescent="0.25">
      <c r="A22636" t="e">
        <v>#N/A</v>
      </c>
    </row>
    <row r="22637" spans="1:1" x14ac:dyDescent="0.25">
      <c r="A22637" t="e">
        <v>#N/A</v>
      </c>
    </row>
    <row r="22638" spans="1:1" x14ac:dyDescent="0.25">
      <c r="A22638" t="e">
        <v>#N/A</v>
      </c>
    </row>
    <row r="22639" spans="1:1" x14ac:dyDescent="0.25">
      <c r="A22639" t="e">
        <v>#N/A</v>
      </c>
    </row>
    <row r="22640" spans="1:1" x14ac:dyDescent="0.25">
      <c r="A22640" t="e">
        <v>#N/A</v>
      </c>
    </row>
    <row r="22641" spans="1:1" x14ac:dyDescent="0.25">
      <c r="A22641" t="e">
        <v>#N/A</v>
      </c>
    </row>
    <row r="22642" spans="1:1" x14ac:dyDescent="0.25">
      <c r="A22642" t="e">
        <v>#N/A</v>
      </c>
    </row>
    <row r="22643" spans="1:1" x14ac:dyDescent="0.25">
      <c r="A22643" t="e">
        <v>#N/A</v>
      </c>
    </row>
    <row r="22644" spans="1:1" x14ac:dyDescent="0.25">
      <c r="A22644" t="e">
        <v>#N/A</v>
      </c>
    </row>
    <row r="22645" spans="1:1" x14ac:dyDescent="0.25">
      <c r="A22645" t="e">
        <v>#N/A</v>
      </c>
    </row>
    <row r="22646" spans="1:1" x14ac:dyDescent="0.25">
      <c r="A22646" t="e">
        <v>#N/A</v>
      </c>
    </row>
    <row r="22647" spans="1:1" x14ac:dyDescent="0.25">
      <c r="A22647" t="e">
        <v>#N/A</v>
      </c>
    </row>
    <row r="22648" spans="1:1" x14ac:dyDescent="0.25">
      <c r="A22648" t="e">
        <v>#N/A</v>
      </c>
    </row>
    <row r="22649" spans="1:1" x14ac:dyDescent="0.25">
      <c r="A22649" t="e">
        <v>#N/A</v>
      </c>
    </row>
    <row r="22650" spans="1:1" x14ac:dyDescent="0.25">
      <c r="A22650" t="e">
        <v>#N/A</v>
      </c>
    </row>
    <row r="22651" spans="1:1" x14ac:dyDescent="0.25">
      <c r="A22651" t="e">
        <v>#N/A</v>
      </c>
    </row>
    <row r="22652" spans="1:1" x14ac:dyDescent="0.25">
      <c r="A22652" t="e">
        <v>#N/A</v>
      </c>
    </row>
    <row r="22653" spans="1:1" x14ac:dyDescent="0.25">
      <c r="A22653" t="e">
        <v>#N/A</v>
      </c>
    </row>
    <row r="22654" spans="1:1" x14ac:dyDescent="0.25">
      <c r="A22654" t="e">
        <v>#N/A</v>
      </c>
    </row>
    <row r="22655" spans="1:1" x14ac:dyDescent="0.25">
      <c r="A22655" t="e">
        <v>#N/A</v>
      </c>
    </row>
    <row r="22656" spans="1:1" x14ac:dyDescent="0.25">
      <c r="A22656" t="e">
        <v>#N/A</v>
      </c>
    </row>
    <row r="22657" spans="1:1" x14ac:dyDescent="0.25">
      <c r="A22657" t="e">
        <v>#N/A</v>
      </c>
    </row>
    <row r="22658" spans="1:1" x14ac:dyDescent="0.25">
      <c r="A22658" t="e">
        <v>#N/A</v>
      </c>
    </row>
    <row r="22659" spans="1:1" x14ac:dyDescent="0.25">
      <c r="A22659" t="e">
        <v>#N/A</v>
      </c>
    </row>
    <row r="22660" spans="1:1" x14ac:dyDescent="0.25">
      <c r="A22660" t="e">
        <v>#N/A</v>
      </c>
    </row>
    <row r="22661" spans="1:1" x14ac:dyDescent="0.25">
      <c r="A22661" t="e">
        <v>#N/A</v>
      </c>
    </row>
    <row r="22662" spans="1:1" x14ac:dyDescent="0.25">
      <c r="A22662" t="e">
        <v>#N/A</v>
      </c>
    </row>
    <row r="22663" spans="1:1" x14ac:dyDescent="0.25">
      <c r="A22663" t="e">
        <v>#N/A</v>
      </c>
    </row>
    <row r="22664" spans="1:1" x14ac:dyDescent="0.25">
      <c r="A22664" t="e">
        <v>#N/A</v>
      </c>
    </row>
    <row r="22665" spans="1:1" x14ac:dyDescent="0.25">
      <c r="A22665" t="e">
        <v>#N/A</v>
      </c>
    </row>
    <row r="22666" spans="1:1" x14ac:dyDescent="0.25">
      <c r="A22666" t="e">
        <v>#N/A</v>
      </c>
    </row>
    <row r="22667" spans="1:1" x14ac:dyDescent="0.25">
      <c r="A22667" t="e">
        <v>#N/A</v>
      </c>
    </row>
    <row r="22668" spans="1:1" x14ac:dyDescent="0.25">
      <c r="A22668" t="e">
        <v>#N/A</v>
      </c>
    </row>
    <row r="22669" spans="1:1" x14ac:dyDescent="0.25">
      <c r="A22669" t="e">
        <v>#N/A</v>
      </c>
    </row>
    <row r="22670" spans="1:1" x14ac:dyDescent="0.25">
      <c r="A22670" t="e">
        <v>#N/A</v>
      </c>
    </row>
    <row r="22671" spans="1:1" x14ac:dyDescent="0.25">
      <c r="A22671" t="e">
        <v>#N/A</v>
      </c>
    </row>
    <row r="22672" spans="1:1" x14ac:dyDescent="0.25">
      <c r="A22672" t="e">
        <v>#N/A</v>
      </c>
    </row>
    <row r="22673" spans="1:1" x14ac:dyDescent="0.25">
      <c r="A22673" t="e">
        <v>#N/A</v>
      </c>
    </row>
    <row r="22674" spans="1:1" x14ac:dyDescent="0.25">
      <c r="A22674" t="e">
        <v>#N/A</v>
      </c>
    </row>
    <row r="22675" spans="1:1" x14ac:dyDescent="0.25">
      <c r="A22675" t="e">
        <v>#N/A</v>
      </c>
    </row>
    <row r="22676" spans="1:1" x14ac:dyDescent="0.25">
      <c r="A22676" t="e">
        <v>#N/A</v>
      </c>
    </row>
    <row r="22677" spans="1:1" x14ac:dyDescent="0.25">
      <c r="A22677" t="e">
        <v>#N/A</v>
      </c>
    </row>
    <row r="22678" spans="1:1" x14ac:dyDescent="0.25">
      <c r="A22678" t="e">
        <v>#N/A</v>
      </c>
    </row>
    <row r="22679" spans="1:1" x14ac:dyDescent="0.25">
      <c r="A22679" t="e">
        <v>#N/A</v>
      </c>
    </row>
    <row r="22680" spans="1:1" x14ac:dyDescent="0.25">
      <c r="A22680" t="e">
        <v>#N/A</v>
      </c>
    </row>
    <row r="22681" spans="1:1" x14ac:dyDescent="0.25">
      <c r="A22681" t="e">
        <v>#N/A</v>
      </c>
    </row>
    <row r="22682" spans="1:1" x14ac:dyDescent="0.25">
      <c r="A22682" t="e">
        <v>#N/A</v>
      </c>
    </row>
    <row r="22683" spans="1:1" x14ac:dyDescent="0.25">
      <c r="A22683" t="e">
        <v>#N/A</v>
      </c>
    </row>
    <row r="22684" spans="1:1" x14ac:dyDescent="0.25">
      <c r="A22684" t="e">
        <v>#N/A</v>
      </c>
    </row>
    <row r="22685" spans="1:1" x14ac:dyDescent="0.25">
      <c r="A22685" t="e">
        <v>#N/A</v>
      </c>
    </row>
    <row r="22686" spans="1:1" x14ac:dyDescent="0.25">
      <c r="A22686" t="e">
        <v>#N/A</v>
      </c>
    </row>
    <row r="22687" spans="1:1" x14ac:dyDescent="0.25">
      <c r="A22687" t="e">
        <v>#N/A</v>
      </c>
    </row>
    <row r="22688" spans="1:1" x14ac:dyDescent="0.25">
      <c r="A22688" t="e">
        <v>#N/A</v>
      </c>
    </row>
    <row r="22689" spans="1:1" x14ac:dyDescent="0.25">
      <c r="A22689" t="e">
        <v>#N/A</v>
      </c>
    </row>
    <row r="22690" spans="1:1" x14ac:dyDescent="0.25">
      <c r="A22690" t="e">
        <v>#N/A</v>
      </c>
    </row>
    <row r="22691" spans="1:1" x14ac:dyDescent="0.25">
      <c r="A22691" t="e">
        <v>#N/A</v>
      </c>
    </row>
    <row r="22692" spans="1:1" x14ac:dyDescent="0.25">
      <c r="A22692" t="e">
        <v>#N/A</v>
      </c>
    </row>
    <row r="22693" spans="1:1" x14ac:dyDescent="0.25">
      <c r="A22693" t="e">
        <v>#N/A</v>
      </c>
    </row>
    <row r="22694" spans="1:1" x14ac:dyDescent="0.25">
      <c r="A22694" t="e">
        <v>#N/A</v>
      </c>
    </row>
    <row r="22695" spans="1:1" x14ac:dyDescent="0.25">
      <c r="A22695" t="e">
        <v>#N/A</v>
      </c>
    </row>
    <row r="22696" spans="1:1" x14ac:dyDescent="0.25">
      <c r="A22696" t="e">
        <v>#N/A</v>
      </c>
    </row>
    <row r="22697" spans="1:1" x14ac:dyDescent="0.25">
      <c r="A22697" t="e">
        <v>#N/A</v>
      </c>
    </row>
    <row r="22698" spans="1:1" x14ac:dyDescent="0.25">
      <c r="A22698" t="e">
        <v>#N/A</v>
      </c>
    </row>
    <row r="22699" spans="1:1" x14ac:dyDescent="0.25">
      <c r="A22699" t="e">
        <v>#N/A</v>
      </c>
    </row>
    <row r="22700" spans="1:1" x14ac:dyDescent="0.25">
      <c r="A22700" t="e">
        <v>#N/A</v>
      </c>
    </row>
    <row r="22701" spans="1:1" x14ac:dyDescent="0.25">
      <c r="A22701" t="e">
        <v>#N/A</v>
      </c>
    </row>
    <row r="22702" spans="1:1" x14ac:dyDescent="0.25">
      <c r="A22702" t="e">
        <v>#N/A</v>
      </c>
    </row>
    <row r="22703" spans="1:1" x14ac:dyDescent="0.25">
      <c r="A22703" t="e">
        <v>#N/A</v>
      </c>
    </row>
    <row r="22704" spans="1:1" x14ac:dyDescent="0.25">
      <c r="A22704" t="e">
        <v>#N/A</v>
      </c>
    </row>
    <row r="22705" spans="1:1" x14ac:dyDescent="0.25">
      <c r="A22705" t="e">
        <v>#N/A</v>
      </c>
    </row>
    <row r="22706" spans="1:1" x14ac:dyDescent="0.25">
      <c r="A22706" t="e">
        <v>#N/A</v>
      </c>
    </row>
    <row r="22707" spans="1:1" x14ac:dyDescent="0.25">
      <c r="A22707" t="e">
        <v>#N/A</v>
      </c>
    </row>
    <row r="22708" spans="1:1" x14ac:dyDescent="0.25">
      <c r="A22708" t="e">
        <v>#N/A</v>
      </c>
    </row>
    <row r="22709" spans="1:1" x14ac:dyDescent="0.25">
      <c r="A22709" t="e">
        <v>#N/A</v>
      </c>
    </row>
    <row r="22710" spans="1:1" x14ac:dyDescent="0.25">
      <c r="A22710" t="e">
        <v>#N/A</v>
      </c>
    </row>
    <row r="22711" spans="1:1" x14ac:dyDescent="0.25">
      <c r="A22711" t="e">
        <v>#N/A</v>
      </c>
    </row>
    <row r="22712" spans="1:1" x14ac:dyDescent="0.25">
      <c r="A22712" t="e">
        <v>#N/A</v>
      </c>
    </row>
    <row r="22713" spans="1:1" x14ac:dyDescent="0.25">
      <c r="A22713" t="e">
        <v>#N/A</v>
      </c>
    </row>
    <row r="22714" spans="1:1" x14ac:dyDescent="0.25">
      <c r="A22714" t="e">
        <v>#N/A</v>
      </c>
    </row>
    <row r="22715" spans="1:1" x14ac:dyDescent="0.25">
      <c r="A22715" t="e">
        <v>#N/A</v>
      </c>
    </row>
    <row r="22716" spans="1:1" x14ac:dyDescent="0.25">
      <c r="A22716" t="e">
        <v>#N/A</v>
      </c>
    </row>
    <row r="22717" spans="1:1" x14ac:dyDescent="0.25">
      <c r="A22717" t="e">
        <v>#N/A</v>
      </c>
    </row>
    <row r="22718" spans="1:1" x14ac:dyDescent="0.25">
      <c r="A22718" t="e">
        <v>#N/A</v>
      </c>
    </row>
    <row r="22719" spans="1:1" x14ac:dyDescent="0.25">
      <c r="A22719" t="e">
        <v>#N/A</v>
      </c>
    </row>
    <row r="22720" spans="1:1" x14ac:dyDescent="0.25">
      <c r="A22720" t="e">
        <v>#N/A</v>
      </c>
    </row>
    <row r="22721" spans="1:1" x14ac:dyDescent="0.25">
      <c r="A22721" t="e">
        <v>#N/A</v>
      </c>
    </row>
    <row r="22722" spans="1:1" x14ac:dyDescent="0.25">
      <c r="A22722" t="e">
        <v>#N/A</v>
      </c>
    </row>
    <row r="22723" spans="1:1" x14ac:dyDescent="0.25">
      <c r="A22723" t="e">
        <v>#N/A</v>
      </c>
    </row>
    <row r="22724" spans="1:1" x14ac:dyDescent="0.25">
      <c r="A22724" t="e">
        <v>#N/A</v>
      </c>
    </row>
    <row r="22725" spans="1:1" x14ac:dyDescent="0.25">
      <c r="A22725" t="e">
        <v>#N/A</v>
      </c>
    </row>
    <row r="22726" spans="1:1" x14ac:dyDescent="0.25">
      <c r="A22726" t="e">
        <v>#N/A</v>
      </c>
    </row>
    <row r="22727" spans="1:1" x14ac:dyDescent="0.25">
      <c r="A22727" t="e">
        <v>#N/A</v>
      </c>
    </row>
    <row r="22728" spans="1:1" x14ac:dyDescent="0.25">
      <c r="A22728" t="e">
        <v>#N/A</v>
      </c>
    </row>
    <row r="22729" spans="1:1" x14ac:dyDescent="0.25">
      <c r="A22729" t="e">
        <v>#N/A</v>
      </c>
    </row>
    <row r="22730" spans="1:1" x14ac:dyDescent="0.25">
      <c r="A22730" t="e">
        <v>#N/A</v>
      </c>
    </row>
    <row r="22731" spans="1:1" x14ac:dyDescent="0.25">
      <c r="A22731" t="e">
        <v>#N/A</v>
      </c>
    </row>
    <row r="22732" spans="1:1" x14ac:dyDescent="0.25">
      <c r="A22732" t="e">
        <v>#N/A</v>
      </c>
    </row>
    <row r="22733" spans="1:1" x14ac:dyDescent="0.25">
      <c r="A22733" t="e">
        <v>#N/A</v>
      </c>
    </row>
    <row r="22734" spans="1:1" x14ac:dyDescent="0.25">
      <c r="A22734" t="e">
        <v>#N/A</v>
      </c>
    </row>
    <row r="22735" spans="1:1" x14ac:dyDescent="0.25">
      <c r="A22735" t="e">
        <v>#N/A</v>
      </c>
    </row>
    <row r="22736" spans="1:1" x14ac:dyDescent="0.25">
      <c r="A22736" t="e">
        <v>#N/A</v>
      </c>
    </row>
    <row r="22737" spans="1:1" x14ac:dyDescent="0.25">
      <c r="A22737" t="e">
        <v>#N/A</v>
      </c>
    </row>
    <row r="22738" spans="1:1" x14ac:dyDescent="0.25">
      <c r="A22738" t="e">
        <v>#N/A</v>
      </c>
    </row>
    <row r="22739" spans="1:1" x14ac:dyDescent="0.25">
      <c r="A22739" t="e">
        <v>#N/A</v>
      </c>
    </row>
    <row r="22740" spans="1:1" x14ac:dyDescent="0.25">
      <c r="A22740" t="e">
        <v>#N/A</v>
      </c>
    </row>
    <row r="22741" spans="1:1" x14ac:dyDescent="0.25">
      <c r="A22741" t="e">
        <v>#N/A</v>
      </c>
    </row>
    <row r="22742" spans="1:1" x14ac:dyDescent="0.25">
      <c r="A22742" t="e">
        <v>#N/A</v>
      </c>
    </row>
    <row r="22743" spans="1:1" x14ac:dyDescent="0.25">
      <c r="A22743" t="e">
        <v>#N/A</v>
      </c>
    </row>
    <row r="22744" spans="1:1" x14ac:dyDescent="0.25">
      <c r="A22744" t="e">
        <v>#N/A</v>
      </c>
    </row>
    <row r="22745" spans="1:1" x14ac:dyDescent="0.25">
      <c r="A22745" t="e">
        <v>#N/A</v>
      </c>
    </row>
    <row r="22746" spans="1:1" x14ac:dyDescent="0.25">
      <c r="A22746" t="e">
        <v>#N/A</v>
      </c>
    </row>
    <row r="22747" spans="1:1" x14ac:dyDescent="0.25">
      <c r="A22747" t="e">
        <v>#N/A</v>
      </c>
    </row>
    <row r="22748" spans="1:1" x14ac:dyDescent="0.25">
      <c r="A22748" t="e">
        <v>#N/A</v>
      </c>
    </row>
    <row r="22749" spans="1:1" x14ac:dyDescent="0.25">
      <c r="A22749" t="e">
        <v>#N/A</v>
      </c>
    </row>
    <row r="22750" spans="1:1" x14ac:dyDescent="0.25">
      <c r="A22750" t="e">
        <v>#N/A</v>
      </c>
    </row>
    <row r="22751" spans="1:1" x14ac:dyDescent="0.25">
      <c r="A22751" t="e">
        <v>#N/A</v>
      </c>
    </row>
    <row r="22752" spans="1:1" x14ac:dyDescent="0.25">
      <c r="A22752" t="e">
        <v>#N/A</v>
      </c>
    </row>
    <row r="22753" spans="1:1" x14ac:dyDescent="0.25">
      <c r="A22753" t="e">
        <v>#N/A</v>
      </c>
    </row>
    <row r="22754" spans="1:1" x14ac:dyDescent="0.25">
      <c r="A22754" t="e">
        <v>#N/A</v>
      </c>
    </row>
    <row r="22755" spans="1:1" x14ac:dyDescent="0.25">
      <c r="A22755" t="e">
        <v>#N/A</v>
      </c>
    </row>
    <row r="22756" spans="1:1" x14ac:dyDescent="0.25">
      <c r="A22756" t="e">
        <v>#N/A</v>
      </c>
    </row>
    <row r="22757" spans="1:1" x14ac:dyDescent="0.25">
      <c r="A22757" t="e">
        <v>#N/A</v>
      </c>
    </row>
    <row r="22758" spans="1:1" x14ac:dyDescent="0.25">
      <c r="A22758" t="e">
        <v>#N/A</v>
      </c>
    </row>
    <row r="22759" spans="1:1" x14ac:dyDescent="0.25">
      <c r="A22759" t="e">
        <v>#N/A</v>
      </c>
    </row>
    <row r="22760" spans="1:1" x14ac:dyDescent="0.25">
      <c r="A22760" t="e">
        <v>#N/A</v>
      </c>
    </row>
    <row r="22761" spans="1:1" x14ac:dyDescent="0.25">
      <c r="A22761" t="e">
        <v>#N/A</v>
      </c>
    </row>
    <row r="22762" spans="1:1" x14ac:dyDescent="0.25">
      <c r="A22762" t="e">
        <v>#N/A</v>
      </c>
    </row>
    <row r="22763" spans="1:1" x14ac:dyDescent="0.25">
      <c r="A22763" t="e">
        <v>#N/A</v>
      </c>
    </row>
    <row r="22764" spans="1:1" x14ac:dyDescent="0.25">
      <c r="A22764" t="e">
        <v>#N/A</v>
      </c>
    </row>
    <row r="22765" spans="1:1" x14ac:dyDescent="0.25">
      <c r="A22765" t="e">
        <v>#N/A</v>
      </c>
    </row>
    <row r="22766" spans="1:1" x14ac:dyDescent="0.25">
      <c r="A22766" t="e">
        <v>#N/A</v>
      </c>
    </row>
    <row r="22767" spans="1:1" x14ac:dyDescent="0.25">
      <c r="A22767" t="e">
        <v>#N/A</v>
      </c>
    </row>
    <row r="22768" spans="1:1" x14ac:dyDescent="0.25">
      <c r="A22768" t="e">
        <v>#N/A</v>
      </c>
    </row>
    <row r="22769" spans="1:1" x14ac:dyDescent="0.25">
      <c r="A22769" t="e">
        <v>#N/A</v>
      </c>
    </row>
    <row r="22770" spans="1:1" x14ac:dyDescent="0.25">
      <c r="A22770" t="e">
        <v>#N/A</v>
      </c>
    </row>
    <row r="22771" spans="1:1" x14ac:dyDescent="0.25">
      <c r="A22771" t="e">
        <v>#N/A</v>
      </c>
    </row>
    <row r="22772" spans="1:1" x14ac:dyDescent="0.25">
      <c r="A22772" t="e">
        <v>#N/A</v>
      </c>
    </row>
    <row r="22773" spans="1:1" x14ac:dyDescent="0.25">
      <c r="A22773" t="e">
        <v>#N/A</v>
      </c>
    </row>
    <row r="22774" spans="1:1" x14ac:dyDescent="0.25">
      <c r="A22774" t="e">
        <v>#N/A</v>
      </c>
    </row>
    <row r="22775" spans="1:1" x14ac:dyDescent="0.25">
      <c r="A22775" t="e">
        <v>#N/A</v>
      </c>
    </row>
    <row r="22776" spans="1:1" x14ac:dyDescent="0.25">
      <c r="A22776" t="e">
        <v>#N/A</v>
      </c>
    </row>
    <row r="22777" spans="1:1" x14ac:dyDescent="0.25">
      <c r="A22777" t="e">
        <v>#N/A</v>
      </c>
    </row>
    <row r="22778" spans="1:1" x14ac:dyDescent="0.25">
      <c r="A22778" t="e">
        <v>#N/A</v>
      </c>
    </row>
    <row r="22779" spans="1:1" x14ac:dyDescent="0.25">
      <c r="A22779" t="e">
        <v>#N/A</v>
      </c>
    </row>
    <row r="22780" spans="1:1" x14ac:dyDescent="0.25">
      <c r="A22780" t="e">
        <v>#N/A</v>
      </c>
    </row>
    <row r="22781" spans="1:1" x14ac:dyDescent="0.25">
      <c r="A22781" t="e">
        <v>#N/A</v>
      </c>
    </row>
    <row r="22782" spans="1:1" x14ac:dyDescent="0.25">
      <c r="A22782" t="e">
        <v>#N/A</v>
      </c>
    </row>
    <row r="22783" spans="1:1" x14ac:dyDescent="0.25">
      <c r="A22783" t="e">
        <v>#N/A</v>
      </c>
    </row>
    <row r="22784" spans="1:1" x14ac:dyDescent="0.25">
      <c r="A22784" t="e">
        <v>#N/A</v>
      </c>
    </row>
    <row r="22785" spans="1:1" x14ac:dyDescent="0.25">
      <c r="A22785" t="e">
        <v>#N/A</v>
      </c>
    </row>
    <row r="22786" spans="1:1" x14ac:dyDescent="0.25">
      <c r="A22786" t="e">
        <v>#N/A</v>
      </c>
    </row>
    <row r="22787" spans="1:1" x14ac:dyDescent="0.25">
      <c r="A22787" t="e">
        <v>#N/A</v>
      </c>
    </row>
    <row r="22788" spans="1:1" x14ac:dyDescent="0.25">
      <c r="A22788" t="e">
        <v>#N/A</v>
      </c>
    </row>
    <row r="22789" spans="1:1" x14ac:dyDescent="0.25">
      <c r="A22789" t="e">
        <v>#N/A</v>
      </c>
    </row>
    <row r="22790" spans="1:1" x14ac:dyDescent="0.25">
      <c r="A22790" t="e">
        <v>#N/A</v>
      </c>
    </row>
    <row r="22791" spans="1:1" x14ac:dyDescent="0.25">
      <c r="A22791" t="e">
        <v>#N/A</v>
      </c>
    </row>
    <row r="22792" spans="1:1" x14ac:dyDescent="0.25">
      <c r="A22792" t="e">
        <v>#N/A</v>
      </c>
    </row>
    <row r="22793" spans="1:1" x14ac:dyDescent="0.25">
      <c r="A22793" t="e">
        <v>#N/A</v>
      </c>
    </row>
    <row r="22794" spans="1:1" x14ac:dyDescent="0.25">
      <c r="A22794" t="e">
        <v>#N/A</v>
      </c>
    </row>
    <row r="22795" spans="1:1" x14ac:dyDescent="0.25">
      <c r="A22795" t="e">
        <v>#N/A</v>
      </c>
    </row>
    <row r="22796" spans="1:1" x14ac:dyDescent="0.25">
      <c r="A22796" t="e">
        <v>#N/A</v>
      </c>
    </row>
    <row r="22797" spans="1:1" x14ac:dyDescent="0.25">
      <c r="A22797" t="e">
        <v>#N/A</v>
      </c>
    </row>
    <row r="22798" spans="1:1" x14ac:dyDescent="0.25">
      <c r="A22798" t="e">
        <v>#N/A</v>
      </c>
    </row>
    <row r="22799" spans="1:1" x14ac:dyDescent="0.25">
      <c r="A22799" t="e">
        <v>#N/A</v>
      </c>
    </row>
    <row r="22800" spans="1:1" x14ac:dyDescent="0.25">
      <c r="A22800" t="e">
        <v>#N/A</v>
      </c>
    </row>
    <row r="22801" spans="1:1" x14ac:dyDescent="0.25">
      <c r="A22801" t="e">
        <v>#N/A</v>
      </c>
    </row>
    <row r="22802" spans="1:1" x14ac:dyDescent="0.25">
      <c r="A22802" t="e">
        <v>#N/A</v>
      </c>
    </row>
    <row r="22803" spans="1:1" x14ac:dyDescent="0.25">
      <c r="A22803" t="e">
        <v>#N/A</v>
      </c>
    </row>
    <row r="22804" spans="1:1" x14ac:dyDescent="0.25">
      <c r="A22804" t="e">
        <v>#N/A</v>
      </c>
    </row>
    <row r="22805" spans="1:1" x14ac:dyDescent="0.25">
      <c r="A22805" t="e">
        <v>#N/A</v>
      </c>
    </row>
    <row r="22806" spans="1:1" x14ac:dyDescent="0.25">
      <c r="A22806" t="e">
        <v>#N/A</v>
      </c>
    </row>
    <row r="22807" spans="1:1" x14ac:dyDescent="0.25">
      <c r="A22807" t="e">
        <v>#N/A</v>
      </c>
    </row>
    <row r="22808" spans="1:1" x14ac:dyDescent="0.25">
      <c r="A22808" t="e">
        <v>#N/A</v>
      </c>
    </row>
    <row r="22809" spans="1:1" x14ac:dyDescent="0.25">
      <c r="A22809" t="e">
        <v>#N/A</v>
      </c>
    </row>
    <row r="22810" spans="1:1" x14ac:dyDescent="0.25">
      <c r="A22810" t="e">
        <v>#N/A</v>
      </c>
    </row>
    <row r="22811" spans="1:1" x14ac:dyDescent="0.25">
      <c r="A22811" t="e">
        <v>#N/A</v>
      </c>
    </row>
    <row r="22812" spans="1:1" x14ac:dyDescent="0.25">
      <c r="A22812" t="e">
        <v>#N/A</v>
      </c>
    </row>
    <row r="22813" spans="1:1" x14ac:dyDescent="0.25">
      <c r="A22813" t="e">
        <v>#N/A</v>
      </c>
    </row>
    <row r="22814" spans="1:1" x14ac:dyDescent="0.25">
      <c r="A22814" t="e">
        <v>#N/A</v>
      </c>
    </row>
    <row r="22815" spans="1:1" x14ac:dyDescent="0.25">
      <c r="A22815" t="e">
        <v>#N/A</v>
      </c>
    </row>
    <row r="22816" spans="1:1" x14ac:dyDescent="0.25">
      <c r="A22816" t="e">
        <v>#N/A</v>
      </c>
    </row>
    <row r="22817" spans="1:1" x14ac:dyDescent="0.25">
      <c r="A22817" t="e">
        <v>#N/A</v>
      </c>
    </row>
    <row r="22818" spans="1:1" x14ac:dyDescent="0.25">
      <c r="A22818" t="e">
        <v>#N/A</v>
      </c>
    </row>
    <row r="22819" spans="1:1" x14ac:dyDescent="0.25">
      <c r="A22819" t="e">
        <v>#N/A</v>
      </c>
    </row>
    <row r="22820" spans="1:1" x14ac:dyDescent="0.25">
      <c r="A22820" t="e">
        <v>#N/A</v>
      </c>
    </row>
    <row r="22821" spans="1:1" x14ac:dyDescent="0.25">
      <c r="A22821" t="e">
        <v>#N/A</v>
      </c>
    </row>
    <row r="22822" spans="1:1" x14ac:dyDescent="0.25">
      <c r="A22822" t="e">
        <v>#N/A</v>
      </c>
    </row>
    <row r="22823" spans="1:1" x14ac:dyDescent="0.25">
      <c r="A22823" t="e">
        <v>#N/A</v>
      </c>
    </row>
    <row r="22824" spans="1:1" x14ac:dyDescent="0.25">
      <c r="A22824" t="e">
        <v>#N/A</v>
      </c>
    </row>
    <row r="22825" spans="1:1" x14ac:dyDescent="0.25">
      <c r="A22825" t="e">
        <v>#N/A</v>
      </c>
    </row>
    <row r="22826" spans="1:1" x14ac:dyDescent="0.25">
      <c r="A22826" t="e">
        <v>#N/A</v>
      </c>
    </row>
    <row r="22827" spans="1:1" x14ac:dyDescent="0.25">
      <c r="A22827" t="e">
        <v>#N/A</v>
      </c>
    </row>
    <row r="22828" spans="1:1" x14ac:dyDescent="0.25">
      <c r="A22828" t="e">
        <v>#N/A</v>
      </c>
    </row>
    <row r="22829" spans="1:1" x14ac:dyDescent="0.25">
      <c r="A22829" t="e">
        <v>#N/A</v>
      </c>
    </row>
    <row r="22830" spans="1:1" x14ac:dyDescent="0.25">
      <c r="A22830" t="e">
        <v>#N/A</v>
      </c>
    </row>
    <row r="22831" spans="1:1" x14ac:dyDescent="0.25">
      <c r="A22831" t="e">
        <v>#N/A</v>
      </c>
    </row>
    <row r="22832" spans="1:1" x14ac:dyDescent="0.25">
      <c r="A22832" t="e">
        <v>#N/A</v>
      </c>
    </row>
    <row r="22833" spans="1:1" x14ac:dyDescent="0.25">
      <c r="A22833" t="e">
        <v>#N/A</v>
      </c>
    </row>
    <row r="22834" spans="1:1" x14ac:dyDescent="0.25">
      <c r="A22834" t="e">
        <v>#N/A</v>
      </c>
    </row>
    <row r="22835" spans="1:1" x14ac:dyDescent="0.25">
      <c r="A22835" t="e">
        <v>#N/A</v>
      </c>
    </row>
    <row r="22836" spans="1:1" x14ac:dyDescent="0.25">
      <c r="A22836" t="e">
        <v>#N/A</v>
      </c>
    </row>
    <row r="22837" spans="1:1" x14ac:dyDescent="0.25">
      <c r="A22837" t="e">
        <v>#N/A</v>
      </c>
    </row>
    <row r="22838" spans="1:1" x14ac:dyDescent="0.25">
      <c r="A22838" t="e">
        <v>#N/A</v>
      </c>
    </row>
    <row r="22839" spans="1:1" x14ac:dyDescent="0.25">
      <c r="A22839" t="e">
        <v>#N/A</v>
      </c>
    </row>
    <row r="22840" spans="1:1" x14ac:dyDescent="0.25">
      <c r="A22840" t="e">
        <v>#N/A</v>
      </c>
    </row>
    <row r="22841" spans="1:1" x14ac:dyDescent="0.25">
      <c r="A22841" t="e">
        <v>#N/A</v>
      </c>
    </row>
    <row r="22842" spans="1:1" x14ac:dyDescent="0.25">
      <c r="A22842" t="e">
        <v>#N/A</v>
      </c>
    </row>
    <row r="22843" spans="1:1" x14ac:dyDescent="0.25">
      <c r="A22843" t="e">
        <v>#N/A</v>
      </c>
    </row>
    <row r="22844" spans="1:1" x14ac:dyDescent="0.25">
      <c r="A22844" t="e">
        <v>#N/A</v>
      </c>
    </row>
    <row r="22845" spans="1:1" x14ac:dyDescent="0.25">
      <c r="A22845" t="e">
        <v>#N/A</v>
      </c>
    </row>
    <row r="22846" spans="1:1" x14ac:dyDescent="0.25">
      <c r="A22846" t="e">
        <v>#N/A</v>
      </c>
    </row>
    <row r="22847" spans="1:1" x14ac:dyDescent="0.25">
      <c r="A22847" t="e">
        <v>#N/A</v>
      </c>
    </row>
    <row r="22848" spans="1:1" x14ac:dyDescent="0.25">
      <c r="A22848" t="e">
        <v>#N/A</v>
      </c>
    </row>
    <row r="22849" spans="1:1" x14ac:dyDescent="0.25">
      <c r="A22849" t="e">
        <v>#N/A</v>
      </c>
    </row>
    <row r="22850" spans="1:1" x14ac:dyDescent="0.25">
      <c r="A22850" t="e">
        <v>#N/A</v>
      </c>
    </row>
    <row r="22851" spans="1:1" x14ac:dyDescent="0.25">
      <c r="A22851" t="e">
        <v>#N/A</v>
      </c>
    </row>
    <row r="22852" spans="1:1" x14ac:dyDescent="0.25">
      <c r="A22852" t="e">
        <v>#N/A</v>
      </c>
    </row>
    <row r="22853" spans="1:1" x14ac:dyDescent="0.25">
      <c r="A22853" t="e">
        <v>#N/A</v>
      </c>
    </row>
    <row r="22854" spans="1:1" x14ac:dyDescent="0.25">
      <c r="A22854" t="e">
        <v>#N/A</v>
      </c>
    </row>
    <row r="22855" spans="1:1" x14ac:dyDescent="0.25">
      <c r="A22855" t="e">
        <v>#N/A</v>
      </c>
    </row>
    <row r="22856" spans="1:1" x14ac:dyDescent="0.25">
      <c r="A22856" t="e">
        <v>#N/A</v>
      </c>
    </row>
    <row r="22857" spans="1:1" x14ac:dyDescent="0.25">
      <c r="A22857" t="e">
        <v>#N/A</v>
      </c>
    </row>
    <row r="22858" spans="1:1" x14ac:dyDescent="0.25">
      <c r="A22858" t="e">
        <v>#N/A</v>
      </c>
    </row>
    <row r="22859" spans="1:1" x14ac:dyDescent="0.25">
      <c r="A22859" t="e">
        <v>#N/A</v>
      </c>
    </row>
    <row r="22860" spans="1:1" x14ac:dyDescent="0.25">
      <c r="A22860" t="e">
        <v>#N/A</v>
      </c>
    </row>
    <row r="22861" spans="1:1" x14ac:dyDescent="0.25">
      <c r="A22861" t="e">
        <v>#N/A</v>
      </c>
    </row>
    <row r="22862" spans="1:1" x14ac:dyDescent="0.25">
      <c r="A22862" t="e">
        <v>#N/A</v>
      </c>
    </row>
    <row r="22863" spans="1:1" x14ac:dyDescent="0.25">
      <c r="A22863" t="e">
        <v>#N/A</v>
      </c>
    </row>
    <row r="22864" spans="1:1" x14ac:dyDescent="0.25">
      <c r="A22864" t="e">
        <v>#N/A</v>
      </c>
    </row>
    <row r="22865" spans="1:1" x14ac:dyDescent="0.25">
      <c r="A22865" t="e">
        <v>#N/A</v>
      </c>
    </row>
    <row r="22866" spans="1:1" x14ac:dyDescent="0.25">
      <c r="A22866" t="e">
        <v>#N/A</v>
      </c>
    </row>
    <row r="22867" spans="1:1" x14ac:dyDescent="0.25">
      <c r="A22867" t="e">
        <v>#N/A</v>
      </c>
    </row>
    <row r="22868" spans="1:1" x14ac:dyDescent="0.25">
      <c r="A22868" t="e">
        <v>#N/A</v>
      </c>
    </row>
    <row r="22869" spans="1:1" x14ac:dyDescent="0.25">
      <c r="A22869" t="e">
        <v>#N/A</v>
      </c>
    </row>
    <row r="22870" spans="1:1" x14ac:dyDescent="0.25">
      <c r="A22870" t="e">
        <v>#N/A</v>
      </c>
    </row>
    <row r="22871" spans="1:1" x14ac:dyDescent="0.25">
      <c r="A22871" t="e">
        <v>#N/A</v>
      </c>
    </row>
    <row r="22872" spans="1:1" x14ac:dyDescent="0.25">
      <c r="A22872" t="e">
        <v>#N/A</v>
      </c>
    </row>
    <row r="22873" spans="1:1" x14ac:dyDescent="0.25">
      <c r="A22873" t="e">
        <v>#N/A</v>
      </c>
    </row>
    <row r="22874" spans="1:1" x14ac:dyDescent="0.25">
      <c r="A22874" t="e">
        <v>#N/A</v>
      </c>
    </row>
    <row r="22875" spans="1:1" x14ac:dyDescent="0.25">
      <c r="A22875" t="e">
        <v>#N/A</v>
      </c>
    </row>
    <row r="22876" spans="1:1" x14ac:dyDescent="0.25">
      <c r="A22876" t="e">
        <v>#N/A</v>
      </c>
    </row>
    <row r="22877" spans="1:1" x14ac:dyDescent="0.25">
      <c r="A22877" t="e">
        <v>#N/A</v>
      </c>
    </row>
    <row r="22878" spans="1:1" x14ac:dyDescent="0.25">
      <c r="A22878" t="e">
        <v>#N/A</v>
      </c>
    </row>
    <row r="22879" spans="1:1" x14ac:dyDescent="0.25">
      <c r="A22879" t="e">
        <v>#N/A</v>
      </c>
    </row>
    <row r="22880" spans="1:1" x14ac:dyDescent="0.25">
      <c r="A22880" t="e">
        <v>#N/A</v>
      </c>
    </row>
    <row r="22881" spans="1:1" x14ac:dyDescent="0.25">
      <c r="A22881" t="e">
        <v>#N/A</v>
      </c>
    </row>
    <row r="22882" spans="1:1" x14ac:dyDescent="0.25">
      <c r="A22882" t="e">
        <v>#N/A</v>
      </c>
    </row>
    <row r="22883" spans="1:1" x14ac:dyDescent="0.25">
      <c r="A22883" t="e">
        <v>#N/A</v>
      </c>
    </row>
    <row r="22884" spans="1:1" x14ac:dyDescent="0.25">
      <c r="A22884" t="e">
        <v>#N/A</v>
      </c>
    </row>
    <row r="22885" spans="1:1" x14ac:dyDescent="0.25">
      <c r="A22885" t="e">
        <v>#N/A</v>
      </c>
    </row>
    <row r="22886" spans="1:1" x14ac:dyDescent="0.25">
      <c r="A22886" t="e">
        <v>#N/A</v>
      </c>
    </row>
    <row r="22887" spans="1:1" x14ac:dyDescent="0.25">
      <c r="A22887" t="e">
        <v>#N/A</v>
      </c>
    </row>
    <row r="22888" spans="1:1" x14ac:dyDescent="0.25">
      <c r="A22888" t="e">
        <v>#N/A</v>
      </c>
    </row>
    <row r="22889" spans="1:1" x14ac:dyDescent="0.25">
      <c r="A22889" t="e">
        <v>#N/A</v>
      </c>
    </row>
    <row r="22890" spans="1:1" x14ac:dyDescent="0.25">
      <c r="A22890" t="e">
        <v>#N/A</v>
      </c>
    </row>
    <row r="22891" spans="1:1" x14ac:dyDescent="0.25">
      <c r="A22891" t="e">
        <v>#N/A</v>
      </c>
    </row>
    <row r="22892" spans="1:1" x14ac:dyDescent="0.25">
      <c r="A22892" t="e">
        <v>#N/A</v>
      </c>
    </row>
    <row r="22893" spans="1:1" x14ac:dyDescent="0.25">
      <c r="A22893" t="e">
        <v>#N/A</v>
      </c>
    </row>
    <row r="22894" spans="1:1" x14ac:dyDescent="0.25">
      <c r="A22894" t="e">
        <v>#N/A</v>
      </c>
    </row>
    <row r="22895" spans="1:1" x14ac:dyDescent="0.25">
      <c r="A22895" t="e">
        <v>#N/A</v>
      </c>
    </row>
    <row r="22896" spans="1:1" x14ac:dyDescent="0.25">
      <c r="A22896" t="e">
        <v>#N/A</v>
      </c>
    </row>
    <row r="22897" spans="1:1" x14ac:dyDescent="0.25">
      <c r="A22897" t="e">
        <v>#N/A</v>
      </c>
    </row>
    <row r="22898" spans="1:1" x14ac:dyDescent="0.25">
      <c r="A22898" t="e">
        <v>#N/A</v>
      </c>
    </row>
    <row r="22899" spans="1:1" x14ac:dyDescent="0.25">
      <c r="A22899" t="e">
        <v>#N/A</v>
      </c>
    </row>
    <row r="22900" spans="1:1" x14ac:dyDescent="0.25">
      <c r="A22900" t="e">
        <v>#N/A</v>
      </c>
    </row>
    <row r="22901" spans="1:1" x14ac:dyDescent="0.25">
      <c r="A22901" t="e">
        <v>#N/A</v>
      </c>
    </row>
    <row r="22902" spans="1:1" x14ac:dyDescent="0.25">
      <c r="A22902" t="e">
        <v>#N/A</v>
      </c>
    </row>
    <row r="22903" spans="1:1" x14ac:dyDescent="0.25">
      <c r="A22903" t="e">
        <v>#N/A</v>
      </c>
    </row>
    <row r="22904" spans="1:1" x14ac:dyDescent="0.25">
      <c r="A22904" t="e">
        <v>#N/A</v>
      </c>
    </row>
    <row r="22905" spans="1:1" x14ac:dyDescent="0.25">
      <c r="A22905" t="e">
        <v>#N/A</v>
      </c>
    </row>
    <row r="22906" spans="1:1" x14ac:dyDescent="0.25">
      <c r="A22906" t="e">
        <v>#N/A</v>
      </c>
    </row>
    <row r="22907" spans="1:1" x14ac:dyDescent="0.25">
      <c r="A22907" t="e">
        <v>#N/A</v>
      </c>
    </row>
    <row r="22908" spans="1:1" x14ac:dyDescent="0.25">
      <c r="A22908" t="e">
        <v>#N/A</v>
      </c>
    </row>
    <row r="22909" spans="1:1" x14ac:dyDescent="0.25">
      <c r="A22909" t="e">
        <v>#N/A</v>
      </c>
    </row>
    <row r="22910" spans="1:1" x14ac:dyDescent="0.25">
      <c r="A22910" t="e">
        <v>#N/A</v>
      </c>
    </row>
    <row r="22911" spans="1:1" x14ac:dyDescent="0.25">
      <c r="A22911" t="e">
        <v>#N/A</v>
      </c>
    </row>
    <row r="22912" spans="1:1" x14ac:dyDescent="0.25">
      <c r="A22912" t="e">
        <v>#N/A</v>
      </c>
    </row>
    <row r="22913" spans="1:1" x14ac:dyDescent="0.25">
      <c r="A22913" t="e">
        <v>#N/A</v>
      </c>
    </row>
    <row r="22914" spans="1:1" x14ac:dyDescent="0.25">
      <c r="A22914" t="e">
        <v>#N/A</v>
      </c>
    </row>
    <row r="22915" spans="1:1" x14ac:dyDescent="0.25">
      <c r="A22915" t="e">
        <v>#N/A</v>
      </c>
    </row>
    <row r="22916" spans="1:1" x14ac:dyDescent="0.25">
      <c r="A22916" t="e">
        <v>#N/A</v>
      </c>
    </row>
    <row r="22917" spans="1:1" x14ac:dyDescent="0.25">
      <c r="A22917" t="e">
        <v>#N/A</v>
      </c>
    </row>
    <row r="22918" spans="1:1" x14ac:dyDescent="0.25">
      <c r="A22918" t="e">
        <v>#N/A</v>
      </c>
    </row>
    <row r="22919" spans="1:1" x14ac:dyDescent="0.25">
      <c r="A22919" t="e">
        <v>#N/A</v>
      </c>
    </row>
    <row r="22920" spans="1:1" x14ac:dyDescent="0.25">
      <c r="A22920" t="e">
        <v>#N/A</v>
      </c>
    </row>
    <row r="22921" spans="1:1" x14ac:dyDescent="0.25">
      <c r="A22921" t="e">
        <v>#N/A</v>
      </c>
    </row>
    <row r="22922" spans="1:1" x14ac:dyDescent="0.25">
      <c r="A22922" t="e">
        <v>#N/A</v>
      </c>
    </row>
    <row r="22923" spans="1:1" x14ac:dyDescent="0.25">
      <c r="A22923" t="e">
        <v>#N/A</v>
      </c>
    </row>
    <row r="22924" spans="1:1" x14ac:dyDescent="0.25">
      <c r="A22924" t="e">
        <v>#N/A</v>
      </c>
    </row>
    <row r="22925" spans="1:1" x14ac:dyDescent="0.25">
      <c r="A22925" t="e">
        <v>#N/A</v>
      </c>
    </row>
    <row r="22926" spans="1:1" x14ac:dyDescent="0.25">
      <c r="A22926" t="e">
        <v>#N/A</v>
      </c>
    </row>
    <row r="22927" spans="1:1" x14ac:dyDescent="0.25">
      <c r="A22927" t="e">
        <v>#N/A</v>
      </c>
    </row>
    <row r="22928" spans="1:1" x14ac:dyDescent="0.25">
      <c r="A22928" t="e">
        <v>#N/A</v>
      </c>
    </row>
    <row r="22929" spans="1:1" x14ac:dyDescent="0.25">
      <c r="A22929" t="e">
        <v>#N/A</v>
      </c>
    </row>
    <row r="22930" spans="1:1" x14ac:dyDescent="0.25">
      <c r="A22930" t="e">
        <v>#N/A</v>
      </c>
    </row>
    <row r="22931" spans="1:1" x14ac:dyDescent="0.25">
      <c r="A22931" t="e">
        <v>#N/A</v>
      </c>
    </row>
    <row r="22932" spans="1:1" x14ac:dyDescent="0.25">
      <c r="A22932" t="e">
        <v>#N/A</v>
      </c>
    </row>
    <row r="22933" spans="1:1" x14ac:dyDescent="0.25">
      <c r="A22933" t="e">
        <v>#N/A</v>
      </c>
    </row>
    <row r="22934" spans="1:1" x14ac:dyDescent="0.25">
      <c r="A22934" t="e">
        <v>#N/A</v>
      </c>
    </row>
    <row r="22935" spans="1:1" x14ac:dyDescent="0.25">
      <c r="A22935" t="e">
        <v>#N/A</v>
      </c>
    </row>
    <row r="22936" spans="1:1" x14ac:dyDescent="0.25">
      <c r="A22936" t="e">
        <v>#N/A</v>
      </c>
    </row>
    <row r="22937" spans="1:1" x14ac:dyDescent="0.25">
      <c r="A22937" t="e">
        <v>#N/A</v>
      </c>
    </row>
    <row r="22938" spans="1:1" x14ac:dyDescent="0.25">
      <c r="A22938" t="e">
        <v>#N/A</v>
      </c>
    </row>
    <row r="22939" spans="1:1" x14ac:dyDescent="0.25">
      <c r="A22939" t="e">
        <v>#N/A</v>
      </c>
    </row>
    <row r="22940" spans="1:1" x14ac:dyDescent="0.25">
      <c r="A22940" t="e">
        <v>#N/A</v>
      </c>
    </row>
    <row r="22941" spans="1:1" x14ac:dyDescent="0.25">
      <c r="A22941" t="e">
        <v>#N/A</v>
      </c>
    </row>
    <row r="22942" spans="1:1" x14ac:dyDescent="0.25">
      <c r="A22942" t="e">
        <v>#N/A</v>
      </c>
    </row>
    <row r="22943" spans="1:1" x14ac:dyDescent="0.25">
      <c r="A22943" t="e">
        <v>#N/A</v>
      </c>
    </row>
    <row r="22944" spans="1:1" x14ac:dyDescent="0.25">
      <c r="A22944" t="e">
        <v>#N/A</v>
      </c>
    </row>
    <row r="22945" spans="1:1" x14ac:dyDescent="0.25">
      <c r="A22945" t="e">
        <v>#N/A</v>
      </c>
    </row>
    <row r="22946" spans="1:1" x14ac:dyDescent="0.25">
      <c r="A22946" t="e">
        <v>#N/A</v>
      </c>
    </row>
    <row r="22947" spans="1:1" x14ac:dyDescent="0.25">
      <c r="A22947" t="e">
        <v>#N/A</v>
      </c>
    </row>
    <row r="22948" spans="1:1" x14ac:dyDescent="0.25">
      <c r="A22948" t="e">
        <v>#N/A</v>
      </c>
    </row>
    <row r="22949" spans="1:1" x14ac:dyDescent="0.25">
      <c r="A22949" t="e">
        <v>#N/A</v>
      </c>
    </row>
    <row r="22950" spans="1:1" x14ac:dyDescent="0.25">
      <c r="A22950" t="e">
        <v>#N/A</v>
      </c>
    </row>
    <row r="22951" spans="1:1" x14ac:dyDescent="0.25">
      <c r="A22951" t="e">
        <v>#N/A</v>
      </c>
    </row>
    <row r="22952" spans="1:1" x14ac:dyDescent="0.25">
      <c r="A22952" t="e">
        <v>#N/A</v>
      </c>
    </row>
    <row r="22953" spans="1:1" x14ac:dyDescent="0.25">
      <c r="A22953" t="e">
        <v>#N/A</v>
      </c>
    </row>
    <row r="22954" spans="1:1" x14ac:dyDescent="0.25">
      <c r="A22954" t="e">
        <v>#N/A</v>
      </c>
    </row>
    <row r="22955" spans="1:1" x14ac:dyDescent="0.25">
      <c r="A22955" t="e">
        <v>#N/A</v>
      </c>
    </row>
    <row r="22956" spans="1:1" x14ac:dyDescent="0.25">
      <c r="A22956" t="e">
        <v>#N/A</v>
      </c>
    </row>
    <row r="22957" spans="1:1" x14ac:dyDescent="0.25">
      <c r="A22957" t="e">
        <v>#N/A</v>
      </c>
    </row>
    <row r="22958" spans="1:1" x14ac:dyDescent="0.25">
      <c r="A22958" t="e">
        <v>#N/A</v>
      </c>
    </row>
    <row r="22959" spans="1:1" x14ac:dyDescent="0.25">
      <c r="A22959" t="e">
        <v>#N/A</v>
      </c>
    </row>
    <row r="22960" spans="1:1" x14ac:dyDescent="0.25">
      <c r="A22960" t="e">
        <v>#N/A</v>
      </c>
    </row>
    <row r="22961" spans="1:1" x14ac:dyDescent="0.25">
      <c r="A22961" t="e">
        <v>#N/A</v>
      </c>
    </row>
    <row r="22962" spans="1:1" x14ac:dyDescent="0.25">
      <c r="A22962" t="e">
        <v>#N/A</v>
      </c>
    </row>
    <row r="22963" spans="1:1" x14ac:dyDescent="0.25">
      <c r="A22963" t="e">
        <v>#N/A</v>
      </c>
    </row>
    <row r="22964" spans="1:1" x14ac:dyDescent="0.25">
      <c r="A22964" t="e">
        <v>#N/A</v>
      </c>
    </row>
    <row r="22965" spans="1:1" x14ac:dyDescent="0.25">
      <c r="A22965" t="e">
        <v>#N/A</v>
      </c>
    </row>
    <row r="22966" spans="1:1" x14ac:dyDescent="0.25">
      <c r="A22966" t="e">
        <v>#N/A</v>
      </c>
    </row>
    <row r="22967" spans="1:1" x14ac:dyDescent="0.25">
      <c r="A22967" t="e">
        <v>#N/A</v>
      </c>
    </row>
    <row r="22968" spans="1:1" x14ac:dyDescent="0.25">
      <c r="A22968" t="e">
        <v>#N/A</v>
      </c>
    </row>
    <row r="22969" spans="1:1" x14ac:dyDescent="0.25">
      <c r="A22969" t="e">
        <v>#N/A</v>
      </c>
    </row>
    <row r="22970" spans="1:1" x14ac:dyDescent="0.25">
      <c r="A22970" t="e">
        <v>#N/A</v>
      </c>
    </row>
    <row r="22971" spans="1:1" x14ac:dyDescent="0.25">
      <c r="A22971" t="e">
        <v>#N/A</v>
      </c>
    </row>
    <row r="22972" spans="1:1" x14ac:dyDescent="0.25">
      <c r="A22972" t="e">
        <v>#N/A</v>
      </c>
    </row>
    <row r="22973" spans="1:1" x14ac:dyDescent="0.25">
      <c r="A22973" t="e">
        <v>#N/A</v>
      </c>
    </row>
    <row r="22974" spans="1:1" x14ac:dyDescent="0.25">
      <c r="A22974" t="e">
        <v>#N/A</v>
      </c>
    </row>
    <row r="22975" spans="1:1" x14ac:dyDescent="0.25">
      <c r="A22975" t="e">
        <v>#N/A</v>
      </c>
    </row>
    <row r="22976" spans="1:1" x14ac:dyDescent="0.25">
      <c r="A22976" t="e">
        <v>#N/A</v>
      </c>
    </row>
    <row r="22977" spans="1:1" x14ac:dyDescent="0.25">
      <c r="A22977" t="e">
        <v>#N/A</v>
      </c>
    </row>
    <row r="22978" spans="1:1" x14ac:dyDescent="0.25">
      <c r="A22978" t="e">
        <v>#N/A</v>
      </c>
    </row>
    <row r="22979" spans="1:1" x14ac:dyDescent="0.25">
      <c r="A22979" t="e">
        <v>#N/A</v>
      </c>
    </row>
    <row r="22980" spans="1:1" x14ac:dyDescent="0.25">
      <c r="A22980" t="e">
        <v>#N/A</v>
      </c>
    </row>
    <row r="22981" spans="1:1" x14ac:dyDescent="0.25">
      <c r="A22981" t="e">
        <v>#N/A</v>
      </c>
    </row>
    <row r="22982" spans="1:1" x14ac:dyDescent="0.25">
      <c r="A22982" t="e">
        <v>#N/A</v>
      </c>
    </row>
    <row r="22983" spans="1:1" x14ac:dyDescent="0.25">
      <c r="A22983" t="e">
        <v>#N/A</v>
      </c>
    </row>
    <row r="22984" spans="1:1" x14ac:dyDescent="0.25">
      <c r="A22984" t="e">
        <v>#N/A</v>
      </c>
    </row>
    <row r="22985" spans="1:1" x14ac:dyDescent="0.25">
      <c r="A22985" t="e">
        <v>#N/A</v>
      </c>
    </row>
    <row r="22986" spans="1:1" x14ac:dyDescent="0.25">
      <c r="A22986" t="e">
        <v>#N/A</v>
      </c>
    </row>
    <row r="22987" spans="1:1" x14ac:dyDescent="0.25">
      <c r="A22987" t="e">
        <v>#N/A</v>
      </c>
    </row>
    <row r="22988" spans="1:1" x14ac:dyDescent="0.25">
      <c r="A22988" t="e">
        <v>#N/A</v>
      </c>
    </row>
    <row r="22989" spans="1:1" x14ac:dyDescent="0.25">
      <c r="A22989" t="e">
        <v>#N/A</v>
      </c>
    </row>
    <row r="22990" spans="1:1" x14ac:dyDescent="0.25">
      <c r="A22990" t="e">
        <v>#N/A</v>
      </c>
    </row>
    <row r="22991" spans="1:1" x14ac:dyDescent="0.25">
      <c r="A22991" t="e">
        <v>#N/A</v>
      </c>
    </row>
    <row r="22992" spans="1:1" x14ac:dyDescent="0.25">
      <c r="A22992" t="e">
        <v>#N/A</v>
      </c>
    </row>
    <row r="22993" spans="1:1" x14ac:dyDescent="0.25">
      <c r="A22993" t="e">
        <v>#N/A</v>
      </c>
    </row>
    <row r="22994" spans="1:1" x14ac:dyDescent="0.25">
      <c r="A22994" t="e">
        <v>#N/A</v>
      </c>
    </row>
    <row r="22995" spans="1:1" x14ac:dyDescent="0.25">
      <c r="A22995" t="e">
        <v>#N/A</v>
      </c>
    </row>
    <row r="22996" spans="1:1" x14ac:dyDescent="0.25">
      <c r="A22996" t="e">
        <v>#N/A</v>
      </c>
    </row>
    <row r="22997" spans="1:1" x14ac:dyDescent="0.25">
      <c r="A22997" t="e">
        <v>#N/A</v>
      </c>
    </row>
    <row r="22998" spans="1:1" x14ac:dyDescent="0.25">
      <c r="A22998" t="e">
        <v>#N/A</v>
      </c>
    </row>
    <row r="22999" spans="1:1" x14ac:dyDescent="0.25">
      <c r="A22999" t="e">
        <v>#N/A</v>
      </c>
    </row>
    <row r="23000" spans="1:1" x14ac:dyDescent="0.25">
      <c r="A23000" t="e">
        <v>#N/A</v>
      </c>
    </row>
    <row r="23001" spans="1:1" x14ac:dyDescent="0.25">
      <c r="A23001" t="e">
        <v>#N/A</v>
      </c>
    </row>
    <row r="23002" spans="1:1" x14ac:dyDescent="0.25">
      <c r="A23002" t="e">
        <v>#N/A</v>
      </c>
    </row>
    <row r="23003" spans="1:1" x14ac:dyDescent="0.25">
      <c r="A23003" t="e">
        <v>#N/A</v>
      </c>
    </row>
    <row r="23004" spans="1:1" x14ac:dyDescent="0.25">
      <c r="A23004" t="e">
        <v>#N/A</v>
      </c>
    </row>
    <row r="23005" spans="1:1" x14ac:dyDescent="0.25">
      <c r="A23005" t="e">
        <v>#N/A</v>
      </c>
    </row>
    <row r="23006" spans="1:1" x14ac:dyDescent="0.25">
      <c r="A23006" t="e">
        <v>#N/A</v>
      </c>
    </row>
    <row r="23007" spans="1:1" x14ac:dyDescent="0.25">
      <c r="A23007" t="e">
        <v>#N/A</v>
      </c>
    </row>
    <row r="23008" spans="1:1" x14ac:dyDescent="0.25">
      <c r="A23008" t="e">
        <v>#N/A</v>
      </c>
    </row>
    <row r="23009" spans="1:1" x14ac:dyDescent="0.25">
      <c r="A23009" t="e">
        <v>#N/A</v>
      </c>
    </row>
    <row r="23010" spans="1:1" x14ac:dyDescent="0.25">
      <c r="A23010" t="e">
        <v>#N/A</v>
      </c>
    </row>
    <row r="23011" spans="1:1" x14ac:dyDescent="0.25">
      <c r="A23011" t="e">
        <v>#N/A</v>
      </c>
    </row>
    <row r="23012" spans="1:1" x14ac:dyDescent="0.25">
      <c r="A23012" t="e">
        <v>#N/A</v>
      </c>
    </row>
    <row r="23013" spans="1:1" x14ac:dyDescent="0.25">
      <c r="A23013" t="e">
        <v>#N/A</v>
      </c>
    </row>
    <row r="23014" spans="1:1" x14ac:dyDescent="0.25">
      <c r="A23014" t="e">
        <v>#N/A</v>
      </c>
    </row>
    <row r="23015" spans="1:1" x14ac:dyDescent="0.25">
      <c r="A23015" t="e">
        <v>#N/A</v>
      </c>
    </row>
    <row r="23016" spans="1:1" x14ac:dyDescent="0.25">
      <c r="A23016" t="e">
        <v>#N/A</v>
      </c>
    </row>
    <row r="23017" spans="1:1" x14ac:dyDescent="0.25">
      <c r="A23017" t="e">
        <v>#N/A</v>
      </c>
    </row>
    <row r="23018" spans="1:1" x14ac:dyDescent="0.25">
      <c r="A23018" t="e">
        <v>#N/A</v>
      </c>
    </row>
    <row r="23019" spans="1:1" x14ac:dyDescent="0.25">
      <c r="A23019" t="e">
        <v>#N/A</v>
      </c>
    </row>
    <row r="23020" spans="1:1" x14ac:dyDescent="0.25">
      <c r="A23020" t="e">
        <v>#N/A</v>
      </c>
    </row>
    <row r="23021" spans="1:1" x14ac:dyDescent="0.25">
      <c r="A23021" t="e">
        <v>#N/A</v>
      </c>
    </row>
    <row r="23022" spans="1:1" x14ac:dyDescent="0.25">
      <c r="A23022" t="e">
        <v>#N/A</v>
      </c>
    </row>
    <row r="23023" spans="1:1" x14ac:dyDescent="0.25">
      <c r="A23023" t="e">
        <v>#N/A</v>
      </c>
    </row>
    <row r="23024" spans="1:1" x14ac:dyDescent="0.25">
      <c r="A23024" t="e">
        <v>#N/A</v>
      </c>
    </row>
    <row r="23025" spans="1:1" x14ac:dyDescent="0.25">
      <c r="A23025" t="e">
        <v>#N/A</v>
      </c>
    </row>
    <row r="23026" spans="1:1" x14ac:dyDescent="0.25">
      <c r="A23026" t="e">
        <v>#N/A</v>
      </c>
    </row>
    <row r="23027" spans="1:1" x14ac:dyDescent="0.25">
      <c r="A23027" t="e">
        <v>#N/A</v>
      </c>
    </row>
    <row r="23028" spans="1:1" x14ac:dyDescent="0.25">
      <c r="A23028" t="e">
        <v>#N/A</v>
      </c>
    </row>
    <row r="23029" spans="1:1" x14ac:dyDescent="0.25">
      <c r="A23029" t="e">
        <v>#N/A</v>
      </c>
    </row>
    <row r="23030" spans="1:1" x14ac:dyDescent="0.25">
      <c r="A23030" t="e">
        <v>#N/A</v>
      </c>
    </row>
    <row r="23031" spans="1:1" x14ac:dyDescent="0.25">
      <c r="A23031" t="e">
        <v>#N/A</v>
      </c>
    </row>
    <row r="23032" spans="1:1" x14ac:dyDescent="0.25">
      <c r="A23032" t="e">
        <v>#N/A</v>
      </c>
    </row>
    <row r="23033" spans="1:1" x14ac:dyDescent="0.25">
      <c r="A23033" t="e">
        <v>#N/A</v>
      </c>
    </row>
    <row r="23034" spans="1:1" x14ac:dyDescent="0.25">
      <c r="A23034" t="e">
        <v>#N/A</v>
      </c>
    </row>
    <row r="23035" spans="1:1" x14ac:dyDescent="0.25">
      <c r="A23035" t="e">
        <v>#N/A</v>
      </c>
    </row>
    <row r="23036" spans="1:1" x14ac:dyDescent="0.25">
      <c r="A23036" t="e">
        <v>#N/A</v>
      </c>
    </row>
    <row r="23037" spans="1:1" x14ac:dyDescent="0.25">
      <c r="A23037" t="e">
        <v>#N/A</v>
      </c>
    </row>
    <row r="23038" spans="1:1" x14ac:dyDescent="0.25">
      <c r="A23038" t="e">
        <v>#N/A</v>
      </c>
    </row>
    <row r="23039" spans="1:1" x14ac:dyDescent="0.25">
      <c r="A23039" t="e">
        <v>#N/A</v>
      </c>
    </row>
    <row r="23040" spans="1:1" x14ac:dyDescent="0.25">
      <c r="A23040" t="e">
        <v>#N/A</v>
      </c>
    </row>
    <row r="23041" spans="1:1" x14ac:dyDescent="0.25">
      <c r="A23041" t="e">
        <v>#N/A</v>
      </c>
    </row>
    <row r="23042" spans="1:1" x14ac:dyDescent="0.25">
      <c r="A23042" t="e">
        <v>#N/A</v>
      </c>
    </row>
    <row r="23043" spans="1:1" x14ac:dyDescent="0.25">
      <c r="A23043" t="e">
        <v>#N/A</v>
      </c>
    </row>
    <row r="23044" spans="1:1" x14ac:dyDescent="0.25">
      <c r="A23044" t="e">
        <v>#N/A</v>
      </c>
    </row>
    <row r="23045" spans="1:1" x14ac:dyDescent="0.25">
      <c r="A23045" t="e">
        <v>#N/A</v>
      </c>
    </row>
    <row r="23046" spans="1:1" x14ac:dyDescent="0.25">
      <c r="A23046" t="e">
        <v>#N/A</v>
      </c>
    </row>
    <row r="23047" spans="1:1" x14ac:dyDescent="0.25">
      <c r="A23047" t="e">
        <v>#N/A</v>
      </c>
    </row>
    <row r="23048" spans="1:1" x14ac:dyDescent="0.25">
      <c r="A23048" t="e">
        <v>#N/A</v>
      </c>
    </row>
    <row r="23049" spans="1:1" x14ac:dyDescent="0.25">
      <c r="A23049" t="e">
        <v>#N/A</v>
      </c>
    </row>
    <row r="23050" spans="1:1" x14ac:dyDescent="0.25">
      <c r="A23050" t="e">
        <v>#N/A</v>
      </c>
    </row>
    <row r="23051" spans="1:1" x14ac:dyDescent="0.25">
      <c r="A23051" t="e">
        <v>#N/A</v>
      </c>
    </row>
    <row r="23052" spans="1:1" x14ac:dyDescent="0.25">
      <c r="A23052" t="e">
        <v>#N/A</v>
      </c>
    </row>
    <row r="23053" spans="1:1" x14ac:dyDescent="0.25">
      <c r="A23053" t="e">
        <v>#N/A</v>
      </c>
    </row>
    <row r="23054" spans="1:1" x14ac:dyDescent="0.25">
      <c r="A23054" t="e">
        <v>#N/A</v>
      </c>
    </row>
    <row r="23055" spans="1:1" x14ac:dyDescent="0.25">
      <c r="A23055" t="e">
        <v>#N/A</v>
      </c>
    </row>
    <row r="23056" spans="1:1" x14ac:dyDescent="0.25">
      <c r="A23056" t="e">
        <v>#N/A</v>
      </c>
    </row>
    <row r="23057" spans="1:1" x14ac:dyDescent="0.25">
      <c r="A23057" t="e">
        <v>#N/A</v>
      </c>
    </row>
    <row r="23058" spans="1:1" x14ac:dyDescent="0.25">
      <c r="A23058" t="e">
        <v>#N/A</v>
      </c>
    </row>
    <row r="23059" spans="1:1" x14ac:dyDescent="0.25">
      <c r="A23059" t="e">
        <v>#N/A</v>
      </c>
    </row>
    <row r="23060" spans="1:1" x14ac:dyDescent="0.25">
      <c r="A23060" t="e">
        <v>#N/A</v>
      </c>
    </row>
    <row r="23061" spans="1:1" x14ac:dyDescent="0.25">
      <c r="A23061" t="e">
        <v>#N/A</v>
      </c>
    </row>
    <row r="23062" spans="1:1" x14ac:dyDescent="0.25">
      <c r="A23062" t="e">
        <v>#N/A</v>
      </c>
    </row>
    <row r="23063" spans="1:1" x14ac:dyDescent="0.25">
      <c r="A23063" t="e">
        <v>#N/A</v>
      </c>
    </row>
    <row r="23064" spans="1:1" x14ac:dyDescent="0.25">
      <c r="A23064" t="e">
        <v>#N/A</v>
      </c>
    </row>
    <row r="23065" spans="1:1" x14ac:dyDescent="0.25">
      <c r="A23065" t="e">
        <v>#N/A</v>
      </c>
    </row>
    <row r="23066" spans="1:1" x14ac:dyDescent="0.25">
      <c r="A23066" t="e">
        <v>#N/A</v>
      </c>
    </row>
    <row r="23067" spans="1:1" x14ac:dyDescent="0.25">
      <c r="A23067" t="e">
        <v>#N/A</v>
      </c>
    </row>
    <row r="23068" spans="1:1" x14ac:dyDescent="0.25">
      <c r="A23068" t="e">
        <v>#N/A</v>
      </c>
    </row>
    <row r="23069" spans="1:1" x14ac:dyDescent="0.25">
      <c r="A23069" t="e">
        <v>#N/A</v>
      </c>
    </row>
    <row r="23070" spans="1:1" x14ac:dyDescent="0.25">
      <c r="A23070" t="e">
        <v>#N/A</v>
      </c>
    </row>
    <row r="23071" spans="1:1" x14ac:dyDescent="0.25">
      <c r="A23071" t="e">
        <v>#N/A</v>
      </c>
    </row>
    <row r="23072" spans="1:1" x14ac:dyDescent="0.25">
      <c r="A23072" t="e">
        <v>#N/A</v>
      </c>
    </row>
    <row r="23073" spans="1:1" x14ac:dyDescent="0.25">
      <c r="A23073" t="e">
        <v>#N/A</v>
      </c>
    </row>
    <row r="23074" spans="1:1" x14ac:dyDescent="0.25">
      <c r="A23074" t="e">
        <v>#N/A</v>
      </c>
    </row>
    <row r="23075" spans="1:1" x14ac:dyDescent="0.25">
      <c r="A23075" t="e">
        <v>#N/A</v>
      </c>
    </row>
    <row r="23076" spans="1:1" x14ac:dyDescent="0.25">
      <c r="A23076" t="e">
        <v>#N/A</v>
      </c>
    </row>
    <row r="23077" spans="1:1" x14ac:dyDescent="0.25">
      <c r="A23077" t="e">
        <v>#N/A</v>
      </c>
    </row>
    <row r="23078" spans="1:1" x14ac:dyDescent="0.25">
      <c r="A23078" t="e">
        <v>#N/A</v>
      </c>
    </row>
    <row r="23079" spans="1:1" x14ac:dyDescent="0.25">
      <c r="A23079" t="e">
        <v>#N/A</v>
      </c>
    </row>
    <row r="23080" spans="1:1" x14ac:dyDescent="0.25">
      <c r="A23080" t="e">
        <v>#N/A</v>
      </c>
    </row>
    <row r="23081" spans="1:1" x14ac:dyDescent="0.25">
      <c r="A23081" t="e">
        <v>#N/A</v>
      </c>
    </row>
    <row r="23082" spans="1:1" x14ac:dyDescent="0.25">
      <c r="A23082" t="e">
        <v>#N/A</v>
      </c>
    </row>
    <row r="23083" spans="1:1" x14ac:dyDescent="0.25">
      <c r="A23083" t="e">
        <v>#N/A</v>
      </c>
    </row>
    <row r="23084" spans="1:1" x14ac:dyDescent="0.25">
      <c r="A23084" t="e">
        <v>#N/A</v>
      </c>
    </row>
    <row r="23085" spans="1:1" x14ac:dyDescent="0.25">
      <c r="A23085" t="e">
        <v>#N/A</v>
      </c>
    </row>
    <row r="23086" spans="1:1" x14ac:dyDescent="0.25">
      <c r="A23086" t="e">
        <v>#N/A</v>
      </c>
    </row>
    <row r="23087" spans="1:1" x14ac:dyDescent="0.25">
      <c r="A23087" t="e">
        <v>#N/A</v>
      </c>
    </row>
    <row r="23088" spans="1:1" x14ac:dyDescent="0.25">
      <c r="A23088" t="e">
        <v>#N/A</v>
      </c>
    </row>
    <row r="23089" spans="1:1" x14ac:dyDescent="0.25">
      <c r="A23089" t="e">
        <v>#N/A</v>
      </c>
    </row>
    <row r="23090" spans="1:1" x14ac:dyDescent="0.25">
      <c r="A23090" t="e">
        <v>#N/A</v>
      </c>
    </row>
    <row r="23091" spans="1:1" x14ac:dyDescent="0.25">
      <c r="A23091" t="e">
        <v>#N/A</v>
      </c>
    </row>
    <row r="23092" spans="1:1" x14ac:dyDescent="0.25">
      <c r="A23092" t="e">
        <v>#N/A</v>
      </c>
    </row>
    <row r="23093" spans="1:1" x14ac:dyDescent="0.25">
      <c r="A23093" t="e">
        <v>#N/A</v>
      </c>
    </row>
    <row r="23094" spans="1:1" x14ac:dyDescent="0.25">
      <c r="A23094" t="e">
        <v>#N/A</v>
      </c>
    </row>
    <row r="23095" spans="1:1" x14ac:dyDescent="0.25">
      <c r="A23095" t="e">
        <v>#N/A</v>
      </c>
    </row>
    <row r="23096" spans="1:1" x14ac:dyDescent="0.25">
      <c r="A23096" t="e">
        <v>#N/A</v>
      </c>
    </row>
    <row r="23097" spans="1:1" x14ac:dyDescent="0.25">
      <c r="A23097" t="e">
        <v>#N/A</v>
      </c>
    </row>
    <row r="23098" spans="1:1" x14ac:dyDescent="0.25">
      <c r="A23098" t="e">
        <v>#N/A</v>
      </c>
    </row>
    <row r="23099" spans="1:1" x14ac:dyDescent="0.25">
      <c r="A23099" t="e">
        <v>#N/A</v>
      </c>
    </row>
    <row r="23100" spans="1:1" x14ac:dyDescent="0.25">
      <c r="A23100" t="e">
        <v>#N/A</v>
      </c>
    </row>
    <row r="23101" spans="1:1" x14ac:dyDescent="0.25">
      <c r="A23101" t="e">
        <v>#N/A</v>
      </c>
    </row>
    <row r="23102" spans="1:1" x14ac:dyDescent="0.25">
      <c r="A23102" t="e">
        <v>#N/A</v>
      </c>
    </row>
    <row r="23103" spans="1:1" x14ac:dyDescent="0.25">
      <c r="A23103" t="e">
        <v>#N/A</v>
      </c>
    </row>
    <row r="23104" spans="1:1" x14ac:dyDescent="0.25">
      <c r="A23104" t="e">
        <v>#N/A</v>
      </c>
    </row>
    <row r="23105" spans="1:1" x14ac:dyDescent="0.25">
      <c r="A23105" t="e">
        <v>#N/A</v>
      </c>
    </row>
    <row r="23106" spans="1:1" x14ac:dyDescent="0.25">
      <c r="A23106" t="e">
        <v>#N/A</v>
      </c>
    </row>
    <row r="23107" spans="1:1" x14ac:dyDescent="0.25">
      <c r="A23107" t="e">
        <v>#N/A</v>
      </c>
    </row>
    <row r="23108" spans="1:1" x14ac:dyDescent="0.25">
      <c r="A23108" t="e">
        <v>#N/A</v>
      </c>
    </row>
    <row r="23109" spans="1:1" x14ac:dyDescent="0.25">
      <c r="A23109" t="e">
        <v>#N/A</v>
      </c>
    </row>
    <row r="23110" spans="1:1" x14ac:dyDescent="0.25">
      <c r="A23110" t="e">
        <v>#N/A</v>
      </c>
    </row>
    <row r="23111" spans="1:1" x14ac:dyDescent="0.25">
      <c r="A23111" t="e">
        <v>#N/A</v>
      </c>
    </row>
    <row r="23112" spans="1:1" x14ac:dyDescent="0.25">
      <c r="A23112" t="e">
        <v>#N/A</v>
      </c>
    </row>
    <row r="23113" spans="1:1" x14ac:dyDescent="0.25">
      <c r="A23113" t="e">
        <v>#N/A</v>
      </c>
    </row>
    <row r="23114" spans="1:1" x14ac:dyDescent="0.25">
      <c r="A23114" t="e">
        <v>#N/A</v>
      </c>
    </row>
    <row r="23115" spans="1:1" x14ac:dyDescent="0.25">
      <c r="A23115" t="e">
        <v>#N/A</v>
      </c>
    </row>
    <row r="23116" spans="1:1" x14ac:dyDescent="0.25">
      <c r="A23116" t="e">
        <v>#N/A</v>
      </c>
    </row>
    <row r="23117" spans="1:1" x14ac:dyDescent="0.25">
      <c r="A23117" t="e">
        <v>#N/A</v>
      </c>
    </row>
    <row r="23118" spans="1:1" x14ac:dyDescent="0.25">
      <c r="A23118" t="e">
        <v>#N/A</v>
      </c>
    </row>
    <row r="23119" spans="1:1" x14ac:dyDescent="0.25">
      <c r="A23119" t="e">
        <v>#N/A</v>
      </c>
    </row>
    <row r="23120" spans="1:1" x14ac:dyDescent="0.25">
      <c r="A23120" t="e">
        <v>#N/A</v>
      </c>
    </row>
    <row r="23121" spans="1:1" x14ac:dyDescent="0.25">
      <c r="A23121" t="e">
        <v>#N/A</v>
      </c>
    </row>
    <row r="23122" spans="1:1" x14ac:dyDescent="0.25">
      <c r="A23122" t="e">
        <v>#N/A</v>
      </c>
    </row>
    <row r="23123" spans="1:1" x14ac:dyDescent="0.25">
      <c r="A23123" t="e">
        <v>#N/A</v>
      </c>
    </row>
    <row r="23124" spans="1:1" x14ac:dyDescent="0.25">
      <c r="A23124" t="e">
        <v>#N/A</v>
      </c>
    </row>
    <row r="23125" spans="1:1" x14ac:dyDescent="0.25">
      <c r="A23125" t="e">
        <v>#N/A</v>
      </c>
    </row>
    <row r="23126" spans="1:1" x14ac:dyDescent="0.25">
      <c r="A23126" t="e">
        <v>#N/A</v>
      </c>
    </row>
    <row r="23127" spans="1:1" x14ac:dyDescent="0.25">
      <c r="A23127" t="e">
        <v>#N/A</v>
      </c>
    </row>
    <row r="23128" spans="1:1" x14ac:dyDescent="0.25">
      <c r="A23128" t="e">
        <v>#N/A</v>
      </c>
    </row>
    <row r="23129" spans="1:1" x14ac:dyDescent="0.25">
      <c r="A23129" t="e">
        <v>#N/A</v>
      </c>
    </row>
    <row r="23130" spans="1:1" x14ac:dyDescent="0.25">
      <c r="A23130" t="e">
        <v>#N/A</v>
      </c>
    </row>
    <row r="23131" spans="1:1" x14ac:dyDescent="0.25">
      <c r="A23131" t="e">
        <v>#N/A</v>
      </c>
    </row>
    <row r="23132" spans="1:1" x14ac:dyDescent="0.25">
      <c r="A23132" t="e">
        <v>#N/A</v>
      </c>
    </row>
    <row r="23133" spans="1:1" x14ac:dyDescent="0.25">
      <c r="A23133" t="e">
        <v>#N/A</v>
      </c>
    </row>
    <row r="23134" spans="1:1" x14ac:dyDescent="0.25">
      <c r="A23134" t="e">
        <v>#N/A</v>
      </c>
    </row>
    <row r="23135" spans="1:1" x14ac:dyDescent="0.25">
      <c r="A23135" t="e">
        <v>#N/A</v>
      </c>
    </row>
    <row r="23136" spans="1:1" x14ac:dyDescent="0.25">
      <c r="A23136" t="e">
        <v>#N/A</v>
      </c>
    </row>
    <row r="23137" spans="1:1" x14ac:dyDescent="0.25">
      <c r="A23137" t="e">
        <v>#N/A</v>
      </c>
    </row>
    <row r="23138" spans="1:1" x14ac:dyDescent="0.25">
      <c r="A23138" t="e">
        <v>#N/A</v>
      </c>
    </row>
    <row r="23139" spans="1:1" x14ac:dyDescent="0.25">
      <c r="A23139" t="e">
        <v>#N/A</v>
      </c>
    </row>
    <row r="23140" spans="1:1" x14ac:dyDescent="0.25">
      <c r="A23140" t="e">
        <v>#N/A</v>
      </c>
    </row>
    <row r="23141" spans="1:1" x14ac:dyDescent="0.25">
      <c r="A23141" t="e">
        <v>#N/A</v>
      </c>
    </row>
    <row r="23142" spans="1:1" x14ac:dyDescent="0.25">
      <c r="A23142" t="e">
        <v>#N/A</v>
      </c>
    </row>
    <row r="23143" spans="1:1" x14ac:dyDescent="0.25">
      <c r="A23143" t="e">
        <v>#N/A</v>
      </c>
    </row>
    <row r="23144" spans="1:1" x14ac:dyDescent="0.25">
      <c r="A23144" t="e">
        <v>#N/A</v>
      </c>
    </row>
    <row r="23145" spans="1:1" x14ac:dyDescent="0.25">
      <c r="A23145" t="e">
        <v>#N/A</v>
      </c>
    </row>
    <row r="23146" spans="1:1" x14ac:dyDescent="0.25">
      <c r="A23146" t="e">
        <v>#N/A</v>
      </c>
    </row>
    <row r="23147" spans="1:1" x14ac:dyDescent="0.25">
      <c r="A23147" t="e">
        <v>#N/A</v>
      </c>
    </row>
    <row r="23148" spans="1:1" x14ac:dyDescent="0.25">
      <c r="A23148" t="e">
        <v>#N/A</v>
      </c>
    </row>
    <row r="23149" spans="1:1" x14ac:dyDescent="0.25">
      <c r="A23149" t="e">
        <v>#N/A</v>
      </c>
    </row>
    <row r="23150" spans="1:1" x14ac:dyDescent="0.25">
      <c r="A23150" t="e">
        <v>#N/A</v>
      </c>
    </row>
    <row r="23151" spans="1:1" x14ac:dyDescent="0.25">
      <c r="A23151" t="e">
        <v>#N/A</v>
      </c>
    </row>
    <row r="23152" spans="1:1" x14ac:dyDescent="0.25">
      <c r="A23152" t="e">
        <v>#N/A</v>
      </c>
    </row>
    <row r="23153" spans="1:1" x14ac:dyDescent="0.25">
      <c r="A23153" t="e">
        <v>#N/A</v>
      </c>
    </row>
    <row r="23154" spans="1:1" x14ac:dyDescent="0.25">
      <c r="A23154" t="e">
        <v>#N/A</v>
      </c>
    </row>
    <row r="23155" spans="1:1" x14ac:dyDescent="0.25">
      <c r="A23155" t="e">
        <v>#N/A</v>
      </c>
    </row>
    <row r="23156" spans="1:1" x14ac:dyDescent="0.25">
      <c r="A23156" t="e">
        <v>#N/A</v>
      </c>
    </row>
    <row r="23157" spans="1:1" x14ac:dyDescent="0.25">
      <c r="A23157" t="e">
        <v>#N/A</v>
      </c>
    </row>
    <row r="23158" spans="1:1" x14ac:dyDescent="0.25">
      <c r="A23158" t="e">
        <v>#N/A</v>
      </c>
    </row>
    <row r="23159" spans="1:1" x14ac:dyDescent="0.25">
      <c r="A23159" t="e">
        <v>#N/A</v>
      </c>
    </row>
    <row r="23160" spans="1:1" x14ac:dyDescent="0.25">
      <c r="A23160" t="e">
        <v>#N/A</v>
      </c>
    </row>
    <row r="23161" spans="1:1" x14ac:dyDescent="0.25">
      <c r="A23161" t="e">
        <v>#N/A</v>
      </c>
    </row>
    <row r="23162" spans="1:1" x14ac:dyDescent="0.25">
      <c r="A23162" t="e">
        <v>#N/A</v>
      </c>
    </row>
    <row r="23163" spans="1:1" x14ac:dyDescent="0.25">
      <c r="A23163" t="e">
        <v>#N/A</v>
      </c>
    </row>
    <row r="23164" spans="1:1" x14ac:dyDescent="0.25">
      <c r="A23164" t="e">
        <v>#N/A</v>
      </c>
    </row>
    <row r="23165" spans="1:1" x14ac:dyDescent="0.25">
      <c r="A23165" t="e">
        <v>#N/A</v>
      </c>
    </row>
    <row r="23166" spans="1:1" x14ac:dyDescent="0.25">
      <c r="A23166" t="e">
        <v>#N/A</v>
      </c>
    </row>
    <row r="23167" spans="1:1" x14ac:dyDescent="0.25">
      <c r="A23167" t="e">
        <v>#N/A</v>
      </c>
    </row>
    <row r="23168" spans="1:1" x14ac:dyDescent="0.25">
      <c r="A23168" t="e">
        <v>#N/A</v>
      </c>
    </row>
    <row r="23169" spans="1:1" x14ac:dyDescent="0.25">
      <c r="A23169" t="e">
        <v>#N/A</v>
      </c>
    </row>
    <row r="23170" spans="1:1" x14ac:dyDescent="0.25">
      <c r="A23170" t="e">
        <v>#N/A</v>
      </c>
    </row>
    <row r="23171" spans="1:1" x14ac:dyDescent="0.25">
      <c r="A23171" t="e">
        <v>#N/A</v>
      </c>
    </row>
    <row r="23172" spans="1:1" x14ac:dyDescent="0.25">
      <c r="A23172" t="e">
        <v>#N/A</v>
      </c>
    </row>
    <row r="23173" spans="1:1" x14ac:dyDescent="0.25">
      <c r="A23173" t="e">
        <v>#N/A</v>
      </c>
    </row>
    <row r="23174" spans="1:1" x14ac:dyDescent="0.25">
      <c r="A23174" t="e">
        <v>#N/A</v>
      </c>
    </row>
    <row r="23175" spans="1:1" x14ac:dyDescent="0.25">
      <c r="A23175" t="e">
        <v>#N/A</v>
      </c>
    </row>
    <row r="23176" spans="1:1" x14ac:dyDescent="0.25">
      <c r="A23176" t="e">
        <v>#N/A</v>
      </c>
    </row>
    <row r="23177" spans="1:1" x14ac:dyDescent="0.25">
      <c r="A23177" t="e">
        <v>#N/A</v>
      </c>
    </row>
    <row r="23178" spans="1:1" x14ac:dyDescent="0.25">
      <c r="A23178" t="e">
        <v>#N/A</v>
      </c>
    </row>
    <row r="23179" spans="1:1" x14ac:dyDescent="0.25">
      <c r="A23179" t="e">
        <v>#N/A</v>
      </c>
    </row>
    <row r="23180" spans="1:1" x14ac:dyDescent="0.25">
      <c r="A23180" t="e">
        <v>#N/A</v>
      </c>
    </row>
    <row r="23181" spans="1:1" x14ac:dyDescent="0.25">
      <c r="A23181" t="e">
        <v>#N/A</v>
      </c>
    </row>
    <row r="23182" spans="1:1" x14ac:dyDescent="0.25">
      <c r="A23182" t="e">
        <v>#N/A</v>
      </c>
    </row>
    <row r="23183" spans="1:1" x14ac:dyDescent="0.25">
      <c r="A23183" t="e">
        <v>#N/A</v>
      </c>
    </row>
    <row r="23184" spans="1:1" x14ac:dyDescent="0.25">
      <c r="A23184" t="e">
        <v>#N/A</v>
      </c>
    </row>
    <row r="23185" spans="1:1" x14ac:dyDescent="0.25">
      <c r="A23185" t="e">
        <v>#N/A</v>
      </c>
    </row>
    <row r="23186" spans="1:1" x14ac:dyDescent="0.25">
      <c r="A23186" t="e">
        <v>#N/A</v>
      </c>
    </row>
    <row r="23187" spans="1:1" x14ac:dyDescent="0.25">
      <c r="A23187" t="e">
        <v>#N/A</v>
      </c>
    </row>
    <row r="23188" spans="1:1" x14ac:dyDescent="0.25">
      <c r="A23188" t="e">
        <v>#N/A</v>
      </c>
    </row>
    <row r="23189" spans="1:1" x14ac:dyDescent="0.25">
      <c r="A23189" t="e">
        <v>#N/A</v>
      </c>
    </row>
    <row r="23190" spans="1:1" x14ac:dyDescent="0.25">
      <c r="A23190" t="e">
        <v>#N/A</v>
      </c>
    </row>
    <row r="23191" spans="1:1" x14ac:dyDescent="0.25">
      <c r="A23191" t="e">
        <v>#N/A</v>
      </c>
    </row>
    <row r="23192" spans="1:1" x14ac:dyDescent="0.25">
      <c r="A23192" t="e">
        <v>#N/A</v>
      </c>
    </row>
    <row r="23193" spans="1:1" x14ac:dyDescent="0.25">
      <c r="A23193" t="e">
        <v>#N/A</v>
      </c>
    </row>
    <row r="23194" spans="1:1" x14ac:dyDescent="0.25">
      <c r="A23194" t="e">
        <v>#N/A</v>
      </c>
    </row>
    <row r="23195" spans="1:1" x14ac:dyDescent="0.25">
      <c r="A23195" t="e">
        <v>#N/A</v>
      </c>
    </row>
    <row r="23196" spans="1:1" x14ac:dyDescent="0.25">
      <c r="A23196" t="e">
        <v>#N/A</v>
      </c>
    </row>
    <row r="23197" spans="1:1" x14ac:dyDescent="0.25">
      <c r="A23197" t="e">
        <v>#N/A</v>
      </c>
    </row>
    <row r="23198" spans="1:1" x14ac:dyDescent="0.25">
      <c r="A23198" t="e">
        <v>#N/A</v>
      </c>
    </row>
    <row r="23199" spans="1:1" x14ac:dyDescent="0.25">
      <c r="A23199" t="e">
        <v>#N/A</v>
      </c>
    </row>
    <row r="23200" spans="1:1" x14ac:dyDescent="0.25">
      <c r="A23200" t="e">
        <v>#N/A</v>
      </c>
    </row>
    <row r="23201" spans="1:1" x14ac:dyDescent="0.25">
      <c r="A23201" t="e">
        <v>#N/A</v>
      </c>
    </row>
    <row r="23202" spans="1:1" x14ac:dyDescent="0.25">
      <c r="A23202" t="e">
        <v>#N/A</v>
      </c>
    </row>
    <row r="23203" spans="1:1" x14ac:dyDescent="0.25">
      <c r="A23203" t="e">
        <v>#N/A</v>
      </c>
    </row>
    <row r="23204" spans="1:1" x14ac:dyDescent="0.25">
      <c r="A23204" t="e">
        <v>#N/A</v>
      </c>
    </row>
    <row r="23205" spans="1:1" x14ac:dyDescent="0.25">
      <c r="A23205" t="e">
        <v>#N/A</v>
      </c>
    </row>
    <row r="23206" spans="1:1" x14ac:dyDescent="0.25">
      <c r="A23206" t="e">
        <v>#N/A</v>
      </c>
    </row>
    <row r="23207" spans="1:1" x14ac:dyDescent="0.25">
      <c r="A23207" t="e">
        <v>#N/A</v>
      </c>
    </row>
    <row r="23208" spans="1:1" x14ac:dyDescent="0.25">
      <c r="A23208" t="e">
        <v>#N/A</v>
      </c>
    </row>
    <row r="23209" spans="1:1" x14ac:dyDescent="0.25">
      <c r="A23209" t="e">
        <v>#N/A</v>
      </c>
    </row>
    <row r="23210" spans="1:1" x14ac:dyDescent="0.25">
      <c r="A23210" t="e">
        <v>#N/A</v>
      </c>
    </row>
    <row r="23211" spans="1:1" x14ac:dyDescent="0.25">
      <c r="A23211" t="e">
        <v>#N/A</v>
      </c>
    </row>
    <row r="23212" spans="1:1" x14ac:dyDescent="0.25">
      <c r="A23212" t="e">
        <v>#N/A</v>
      </c>
    </row>
    <row r="23213" spans="1:1" x14ac:dyDescent="0.25">
      <c r="A23213" t="e">
        <v>#N/A</v>
      </c>
    </row>
    <row r="23214" spans="1:1" x14ac:dyDescent="0.25">
      <c r="A23214" t="e">
        <v>#N/A</v>
      </c>
    </row>
    <row r="23215" spans="1:1" x14ac:dyDescent="0.25">
      <c r="A23215" t="e">
        <v>#N/A</v>
      </c>
    </row>
    <row r="23216" spans="1:1" x14ac:dyDescent="0.25">
      <c r="A23216" t="e">
        <v>#N/A</v>
      </c>
    </row>
    <row r="23217" spans="1:1" x14ac:dyDescent="0.25">
      <c r="A23217" t="e">
        <v>#N/A</v>
      </c>
    </row>
    <row r="23218" spans="1:1" x14ac:dyDescent="0.25">
      <c r="A23218" t="e">
        <v>#N/A</v>
      </c>
    </row>
    <row r="23219" spans="1:1" x14ac:dyDescent="0.25">
      <c r="A23219" t="e">
        <v>#N/A</v>
      </c>
    </row>
    <row r="23220" spans="1:1" x14ac:dyDescent="0.25">
      <c r="A23220" t="e">
        <v>#N/A</v>
      </c>
    </row>
    <row r="23221" spans="1:1" x14ac:dyDescent="0.25">
      <c r="A23221" t="e">
        <v>#N/A</v>
      </c>
    </row>
    <row r="23222" spans="1:1" x14ac:dyDescent="0.25">
      <c r="A23222" t="e">
        <v>#N/A</v>
      </c>
    </row>
    <row r="23223" spans="1:1" x14ac:dyDescent="0.25">
      <c r="A23223" t="e">
        <v>#N/A</v>
      </c>
    </row>
    <row r="23224" spans="1:1" x14ac:dyDescent="0.25">
      <c r="A23224" t="e">
        <v>#N/A</v>
      </c>
    </row>
    <row r="23225" spans="1:1" x14ac:dyDescent="0.25">
      <c r="A23225" t="e">
        <v>#N/A</v>
      </c>
    </row>
    <row r="23226" spans="1:1" x14ac:dyDescent="0.25">
      <c r="A23226" t="e">
        <v>#N/A</v>
      </c>
    </row>
    <row r="23227" spans="1:1" x14ac:dyDescent="0.25">
      <c r="A23227" t="e">
        <v>#N/A</v>
      </c>
    </row>
    <row r="23228" spans="1:1" x14ac:dyDescent="0.25">
      <c r="A23228" t="e">
        <v>#N/A</v>
      </c>
    </row>
    <row r="23229" spans="1:1" x14ac:dyDescent="0.25">
      <c r="A23229" t="e">
        <v>#N/A</v>
      </c>
    </row>
    <row r="23230" spans="1:1" x14ac:dyDescent="0.25">
      <c r="A23230" t="e">
        <v>#N/A</v>
      </c>
    </row>
    <row r="23231" spans="1:1" x14ac:dyDescent="0.25">
      <c r="A23231" t="e">
        <v>#N/A</v>
      </c>
    </row>
    <row r="23232" spans="1:1" x14ac:dyDescent="0.25">
      <c r="A23232" t="e">
        <v>#N/A</v>
      </c>
    </row>
    <row r="23233" spans="1:1" x14ac:dyDescent="0.25">
      <c r="A23233" t="e">
        <v>#N/A</v>
      </c>
    </row>
    <row r="23234" spans="1:1" x14ac:dyDescent="0.25">
      <c r="A23234" t="e">
        <v>#N/A</v>
      </c>
    </row>
    <row r="23235" spans="1:1" x14ac:dyDescent="0.25">
      <c r="A23235" t="e">
        <v>#N/A</v>
      </c>
    </row>
    <row r="23236" spans="1:1" x14ac:dyDescent="0.25">
      <c r="A23236" t="e">
        <v>#N/A</v>
      </c>
    </row>
    <row r="23237" spans="1:1" x14ac:dyDescent="0.25">
      <c r="A23237" t="e">
        <v>#N/A</v>
      </c>
    </row>
    <row r="23238" spans="1:1" x14ac:dyDescent="0.25">
      <c r="A23238" t="e">
        <v>#N/A</v>
      </c>
    </row>
    <row r="23239" spans="1:1" x14ac:dyDescent="0.25">
      <c r="A23239" t="e">
        <v>#N/A</v>
      </c>
    </row>
    <row r="23240" spans="1:1" x14ac:dyDescent="0.25">
      <c r="A23240" t="e">
        <v>#N/A</v>
      </c>
    </row>
    <row r="23241" spans="1:1" x14ac:dyDescent="0.25">
      <c r="A23241" t="e">
        <v>#N/A</v>
      </c>
    </row>
    <row r="23242" spans="1:1" x14ac:dyDescent="0.25">
      <c r="A23242" t="e">
        <v>#N/A</v>
      </c>
    </row>
    <row r="23243" spans="1:1" x14ac:dyDescent="0.25">
      <c r="A23243" t="e">
        <v>#N/A</v>
      </c>
    </row>
    <row r="23244" spans="1:1" x14ac:dyDescent="0.25">
      <c r="A23244" t="e">
        <v>#N/A</v>
      </c>
    </row>
    <row r="23245" spans="1:1" x14ac:dyDescent="0.25">
      <c r="A23245" t="e">
        <v>#N/A</v>
      </c>
    </row>
    <row r="23246" spans="1:1" x14ac:dyDescent="0.25">
      <c r="A23246" t="e">
        <v>#N/A</v>
      </c>
    </row>
    <row r="23247" spans="1:1" x14ac:dyDescent="0.25">
      <c r="A23247" t="e">
        <v>#N/A</v>
      </c>
    </row>
    <row r="23248" spans="1:1" x14ac:dyDescent="0.25">
      <c r="A23248" t="e">
        <v>#N/A</v>
      </c>
    </row>
    <row r="23249" spans="1:1" x14ac:dyDescent="0.25">
      <c r="A23249" t="e">
        <v>#N/A</v>
      </c>
    </row>
    <row r="23250" spans="1:1" x14ac:dyDescent="0.25">
      <c r="A23250" t="e">
        <v>#N/A</v>
      </c>
    </row>
    <row r="23251" spans="1:1" x14ac:dyDescent="0.25">
      <c r="A23251" t="e">
        <v>#N/A</v>
      </c>
    </row>
    <row r="23252" spans="1:1" x14ac:dyDescent="0.25">
      <c r="A23252" t="e">
        <v>#N/A</v>
      </c>
    </row>
    <row r="23253" spans="1:1" x14ac:dyDescent="0.25">
      <c r="A23253" t="e">
        <v>#N/A</v>
      </c>
    </row>
    <row r="23254" spans="1:1" x14ac:dyDescent="0.25">
      <c r="A23254" t="e">
        <v>#N/A</v>
      </c>
    </row>
    <row r="23255" spans="1:1" x14ac:dyDescent="0.25">
      <c r="A23255" t="e">
        <v>#N/A</v>
      </c>
    </row>
    <row r="23256" spans="1:1" x14ac:dyDescent="0.25">
      <c r="A23256" t="e">
        <v>#N/A</v>
      </c>
    </row>
    <row r="23257" spans="1:1" x14ac:dyDescent="0.25">
      <c r="A23257" t="e">
        <v>#N/A</v>
      </c>
    </row>
    <row r="23258" spans="1:1" x14ac:dyDescent="0.25">
      <c r="A23258" t="e">
        <v>#N/A</v>
      </c>
    </row>
    <row r="23259" spans="1:1" x14ac:dyDescent="0.25">
      <c r="A23259" t="e">
        <v>#N/A</v>
      </c>
    </row>
    <row r="23260" spans="1:1" x14ac:dyDescent="0.25">
      <c r="A23260" t="e">
        <v>#N/A</v>
      </c>
    </row>
    <row r="23261" spans="1:1" x14ac:dyDescent="0.25">
      <c r="A23261" t="e">
        <v>#N/A</v>
      </c>
    </row>
    <row r="23262" spans="1:1" x14ac:dyDescent="0.25">
      <c r="A23262" t="e">
        <v>#N/A</v>
      </c>
    </row>
    <row r="23263" spans="1:1" x14ac:dyDescent="0.25">
      <c r="A23263" t="e">
        <v>#N/A</v>
      </c>
    </row>
    <row r="23264" spans="1:1" x14ac:dyDescent="0.25">
      <c r="A23264" t="e">
        <v>#N/A</v>
      </c>
    </row>
    <row r="23265" spans="1:1" x14ac:dyDescent="0.25">
      <c r="A23265" t="e">
        <v>#N/A</v>
      </c>
    </row>
    <row r="23266" spans="1:1" x14ac:dyDescent="0.25">
      <c r="A23266" t="e">
        <v>#N/A</v>
      </c>
    </row>
    <row r="23267" spans="1:1" x14ac:dyDescent="0.25">
      <c r="A23267" t="e">
        <v>#N/A</v>
      </c>
    </row>
    <row r="23268" spans="1:1" x14ac:dyDescent="0.25">
      <c r="A23268" t="e">
        <v>#N/A</v>
      </c>
    </row>
    <row r="23269" spans="1:1" x14ac:dyDescent="0.25">
      <c r="A23269" t="e">
        <v>#N/A</v>
      </c>
    </row>
    <row r="23270" spans="1:1" x14ac:dyDescent="0.25">
      <c r="A23270" t="e">
        <v>#N/A</v>
      </c>
    </row>
    <row r="23271" spans="1:1" x14ac:dyDescent="0.25">
      <c r="A23271" t="e">
        <v>#N/A</v>
      </c>
    </row>
    <row r="23272" spans="1:1" x14ac:dyDescent="0.25">
      <c r="A23272" t="e">
        <v>#N/A</v>
      </c>
    </row>
    <row r="23273" spans="1:1" x14ac:dyDescent="0.25">
      <c r="A23273" t="e">
        <v>#N/A</v>
      </c>
    </row>
    <row r="23274" spans="1:1" x14ac:dyDescent="0.25">
      <c r="A23274" t="e">
        <v>#N/A</v>
      </c>
    </row>
    <row r="23275" spans="1:1" x14ac:dyDescent="0.25">
      <c r="A23275" t="e">
        <v>#N/A</v>
      </c>
    </row>
    <row r="23276" spans="1:1" x14ac:dyDescent="0.25">
      <c r="A23276" t="e">
        <v>#N/A</v>
      </c>
    </row>
    <row r="23277" spans="1:1" x14ac:dyDescent="0.25">
      <c r="A23277" t="e">
        <v>#N/A</v>
      </c>
    </row>
    <row r="23278" spans="1:1" x14ac:dyDescent="0.25">
      <c r="A23278" t="e">
        <v>#N/A</v>
      </c>
    </row>
    <row r="23279" spans="1:1" x14ac:dyDescent="0.25">
      <c r="A23279" t="e">
        <v>#N/A</v>
      </c>
    </row>
    <row r="23280" spans="1:1" x14ac:dyDescent="0.25">
      <c r="A23280" t="e">
        <v>#N/A</v>
      </c>
    </row>
    <row r="23281" spans="1:1" x14ac:dyDescent="0.25">
      <c r="A23281" t="e">
        <v>#N/A</v>
      </c>
    </row>
    <row r="23282" spans="1:1" x14ac:dyDescent="0.25">
      <c r="A23282" t="e">
        <v>#N/A</v>
      </c>
    </row>
    <row r="23283" spans="1:1" x14ac:dyDescent="0.25">
      <c r="A23283" t="e">
        <v>#N/A</v>
      </c>
    </row>
    <row r="23284" spans="1:1" x14ac:dyDescent="0.25">
      <c r="A23284" t="e">
        <v>#N/A</v>
      </c>
    </row>
    <row r="23285" spans="1:1" x14ac:dyDescent="0.25">
      <c r="A23285" t="e">
        <v>#N/A</v>
      </c>
    </row>
    <row r="23286" spans="1:1" x14ac:dyDescent="0.25">
      <c r="A23286" t="e">
        <v>#N/A</v>
      </c>
    </row>
    <row r="23287" spans="1:1" x14ac:dyDescent="0.25">
      <c r="A23287" t="e">
        <v>#N/A</v>
      </c>
    </row>
    <row r="23288" spans="1:1" x14ac:dyDescent="0.25">
      <c r="A23288" t="e">
        <v>#N/A</v>
      </c>
    </row>
    <row r="23289" spans="1:1" x14ac:dyDescent="0.25">
      <c r="A23289" t="e">
        <v>#N/A</v>
      </c>
    </row>
    <row r="23290" spans="1:1" x14ac:dyDescent="0.25">
      <c r="A23290" t="e">
        <v>#N/A</v>
      </c>
    </row>
    <row r="23291" spans="1:1" x14ac:dyDescent="0.25">
      <c r="A23291" t="e">
        <v>#N/A</v>
      </c>
    </row>
    <row r="23292" spans="1:1" x14ac:dyDescent="0.25">
      <c r="A23292" t="e">
        <v>#N/A</v>
      </c>
    </row>
    <row r="23293" spans="1:1" x14ac:dyDescent="0.25">
      <c r="A23293" t="e">
        <v>#N/A</v>
      </c>
    </row>
    <row r="23294" spans="1:1" x14ac:dyDescent="0.25">
      <c r="A23294" t="e">
        <v>#N/A</v>
      </c>
    </row>
    <row r="23295" spans="1:1" x14ac:dyDescent="0.25">
      <c r="A23295" t="e">
        <v>#N/A</v>
      </c>
    </row>
    <row r="23296" spans="1:1" x14ac:dyDescent="0.25">
      <c r="A23296" t="e">
        <v>#N/A</v>
      </c>
    </row>
    <row r="23297" spans="1:1" x14ac:dyDescent="0.25">
      <c r="A23297" t="e">
        <v>#N/A</v>
      </c>
    </row>
    <row r="23298" spans="1:1" x14ac:dyDescent="0.25">
      <c r="A23298" t="e">
        <v>#N/A</v>
      </c>
    </row>
    <row r="23299" spans="1:1" x14ac:dyDescent="0.25">
      <c r="A23299" t="e">
        <v>#N/A</v>
      </c>
    </row>
    <row r="23300" spans="1:1" x14ac:dyDescent="0.25">
      <c r="A23300" t="e">
        <v>#N/A</v>
      </c>
    </row>
    <row r="23301" spans="1:1" x14ac:dyDescent="0.25">
      <c r="A23301" t="e">
        <v>#N/A</v>
      </c>
    </row>
    <row r="23302" spans="1:1" x14ac:dyDescent="0.25">
      <c r="A23302" t="e">
        <v>#N/A</v>
      </c>
    </row>
    <row r="23303" spans="1:1" x14ac:dyDescent="0.25">
      <c r="A23303" t="e">
        <v>#N/A</v>
      </c>
    </row>
    <row r="23304" spans="1:1" x14ac:dyDescent="0.25">
      <c r="A23304" t="e">
        <v>#N/A</v>
      </c>
    </row>
    <row r="23305" spans="1:1" x14ac:dyDescent="0.25">
      <c r="A23305" t="e">
        <v>#N/A</v>
      </c>
    </row>
    <row r="23306" spans="1:1" x14ac:dyDescent="0.25">
      <c r="A23306" t="e">
        <v>#N/A</v>
      </c>
    </row>
    <row r="23307" spans="1:1" x14ac:dyDescent="0.25">
      <c r="A23307" t="e">
        <v>#N/A</v>
      </c>
    </row>
    <row r="23308" spans="1:1" x14ac:dyDescent="0.25">
      <c r="A23308" t="e">
        <v>#N/A</v>
      </c>
    </row>
    <row r="23309" spans="1:1" x14ac:dyDescent="0.25">
      <c r="A23309" t="e">
        <v>#N/A</v>
      </c>
    </row>
    <row r="23310" spans="1:1" x14ac:dyDescent="0.25">
      <c r="A23310" t="e">
        <v>#N/A</v>
      </c>
    </row>
    <row r="23311" spans="1:1" x14ac:dyDescent="0.25">
      <c r="A23311" t="e">
        <v>#N/A</v>
      </c>
    </row>
    <row r="23312" spans="1:1" x14ac:dyDescent="0.25">
      <c r="A23312" t="e">
        <v>#N/A</v>
      </c>
    </row>
    <row r="23313" spans="1:1" x14ac:dyDescent="0.25">
      <c r="A23313" t="e">
        <v>#N/A</v>
      </c>
    </row>
    <row r="23314" spans="1:1" x14ac:dyDescent="0.25">
      <c r="A23314" t="e">
        <v>#N/A</v>
      </c>
    </row>
    <row r="23315" spans="1:1" x14ac:dyDescent="0.25">
      <c r="A23315" t="e">
        <v>#N/A</v>
      </c>
    </row>
    <row r="23316" spans="1:1" x14ac:dyDescent="0.25">
      <c r="A23316" t="e">
        <v>#N/A</v>
      </c>
    </row>
    <row r="23317" spans="1:1" x14ac:dyDescent="0.25">
      <c r="A23317" t="e">
        <v>#N/A</v>
      </c>
    </row>
    <row r="23318" spans="1:1" x14ac:dyDescent="0.25">
      <c r="A23318" t="e">
        <v>#N/A</v>
      </c>
    </row>
    <row r="23319" spans="1:1" x14ac:dyDescent="0.25">
      <c r="A23319" t="e">
        <v>#N/A</v>
      </c>
    </row>
    <row r="23320" spans="1:1" x14ac:dyDescent="0.25">
      <c r="A23320" t="e">
        <v>#N/A</v>
      </c>
    </row>
    <row r="23321" spans="1:1" x14ac:dyDescent="0.25">
      <c r="A23321" t="e">
        <v>#N/A</v>
      </c>
    </row>
    <row r="23322" spans="1:1" x14ac:dyDescent="0.25">
      <c r="A23322" t="e">
        <v>#N/A</v>
      </c>
    </row>
    <row r="23323" spans="1:1" x14ac:dyDescent="0.25">
      <c r="A23323" t="e">
        <v>#N/A</v>
      </c>
    </row>
    <row r="23324" spans="1:1" x14ac:dyDescent="0.25">
      <c r="A23324" t="e">
        <v>#N/A</v>
      </c>
    </row>
    <row r="23325" spans="1:1" x14ac:dyDescent="0.25">
      <c r="A23325" t="e">
        <v>#N/A</v>
      </c>
    </row>
    <row r="23326" spans="1:1" x14ac:dyDescent="0.25">
      <c r="A23326" t="e">
        <v>#N/A</v>
      </c>
    </row>
    <row r="23327" spans="1:1" x14ac:dyDescent="0.25">
      <c r="A23327" t="e">
        <v>#N/A</v>
      </c>
    </row>
    <row r="23328" spans="1:1" x14ac:dyDescent="0.25">
      <c r="A23328" t="e">
        <v>#N/A</v>
      </c>
    </row>
    <row r="23329" spans="1:1" x14ac:dyDescent="0.25">
      <c r="A23329" t="e">
        <v>#N/A</v>
      </c>
    </row>
    <row r="23330" spans="1:1" x14ac:dyDescent="0.25">
      <c r="A23330" t="e">
        <v>#N/A</v>
      </c>
    </row>
    <row r="23331" spans="1:1" x14ac:dyDescent="0.25">
      <c r="A23331" t="e">
        <v>#N/A</v>
      </c>
    </row>
    <row r="23332" spans="1:1" x14ac:dyDescent="0.25">
      <c r="A23332" t="e">
        <v>#N/A</v>
      </c>
    </row>
    <row r="23333" spans="1:1" x14ac:dyDescent="0.25">
      <c r="A23333" t="e">
        <v>#N/A</v>
      </c>
    </row>
    <row r="23334" spans="1:1" x14ac:dyDescent="0.25">
      <c r="A23334" t="e">
        <v>#N/A</v>
      </c>
    </row>
    <row r="23335" spans="1:1" x14ac:dyDescent="0.25">
      <c r="A23335" t="e">
        <v>#N/A</v>
      </c>
    </row>
    <row r="23336" spans="1:1" x14ac:dyDescent="0.25">
      <c r="A23336" t="e">
        <v>#N/A</v>
      </c>
    </row>
    <row r="23337" spans="1:1" x14ac:dyDescent="0.25">
      <c r="A23337" t="e">
        <v>#N/A</v>
      </c>
    </row>
    <row r="23338" spans="1:1" x14ac:dyDescent="0.25">
      <c r="A23338" t="e">
        <v>#N/A</v>
      </c>
    </row>
    <row r="23339" spans="1:1" x14ac:dyDescent="0.25">
      <c r="A23339" t="e">
        <v>#N/A</v>
      </c>
    </row>
    <row r="23340" spans="1:1" x14ac:dyDescent="0.25">
      <c r="A23340" t="e">
        <v>#N/A</v>
      </c>
    </row>
    <row r="23341" spans="1:1" x14ac:dyDescent="0.25">
      <c r="A23341" t="e">
        <v>#N/A</v>
      </c>
    </row>
    <row r="23342" spans="1:1" x14ac:dyDescent="0.25">
      <c r="A23342" t="e">
        <v>#N/A</v>
      </c>
    </row>
    <row r="23343" spans="1:1" x14ac:dyDescent="0.25">
      <c r="A23343" t="e">
        <v>#N/A</v>
      </c>
    </row>
    <row r="23344" spans="1:1" x14ac:dyDescent="0.25">
      <c r="A23344" t="e">
        <v>#N/A</v>
      </c>
    </row>
    <row r="23345" spans="1:1" x14ac:dyDescent="0.25">
      <c r="A23345" t="e">
        <v>#N/A</v>
      </c>
    </row>
    <row r="23346" spans="1:1" x14ac:dyDescent="0.25">
      <c r="A23346" t="e">
        <v>#N/A</v>
      </c>
    </row>
    <row r="23347" spans="1:1" x14ac:dyDescent="0.25">
      <c r="A23347" t="e">
        <v>#N/A</v>
      </c>
    </row>
    <row r="23348" spans="1:1" x14ac:dyDescent="0.25">
      <c r="A23348" t="e">
        <v>#N/A</v>
      </c>
    </row>
    <row r="23349" spans="1:1" x14ac:dyDescent="0.25">
      <c r="A23349" t="e">
        <v>#N/A</v>
      </c>
    </row>
    <row r="23350" spans="1:1" x14ac:dyDescent="0.25">
      <c r="A23350" t="e">
        <v>#N/A</v>
      </c>
    </row>
    <row r="23351" spans="1:1" x14ac:dyDescent="0.25">
      <c r="A23351" t="e">
        <v>#N/A</v>
      </c>
    </row>
    <row r="23352" spans="1:1" x14ac:dyDescent="0.25">
      <c r="A23352" t="e">
        <v>#N/A</v>
      </c>
    </row>
    <row r="23353" spans="1:1" x14ac:dyDescent="0.25">
      <c r="A23353" t="e">
        <v>#N/A</v>
      </c>
    </row>
    <row r="23354" spans="1:1" x14ac:dyDescent="0.25">
      <c r="A23354" t="e">
        <v>#N/A</v>
      </c>
    </row>
    <row r="23355" spans="1:1" x14ac:dyDescent="0.25">
      <c r="A23355" t="e">
        <v>#N/A</v>
      </c>
    </row>
    <row r="23356" spans="1:1" x14ac:dyDescent="0.25">
      <c r="A23356" t="e">
        <v>#N/A</v>
      </c>
    </row>
    <row r="23357" spans="1:1" x14ac:dyDescent="0.25">
      <c r="A23357" t="e">
        <v>#N/A</v>
      </c>
    </row>
    <row r="23358" spans="1:1" x14ac:dyDescent="0.25">
      <c r="A23358" t="e">
        <v>#N/A</v>
      </c>
    </row>
    <row r="23359" spans="1:1" x14ac:dyDescent="0.25">
      <c r="A23359" t="e">
        <v>#N/A</v>
      </c>
    </row>
    <row r="23360" spans="1:1" x14ac:dyDescent="0.25">
      <c r="A23360" t="e">
        <v>#N/A</v>
      </c>
    </row>
    <row r="23361" spans="1:1" x14ac:dyDescent="0.25">
      <c r="A23361" t="e">
        <v>#N/A</v>
      </c>
    </row>
    <row r="23362" spans="1:1" x14ac:dyDescent="0.25">
      <c r="A23362" t="e">
        <v>#N/A</v>
      </c>
    </row>
    <row r="23363" spans="1:1" x14ac:dyDescent="0.25">
      <c r="A23363" t="e">
        <v>#N/A</v>
      </c>
    </row>
    <row r="23364" spans="1:1" x14ac:dyDescent="0.25">
      <c r="A23364" t="e">
        <v>#N/A</v>
      </c>
    </row>
    <row r="23365" spans="1:1" x14ac:dyDescent="0.25">
      <c r="A23365" t="e">
        <v>#N/A</v>
      </c>
    </row>
    <row r="23366" spans="1:1" x14ac:dyDescent="0.25">
      <c r="A23366" t="e">
        <v>#N/A</v>
      </c>
    </row>
    <row r="23367" spans="1:1" x14ac:dyDescent="0.25">
      <c r="A23367" t="e">
        <v>#N/A</v>
      </c>
    </row>
    <row r="23368" spans="1:1" x14ac:dyDescent="0.25">
      <c r="A23368" t="e">
        <v>#N/A</v>
      </c>
    </row>
    <row r="23369" spans="1:1" x14ac:dyDescent="0.25">
      <c r="A23369" t="e">
        <v>#N/A</v>
      </c>
    </row>
    <row r="23370" spans="1:1" x14ac:dyDescent="0.25">
      <c r="A23370" t="e">
        <v>#N/A</v>
      </c>
    </row>
    <row r="23371" spans="1:1" x14ac:dyDescent="0.25">
      <c r="A23371" t="e">
        <v>#N/A</v>
      </c>
    </row>
    <row r="23372" spans="1:1" x14ac:dyDescent="0.25">
      <c r="A23372" t="e">
        <v>#N/A</v>
      </c>
    </row>
    <row r="23373" spans="1:1" x14ac:dyDescent="0.25">
      <c r="A23373" t="e">
        <v>#N/A</v>
      </c>
    </row>
    <row r="23374" spans="1:1" x14ac:dyDescent="0.25">
      <c r="A23374" t="e">
        <v>#N/A</v>
      </c>
    </row>
    <row r="23375" spans="1:1" x14ac:dyDescent="0.25">
      <c r="A23375" t="e">
        <v>#N/A</v>
      </c>
    </row>
    <row r="23376" spans="1:1" x14ac:dyDescent="0.25">
      <c r="A23376" t="e">
        <v>#N/A</v>
      </c>
    </row>
    <row r="23377" spans="1:1" x14ac:dyDescent="0.25">
      <c r="A23377" t="e">
        <v>#N/A</v>
      </c>
    </row>
    <row r="23378" spans="1:1" x14ac:dyDescent="0.25">
      <c r="A23378" t="e">
        <v>#N/A</v>
      </c>
    </row>
    <row r="23379" spans="1:1" x14ac:dyDescent="0.25">
      <c r="A23379" t="e">
        <v>#N/A</v>
      </c>
    </row>
    <row r="23380" spans="1:1" x14ac:dyDescent="0.25">
      <c r="A23380" t="e">
        <v>#N/A</v>
      </c>
    </row>
    <row r="23381" spans="1:1" x14ac:dyDescent="0.25">
      <c r="A23381" t="e">
        <v>#N/A</v>
      </c>
    </row>
    <row r="23382" spans="1:1" x14ac:dyDescent="0.25">
      <c r="A23382" t="e">
        <v>#N/A</v>
      </c>
    </row>
    <row r="23383" spans="1:1" x14ac:dyDescent="0.25">
      <c r="A23383" t="e">
        <v>#N/A</v>
      </c>
    </row>
    <row r="23384" spans="1:1" x14ac:dyDescent="0.25">
      <c r="A23384" t="e">
        <v>#N/A</v>
      </c>
    </row>
    <row r="23385" spans="1:1" x14ac:dyDescent="0.25">
      <c r="A23385" t="e">
        <v>#N/A</v>
      </c>
    </row>
    <row r="23386" spans="1:1" x14ac:dyDescent="0.25">
      <c r="A23386" t="e">
        <v>#N/A</v>
      </c>
    </row>
    <row r="23387" spans="1:1" x14ac:dyDescent="0.25">
      <c r="A23387" t="e">
        <v>#N/A</v>
      </c>
    </row>
    <row r="23388" spans="1:1" x14ac:dyDescent="0.25">
      <c r="A23388" t="e">
        <v>#N/A</v>
      </c>
    </row>
    <row r="23389" spans="1:1" x14ac:dyDescent="0.25">
      <c r="A23389" t="e">
        <v>#N/A</v>
      </c>
    </row>
    <row r="23390" spans="1:1" x14ac:dyDescent="0.25">
      <c r="A23390" t="e">
        <v>#N/A</v>
      </c>
    </row>
    <row r="23391" spans="1:1" x14ac:dyDescent="0.25">
      <c r="A23391" t="e">
        <v>#N/A</v>
      </c>
    </row>
    <row r="23392" spans="1:1" x14ac:dyDescent="0.25">
      <c r="A23392" t="e">
        <v>#N/A</v>
      </c>
    </row>
    <row r="23393" spans="1:1" x14ac:dyDescent="0.25">
      <c r="A23393" t="e">
        <v>#N/A</v>
      </c>
    </row>
    <row r="23394" spans="1:1" x14ac:dyDescent="0.25">
      <c r="A23394" t="e">
        <v>#N/A</v>
      </c>
    </row>
    <row r="23395" spans="1:1" x14ac:dyDescent="0.25">
      <c r="A23395" t="e">
        <v>#N/A</v>
      </c>
    </row>
    <row r="23396" spans="1:1" x14ac:dyDescent="0.25">
      <c r="A23396" t="e">
        <v>#N/A</v>
      </c>
    </row>
    <row r="23397" spans="1:1" x14ac:dyDescent="0.25">
      <c r="A23397" t="e">
        <v>#N/A</v>
      </c>
    </row>
    <row r="23398" spans="1:1" x14ac:dyDescent="0.25">
      <c r="A23398" t="e">
        <v>#N/A</v>
      </c>
    </row>
    <row r="23399" spans="1:1" x14ac:dyDescent="0.25">
      <c r="A23399" t="e">
        <v>#N/A</v>
      </c>
    </row>
    <row r="23400" spans="1:1" x14ac:dyDescent="0.25">
      <c r="A23400" t="e">
        <v>#N/A</v>
      </c>
    </row>
    <row r="23401" spans="1:1" x14ac:dyDescent="0.25">
      <c r="A23401" t="e">
        <v>#N/A</v>
      </c>
    </row>
    <row r="23402" spans="1:1" x14ac:dyDescent="0.25">
      <c r="A23402" t="e">
        <v>#N/A</v>
      </c>
    </row>
    <row r="23403" spans="1:1" x14ac:dyDescent="0.25">
      <c r="A23403" t="e">
        <v>#N/A</v>
      </c>
    </row>
    <row r="23404" spans="1:1" x14ac:dyDescent="0.25">
      <c r="A23404" t="e">
        <v>#N/A</v>
      </c>
    </row>
    <row r="23405" spans="1:1" x14ac:dyDescent="0.25">
      <c r="A23405" t="e">
        <v>#N/A</v>
      </c>
    </row>
    <row r="23406" spans="1:1" x14ac:dyDescent="0.25">
      <c r="A23406" t="e">
        <v>#N/A</v>
      </c>
    </row>
    <row r="23407" spans="1:1" x14ac:dyDescent="0.25">
      <c r="A23407" t="e">
        <v>#N/A</v>
      </c>
    </row>
    <row r="23408" spans="1:1" x14ac:dyDescent="0.25">
      <c r="A23408" t="e">
        <v>#N/A</v>
      </c>
    </row>
    <row r="23409" spans="1:1" x14ac:dyDescent="0.25">
      <c r="A23409" t="e">
        <v>#N/A</v>
      </c>
    </row>
    <row r="23410" spans="1:1" x14ac:dyDescent="0.25">
      <c r="A23410" t="e">
        <v>#N/A</v>
      </c>
    </row>
    <row r="23411" spans="1:1" x14ac:dyDescent="0.25">
      <c r="A23411" t="e">
        <v>#N/A</v>
      </c>
    </row>
    <row r="23412" spans="1:1" x14ac:dyDescent="0.25">
      <c r="A23412" t="e">
        <v>#N/A</v>
      </c>
    </row>
    <row r="23413" spans="1:1" x14ac:dyDescent="0.25">
      <c r="A23413" t="e">
        <v>#N/A</v>
      </c>
    </row>
    <row r="23414" spans="1:1" x14ac:dyDescent="0.25">
      <c r="A23414" t="e">
        <v>#N/A</v>
      </c>
    </row>
    <row r="23415" spans="1:1" x14ac:dyDescent="0.25">
      <c r="A23415" t="e">
        <v>#N/A</v>
      </c>
    </row>
    <row r="23416" spans="1:1" x14ac:dyDescent="0.25">
      <c r="A23416" t="e">
        <v>#N/A</v>
      </c>
    </row>
    <row r="23417" spans="1:1" x14ac:dyDescent="0.25">
      <c r="A23417" t="e">
        <v>#N/A</v>
      </c>
    </row>
    <row r="23418" spans="1:1" x14ac:dyDescent="0.25">
      <c r="A23418" t="e">
        <v>#N/A</v>
      </c>
    </row>
    <row r="23419" spans="1:1" x14ac:dyDescent="0.25">
      <c r="A23419" t="e">
        <v>#N/A</v>
      </c>
    </row>
    <row r="23420" spans="1:1" x14ac:dyDescent="0.25">
      <c r="A23420" t="e">
        <v>#N/A</v>
      </c>
    </row>
    <row r="23421" spans="1:1" x14ac:dyDescent="0.25">
      <c r="A23421" t="e">
        <v>#N/A</v>
      </c>
    </row>
    <row r="23422" spans="1:1" x14ac:dyDescent="0.25">
      <c r="A23422" t="e">
        <v>#N/A</v>
      </c>
    </row>
    <row r="23423" spans="1:1" x14ac:dyDescent="0.25">
      <c r="A23423" t="e">
        <v>#N/A</v>
      </c>
    </row>
    <row r="23424" spans="1:1" x14ac:dyDescent="0.25">
      <c r="A23424" t="e">
        <v>#N/A</v>
      </c>
    </row>
    <row r="23425" spans="1:1" x14ac:dyDescent="0.25">
      <c r="A23425" t="e">
        <v>#N/A</v>
      </c>
    </row>
    <row r="23426" spans="1:1" x14ac:dyDescent="0.25">
      <c r="A23426" t="e">
        <v>#N/A</v>
      </c>
    </row>
    <row r="23427" spans="1:1" x14ac:dyDescent="0.25">
      <c r="A23427" t="e">
        <v>#N/A</v>
      </c>
    </row>
    <row r="23428" spans="1:1" x14ac:dyDescent="0.25">
      <c r="A23428" t="e">
        <v>#N/A</v>
      </c>
    </row>
    <row r="23429" spans="1:1" x14ac:dyDescent="0.25">
      <c r="A23429" t="e">
        <v>#N/A</v>
      </c>
    </row>
    <row r="23430" spans="1:1" x14ac:dyDescent="0.25">
      <c r="A23430" t="e">
        <v>#N/A</v>
      </c>
    </row>
    <row r="23431" spans="1:1" x14ac:dyDescent="0.25">
      <c r="A23431" t="e">
        <v>#N/A</v>
      </c>
    </row>
    <row r="23432" spans="1:1" x14ac:dyDescent="0.25">
      <c r="A23432" t="e">
        <v>#N/A</v>
      </c>
    </row>
    <row r="23433" spans="1:1" x14ac:dyDescent="0.25">
      <c r="A23433" t="e">
        <v>#N/A</v>
      </c>
    </row>
    <row r="23434" spans="1:1" x14ac:dyDescent="0.25">
      <c r="A23434" t="e">
        <v>#N/A</v>
      </c>
    </row>
    <row r="23435" spans="1:1" x14ac:dyDescent="0.25">
      <c r="A23435" t="e">
        <v>#N/A</v>
      </c>
    </row>
    <row r="23436" spans="1:1" x14ac:dyDescent="0.25">
      <c r="A23436" t="e">
        <v>#N/A</v>
      </c>
    </row>
    <row r="23437" spans="1:1" x14ac:dyDescent="0.25">
      <c r="A23437" t="e">
        <v>#N/A</v>
      </c>
    </row>
    <row r="23438" spans="1:1" x14ac:dyDescent="0.25">
      <c r="A23438" t="e">
        <v>#N/A</v>
      </c>
    </row>
    <row r="23439" spans="1:1" x14ac:dyDescent="0.25">
      <c r="A23439" t="e">
        <v>#N/A</v>
      </c>
    </row>
    <row r="23440" spans="1:1" x14ac:dyDescent="0.25">
      <c r="A23440" t="e">
        <v>#N/A</v>
      </c>
    </row>
    <row r="23441" spans="1:1" x14ac:dyDescent="0.25">
      <c r="A23441" t="e">
        <v>#N/A</v>
      </c>
    </row>
    <row r="23442" spans="1:1" x14ac:dyDescent="0.25">
      <c r="A23442" t="e">
        <v>#N/A</v>
      </c>
    </row>
    <row r="23443" spans="1:1" x14ac:dyDescent="0.25">
      <c r="A23443" t="e">
        <v>#N/A</v>
      </c>
    </row>
    <row r="23444" spans="1:1" x14ac:dyDescent="0.25">
      <c r="A23444" t="e">
        <v>#N/A</v>
      </c>
    </row>
    <row r="23445" spans="1:1" x14ac:dyDescent="0.25">
      <c r="A23445" t="e">
        <v>#N/A</v>
      </c>
    </row>
    <row r="23446" spans="1:1" x14ac:dyDescent="0.25">
      <c r="A23446" t="e">
        <v>#N/A</v>
      </c>
    </row>
    <row r="23447" spans="1:1" x14ac:dyDescent="0.25">
      <c r="A23447" t="e">
        <v>#N/A</v>
      </c>
    </row>
    <row r="23448" spans="1:1" x14ac:dyDescent="0.25">
      <c r="A23448" t="e">
        <v>#N/A</v>
      </c>
    </row>
    <row r="23449" spans="1:1" x14ac:dyDescent="0.25">
      <c r="A23449" t="e">
        <v>#N/A</v>
      </c>
    </row>
    <row r="23450" spans="1:1" x14ac:dyDescent="0.25">
      <c r="A23450" t="e">
        <v>#N/A</v>
      </c>
    </row>
    <row r="23451" spans="1:1" x14ac:dyDescent="0.25">
      <c r="A23451" t="e">
        <v>#N/A</v>
      </c>
    </row>
    <row r="23452" spans="1:1" x14ac:dyDescent="0.25">
      <c r="A23452" t="e">
        <v>#N/A</v>
      </c>
    </row>
    <row r="23453" spans="1:1" x14ac:dyDescent="0.25">
      <c r="A23453" t="e">
        <v>#N/A</v>
      </c>
    </row>
    <row r="23454" spans="1:1" x14ac:dyDescent="0.25">
      <c r="A23454" t="e">
        <v>#N/A</v>
      </c>
    </row>
    <row r="23455" spans="1:1" x14ac:dyDescent="0.25">
      <c r="A23455" t="e">
        <v>#N/A</v>
      </c>
    </row>
    <row r="23456" spans="1:1" x14ac:dyDescent="0.25">
      <c r="A23456" t="e">
        <v>#N/A</v>
      </c>
    </row>
    <row r="23457" spans="1:1" x14ac:dyDescent="0.25">
      <c r="A23457" t="e">
        <v>#N/A</v>
      </c>
    </row>
    <row r="23458" spans="1:1" x14ac:dyDescent="0.25">
      <c r="A23458" t="e">
        <v>#N/A</v>
      </c>
    </row>
    <row r="23459" spans="1:1" x14ac:dyDescent="0.25">
      <c r="A23459" t="e">
        <v>#N/A</v>
      </c>
    </row>
    <row r="23460" spans="1:1" x14ac:dyDescent="0.25">
      <c r="A23460" t="e">
        <v>#N/A</v>
      </c>
    </row>
    <row r="23461" spans="1:1" x14ac:dyDescent="0.25">
      <c r="A23461" t="e">
        <v>#N/A</v>
      </c>
    </row>
    <row r="23462" spans="1:1" x14ac:dyDescent="0.25">
      <c r="A23462" t="e">
        <v>#N/A</v>
      </c>
    </row>
    <row r="23463" spans="1:1" x14ac:dyDescent="0.25">
      <c r="A23463" t="e">
        <v>#N/A</v>
      </c>
    </row>
    <row r="23464" spans="1:1" x14ac:dyDescent="0.25">
      <c r="A23464" t="e">
        <v>#N/A</v>
      </c>
    </row>
    <row r="23465" spans="1:1" x14ac:dyDescent="0.25">
      <c r="A23465" t="e">
        <v>#N/A</v>
      </c>
    </row>
    <row r="23466" spans="1:1" x14ac:dyDescent="0.25">
      <c r="A23466" t="e">
        <v>#N/A</v>
      </c>
    </row>
    <row r="23467" spans="1:1" x14ac:dyDescent="0.25">
      <c r="A23467" t="e">
        <v>#N/A</v>
      </c>
    </row>
    <row r="23468" spans="1:1" x14ac:dyDescent="0.25">
      <c r="A23468" t="e">
        <v>#N/A</v>
      </c>
    </row>
    <row r="23469" spans="1:1" x14ac:dyDescent="0.25">
      <c r="A23469" t="e">
        <v>#N/A</v>
      </c>
    </row>
    <row r="23470" spans="1:1" x14ac:dyDescent="0.25">
      <c r="A23470" t="e">
        <v>#N/A</v>
      </c>
    </row>
    <row r="23471" spans="1:1" x14ac:dyDescent="0.25">
      <c r="A23471" t="e">
        <v>#N/A</v>
      </c>
    </row>
    <row r="23472" spans="1:1" x14ac:dyDescent="0.25">
      <c r="A23472" t="e">
        <v>#N/A</v>
      </c>
    </row>
    <row r="23473" spans="1:1" x14ac:dyDescent="0.25">
      <c r="A23473" t="e">
        <v>#N/A</v>
      </c>
    </row>
    <row r="23474" spans="1:1" x14ac:dyDescent="0.25">
      <c r="A23474" t="e">
        <v>#N/A</v>
      </c>
    </row>
    <row r="23475" spans="1:1" x14ac:dyDescent="0.25">
      <c r="A23475" t="e">
        <v>#N/A</v>
      </c>
    </row>
    <row r="23476" spans="1:1" x14ac:dyDescent="0.25">
      <c r="A23476" t="e">
        <v>#N/A</v>
      </c>
    </row>
    <row r="23477" spans="1:1" x14ac:dyDescent="0.25">
      <c r="A23477" t="e">
        <v>#N/A</v>
      </c>
    </row>
    <row r="23478" spans="1:1" x14ac:dyDescent="0.25">
      <c r="A23478" t="e">
        <v>#N/A</v>
      </c>
    </row>
    <row r="23479" spans="1:1" x14ac:dyDescent="0.25">
      <c r="A23479" t="e">
        <v>#N/A</v>
      </c>
    </row>
    <row r="23480" spans="1:1" x14ac:dyDescent="0.25">
      <c r="A23480" t="e">
        <v>#N/A</v>
      </c>
    </row>
    <row r="23481" spans="1:1" x14ac:dyDescent="0.25">
      <c r="A23481" t="e">
        <v>#N/A</v>
      </c>
    </row>
    <row r="23482" spans="1:1" x14ac:dyDescent="0.25">
      <c r="A23482" t="e">
        <v>#N/A</v>
      </c>
    </row>
    <row r="23483" spans="1:1" x14ac:dyDescent="0.25">
      <c r="A23483" t="e">
        <v>#N/A</v>
      </c>
    </row>
    <row r="23484" spans="1:1" x14ac:dyDescent="0.25">
      <c r="A23484" t="e">
        <v>#N/A</v>
      </c>
    </row>
    <row r="23485" spans="1:1" x14ac:dyDescent="0.25">
      <c r="A23485" t="e">
        <v>#N/A</v>
      </c>
    </row>
    <row r="23486" spans="1:1" x14ac:dyDescent="0.25">
      <c r="A23486" t="e">
        <v>#N/A</v>
      </c>
    </row>
    <row r="23487" spans="1:1" x14ac:dyDescent="0.25">
      <c r="A23487" t="e">
        <v>#N/A</v>
      </c>
    </row>
    <row r="23488" spans="1:1" x14ac:dyDescent="0.25">
      <c r="A23488" t="e">
        <v>#N/A</v>
      </c>
    </row>
    <row r="23489" spans="1:1" x14ac:dyDescent="0.25">
      <c r="A23489" t="e">
        <v>#N/A</v>
      </c>
    </row>
    <row r="23490" spans="1:1" x14ac:dyDescent="0.25">
      <c r="A23490" t="e">
        <v>#N/A</v>
      </c>
    </row>
    <row r="23491" spans="1:1" x14ac:dyDescent="0.25">
      <c r="A23491" t="e">
        <v>#N/A</v>
      </c>
    </row>
    <row r="23492" spans="1:1" x14ac:dyDescent="0.25">
      <c r="A23492" t="e">
        <v>#N/A</v>
      </c>
    </row>
    <row r="23493" spans="1:1" x14ac:dyDescent="0.25">
      <c r="A23493" t="e">
        <v>#N/A</v>
      </c>
    </row>
    <row r="23494" spans="1:1" x14ac:dyDescent="0.25">
      <c r="A23494" t="e">
        <v>#N/A</v>
      </c>
    </row>
    <row r="23495" spans="1:1" x14ac:dyDescent="0.25">
      <c r="A23495" t="e">
        <v>#N/A</v>
      </c>
    </row>
    <row r="23496" spans="1:1" x14ac:dyDescent="0.25">
      <c r="A23496" t="e">
        <v>#N/A</v>
      </c>
    </row>
    <row r="23497" spans="1:1" x14ac:dyDescent="0.25">
      <c r="A23497" t="e">
        <v>#N/A</v>
      </c>
    </row>
    <row r="23498" spans="1:1" x14ac:dyDescent="0.25">
      <c r="A23498" t="e">
        <v>#N/A</v>
      </c>
    </row>
    <row r="23499" spans="1:1" x14ac:dyDescent="0.25">
      <c r="A23499" t="e">
        <v>#N/A</v>
      </c>
    </row>
    <row r="23500" spans="1:1" x14ac:dyDescent="0.25">
      <c r="A23500" t="e">
        <v>#N/A</v>
      </c>
    </row>
    <row r="23501" spans="1:1" x14ac:dyDescent="0.25">
      <c r="A23501" t="e">
        <v>#N/A</v>
      </c>
    </row>
    <row r="23502" spans="1:1" x14ac:dyDescent="0.25">
      <c r="A23502" t="e">
        <v>#N/A</v>
      </c>
    </row>
    <row r="23503" spans="1:1" x14ac:dyDescent="0.25">
      <c r="A23503" t="e">
        <v>#N/A</v>
      </c>
    </row>
    <row r="23504" spans="1:1" x14ac:dyDescent="0.25">
      <c r="A23504" t="e">
        <v>#N/A</v>
      </c>
    </row>
    <row r="23505" spans="1:1" x14ac:dyDescent="0.25">
      <c r="A23505" t="e">
        <v>#N/A</v>
      </c>
    </row>
    <row r="23506" spans="1:1" x14ac:dyDescent="0.25">
      <c r="A23506" t="e">
        <v>#N/A</v>
      </c>
    </row>
    <row r="23507" spans="1:1" x14ac:dyDescent="0.25">
      <c r="A23507" t="e">
        <v>#N/A</v>
      </c>
    </row>
    <row r="23508" spans="1:1" x14ac:dyDescent="0.25">
      <c r="A23508" t="e">
        <v>#N/A</v>
      </c>
    </row>
    <row r="23509" spans="1:1" x14ac:dyDescent="0.25">
      <c r="A23509" t="e">
        <v>#N/A</v>
      </c>
    </row>
    <row r="23510" spans="1:1" x14ac:dyDescent="0.25">
      <c r="A23510" t="e">
        <v>#N/A</v>
      </c>
    </row>
    <row r="23511" spans="1:1" x14ac:dyDescent="0.25">
      <c r="A23511" t="e">
        <v>#N/A</v>
      </c>
    </row>
    <row r="23512" spans="1:1" x14ac:dyDescent="0.25">
      <c r="A23512" t="e">
        <v>#N/A</v>
      </c>
    </row>
    <row r="23513" spans="1:1" x14ac:dyDescent="0.25">
      <c r="A23513" t="e">
        <v>#N/A</v>
      </c>
    </row>
    <row r="23514" spans="1:1" x14ac:dyDescent="0.25">
      <c r="A23514" t="e">
        <v>#N/A</v>
      </c>
    </row>
    <row r="23515" spans="1:1" x14ac:dyDescent="0.25">
      <c r="A23515" t="e">
        <v>#N/A</v>
      </c>
    </row>
    <row r="23516" spans="1:1" x14ac:dyDescent="0.25">
      <c r="A23516" t="e">
        <v>#N/A</v>
      </c>
    </row>
    <row r="23517" spans="1:1" x14ac:dyDescent="0.25">
      <c r="A23517" t="e">
        <v>#N/A</v>
      </c>
    </row>
    <row r="23518" spans="1:1" x14ac:dyDescent="0.25">
      <c r="A23518" t="e">
        <v>#N/A</v>
      </c>
    </row>
    <row r="23519" spans="1:1" x14ac:dyDescent="0.25">
      <c r="A23519" t="e">
        <v>#N/A</v>
      </c>
    </row>
    <row r="23520" spans="1:1" x14ac:dyDescent="0.25">
      <c r="A23520" t="e">
        <v>#N/A</v>
      </c>
    </row>
    <row r="23521" spans="1:1" x14ac:dyDescent="0.25">
      <c r="A23521" t="e">
        <v>#N/A</v>
      </c>
    </row>
    <row r="23522" spans="1:1" x14ac:dyDescent="0.25">
      <c r="A23522" t="e">
        <v>#N/A</v>
      </c>
    </row>
    <row r="23523" spans="1:1" x14ac:dyDescent="0.25">
      <c r="A23523" t="e">
        <v>#N/A</v>
      </c>
    </row>
    <row r="23524" spans="1:1" x14ac:dyDescent="0.25">
      <c r="A23524" t="e">
        <v>#N/A</v>
      </c>
    </row>
    <row r="23525" spans="1:1" x14ac:dyDescent="0.25">
      <c r="A23525" t="e">
        <v>#N/A</v>
      </c>
    </row>
    <row r="23526" spans="1:1" x14ac:dyDescent="0.25">
      <c r="A23526" t="e">
        <v>#N/A</v>
      </c>
    </row>
    <row r="23527" spans="1:1" x14ac:dyDescent="0.25">
      <c r="A23527" t="e">
        <v>#N/A</v>
      </c>
    </row>
    <row r="23528" spans="1:1" x14ac:dyDescent="0.25">
      <c r="A23528" t="e">
        <v>#N/A</v>
      </c>
    </row>
    <row r="23529" spans="1:1" x14ac:dyDescent="0.25">
      <c r="A23529" t="e">
        <v>#N/A</v>
      </c>
    </row>
    <row r="23530" spans="1:1" x14ac:dyDescent="0.25">
      <c r="A23530" t="e">
        <v>#N/A</v>
      </c>
    </row>
    <row r="23531" spans="1:1" x14ac:dyDescent="0.25">
      <c r="A23531" t="e">
        <v>#N/A</v>
      </c>
    </row>
    <row r="23532" spans="1:1" x14ac:dyDescent="0.25">
      <c r="A23532" t="e">
        <v>#N/A</v>
      </c>
    </row>
    <row r="23533" spans="1:1" x14ac:dyDescent="0.25">
      <c r="A23533" t="e">
        <v>#N/A</v>
      </c>
    </row>
    <row r="23534" spans="1:1" x14ac:dyDescent="0.25">
      <c r="A23534" t="e">
        <v>#N/A</v>
      </c>
    </row>
    <row r="23535" spans="1:1" x14ac:dyDescent="0.25">
      <c r="A23535" t="e">
        <v>#N/A</v>
      </c>
    </row>
    <row r="23536" spans="1:1" x14ac:dyDescent="0.25">
      <c r="A23536" t="e">
        <v>#N/A</v>
      </c>
    </row>
    <row r="23537" spans="1:1" x14ac:dyDescent="0.25">
      <c r="A23537" t="e">
        <v>#N/A</v>
      </c>
    </row>
    <row r="23538" spans="1:1" x14ac:dyDescent="0.25">
      <c r="A23538" t="e">
        <v>#N/A</v>
      </c>
    </row>
    <row r="23539" spans="1:1" x14ac:dyDescent="0.25">
      <c r="A23539" t="e">
        <v>#N/A</v>
      </c>
    </row>
    <row r="23540" spans="1:1" x14ac:dyDescent="0.25">
      <c r="A23540" t="e">
        <v>#N/A</v>
      </c>
    </row>
    <row r="23541" spans="1:1" x14ac:dyDescent="0.25">
      <c r="A23541" t="e">
        <v>#N/A</v>
      </c>
    </row>
    <row r="23542" spans="1:1" x14ac:dyDescent="0.25">
      <c r="A23542" t="e">
        <v>#N/A</v>
      </c>
    </row>
    <row r="23543" spans="1:1" x14ac:dyDescent="0.25">
      <c r="A23543" t="e">
        <v>#N/A</v>
      </c>
    </row>
    <row r="23544" spans="1:1" x14ac:dyDescent="0.25">
      <c r="A23544" t="e">
        <v>#N/A</v>
      </c>
    </row>
    <row r="23545" spans="1:1" x14ac:dyDescent="0.25">
      <c r="A23545" t="e">
        <v>#N/A</v>
      </c>
    </row>
    <row r="23546" spans="1:1" x14ac:dyDescent="0.25">
      <c r="A23546" t="e">
        <v>#N/A</v>
      </c>
    </row>
    <row r="23547" spans="1:1" x14ac:dyDescent="0.25">
      <c r="A23547" t="e">
        <v>#N/A</v>
      </c>
    </row>
    <row r="23548" spans="1:1" x14ac:dyDescent="0.25">
      <c r="A23548" t="e">
        <v>#N/A</v>
      </c>
    </row>
    <row r="23549" spans="1:1" x14ac:dyDescent="0.25">
      <c r="A23549" t="e">
        <v>#N/A</v>
      </c>
    </row>
    <row r="23550" spans="1:1" x14ac:dyDescent="0.25">
      <c r="A23550" t="e">
        <v>#N/A</v>
      </c>
    </row>
    <row r="23551" spans="1:1" x14ac:dyDescent="0.25">
      <c r="A23551" t="e">
        <v>#N/A</v>
      </c>
    </row>
    <row r="23552" spans="1:1" x14ac:dyDescent="0.25">
      <c r="A23552" t="e">
        <v>#N/A</v>
      </c>
    </row>
    <row r="23553" spans="1:1" x14ac:dyDescent="0.25">
      <c r="A23553" t="e">
        <v>#N/A</v>
      </c>
    </row>
    <row r="23554" spans="1:1" x14ac:dyDescent="0.25">
      <c r="A23554" t="e">
        <v>#N/A</v>
      </c>
    </row>
    <row r="23555" spans="1:1" x14ac:dyDescent="0.25">
      <c r="A23555" t="e">
        <v>#N/A</v>
      </c>
    </row>
    <row r="23556" spans="1:1" x14ac:dyDescent="0.25">
      <c r="A23556" t="e">
        <v>#N/A</v>
      </c>
    </row>
    <row r="23557" spans="1:1" x14ac:dyDescent="0.25">
      <c r="A23557" t="e">
        <v>#N/A</v>
      </c>
    </row>
    <row r="23558" spans="1:1" x14ac:dyDescent="0.25">
      <c r="A23558" t="e">
        <v>#N/A</v>
      </c>
    </row>
    <row r="23559" spans="1:1" x14ac:dyDescent="0.25">
      <c r="A23559" t="e">
        <v>#N/A</v>
      </c>
    </row>
    <row r="23560" spans="1:1" x14ac:dyDescent="0.25">
      <c r="A23560" t="e">
        <v>#N/A</v>
      </c>
    </row>
    <row r="23561" spans="1:1" x14ac:dyDescent="0.25">
      <c r="A23561" t="e">
        <v>#N/A</v>
      </c>
    </row>
    <row r="23562" spans="1:1" x14ac:dyDescent="0.25">
      <c r="A23562" t="e">
        <v>#N/A</v>
      </c>
    </row>
    <row r="23563" spans="1:1" x14ac:dyDescent="0.25">
      <c r="A23563" t="e">
        <v>#N/A</v>
      </c>
    </row>
    <row r="23564" spans="1:1" x14ac:dyDescent="0.25">
      <c r="A23564" t="e">
        <v>#N/A</v>
      </c>
    </row>
    <row r="23565" spans="1:1" x14ac:dyDescent="0.25">
      <c r="A23565" t="e">
        <v>#N/A</v>
      </c>
    </row>
    <row r="23566" spans="1:1" x14ac:dyDescent="0.25">
      <c r="A23566" t="e">
        <v>#N/A</v>
      </c>
    </row>
    <row r="23567" spans="1:1" x14ac:dyDescent="0.25">
      <c r="A23567" t="e">
        <v>#N/A</v>
      </c>
    </row>
    <row r="23568" spans="1:1" x14ac:dyDescent="0.25">
      <c r="A23568" t="e">
        <v>#N/A</v>
      </c>
    </row>
    <row r="23569" spans="1:1" x14ac:dyDescent="0.25">
      <c r="A23569" t="e">
        <v>#N/A</v>
      </c>
    </row>
    <row r="23570" spans="1:1" x14ac:dyDescent="0.25">
      <c r="A23570" t="e">
        <v>#N/A</v>
      </c>
    </row>
    <row r="23571" spans="1:1" x14ac:dyDescent="0.25">
      <c r="A23571" t="e">
        <v>#N/A</v>
      </c>
    </row>
    <row r="23572" spans="1:1" x14ac:dyDescent="0.25">
      <c r="A23572" t="e">
        <v>#N/A</v>
      </c>
    </row>
    <row r="23573" spans="1:1" x14ac:dyDescent="0.25">
      <c r="A23573" t="e">
        <v>#N/A</v>
      </c>
    </row>
    <row r="23574" spans="1:1" x14ac:dyDescent="0.25">
      <c r="A23574" t="e">
        <v>#N/A</v>
      </c>
    </row>
    <row r="23575" spans="1:1" x14ac:dyDescent="0.25">
      <c r="A23575" t="e">
        <v>#N/A</v>
      </c>
    </row>
    <row r="23576" spans="1:1" x14ac:dyDescent="0.25">
      <c r="A23576" t="e">
        <v>#N/A</v>
      </c>
    </row>
    <row r="23577" spans="1:1" x14ac:dyDescent="0.25">
      <c r="A23577" t="e">
        <v>#N/A</v>
      </c>
    </row>
    <row r="23578" spans="1:1" x14ac:dyDescent="0.25">
      <c r="A23578" t="e">
        <v>#N/A</v>
      </c>
    </row>
    <row r="23579" spans="1:1" x14ac:dyDescent="0.25">
      <c r="A23579" t="e">
        <v>#N/A</v>
      </c>
    </row>
    <row r="23580" spans="1:1" x14ac:dyDescent="0.25">
      <c r="A23580" t="e">
        <v>#N/A</v>
      </c>
    </row>
    <row r="23581" spans="1:1" x14ac:dyDescent="0.25">
      <c r="A23581" t="e">
        <v>#N/A</v>
      </c>
    </row>
    <row r="23582" spans="1:1" x14ac:dyDescent="0.25">
      <c r="A23582" t="e">
        <v>#N/A</v>
      </c>
    </row>
    <row r="23583" spans="1:1" x14ac:dyDescent="0.25">
      <c r="A23583" t="e">
        <v>#N/A</v>
      </c>
    </row>
    <row r="23584" spans="1:1" x14ac:dyDescent="0.25">
      <c r="A23584" t="e">
        <v>#N/A</v>
      </c>
    </row>
    <row r="23585" spans="1:1" x14ac:dyDescent="0.25">
      <c r="A23585" t="e">
        <v>#N/A</v>
      </c>
    </row>
    <row r="23586" spans="1:1" x14ac:dyDescent="0.25">
      <c r="A23586" t="e">
        <v>#N/A</v>
      </c>
    </row>
    <row r="23587" spans="1:1" x14ac:dyDescent="0.25">
      <c r="A23587" t="e">
        <v>#N/A</v>
      </c>
    </row>
    <row r="23588" spans="1:1" x14ac:dyDescent="0.25">
      <c r="A23588" t="e">
        <v>#N/A</v>
      </c>
    </row>
    <row r="23589" spans="1:1" x14ac:dyDescent="0.25">
      <c r="A23589" t="e">
        <v>#N/A</v>
      </c>
    </row>
    <row r="23590" spans="1:1" x14ac:dyDescent="0.25">
      <c r="A23590" t="e">
        <v>#N/A</v>
      </c>
    </row>
    <row r="23591" spans="1:1" x14ac:dyDescent="0.25">
      <c r="A23591" t="e">
        <v>#N/A</v>
      </c>
    </row>
    <row r="23592" spans="1:1" x14ac:dyDescent="0.25">
      <c r="A23592" t="e">
        <v>#N/A</v>
      </c>
    </row>
    <row r="23593" spans="1:1" x14ac:dyDescent="0.25">
      <c r="A23593" t="e">
        <v>#N/A</v>
      </c>
    </row>
    <row r="23594" spans="1:1" x14ac:dyDescent="0.25">
      <c r="A23594" t="e">
        <v>#N/A</v>
      </c>
    </row>
    <row r="23595" spans="1:1" x14ac:dyDescent="0.25">
      <c r="A23595" t="e">
        <v>#N/A</v>
      </c>
    </row>
    <row r="23596" spans="1:1" x14ac:dyDescent="0.25">
      <c r="A23596" t="e">
        <v>#N/A</v>
      </c>
    </row>
    <row r="23597" spans="1:1" x14ac:dyDescent="0.25">
      <c r="A23597" t="e">
        <v>#N/A</v>
      </c>
    </row>
    <row r="23598" spans="1:1" x14ac:dyDescent="0.25">
      <c r="A23598" t="e">
        <v>#N/A</v>
      </c>
    </row>
    <row r="23599" spans="1:1" x14ac:dyDescent="0.25">
      <c r="A23599" t="e">
        <v>#N/A</v>
      </c>
    </row>
    <row r="23600" spans="1:1" x14ac:dyDescent="0.25">
      <c r="A23600" t="e">
        <v>#N/A</v>
      </c>
    </row>
    <row r="23601" spans="1:1" x14ac:dyDescent="0.25">
      <c r="A23601" t="e">
        <v>#N/A</v>
      </c>
    </row>
    <row r="23602" spans="1:1" x14ac:dyDescent="0.25">
      <c r="A23602" t="e">
        <v>#N/A</v>
      </c>
    </row>
    <row r="23603" spans="1:1" x14ac:dyDescent="0.25">
      <c r="A23603" t="e">
        <v>#N/A</v>
      </c>
    </row>
    <row r="23604" spans="1:1" x14ac:dyDescent="0.25">
      <c r="A23604" t="e">
        <v>#N/A</v>
      </c>
    </row>
    <row r="23605" spans="1:1" x14ac:dyDescent="0.25">
      <c r="A23605" t="e">
        <v>#N/A</v>
      </c>
    </row>
    <row r="23606" spans="1:1" x14ac:dyDescent="0.25">
      <c r="A23606" t="e">
        <v>#N/A</v>
      </c>
    </row>
    <row r="23607" spans="1:1" x14ac:dyDescent="0.25">
      <c r="A23607" t="e">
        <v>#N/A</v>
      </c>
    </row>
    <row r="23608" spans="1:1" x14ac:dyDescent="0.25">
      <c r="A23608" t="e">
        <v>#N/A</v>
      </c>
    </row>
    <row r="23609" spans="1:1" x14ac:dyDescent="0.25">
      <c r="A23609" t="e">
        <v>#N/A</v>
      </c>
    </row>
    <row r="23610" spans="1:1" x14ac:dyDescent="0.25">
      <c r="A23610" t="e">
        <v>#N/A</v>
      </c>
    </row>
    <row r="23611" spans="1:1" x14ac:dyDescent="0.25">
      <c r="A23611" t="e">
        <v>#N/A</v>
      </c>
    </row>
    <row r="23612" spans="1:1" x14ac:dyDescent="0.25">
      <c r="A23612" t="e">
        <v>#N/A</v>
      </c>
    </row>
    <row r="23613" spans="1:1" x14ac:dyDescent="0.25">
      <c r="A23613" t="e">
        <v>#N/A</v>
      </c>
    </row>
    <row r="23614" spans="1:1" x14ac:dyDescent="0.25">
      <c r="A23614" t="e">
        <v>#N/A</v>
      </c>
    </row>
    <row r="23615" spans="1:1" x14ac:dyDescent="0.25">
      <c r="A23615" t="e">
        <v>#N/A</v>
      </c>
    </row>
    <row r="23616" spans="1:1" x14ac:dyDescent="0.25">
      <c r="A23616" t="e">
        <v>#N/A</v>
      </c>
    </row>
    <row r="23617" spans="1:1" x14ac:dyDescent="0.25">
      <c r="A23617" t="e">
        <v>#N/A</v>
      </c>
    </row>
    <row r="23618" spans="1:1" x14ac:dyDescent="0.25">
      <c r="A23618" t="e">
        <v>#N/A</v>
      </c>
    </row>
    <row r="23619" spans="1:1" x14ac:dyDescent="0.25">
      <c r="A23619" t="e">
        <v>#N/A</v>
      </c>
    </row>
    <row r="23620" spans="1:1" x14ac:dyDescent="0.25">
      <c r="A23620" t="e">
        <v>#N/A</v>
      </c>
    </row>
    <row r="23621" spans="1:1" x14ac:dyDescent="0.25">
      <c r="A23621" t="e">
        <v>#N/A</v>
      </c>
    </row>
    <row r="23622" spans="1:1" x14ac:dyDescent="0.25">
      <c r="A23622" t="e">
        <v>#N/A</v>
      </c>
    </row>
    <row r="23623" spans="1:1" x14ac:dyDescent="0.25">
      <c r="A23623" t="e">
        <v>#N/A</v>
      </c>
    </row>
    <row r="23624" spans="1:1" x14ac:dyDescent="0.25">
      <c r="A23624" t="e">
        <v>#N/A</v>
      </c>
    </row>
    <row r="23625" spans="1:1" x14ac:dyDescent="0.25">
      <c r="A23625" t="e">
        <v>#N/A</v>
      </c>
    </row>
    <row r="23626" spans="1:1" x14ac:dyDescent="0.25">
      <c r="A23626" t="e">
        <v>#N/A</v>
      </c>
    </row>
    <row r="23627" spans="1:1" x14ac:dyDescent="0.25">
      <c r="A23627" t="e">
        <v>#N/A</v>
      </c>
    </row>
    <row r="23628" spans="1:1" x14ac:dyDescent="0.25">
      <c r="A23628" t="e">
        <v>#N/A</v>
      </c>
    </row>
    <row r="23629" spans="1:1" x14ac:dyDescent="0.25">
      <c r="A23629" t="e">
        <v>#N/A</v>
      </c>
    </row>
    <row r="23630" spans="1:1" x14ac:dyDescent="0.25">
      <c r="A23630" t="e">
        <v>#N/A</v>
      </c>
    </row>
    <row r="23631" spans="1:1" x14ac:dyDescent="0.25">
      <c r="A23631" t="e">
        <v>#N/A</v>
      </c>
    </row>
    <row r="23632" spans="1:1" x14ac:dyDescent="0.25">
      <c r="A23632" t="e">
        <v>#N/A</v>
      </c>
    </row>
    <row r="23633" spans="1:1" x14ac:dyDescent="0.25">
      <c r="A23633" t="e">
        <v>#N/A</v>
      </c>
    </row>
    <row r="23634" spans="1:1" x14ac:dyDescent="0.25">
      <c r="A23634" t="e">
        <v>#N/A</v>
      </c>
    </row>
    <row r="23635" spans="1:1" x14ac:dyDescent="0.25">
      <c r="A23635" t="e">
        <v>#N/A</v>
      </c>
    </row>
    <row r="23636" spans="1:1" x14ac:dyDescent="0.25">
      <c r="A23636" t="e">
        <v>#N/A</v>
      </c>
    </row>
    <row r="23637" spans="1:1" x14ac:dyDescent="0.25">
      <c r="A23637" t="e">
        <v>#N/A</v>
      </c>
    </row>
    <row r="23638" spans="1:1" x14ac:dyDescent="0.25">
      <c r="A23638" t="e">
        <v>#N/A</v>
      </c>
    </row>
    <row r="23639" spans="1:1" x14ac:dyDescent="0.25">
      <c r="A23639" t="e">
        <v>#N/A</v>
      </c>
    </row>
    <row r="23640" spans="1:1" x14ac:dyDescent="0.25">
      <c r="A23640" t="e">
        <v>#N/A</v>
      </c>
    </row>
    <row r="23641" spans="1:1" x14ac:dyDescent="0.25">
      <c r="A23641" t="e">
        <v>#N/A</v>
      </c>
    </row>
    <row r="23642" spans="1:1" x14ac:dyDescent="0.25">
      <c r="A23642" t="e">
        <v>#N/A</v>
      </c>
    </row>
    <row r="23643" spans="1:1" x14ac:dyDescent="0.25">
      <c r="A23643" t="e">
        <v>#N/A</v>
      </c>
    </row>
    <row r="23644" spans="1:1" x14ac:dyDescent="0.25">
      <c r="A23644" t="e">
        <v>#N/A</v>
      </c>
    </row>
    <row r="23645" spans="1:1" x14ac:dyDescent="0.25">
      <c r="A23645" t="e">
        <v>#N/A</v>
      </c>
    </row>
    <row r="23646" spans="1:1" x14ac:dyDescent="0.25">
      <c r="A23646" t="e">
        <v>#N/A</v>
      </c>
    </row>
    <row r="23647" spans="1:1" x14ac:dyDescent="0.25">
      <c r="A23647" t="e">
        <v>#N/A</v>
      </c>
    </row>
    <row r="23648" spans="1:1" x14ac:dyDescent="0.25">
      <c r="A23648" t="e">
        <v>#N/A</v>
      </c>
    </row>
    <row r="23649" spans="1:1" x14ac:dyDescent="0.25">
      <c r="A23649" t="e">
        <v>#N/A</v>
      </c>
    </row>
    <row r="23650" spans="1:1" x14ac:dyDescent="0.25">
      <c r="A23650" t="e">
        <v>#N/A</v>
      </c>
    </row>
    <row r="23651" spans="1:1" x14ac:dyDescent="0.25">
      <c r="A23651" t="e">
        <v>#N/A</v>
      </c>
    </row>
    <row r="23652" spans="1:1" x14ac:dyDescent="0.25">
      <c r="A23652" t="e">
        <v>#N/A</v>
      </c>
    </row>
    <row r="23653" spans="1:1" x14ac:dyDescent="0.25">
      <c r="A23653" t="e">
        <v>#N/A</v>
      </c>
    </row>
    <row r="23654" spans="1:1" x14ac:dyDescent="0.25">
      <c r="A23654" t="e">
        <v>#N/A</v>
      </c>
    </row>
    <row r="23655" spans="1:1" x14ac:dyDescent="0.25">
      <c r="A23655" t="e">
        <v>#N/A</v>
      </c>
    </row>
    <row r="23656" spans="1:1" x14ac:dyDescent="0.25">
      <c r="A23656" t="e">
        <v>#N/A</v>
      </c>
    </row>
    <row r="23657" spans="1:1" x14ac:dyDescent="0.25">
      <c r="A23657" t="e">
        <v>#N/A</v>
      </c>
    </row>
    <row r="23658" spans="1:1" x14ac:dyDescent="0.25">
      <c r="A23658" t="e">
        <v>#N/A</v>
      </c>
    </row>
    <row r="23659" spans="1:1" x14ac:dyDescent="0.25">
      <c r="A23659" t="e">
        <v>#N/A</v>
      </c>
    </row>
    <row r="23660" spans="1:1" x14ac:dyDescent="0.25">
      <c r="A23660" t="e">
        <v>#N/A</v>
      </c>
    </row>
    <row r="23661" spans="1:1" x14ac:dyDescent="0.25">
      <c r="A23661" t="e">
        <v>#N/A</v>
      </c>
    </row>
    <row r="23662" spans="1:1" x14ac:dyDescent="0.25">
      <c r="A23662" t="e">
        <v>#N/A</v>
      </c>
    </row>
    <row r="23663" spans="1:1" x14ac:dyDescent="0.25">
      <c r="A23663" t="e">
        <v>#N/A</v>
      </c>
    </row>
    <row r="23664" spans="1:1" x14ac:dyDescent="0.25">
      <c r="A23664" t="e">
        <v>#N/A</v>
      </c>
    </row>
    <row r="23665" spans="1:1" x14ac:dyDescent="0.25">
      <c r="A23665" t="e">
        <v>#N/A</v>
      </c>
    </row>
    <row r="23666" spans="1:1" x14ac:dyDescent="0.25">
      <c r="A23666" t="e">
        <v>#N/A</v>
      </c>
    </row>
    <row r="23667" spans="1:1" x14ac:dyDescent="0.25">
      <c r="A23667" t="e">
        <v>#N/A</v>
      </c>
    </row>
    <row r="23668" spans="1:1" x14ac:dyDescent="0.25">
      <c r="A23668" t="e">
        <v>#N/A</v>
      </c>
    </row>
    <row r="23669" spans="1:1" x14ac:dyDescent="0.25">
      <c r="A23669" t="e">
        <v>#N/A</v>
      </c>
    </row>
    <row r="23670" spans="1:1" x14ac:dyDescent="0.25">
      <c r="A23670" t="e">
        <v>#N/A</v>
      </c>
    </row>
    <row r="23671" spans="1:1" x14ac:dyDescent="0.25">
      <c r="A23671" t="e">
        <v>#N/A</v>
      </c>
    </row>
    <row r="23672" spans="1:1" x14ac:dyDescent="0.25">
      <c r="A23672" t="e">
        <v>#N/A</v>
      </c>
    </row>
    <row r="23673" spans="1:1" x14ac:dyDescent="0.25">
      <c r="A23673" t="e">
        <v>#N/A</v>
      </c>
    </row>
    <row r="23674" spans="1:1" x14ac:dyDescent="0.25">
      <c r="A23674" t="e">
        <v>#N/A</v>
      </c>
    </row>
    <row r="23675" spans="1:1" x14ac:dyDescent="0.25">
      <c r="A23675" t="e">
        <v>#N/A</v>
      </c>
    </row>
    <row r="23676" spans="1:1" x14ac:dyDescent="0.25">
      <c r="A23676" t="e">
        <v>#N/A</v>
      </c>
    </row>
    <row r="23677" spans="1:1" x14ac:dyDescent="0.25">
      <c r="A23677" t="e">
        <v>#N/A</v>
      </c>
    </row>
    <row r="23678" spans="1:1" x14ac:dyDescent="0.25">
      <c r="A23678" t="e">
        <v>#N/A</v>
      </c>
    </row>
    <row r="23679" spans="1:1" x14ac:dyDescent="0.25">
      <c r="A23679" t="e">
        <v>#N/A</v>
      </c>
    </row>
    <row r="23680" spans="1:1" x14ac:dyDescent="0.25">
      <c r="A23680" t="e">
        <v>#N/A</v>
      </c>
    </row>
    <row r="23681" spans="1:1" x14ac:dyDescent="0.25">
      <c r="A23681" t="e">
        <v>#N/A</v>
      </c>
    </row>
    <row r="23682" spans="1:1" x14ac:dyDescent="0.25">
      <c r="A23682" t="e">
        <v>#N/A</v>
      </c>
    </row>
    <row r="23683" spans="1:1" x14ac:dyDescent="0.25">
      <c r="A23683" t="e">
        <v>#N/A</v>
      </c>
    </row>
    <row r="23684" spans="1:1" x14ac:dyDescent="0.25">
      <c r="A23684" t="e">
        <v>#N/A</v>
      </c>
    </row>
    <row r="23685" spans="1:1" x14ac:dyDescent="0.25">
      <c r="A23685" t="e">
        <v>#N/A</v>
      </c>
    </row>
    <row r="23686" spans="1:1" x14ac:dyDescent="0.25">
      <c r="A23686" t="e">
        <v>#N/A</v>
      </c>
    </row>
    <row r="23687" spans="1:1" x14ac:dyDescent="0.25">
      <c r="A23687" t="e">
        <v>#N/A</v>
      </c>
    </row>
    <row r="23688" spans="1:1" x14ac:dyDescent="0.25">
      <c r="A23688" t="e">
        <v>#N/A</v>
      </c>
    </row>
    <row r="23689" spans="1:1" x14ac:dyDescent="0.25">
      <c r="A23689" t="e">
        <v>#N/A</v>
      </c>
    </row>
    <row r="23690" spans="1:1" x14ac:dyDescent="0.25">
      <c r="A23690" t="e">
        <v>#N/A</v>
      </c>
    </row>
    <row r="23691" spans="1:1" x14ac:dyDescent="0.25">
      <c r="A23691" t="e">
        <v>#N/A</v>
      </c>
    </row>
    <row r="23692" spans="1:1" x14ac:dyDescent="0.25">
      <c r="A23692" t="e">
        <v>#N/A</v>
      </c>
    </row>
    <row r="23693" spans="1:1" x14ac:dyDescent="0.25">
      <c r="A23693" t="e">
        <v>#N/A</v>
      </c>
    </row>
    <row r="23694" spans="1:1" x14ac:dyDescent="0.25">
      <c r="A23694" t="e">
        <v>#N/A</v>
      </c>
    </row>
    <row r="23695" spans="1:1" x14ac:dyDescent="0.25">
      <c r="A23695" t="e">
        <v>#N/A</v>
      </c>
    </row>
    <row r="23696" spans="1:1" x14ac:dyDescent="0.25">
      <c r="A23696" t="e">
        <v>#N/A</v>
      </c>
    </row>
    <row r="23697" spans="1:1" x14ac:dyDescent="0.25">
      <c r="A23697" t="e">
        <v>#N/A</v>
      </c>
    </row>
    <row r="23698" spans="1:1" x14ac:dyDescent="0.25">
      <c r="A23698" t="e">
        <v>#N/A</v>
      </c>
    </row>
    <row r="23699" spans="1:1" x14ac:dyDescent="0.25">
      <c r="A23699" t="e">
        <v>#N/A</v>
      </c>
    </row>
    <row r="23700" spans="1:1" x14ac:dyDescent="0.25">
      <c r="A23700" t="e">
        <v>#N/A</v>
      </c>
    </row>
    <row r="23701" spans="1:1" x14ac:dyDescent="0.25">
      <c r="A23701" t="e">
        <v>#N/A</v>
      </c>
    </row>
    <row r="23702" spans="1:1" x14ac:dyDescent="0.25">
      <c r="A23702" t="e">
        <v>#N/A</v>
      </c>
    </row>
    <row r="23703" spans="1:1" x14ac:dyDescent="0.25">
      <c r="A23703" t="e">
        <v>#N/A</v>
      </c>
    </row>
    <row r="23704" spans="1:1" x14ac:dyDescent="0.25">
      <c r="A23704" t="e">
        <v>#N/A</v>
      </c>
    </row>
    <row r="23705" spans="1:1" x14ac:dyDescent="0.25">
      <c r="A23705" t="e">
        <v>#N/A</v>
      </c>
    </row>
    <row r="23706" spans="1:1" x14ac:dyDescent="0.25">
      <c r="A23706" t="e">
        <v>#N/A</v>
      </c>
    </row>
    <row r="23707" spans="1:1" x14ac:dyDescent="0.25">
      <c r="A23707" t="e">
        <v>#N/A</v>
      </c>
    </row>
    <row r="23708" spans="1:1" x14ac:dyDescent="0.25">
      <c r="A23708" t="e">
        <v>#N/A</v>
      </c>
    </row>
    <row r="23709" spans="1:1" x14ac:dyDescent="0.25">
      <c r="A23709" t="e">
        <v>#N/A</v>
      </c>
    </row>
    <row r="23710" spans="1:1" x14ac:dyDescent="0.25">
      <c r="A23710" t="e">
        <v>#N/A</v>
      </c>
    </row>
    <row r="23711" spans="1:1" x14ac:dyDescent="0.25">
      <c r="A23711" t="e">
        <v>#N/A</v>
      </c>
    </row>
    <row r="23712" spans="1:1" x14ac:dyDescent="0.25">
      <c r="A23712" t="e">
        <v>#N/A</v>
      </c>
    </row>
    <row r="23713" spans="1:1" x14ac:dyDescent="0.25">
      <c r="A23713" t="e">
        <v>#N/A</v>
      </c>
    </row>
    <row r="23714" spans="1:1" x14ac:dyDescent="0.25">
      <c r="A23714" t="e">
        <v>#N/A</v>
      </c>
    </row>
    <row r="23715" spans="1:1" x14ac:dyDescent="0.25">
      <c r="A23715" t="e">
        <v>#N/A</v>
      </c>
    </row>
    <row r="23716" spans="1:1" x14ac:dyDescent="0.25">
      <c r="A23716" t="e">
        <v>#N/A</v>
      </c>
    </row>
    <row r="23717" spans="1:1" x14ac:dyDescent="0.25">
      <c r="A23717" t="e">
        <v>#N/A</v>
      </c>
    </row>
    <row r="23718" spans="1:1" x14ac:dyDescent="0.25">
      <c r="A23718" t="e">
        <v>#N/A</v>
      </c>
    </row>
    <row r="23719" spans="1:1" x14ac:dyDescent="0.25">
      <c r="A23719" t="e">
        <v>#N/A</v>
      </c>
    </row>
    <row r="23720" spans="1:1" x14ac:dyDescent="0.25">
      <c r="A23720" t="e">
        <v>#N/A</v>
      </c>
    </row>
    <row r="23721" spans="1:1" x14ac:dyDescent="0.25">
      <c r="A23721" t="e">
        <v>#N/A</v>
      </c>
    </row>
    <row r="23722" spans="1:1" x14ac:dyDescent="0.25">
      <c r="A23722" t="e">
        <v>#N/A</v>
      </c>
    </row>
    <row r="23723" spans="1:1" x14ac:dyDescent="0.25">
      <c r="A23723" t="e">
        <v>#N/A</v>
      </c>
    </row>
    <row r="23724" spans="1:1" x14ac:dyDescent="0.25">
      <c r="A23724" t="e">
        <v>#N/A</v>
      </c>
    </row>
    <row r="23725" spans="1:1" x14ac:dyDescent="0.25">
      <c r="A23725" t="e">
        <v>#N/A</v>
      </c>
    </row>
    <row r="23726" spans="1:1" x14ac:dyDescent="0.25">
      <c r="A23726" t="e">
        <v>#N/A</v>
      </c>
    </row>
    <row r="23727" spans="1:1" x14ac:dyDescent="0.25">
      <c r="A23727" t="e">
        <v>#N/A</v>
      </c>
    </row>
    <row r="23728" spans="1:1" x14ac:dyDescent="0.25">
      <c r="A23728" t="e">
        <v>#N/A</v>
      </c>
    </row>
    <row r="23729" spans="1:1" x14ac:dyDescent="0.25">
      <c r="A23729" t="e">
        <v>#N/A</v>
      </c>
    </row>
    <row r="23730" spans="1:1" x14ac:dyDescent="0.25">
      <c r="A23730" t="e">
        <v>#N/A</v>
      </c>
    </row>
    <row r="23731" spans="1:1" x14ac:dyDescent="0.25">
      <c r="A23731" t="e">
        <v>#N/A</v>
      </c>
    </row>
    <row r="23732" spans="1:1" x14ac:dyDescent="0.25">
      <c r="A23732" t="e">
        <v>#N/A</v>
      </c>
    </row>
    <row r="23733" spans="1:1" x14ac:dyDescent="0.25">
      <c r="A23733" t="e">
        <v>#N/A</v>
      </c>
    </row>
    <row r="23734" spans="1:1" x14ac:dyDescent="0.25">
      <c r="A23734" t="e">
        <v>#N/A</v>
      </c>
    </row>
    <row r="23735" spans="1:1" x14ac:dyDescent="0.25">
      <c r="A23735" t="e">
        <v>#N/A</v>
      </c>
    </row>
    <row r="23736" spans="1:1" x14ac:dyDescent="0.25">
      <c r="A23736" t="e">
        <v>#N/A</v>
      </c>
    </row>
    <row r="23737" spans="1:1" x14ac:dyDescent="0.25">
      <c r="A23737" t="e">
        <v>#N/A</v>
      </c>
    </row>
    <row r="23738" spans="1:1" x14ac:dyDescent="0.25">
      <c r="A23738" t="e">
        <v>#N/A</v>
      </c>
    </row>
    <row r="23739" spans="1:1" x14ac:dyDescent="0.25">
      <c r="A23739" t="e">
        <v>#N/A</v>
      </c>
    </row>
    <row r="23740" spans="1:1" x14ac:dyDescent="0.25">
      <c r="A23740" t="e">
        <v>#N/A</v>
      </c>
    </row>
    <row r="23741" spans="1:1" x14ac:dyDescent="0.25">
      <c r="A23741" t="e">
        <v>#N/A</v>
      </c>
    </row>
    <row r="23742" spans="1:1" x14ac:dyDescent="0.25">
      <c r="A23742" t="e">
        <v>#N/A</v>
      </c>
    </row>
    <row r="23743" spans="1:1" x14ac:dyDescent="0.25">
      <c r="A23743" t="e">
        <v>#N/A</v>
      </c>
    </row>
    <row r="23744" spans="1:1" x14ac:dyDescent="0.25">
      <c r="A23744" t="e">
        <v>#N/A</v>
      </c>
    </row>
    <row r="23745" spans="1:1" x14ac:dyDescent="0.25">
      <c r="A23745" t="e">
        <v>#N/A</v>
      </c>
    </row>
    <row r="23746" spans="1:1" x14ac:dyDescent="0.25">
      <c r="A23746" t="e">
        <v>#N/A</v>
      </c>
    </row>
    <row r="23747" spans="1:1" x14ac:dyDescent="0.25">
      <c r="A23747" t="e">
        <v>#N/A</v>
      </c>
    </row>
    <row r="23748" spans="1:1" x14ac:dyDescent="0.25">
      <c r="A23748" t="e">
        <v>#N/A</v>
      </c>
    </row>
    <row r="23749" spans="1:1" x14ac:dyDescent="0.25">
      <c r="A23749" t="e">
        <v>#N/A</v>
      </c>
    </row>
    <row r="23750" spans="1:1" x14ac:dyDescent="0.25">
      <c r="A23750" t="e">
        <v>#N/A</v>
      </c>
    </row>
    <row r="23751" spans="1:1" x14ac:dyDescent="0.25">
      <c r="A23751" t="e">
        <v>#N/A</v>
      </c>
    </row>
    <row r="23752" spans="1:1" x14ac:dyDescent="0.25">
      <c r="A23752" t="e">
        <v>#N/A</v>
      </c>
    </row>
    <row r="23753" spans="1:1" x14ac:dyDescent="0.25">
      <c r="A23753" t="e">
        <v>#N/A</v>
      </c>
    </row>
    <row r="23754" spans="1:1" x14ac:dyDescent="0.25">
      <c r="A23754" t="e">
        <v>#N/A</v>
      </c>
    </row>
    <row r="23755" spans="1:1" x14ac:dyDescent="0.25">
      <c r="A23755" t="e">
        <v>#N/A</v>
      </c>
    </row>
    <row r="23756" spans="1:1" x14ac:dyDescent="0.25">
      <c r="A23756" t="e">
        <v>#N/A</v>
      </c>
    </row>
    <row r="23757" spans="1:1" x14ac:dyDescent="0.25">
      <c r="A23757" t="e">
        <v>#N/A</v>
      </c>
    </row>
    <row r="23758" spans="1:1" x14ac:dyDescent="0.25">
      <c r="A23758" t="e">
        <v>#N/A</v>
      </c>
    </row>
    <row r="23759" spans="1:1" x14ac:dyDescent="0.25">
      <c r="A23759" t="e">
        <v>#N/A</v>
      </c>
    </row>
    <row r="23760" spans="1:1" x14ac:dyDescent="0.25">
      <c r="A23760" t="e">
        <v>#N/A</v>
      </c>
    </row>
    <row r="23761" spans="1:1" x14ac:dyDescent="0.25">
      <c r="A23761" t="e">
        <v>#N/A</v>
      </c>
    </row>
    <row r="23762" spans="1:1" x14ac:dyDescent="0.25">
      <c r="A23762" t="e">
        <v>#N/A</v>
      </c>
    </row>
    <row r="23763" spans="1:1" x14ac:dyDescent="0.25">
      <c r="A23763" t="e">
        <v>#N/A</v>
      </c>
    </row>
    <row r="23764" spans="1:1" x14ac:dyDescent="0.25">
      <c r="A23764" t="e">
        <v>#N/A</v>
      </c>
    </row>
    <row r="23765" spans="1:1" x14ac:dyDescent="0.25">
      <c r="A23765" t="e">
        <v>#N/A</v>
      </c>
    </row>
    <row r="23766" spans="1:1" x14ac:dyDescent="0.25">
      <c r="A23766" t="e">
        <v>#N/A</v>
      </c>
    </row>
    <row r="23767" spans="1:1" x14ac:dyDescent="0.25">
      <c r="A23767" t="e">
        <v>#N/A</v>
      </c>
    </row>
    <row r="23768" spans="1:1" x14ac:dyDescent="0.25">
      <c r="A23768" t="e">
        <v>#N/A</v>
      </c>
    </row>
    <row r="23769" spans="1:1" x14ac:dyDescent="0.25">
      <c r="A23769" t="e">
        <v>#N/A</v>
      </c>
    </row>
    <row r="23770" spans="1:1" x14ac:dyDescent="0.25">
      <c r="A23770" t="e">
        <v>#N/A</v>
      </c>
    </row>
    <row r="23771" spans="1:1" x14ac:dyDescent="0.25">
      <c r="A23771" t="e">
        <v>#N/A</v>
      </c>
    </row>
    <row r="23772" spans="1:1" x14ac:dyDescent="0.25">
      <c r="A23772" t="e">
        <v>#N/A</v>
      </c>
    </row>
    <row r="23773" spans="1:1" x14ac:dyDescent="0.25">
      <c r="A23773" t="e">
        <v>#N/A</v>
      </c>
    </row>
    <row r="23774" spans="1:1" x14ac:dyDescent="0.25">
      <c r="A23774" t="e">
        <v>#N/A</v>
      </c>
    </row>
    <row r="23775" spans="1:1" x14ac:dyDescent="0.25">
      <c r="A23775" t="e">
        <v>#N/A</v>
      </c>
    </row>
    <row r="23776" spans="1:1" x14ac:dyDescent="0.25">
      <c r="A23776" t="e">
        <v>#N/A</v>
      </c>
    </row>
    <row r="23777" spans="1:1" x14ac:dyDescent="0.25">
      <c r="A23777" t="e">
        <v>#N/A</v>
      </c>
    </row>
    <row r="23778" spans="1:1" x14ac:dyDescent="0.25">
      <c r="A23778" t="e">
        <v>#N/A</v>
      </c>
    </row>
    <row r="23779" spans="1:1" x14ac:dyDescent="0.25">
      <c r="A23779" t="e">
        <v>#N/A</v>
      </c>
    </row>
    <row r="23780" spans="1:1" x14ac:dyDescent="0.25">
      <c r="A23780" t="e">
        <v>#N/A</v>
      </c>
    </row>
    <row r="23781" spans="1:1" x14ac:dyDescent="0.25">
      <c r="A23781" t="e">
        <v>#N/A</v>
      </c>
    </row>
    <row r="23782" spans="1:1" x14ac:dyDescent="0.25">
      <c r="A23782" t="e">
        <v>#N/A</v>
      </c>
    </row>
    <row r="23783" spans="1:1" x14ac:dyDescent="0.25">
      <c r="A23783" t="e">
        <v>#N/A</v>
      </c>
    </row>
    <row r="23784" spans="1:1" x14ac:dyDescent="0.25">
      <c r="A23784" t="e">
        <v>#N/A</v>
      </c>
    </row>
    <row r="23785" spans="1:1" x14ac:dyDescent="0.25">
      <c r="A23785" t="e">
        <v>#N/A</v>
      </c>
    </row>
    <row r="23786" spans="1:1" x14ac:dyDescent="0.25">
      <c r="A23786" t="e">
        <v>#N/A</v>
      </c>
    </row>
    <row r="23787" spans="1:1" x14ac:dyDescent="0.25">
      <c r="A23787" t="e">
        <v>#N/A</v>
      </c>
    </row>
    <row r="23788" spans="1:1" x14ac:dyDescent="0.25">
      <c r="A23788" t="e">
        <v>#N/A</v>
      </c>
    </row>
    <row r="23789" spans="1:1" x14ac:dyDescent="0.25">
      <c r="A23789" t="e">
        <v>#N/A</v>
      </c>
    </row>
    <row r="23790" spans="1:1" x14ac:dyDescent="0.25">
      <c r="A23790" t="e">
        <v>#N/A</v>
      </c>
    </row>
    <row r="23791" spans="1:1" x14ac:dyDescent="0.25">
      <c r="A23791" t="e">
        <v>#N/A</v>
      </c>
    </row>
    <row r="23792" spans="1:1" x14ac:dyDescent="0.25">
      <c r="A23792" t="e">
        <v>#N/A</v>
      </c>
    </row>
    <row r="23793" spans="1:1" x14ac:dyDescent="0.25">
      <c r="A23793" t="e">
        <v>#N/A</v>
      </c>
    </row>
    <row r="23794" spans="1:1" x14ac:dyDescent="0.25">
      <c r="A23794" t="e">
        <v>#N/A</v>
      </c>
    </row>
    <row r="23795" spans="1:1" x14ac:dyDescent="0.25">
      <c r="A23795" t="e">
        <v>#N/A</v>
      </c>
    </row>
    <row r="23796" spans="1:1" x14ac:dyDescent="0.25">
      <c r="A23796" t="e">
        <v>#N/A</v>
      </c>
    </row>
    <row r="23797" spans="1:1" x14ac:dyDescent="0.25">
      <c r="A23797" t="e">
        <v>#N/A</v>
      </c>
    </row>
    <row r="23798" spans="1:1" x14ac:dyDescent="0.25">
      <c r="A23798" t="e">
        <v>#N/A</v>
      </c>
    </row>
    <row r="23799" spans="1:1" x14ac:dyDescent="0.25">
      <c r="A23799" t="e">
        <v>#N/A</v>
      </c>
    </row>
    <row r="23800" spans="1:1" x14ac:dyDescent="0.25">
      <c r="A23800" t="e">
        <v>#N/A</v>
      </c>
    </row>
    <row r="23801" spans="1:1" x14ac:dyDescent="0.25">
      <c r="A23801" t="e">
        <v>#N/A</v>
      </c>
    </row>
    <row r="23802" spans="1:1" x14ac:dyDescent="0.25">
      <c r="A23802" t="e">
        <v>#N/A</v>
      </c>
    </row>
    <row r="23803" spans="1:1" x14ac:dyDescent="0.25">
      <c r="A23803" t="e">
        <v>#N/A</v>
      </c>
    </row>
    <row r="23804" spans="1:1" x14ac:dyDescent="0.25">
      <c r="A23804" t="e">
        <v>#N/A</v>
      </c>
    </row>
    <row r="23805" spans="1:1" x14ac:dyDescent="0.25">
      <c r="A23805" t="e">
        <v>#N/A</v>
      </c>
    </row>
    <row r="23806" spans="1:1" x14ac:dyDescent="0.25">
      <c r="A23806" t="e">
        <v>#N/A</v>
      </c>
    </row>
    <row r="23807" spans="1:1" x14ac:dyDescent="0.25">
      <c r="A23807" t="e">
        <v>#N/A</v>
      </c>
    </row>
    <row r="23808" spans="1:1" x14ac:dyDescent="0.25">
      <c r="A23808" t="e">
        <v>#N/A</v>
      </c>
    </row>
    <row r="23809" spans="1:1" x14ac:dyDescent="0.25">
      <c r="A23809" t="e">
        <v>#N/A</v>
      </c>
    </row>
    <row r="23810" spans="1:1" x14ac:dyDescent="0.25">
      <c r="A23810" t="e">
        <v>#N/A</v>
      </c>
    </row>
    <row r="23811" spans="1:1" x14ac:dyDescent="0.25">
      <c r="A23811" t="e">
        <v>#N/A</v>
      </c>
    </row>
    <row r="23812" spans="1:1" x14ac:dyDescent="0.25">
      <c r="A23812" t="e">
        <v>#N/A</v>
      </c>
    </row>
    <row r="23813" spans="1:1" x14ac:dyDescent="0.25">
      <c r="A23813" t="e">
        <v>#N/A</v>
      </c>
    </row>
    <row r="23814" spans="1:1" x14ac:dyDescent="0.25">
      <c r="A23814" t="e">
        <v>#N/A</v>
      </c>
    </row>
    <row r="23815" spans="1:1" x14ac:dyDescent="0.25">
      <c r="A23815" t="e">
        <v>#N/A</v>
      </c>
    </row>
    <row r="23816" spans="1:1" x14ac:dyDescent="0.25">
      <c r="A23816" t="e">
        <v>#N/A</v>
      </c>
    </row>
    <row r="23817" spans="1:1" x14ac:dyDescent="0.25">
      <c r="A23817" t="e">
        <v>#N/A</v>
      </c>
    </row>
    <row r="23818" spans="1:1" x14ac:dyDescent="0.25">
      <c r="A23818" t="e">
        <v>#N/A</v>
      </c>
    </row>
    <row r="23819" spans="1:1" x14ac:dyDescent="0.25">
      <c r="A23819" t="e">
        <v>#N/A</v>
      </c>
    </row>
    <row r="23820" spans="1:1" x14ac:dyDescent="0.25">
      <c r="A23820" t="e">
        <v>#N/A</v>
      </c>
    </row>
    <row r="23821" spans="1:1" x14ac:dyDescent="0.25">
      <c r="A23821" t="e">
        <v>#N/A</v>
      </c>
    </row>
    <row r="23822" spans="1:1" x14ac:dyDescent="0.25">
      <c r="A23822" t="e">
        <v>#N/A</v>
      </c>
    </row>
    <row r="23823" spans="1:1" x14ac:dyDescent="0.25">
      <c r="A23823" t="e">
        <v>#N/A</v>
      </c>
    </row>
    <row r="23824" spans="1:1" x14ac:dyDescent="0.25">
      <c r="A23824" t="e">
        <v>#N/A</v>
      </c>
    </row>
    <row r="23825" spans="1:1" x14ac:dyDescent="0.25">
      <c r="A23825" t="e">
        <v>#N/A</v>
      </c>
    </row>
    <row r="23826" spans="1:1" x14ac:dyDescent="0.25">
      <c r="A23826" t="e">
        <v>#N/A</v>
      </c>
    </row>
    <row r="23827" spans="1:1" x14ac:dyDescent="0.25">
      <c r="A23827" t="e">
        <v>#N/A</v>
      </c>
    </row>
    <row r="23828" spans="1:1" x14ac:dyDescent="0.25">
      <c r="A23828" t="e">
        <v>#N/A</v>
      </c>
    </row>
    <row r="23829" spans="1:1" x14ac:dyDescent="0.25">
      <c r="A23829" t="e">
        <v>#N/A</v>
      </c>
    </row>
    <row r="23830" spans="1:1" x14ac:dyDescent="0.25">
      <c r="A23830" t="e">
        <v>#N/A</v>
      </c>
    </row>
    <row r="23831" spans="1:1" x14ac:dyDescent="0.25">
      <c r="A23831" t="e">
        <v>#N/A</v>
      </c>
    </row>
    <row r="23832" spans="1:1" x14ac:dyDescent="0.25">
      <c r="A23832" t="e">
        <v>#N/A</v>
      </c>
    </row>
    <row r="23833" spans="1:1" x14ac:dyDescent="0.25">
      <c r="A23833" t="e">
        <v>#N/A</v>
      </c>
    </row>
    <row r="23834" spans="1:1" x14ac:dyDescent="0.25">
      <c r="A23834" t="e">
        <v>#N/A</v>
      </c>
    </row>
    <row r="23835" spans="1:1" x14ac:dyDescent="0.25">
      <c r="A23835" t="e">
        <v>#N/A</v>
      </c>
    </row>
    <row r="23836" spans="1:1" x14ac:dyDescent="0.25">
      <c r="A23836" t="e">
        <v>#N/A</v>
      </c>
    </row>
    <row r="23837" spans="1:1" x14ac:dyDescent="0.25">
      <c r="A23837" t="e">
        <v>#N/A</v>
      </c>
    </row>
    <row r="23838" spans="1:1" x14ac:dyDescent="0.25">
      <c r="A23838" t="e">
        <v>#N/A</v>
      </c>
    </row>
    <row r="23839" spans="1:1" x14ac:dyDescent="0.25">
      <c r="A23839" t="e">
        <v>#N/A</v>
      </c>
    </row>
    <row r="23840" spans="1:1" x14ac:dyDescent="0.25">
      <c r="A23840" t="e">
        <v>#N/A</v>
      </c>
    </row>
    <row r="23841" spans="1:1" x14ac:dyDescent="0.25">
      <c r="A23841" t="e">
        <v>#N/A</v>
      </c>
    </row>
    <row r="23842" spans="1:1" x14ac:dyDescent="0.25">
      <c r="A23842" t="e">
        <v>#N/A</v>
      </c>
    </row>
    <row r="23843" spans="1:1" x14ac:dyDescent="0.25">
      <c r="A23843" t="e">
        <v>#N/A</v>
      </c>
    </row>
    <row r="23844" spans="1:1" x14ac:dyDescent="0.25">
      <c r="A23844" t="e">
        <v>#N/A</v>
      </c>
    </row>
    <row r="23845" spans="1:1" x14ac:dyDescent="0.25">
      <c r="A23845" t="e">
        <v>#N/A</v>
      </c>
    </row>
    <row r="23846" spans="1:1" x14ac:dyDescent="0.25">
      <c r="A23846" t="e">
        <v>#N/A</v>
      </c>
    </row>
    <row r="23847" spans="1:1" x14ac:dyDescent="0.25">
      <c r="A23847" t="e">
        <v>#N/A</v>
      </c>
    </row>
    <row r="23848" spans="1:1" x14ac:dyDescent="0.25">
      <c r="A23848" t="e">
        <v>#N/A</v>
      </c>
    </row>
    <row r="23849" spans="1:1" x14ac:dyDescent="0.25">
      <c r="A23849" t="e">
        <v>#N/A</v>
      </c>
    </row>
    <row r="23850" spans="1:1" x14ac:dyDescent="0.25">
      <c r="A23850" t="e">
        <v>#N/A</v>
      </c>
    </row>
    <row r="23851" spans="1:1" x14ac:dyDescent="0.25">
      <c r="A23851" t="e">
        <v>#N/A</v>
      </c>
    </row>
    <row r="23852" spans="1:1" x14ac:dyDescent="0.25">
      <c r="A23852" t="e">
        <v>#N/A</v>
      </c>
    </row>
    <row r="23853" spans="1:1" x14ac:dyDescent="0.25">
      <c r="A23853" t="e">
        <v>#N/A</v>
      </c>
    </row>
    <row r="23854" spans="1:1" x14ac:dyDescent="0.25">
      <c r="A23854" t="e">
        <v>#N/A</v>
      </c>
    </row>
    <row r="23855" spans="1:1" x14ac:dyDescent="0.25">
      <c r="A23855" t="e">
        <v>#N/A</v>
      </c>
    </row>
    <row r="23856" spans="1:1" x14ac:dyDescent="0.25">
      <c r="A23856" t="e">
        <v>#N/A</v>
      </c>
    </row>
    <row r="23857" spans="1:1" x14ac:dyDescent="0.25">
      <c r="A23857" t="e">
        <v>#N/A</v>
      </c>
    </row>
    <row r="23858" spans="1:1" x14ac:dyDescent="0.25">
      <c r="A23858" t="e">
        <v>#N/A</v>
      </c>
    </row>
    <row r="23859" spans="1:1" x14ac:dyDescent="0.25">
      <c r="A23859" t="e">
        <v>#N/A</v>
      </c>
    </row>
    <row r="23860" spans="1:1" x14ac:dyDescent="0.25">
      <c r="A23860" t="e">
        <v>#N/A</v>
      </c>
    </row>
    <row r="23861" spans="1:1" x14ac:dyDescent="0.25">
      <c r="A23861" t="e">
        <v>#N/A</v>
      </c>
    </row>
    <row r="23862" spans="1:1" x14ac:dyDescent="0.25">
      <c r="A23862" t="e">
        <v>#N/A</v>
      </c>
    </row>
    <row r="23863" spans="1:1" x14ac:dyDescent="0.25">
      <c r="A23863" t="e">
        <v>#N/A</v>
      </c>
    </row>
    <row r="23864" spans="1:1" x14ac:dyDescent="0.25">
      <c r="A23864" t="e">
        <v>#N/A</v>
      </c>
    </row>
    <row r="23865" spans="1:1" x14ac:dyDescent="0.25">
      <c r="A23865" t="e">
        <v>#N/A</v>
      </c>
    </row>
    <row r="23866" spans="1:1" x14ac:dyDescent="0.25">
      <c r="A23866" t="e">
        <v>#N/A</v>
      </c>
    </row>
    <row r="23867" spans="1:1" x14ac:dyDescent="0.25">
      <c r="A23867" t="e">
        <v>#N/A</v>
      </c>
    </row>
    <row r="23868" spans="1:1" x14ac:dyDescent="0.25">
      <c r="A23868" t="e">
        <v>#N/A</v>
      </c>
    </row>
    <row r="23869" spans="1:1" x14ac:dyDescent="0.25">
      <c r="A23869" t="e">
        <v>#N/A</v>
      </c>
    </row>
    <row r="23870" spans="1:1" x14ac:dyDescent="0.25">
      <c r="A23870" t="e">
        <v>#N/A</v>
      </c>
    </row>
    <row r="23871" spans="1:1" x14ac:dyDescent="0.25">
      <c r="A23871" t="e">
        <v>#N/A</v>
      </c>
    </row>
    <row r="23872" spans="1:1" x14ac:dyDescent="0.25">
      <c r="A23872" t="e">
        <v>#N/A</v>
      </c>
    </row>
    <row r="23873" spans="1:1" x14ac:dyDescent="0.25">
      <c r="A23873" t="e">
        <v>#N/A</v>
      </c>
    </row>
    <row r="23874" spans="1:1" x14ac:dyDescent="0.25">
      <c r="A23874" t="e">
        <v>#N/A</v>
      </c>
    </row>
    <row r="23875" spans="1:1" x14ac:dyDescent="0.25">
      <c r="A23875" t="e">
        <v>#N/A</v>
      </c>
    </row>
    <row r="23876" spans="1:1" x14ac:dyDescent="0.25">
      <c r="A23876" t="e">
        <v>#N/A</v>
      </c>
    </row>
    <row r="23877" spans="1:1" x14ac:dyDescent="0.25">
      <c r="A23877" t="e">
        <v>#N/A</v>
      </c>
    </row>
    <row r="23878" spans="1:1" x14ac:dyDescent="0.25">
      <c r="A23878" t="e">
        <v>#N/A</v>
      </c>
    </row>
    <row r="23879" spans="1:1" x14ac:dyDescent="0.25">
      <c r="A23879" t="e">
        <v>#N/A</v>
      </c>
    </row>
    <row r="23880" spans="1:1" x14ac:dyDescent="0.25">
      <c r="A23880" t="e">
        <v>#N/A</v>
      </c>
    </row>
    <row r="23881" spans="1:1" x14ac:dyDescent="0.25">
      <c r="A23881" t="e">
        <v>#N/A</v>
      </c>
    </row>
    <row r="23882" spans="1:1" x14ac:dyDescent="0.25">
      <c r="A23882" t="e">
        <v>#N/A</v>
      </c>
    </row>
    <row r="23883" spans="1:1" x14ac:dyDescent="0.25">
      <c r="A23883" t="e">
        <v>#N/A</v>
      </c>
    </row>
    <row r="23884" spans="1:1" x14ac:dyDescent="0.25">
      <c r="A23884" t="e">
        <v>#N/A</v>
      </c>
    </row>
    <row r="23885" spans="1:1" x14ac:dyDescent="0.25">
      <c r="A23885" t="e">
        <v>#N/A</v>
      </c>
    </row>
    <row r="23886" spans="1:1" x14ac:dyDescent="0.25">
      <c r="A23886" t="e">
        <v>#N/A</v>
      </c>
    </row>
    <row r="23887" spans="1:1" x14ac:dyDescent="0.25">
      <c r="A23887" t="e">
        <v>#N/A</v>
      </c>
    </row>
    <row r="23888" spans="1:1" x14ac:dyDescent="0.25">
      <c r="A23888" t="e">
        <v>#N/A</v>
      </c>
    </row>
    <row r="23889" spans="1:1" x14ac:dyDescent="0.25">
      <c r="A23889" t="e">
        <v>#N/A</v>
      </c>
    </row>
    <row r="23890" spans="1:1" x14ac:dyDescent="0.25">
      <c r="A23890" t="e">
        <v>#N/A</v>
      </c>
    </row>
    <row r="23891" spans="1:1" x14ac:dyDescent="0.25">
      <c r="A23891" t="e">
        <v>#N/A</v>
      </c>
    </row>
    <row r="23892" spans="1:1" x14ac:dyDescent="0.25">
      <c r="A23892" t="e">
        <v>#N/A</v>
      </c>
    </row>
    <row r="23893" spans="1:1" x14ac:dyDescent="0.25">
      <c r="A23893" t="e">
        <v>#N/A</v>
      </c>
    </row>
    <row r="23894" spans="1:1" x14ac:dyDescent="0.25">
      <c r="A23894" t="e">
        <v>#N/A</v>
      </c>
    </row>
    <row r="23895" spans="1:1" x14ac:dyDescent="0.25">
      <c r="A23895" t="e">
        <v>#N/A</v>
      </c>
    </row>
    <row r="23896" spans="1:1" x14ac:dyDescent="0.25">
      <c r="A23896" t="e">
        <v>#N/A</v>
      </c>
    </row>
    <row r="23897" spans="1:1" x14ac:dyDescent="0.25">
      <c r="A23897" t="e">
        <v>#N/A</v>
      </c>
    </row>
    <row r="23898" spans="1:1" x14ac:dyDescent="0.25">
      <c r="A23898" t="e">
        <v>#N/A</v>
      </c>
    </row>
    <row r="23899" spans="1:1" x14ac:dyDescent="0.25">
      <c r="A23899" t="e">
        <v>#N/A</v>
      </c>
    </row>
    <row r="23900" spans="1:1" x14ac:dyDescent="0.25">
      <c r="A23900" t="e">
        <v>#N/A</v>
      </c>
    </row>
    <row r="23901" spans="1:1" x14ac:dyDescent="0.25">
      <c r="A23901" t="e">
        <v>#N/A</v>
      </c>
    </row>
    <row r="23902" spans="1:1" x14ac:dyDescent="0.25">
      <c r="A23902" t="e">
        <v>#N/A</v>
      </c>
    </row>
    <row r="23903" spans="1:1" x14ac:dyDescent="0.25">
      <c r="A23903" t="e">
        <v>#N/A</v>
      </c>
    </row>
    <row r="23904" spans="1:1" x14ac:dyDescent="0.25">
      <c r="A23904" t="e">
        <v>#N/A</v>
      </c>
    </row>
    <row r="23905" spans="1:1" x14ac:dyDescent="0.25">
      <c r="A23905" t="e">
        <v>#N/A</v>
      </c>
    </row>
    <row r="23906" spans="1:1" x14ac:dyDescent="0.25">
      <c r="A23906" t="e">
        <v>#N/A</v>
      </c>
    </row>
    <row r="23907" spans="1:1" x14ac:dyDescent="0.25">
      <c r="A23907" t="e">
        <v>#N/A</v>
      </c>
    </row>
    <row r="23908" spans="1:1" x14ac:dyDescent="0.25">
      <c r="A23908" t="e">
        <v>#N/A</v>
      </c>
    </row>
    <row r="23909" spans="1:1" x14ac:dyDescent="0.25">
      <c r="A23909" t="e">
        <v>#N/A</v>
      </c>
    </row>
    <row r="23910" spans="1:1" x14ac:dyDescent="0.25">
      <c r="A23910" t="e">
        <v>#N/A</v>
      </c>
    </row>
    <row r="23911" spans="1:1" x14ac:dyDescent="0.25">
      <c r="A23911" t="e">
        <v>#N/A</v>
      </c>
    </row>
    <row r="23912" spans="1:1" x14ac:dyDescent="0.25">
      <c r="A23912" t="e">
        <v>#N/A</v>
      </c>
    </row>
    <row r="23913" spans="1:1" x14ac:dyDescent="0.25">
      <c r="A23913" t="e">
        <v>#N/A</v>
      </c>
    </row>
    <row r="23914" spans="1:1" x14ac:dyDescent="0.25">
      <c r="A23914" t="e">
        <v>#N/A</v>
      </c>
    </row>
    <row r="23915" spans="1:1" x14ac:dyDescent="0.25">
      <c r="A23915" t="e">
        <v>#N/A</v>
      </c>
    </row>
    <row r="23916" spans="1:1" x14ac:dyDescent="0.25">
      <c r="A23916" t="e">
        <v>#N/A</v>
      </c>
    </row>
    <row r="23917" spans="1:1" x14ac:dyDescent="0.25">
      <c r="A23917" t="e">
        <v>#N/A</v>
      </c>
    </row>
    <row r="23918" spans="1:1" x14ac:dyDescent="0.25">
      <c r="A23918" t="e">
        <v>#N/A</v>
      </c>
    </row>
    <row r="23919" spans="1:1" x14ac:dyDescent="0.25">
      <c r="A23919" t="e">
        <v>#N/A</v>
      </c>
    </row>
    <row r="23920" spans="1:1" x14ac:dyDescent="0.25">
      <c r="A23920" t="e">
        <v>#N/A</v>
      </c>
    </row>
    <row r="23921" spans="1:1" x14ac:dyDescent="0.25">
      <c r="A23921" t="e">
        <v>#N/A</v>
      </c>
    </row>
    <row r="23922" spans="1:1" x14ac:dyDescent="0.25">
      <c r="A23922" t="e">
        <v>#N/A</v>
      </c>
    </row>
    <row r="23923" spans="1:1" x14ac:dyDescent="0.25">
      <c r="A23923" t="e">
        <v>#N/A</v>
      </c>
    </row>
    <row r="23924" spans="1:1" x14ac:dyDescent="0.25">
      <c r="A23924" t="e">
        <v>#N/A</v>
      </c>
    </row>
    <row r="23925" spans="1:1" x14ac:dyDescent="0.25">
      <c r="A23925" t="e">
        <v>#N/A</v>
      </c>
    </row>
    <row r="23926" spans="1:1" x14ac:dyDescent="0.25">
      <c r="A23926" t="e">
        <v>#N/A</v>
      </c>
    </row>
    <row r="23927" spans="1:1" x14ac:dyDescent="0.25">
      <c r="A23927" t="e">
        <v>#N/A</v>
      </c>
    </row>
    <row r="23928" spans="1:1" x14ac:dyDescent="0.25">
      <c r="A23928" t="e">
        <v>#N/A</v>
      </c>
    </row>
    <row r="23929" spans="1:1" x14ac:dyDescent="0.25">
      <c r="A23929" t="e">
        <v>#N/A</v>
      </c>
    </row>
    <row r="23930" spans="1:1" x14ac:dyDescent="0.25">
      <c r="A23930" t="e">
        <v>#N/A</v>
      </c>
    </row>
    <row r="23931" spans="1:1" x14ac:dyDescent="0.25">
      <c r="A23931" t="e">
        <v>#N/A</v>
      </c>
    </row>
    <row r="23932" spans="1:1" x14ac:dyDescent="0.25">
      <c r="A23932" t="e">
        <v>#N/A</v>
      </c>
    </row>
    <row r="23933" spans="1:1" x14ac:dyDescent="0.25">
      <c r="A23933" t="e">
        <v>#N/A</v>
      </c>
    </row>
    <row r="23934" spans="1:1" x14ac:dyDescent="0.25">
      <c r="A23934" t="e">
        <v>#N/A</v>
      </c>
    </row>
    <row r="23935" spans="1:1" x14ac:dyDescent="0.25">
      <c r="A23935" t="e">
        <v>#N/A</v>
      </c>
    </row>
    <row r="23936" spans="1:1" x14ac:dyDescent="0.25">
      <c r="A23936" t="e">
        <v>#N/A</v>
      </c>
    </row>
    <row r="23937" spans="1:1" x14ac:dyDescent="0.25">
      <c r="A23937" t="e">
        <v>#N/A</v>
      </c>
    </row>
    <row r="23938" spans="1:1" x14ac:dyDescent="0.25">
      <c r="A23938" t="e">
        <v>#N/A</v>
      </c>
    </row>
    <row r="23939" spans="1:1" x14ac:dyDescent="0.25">
      <c r="A23939" t="e">
        <v>#N/A</v>
      </c>
    </row>
    <row r="23940" spans="1:1" x14ac:dyDescent="0.25">
      <c r="A23940" t="e">
        <v>#N/A</v>
      </c>
    </row>
    <row r="23941" spans="1:1" x14ac:dyDescent="0.25">
      <c r="A23941" t="e">
        <v>#N/A</v>
      </c>
    </row>
    <row r="23942" spans="1:1" x14ac:dyDescent="0.25">
      <c r="A23942" t="e">
        <v>#N/A</v>
      </c>
    </row>
    <row r="23943" spans="1:1" x14ac:dyDescent="0.25">
      <c r="A23943" t="e">
        <v>#N/A</v>
      </c>
    </row>
    <row r="23944" spans="1:1" x14ac:dyDescent="0.25">
      <c r="A23944" t="e">
        <v>#N/A</v>
      </c>
    </row>
    <row r="23945" spans="1:1" x14ac:dyDescent="0.25">
      <c r="A23945" t="e">
        <v>#N/A</v>
      </c>
    </row>
    <row r="23946" spans="1:1" x14ac:dyDescent="0.25">
      <c r="A23946" t="e">
        <v>#N/A</v>
      </c>
    </row>
    <row r="23947" spans="1:1" x14ac:dyDescent="0.25">
      <c r="A23947" t="e">
        <v>#N/A</v>
      </c>
    </row>
    <row r="23948" spans="1:1" x14ac:dyDescent="0.25">
      <c r="A23948" t="e">
        <v>#N/A</v>
      </c>
    </row>
    <row r="23949" spans="1:1" x14ac:dyDescent="0.25">
      <c r="A23949" t="e">
        <v>#N/A</v>
      </c>
    </row>
    <row r="23950" spans="1:1" x14ac:dyDescent="0.25">
      <c r="A23950" t="e">
        <v>#N/A</v>
      </c>
    </row>
    <row r="23951" spans="1:1" x14ac:dyDescent="0.25">
      <c r="A23951" t="e">
        <v>#N/A</v>
      </c>
    </row>
    <row r="23952" spans="1:1" x14ac:dyDescent="0.25">
      <c r="A23952" t="e">
        <v>#N/A</v>
      </c>
    </row>
    <row r="23953" spans="1:1" x14ac:dyDescent="0.25">
      <c r="A23953" t="e">
        <v>#N/A</v>
      </c>
    </row>
    <row r="23954" spans="1:1" x14ac:dyDescent="0.25">
      <c r="A23954" t="e">
        <v>#N/A</v>
      </c>
    </row>
    <row r="23955" spans="1:1" x14ac:dyDescent="0.25">
      <c r="A23955" t="e">
        <v>#N/A</v>
      </c>
    </row>
    <row r="23956" spans="1:1" x14ac:dyDescent="0.25">
      <c r="A23956" t="e">
        <v>#N/A</v>
      </c>
    </row>
    <row r="23957" spans="1:1" x14ac:dyDescent="0.25">
      <c r="A23957" t="e">
        <v>#N/A</v>
      </c>
    </row>
    <row r="23958" spans="1:1" x14ac:dyDescent="0.25">
      <c r="A23958" t="e">
        <v>#N/A</v>
      </c>
    </row>
    <row r="23959" spans="1:1" x14ac:dyDescent="0.25">
      <c r="A23959" t="e">
        <v>#N/A</v>
      </c>
    </row>
    <row r="23960" spans="1:1" x14ac:dyDescent="0.25">
      <c r="A23960" t="e">
        <v>#N/A</v>
      </c>
    </row>
    <row r="23961" spans="1:1" x14ac:dyDescent="0.25">
      <c r="A23961" t="e">
        <v>#N/A</v>
      </c>
    </row>
    <row r="23962" spans="1:1" x14ac:dyDescent="0.25">
      <c r="A23962" t="e">
        <v>#N/A</v>
      </c>
    </row>
    <row r="23963" spans="1:1" x14ac:dyDescent="0.25">
      <c r="A23963" t="e">
        <v>#N/A</v>
      </c>
    </row>
    <row r="23964" spans="1:1" x14ac:dyDescent="0.25">
      <c r="A23964" t="e">
        <v>#N/A</v>
      </c>
    </row>
    <row r="23965" spans="1:1" x14ac:dyDescent="0.25">
      <c r="A23965" t="e">
        <v>#N/A</v>
      </c>
    </row>
    <row r="23966" spans="1:1" x14ac:dyDescent="0.25">
      <c r="A23966" t="e">
        <v>#N/A</v>
      </c>
    </row>
    <row r="23967" spans="1:1" x14ac:dyDescent="0.25">
      <c r="A23967" t="e">
        <v>#N/A</v>
      </c>
    </row>
    <row r="23968" spans="1:1" x14ac:dyDescent="0.25">
      <c r="A23968" t="e">
        <v>#N/A</v>
      </c>
    </row>
    <row r="23969" spans="1:1" x14ac:dyDescent="0.25">
      <c r="A23969" t="e">
        <v>#N/A</v>
      </c>
    </row>
    <row r="23970" spans="1:1" x14ac:dyDescent="0.25">
      <c r="A23970" t="e">
        <v>#N/A</v>
      </c>
    </row>
    <row r="23971" spans="1:1" x14ac:dyDescent="0.25">
      <c r="A23971" t="e">
        <v>#N/A</v>
      </c>
    </row>
    <row r="23972" spans="1:1" x14ac:dyDescent="0.25">
      <c r="A23972" t="e">
        <v>#N/A</v>
      </c>
    </row>
    <row r="23973" spans="1:1" x14ac:dyDescent="0.25">
      <c r="A23973" t="e">
        <v>#N/A</v>
      </c>
    </row>
    <row r="23974" spans="1:1" x14ac:dyDescent="0.25">
      <c r="A23974" t="e">
        <v>#N/A</v>
      </c>
    </row>
    <row r="23975" spans="1:1" x14ac:dyDescent="0.25">
      <c r="A23975" t="e">
        <v>#N/A</v>
      </c>
    </row>
    <row r="23976" spans="1:1" x14ac:dyDescent="0.25">
      <c r="A23976" t="e">
        <v>#N/A</v>
      </c>
    </row>
    <row r="23977" spans="1:1" x14ac:dyDescent="0.25">
      <c r="A23977" t="e">
        <v>#N/A</v>
      </c>
    </row>
    <row r="23978" spans="1:1" x14ac:dyDescent="0.25">
      <c r="A23978" t="e">
        <v>#N/A</v>
      </c>
    </row>
    <row r="23979" spans="1:1" x14ac:dyDescent="0.25">
      <c r="A23979" t="e">
        <v>#N/A</v>
      </c>
    </row>
    <row r="23980" spans="1:1" x14ac:dyDescent="0.25">
      <c r="A23980" t="e">
        <v>#N/A</v>
      </c>
    </row>
    <row r="23981" spans="1:1" x14ac:dyDescent="0.25">
      <c r="A23981" t="e">
        <v>#N/A</v>
      </c>
    </row>
    <row r="23982" spans="1:1" x14ac:dyDescent="0.25">
      <c r="A23982" t="e">
        <v>#N/A</v>
      </c>
    </row>
    <row r="23983" spans="1:1" x14ac:dyDescent="0.25">
      <c r="A23983" t="e">
        <v>#N/A</v>
      </c>
    </row>
    <row r="23984" spans="1:1" x14ac:dyDescent="0.25">
      <c r="A23984" t="e">
        <v>#N/A</v>
      </c>
    </row>
    <row r="23985" spans="1:1" x14ac:dyDescent="0.25">
      <c r="A23985" t="e">
        <v>#N/A</v>
      </c>
    </row>
    <row r="23986" spans="1:1" x14ac:dyDescent="0.25">
      <c r="A23986" t="e">
        <v>#N/A</v>
      </c>
    </row>
    <row r="23987" spans="1:1" x14ac:dyDescent="0.25">
      <c r="A23987" t="e">
        <v>#N/A</v>
      </c>
    </row>
    <row r="23988" spans="1:1" x14ac:dyDescent="0.25">
      <c r="A23988" t="e">
        <v>#N/A</v>
      </c>
    </row>
    <row r="23989" spans="1:1" x14ac:dyDescent="0.25">
      <c r="A23989" t="e">
        <v>#N/A</v>
      </c>
    </row>
    <row r="23990" spans="1:1" x14ac:dyDescent="0.25">
      <c r="A23990" t="e">
        <v>#N/A</v>
      </c>
    </row>
    <row r="23991" spans="1:1" x14ac:dyDescent="0.25">
      <c r="A23991" t="e">
        <v>#N/A</v>
      </c>
    </row>
    <row r="23992" spans="1:1" x14ac:dyDescent="0.25">
      <c r="A23992" t="e">
        <v>#N/A</v>
      </c>
    </row>
    <row r="23993" spans="1:1" x14ac:dyDescent="0.25">
      <c r="A23993" t="e">
        <v>#N/A</v>
      </c>
    </row>
    <row r="23994" spans="1:1" x14ac:dyDescent="0.25">
      <c r="A23994" t="e">
        <v>#N/A</v>
      </c>
    </row>
    <row r="23995" spans="1:1" x14ac:dyDescent="0.25">
      <c r="A23995" t="e">
        <v>#N/A</v>
      </c>
    </row>
    <row r="23996" spans="1:1" x14ac:dyDescent="0.25">
      <c r="A23996" t="e">
        <v>#N/A</v>
      </c>
    </row>
    <row r="23997" spans="1:1" x14ac:dyDescent="0.25">
      <c r="A23997" t="e">
        <v>#N/A</v>
      </c>
    </row>
    <row r="23998" spans="1:1" x14ac:dyDescent="0.25">
      <c r="A23998" t="e">
        <v>#N/A</v>
      </c>
    </row>
    <row r="23999" spans="1:1" x14ac:dyDescent="0.25">
      <c r="A23999" t="e">
        <v>#N/A</v>
      </c>
    </row>
    <row r="24000" spans="1:1" x14ac:dyDescent="0.25">
      <c r="A24000" t="e">
        <v>#N/A</v>
      </c>
    </row>
    <row r="24001" spans="1:1" x14ac:dyDescent="0.25">
      <c r="A24001" t="e">
        <v>#N/A</v>
      </c>
    </row>
    <row r="24002" spans="1:1" x14ac:dyDescent="0.25">
      <c r="A24002" t="e">
        <v>#N/A</v>
      </c>
    </row>
    <row r="24003" spans="1:1" x14ac:dyDescent="0.25">
      <c r="A24003" t="e">
        <v>#N/A</v>
      </c>
    </row>
    <row r="24004" spans="1:1" x14ac:dyDescent="0.25">
      <c r="A24004" t="e">
        <v>#N/A</v>
      </c>
    </row>
    <row r="24005" spans="1:1" x14ac:dyDescent="0.25">
      <c r="A24005" t="e">
        <v>#N/A</v>
      </c>
    </row>
    <row r="24006" spans="1:1" x14ac:dyDescent="0.25">
      <c r="A24006" t="e">
        <v>#N/A</v>
      </c>
    </row>
    <row r="24007" spans="1:1" x14ac:dyDescent="0.25">
      <c r="A24007" t="e">
        <v>#N/A</v>
      </c>
    </row>
    <row r="24008" spans="1:1" x14ac:dyDescent="0.25">
      <c r="A24008" t="e">
        <v>#N/A</v>
      </c>
    </row>
    <row r="24009" spans="1:1" x14ac:dyDescent="0.25">
      <c r="A24009" t="e">
        <v>#N/A</v>
      </c>
    </row>
    <row r="24010" spans="1:1" x14ac:dyDescent="0.25">
      <c r="A24010" t="e">
        <v>#N/A</v>
      </c>
    </row>
    <row r="24011" spans="1:1" x14ac:dyDescent="0.25">
      <c r="A24011" t="e">
        <v>#N/A</v>
      </c>
    </row>
    <row r="24012" spans="1:1" x14ac:dyDescent="0.25">
      <c r="A24012" t="e">
        <v>#N/A</v>
      </c>
    </row>
    <row r="24013" spans="1:1" x14ac:dyDescent="0.25">
      <c r="A24013" t="e">
        <v>#N/A</v>
      </c>
    </row>
    <row r="24014" spans="1:1" x14ac:dyDescent="0.25">
      <c r="A24014" t="e">
        <v>#N/A</v>
      </c>
    </row>
    <row r="24015" spans="1:1" x14ac:dyDescent="0.25">
      <c r="A24015" t="e">
        <v>#N/A</v>
      </c>
    </row>
    <row r="24016" spans="1:1" x14ac:dyDescent="0.25">
      <c r="A24016" t="e">
        <v>#N/A</v>
      </c>
    </row>
    <row r="24017" spans="1:1" x14ac:dyDescent="0.25">
      <c r="A24017" t="e">
        <v>#N/A</v>
      </c>
    </row>
    <row r="24018" spans="1:1" x14ac:dyDescent="0.25">
      <c r="A24018" t="e">
        <v>#N/A</v>
      </c>
    </row>
    <row r="24019" spans="1:1" x14ac:dyDescent="0.25">
      <c r="A24019" t="e">
        <v>#N/A</v>
      </c>
    </row>
    <row r="24020" spans="1:1" x14ac:dyDescent="0.25">
      <c r="A24020" t="e">
        <v>#N/A</v>
      </c>
    </row>
    <row r="24021" spans="1:1" x14ac:dyDescent="0.25">
      <c r="A24021" t="e">
        <v>#N/A</v>
      </c>
    </row>
    <row r="24022" spans="1:1" x14ac:dyDescent="0.25">
      <c r="A24022" t="e">
        <v>#N/A</v>
      </c>
    </row>
    <row r="24023" spans="1:1" x14ac:dyDescent="0.25">
      <c r="A24023" t="e">
        <v>#N/A</v>
      </c>
    </row>
    <row r="24024" spans="1:1" x14ac:dyDescent="0.25">
      <c r="A24024" t="e">
        <v>#N/A</v>
      </c>
    </row>
    <row r="24025" spans="1:1" x14ac:dyDescent="0.25">
      <c r="A24025" t="e">
        <v>#N/A</v>
      </c>
    </row>
    <row r="24026" spans="1:1" x14ac:dyDescent="0.25">
      <c r="A24026" t="e">
        <v>#N/A</v>
      </c>
    </row>
    <row r="24027" spans="1:1" x14ac:dyDescent="0.25">
      <c r="A24027" t="e">
        <v>#N/A</v>
      </c>
    </row>
    <row r="24028" spans="1:1" x14ac:dyDescent="0.25">
      <c r="A24028" t="e">
        <v>#N/A</v>
      </c>
    </row>
    <row r="24029" spans="1:1" x14ac:dyDescent="0.25">
      <c r="A24029" t="e">
        <v>#N/A</v>
      </c>
    </row>
    <row r="24030" spans="1:1" x14ac:dyDescent="0.25">
      <c r="A24030" t="e">
        <v>#N/A</v>
      </c>
    </row>
    <row r="24031" spans="1:1" x14ac:dyDescent="0.25">
      <c r="A24031" t="e">
        <v>#N/A</v>
      </c>
    </row>
    <row r="24032" spans="1:1" x14ac:dyDescent="0.25">
      <c r="A24032" t="e">
        <v>#N/A</v>
      </c>
    </row>
    <row r="24033" spans="1:1" x14ac:dyDescent="0.25">
      <c r="A24033" t="e">
        <v>#N/A</v>
      </c>
    </row>
    <row r="24034" spans="1:1" x14ac:dyDescent="0.25">
      <c r="A24034" t="e">
        <v>#N/A</v>
      </c>
    </row>
    <row r="24035" spans="1:1" x14ac:dyDescent="0.25">
      <c r="A24035" t="e">
        <v>#N/A</v>
      </c>
    </row>
    <row r="24036" spans="1:1" x14ac:dyDescent="0.25">
      <c r="A24036" t="e">
        <v>#N/A</v>
      </c>
    </row>
    <row r="24037" spans="1:1" x14ac:dyDescent="0.25">
      <c r="A24037" t="e">
        <v>#N/A</v>
      </c>
    </row>
    <row r="24038" spans="1:1" x14ac:dyDescent="0.25">
      <c r="A24038" t="e">
        <v>#N/A</v>
      </c>
    </row>
    <row r="24039" spans="1:1" x14ac:dyDescent="0.25">
      <c r="A24039" t="e">
        <v>#N/A</v>
      </c>
    </row>
    <row r="24040" spans="1:1" x14ac:dyDescent="0.25">
      <c r="A24040" t="e">
        <v>#N/A</v>
      </c>
    </row>
    <row r="24041" spans="1:1" x14ac:dyDescent="0.25">
      <c r="A24041" t="e">
        <v>#N/A</v>
      </c>
    </row>
    <row r="24042" spans="1:1" x14ac:dyDescent="0.25">
      <c r="A24042" t="e">
        <v>#N/A</v>
      </c>
    </row>
    <row r="24043" spans="1:1" x14ac:dyDescent="0.25">
      <c r="A24043" t="e">
        <v>#N/A</v>
      </c>
    </row>
    <row r="24044" spans="1:1" x14ac:dyDescent="0.25">
      <c r="A24044" t="e">
        <v>#N/A</v>
      </c>
    </row>
    <row r="24045" spans="1:1" x14ac:dyDescent="0.25">
      <c r="A24045" t="e">
        <v>#N/A</v>
      </c>
    </row>
    <row r="24046" spans="1:1" x14ac:dyDescent="0.25">
      <c r="A24046" t="e">
        <v>#N/A</v>
      </c>
    </row>
    <row r="24047" spans="1:1" x14ac:dyDescent="0.25">
      <c r="A24047" t="e">
        <v>#N/A</v>
      </c>
    </row>
    <row r="24048" spans="1:1" x14ac:dyDescent="0.25">
      <c r="A24048" t="e">
        <v>#N/A</v>
      </c>
    </row>
    <row r="24049" spans="1:1" x14ac:dyDescent="0.25">
      <c r="A24049" t="e">
        <v>#N/A</v>
      </c>
    </row>
    <row r="24050" spans="1:1" x14ac:dyDescent="0.25">
      <c r="A24050" t="e">
        <v>#N/A</v>
      </c>
    </row>
    <row r="24051" spans="1:1" x14ac:dyDescent="0.25">
      <c r="A24051" t="e">
        <v>#N/A</v>
      </c>
    </row>
    <row r="24052" spans="1:1" x14ac:dyDescent="0.25">
      <c r="A24052" t="e">
        <v>#N/A</v>
      </c>
    </row>
    <row r="24053" spans="1:1" x14ac:dyDescent="0.25">
      <c r="A24053" t="e">
        <v>#N/A</v>
      </c>
    </row>
    <row r="24054" spans="1:1" x14ac:dyDescent="0.25">
      <c r="A24054" t="e">
        <v>#N/A</v>
      </c>
    </row>
    <row r="24055" spans="1:1" x14ac:dyDescent="0.25">
      <c r="A24055" t="e">
        <v>#N/A</v>
      </c>
    </row>
    <row r="24056" spans="1:1" x14ac:dyDescent="0.25">
      <c r="A24056" t="e">
        <v>#N/A</v>
      </c>
    </row>
    <row r="24057" spans="1:1" x14ac:dyDescent="0.25">
      <c r="A24057" t="e">
        <v>#N/A</v>
      </c>
    </row>
    <row r="24058" spans="1:1" x14ac:dyDescent="0.25">
      <c r="A24058" t="e">
        <v>#N/A</v>
      </c>
    </row>
    <row r="24059" spans="1:1" x14ac:dyDescent="0.25">
      <c r="A24059" t="e">
        <v>#N/A</v>
      </c>
    </row>
    <row r="24060" spans="1:1" x14ac:dyDescent="0.25">
      <c r="A24060" t="e">
        <v>#N/A</v>
      </c>
    </row>
    <row r="24061" spans="1:1" x14ac:dyDescent="0.25">
      <c r="A24061" t="e">
        <v>#N/A</v>
      </c>
    </row>
    <row r="24062" spans="1:1" x14ac:dyDescent="0.25">
      <c r="A24062" t="e">
        <v>#N/A</v>
      </c>
    </row>
    <row r="24063" spans="1:1" x14ac:dyDescent="0.25">
      <c r="A24063" t="e">
        <v>#N/A</v>
      </c>
    </row>
    <row r="24064" spans="1:1" x14ac:dyDescent="0.25">
      <c r="A24064" t="e">
        <v>#N/A</v>
      </c>
    </row>
    <row r="24065" spans="1:1" x14ac:dyDescent="0.25">
      <c r="A24065" t="e">
        <v>#N/A</v>
      </c>
    </row>
    <row r="24066" spans="1:1" x14ac:dyDescent="0.25">
      <c r="A24066" t="e">
        <v>#N/A</v>
      </c>
    </row>
    <row r="24067" spans="1:1" x14ac:dyDescent="0.25">
      <c r="A24067" t="e">
        <v>#N/A</v>
      </c>
    </row>
    <row r="24068" spans="1:1" x14ac:dyDescent="0.25">
      <c r="A24068" t="e">
        <v>#N/A</v>
      </c>
    </row>
    <row r="24069" spans="1:1" x14ac:dyDescent="0.25">
      <c r="A24069" t="e">
        <v>#N/A</v>
      </c>
    </row>
    <row r="24070" spans="1:1" x14ac:dyDescent="0.25">
      <c r="A24070" t="e">
        <v>#N/A</v>
      </c>
    </row>
    <row r="24071" spans="1:1" x14ac:dyDescent="0.25">
      <c r="A24071" t="e">
        <v>#N/A</v>
      </c>
    </row>
    <row r="24072" spans="1:1" x14ac:dyDescent="0.25">
      <c r="A24072" t="e">
        <v>#N/A</v>
      </c>
    </row>
    <row r="24073" spans="1:1" x14ac:dyDescent="0.25">
      <c r="A24073" t="e">
        <v>#N/A</v>
      </c>
    </row>
    <row r="24074" spans="1:1" x14ac:dyDescent="0.25">
      <c r="A24074" t="e">
        <v>#N/A</v>
      </c>
    </row>
    <row r="24075" spans="1:1" x14ac:dyDescent="0.25">
      <c r="A24075" t="e">
        <v>#N/A</v>
      </c>
    </row>
    <row r="24076" spans="1:1" x14ac:dyDescent="0.25">
      <c r="A24076" t="e">
        <v>#N/A</v>
      </c>
    </row>
    <row r="24077" spans="1:1" x14ac:dyDescent="0.25">
      <c r="A24077" t="e">
        <v>#N/A</v>
      </c>
    </row>
    <row r="24078" spans="1:1" x14ac:dyDescent="0.25">
      <c r="A24078" t="e">
        <v>#N/A</v>
      </c>
    </row>
    <row r="24079" spans="1:1" x14ac:dyDescent="0.25">
      <c r="A24079" t="e">
        <v>#N/A</v>
      </c>
    </row>
    <row r="24080" spans="1:1" x14ac:dyDescent="0.25">
      <c r="A24080" t="e">
        <v>#N/A</v>
      </c>
    </row>
    <row r="24081" spans="1:1" x14ac:dyDescent="0.25">
      <c r="A24081" t="e">
        <v>#N/A</v>
      </c>
    </row>
    <row r="24082" spans="1:1" x14ac:dyDescent="0.25">
      <c r="A24082" t="e">
        <v>#N/A</v>
      </c>
    </row>
    <row r="24083" spans="1:1" x14ac:dyDescent="0.25">
      <c r="A24083" t="e">
        <v>#N/A</v>
      </c>
    </row>
    <row r="24084" spans="1:1" x14ac:dyDescent="0.25">
      <c r="A24084" t="e">
        <v>#N/A</v>
      </c>
    </row>
    <row r="24085" spans="1:1" x14ac:dyDescent="0.25">
      <c r="A24085" t="e">
        <v>#N/A</v>
      </c>
    </row>
    <row r="24086" spans="1:1" x14ac:dyDescent="0.25">
      <c r="A24086" t="e">
        <v>#N/A</v>
      </c>
    </row>
    <row r="24087" spans="1:1" x14ac:dyDescent="0.25">
      <c r="A24087" t="e">
        <v>#N/A</v>
      </c>
    </row>
    <row r="24088" spans="1:1" x14ac:dyDescent="0.25">
      <c r="A24088" t="e">
        <v>#N/A</v>
      </c>
    </row>
    <row r="24089" spans="1:1" x14ac:dyDescent="0.25">
      <c r="A24089" t="e">
        <v>#N/A</v>
      </c>
    </row>
    <row r="24090" spans="1:1" x14ac:dyDescent="0.25">
      <c r="A24090" t="e">
        <v>#N/A</v>
      </c>
    </row>
    <row r="24091" spans="1:1" x14ac:dyDescent="0.25">
      <c r="A24091" t="e">
        <v>#N/A</v>
      </c>
    </row>
    <row r="24092" spans="1:1" x14ac:dyDescent="0.25">
      <c r="A24092" t="e">
        <v>#N/A</v>
      </c>
    </row>
    <row r="24093" spans="1:1" x14ac:dyDescent="0.25">
      <c r="A24093" t="e">
        <v>#N/A</v>
      </c>
    </row>
    <row r="24094" spans="1:1" x14ac:dyDescent="0.25">
      <c r="A24094" t="e">
        <v>#N/A</v>
      </c>
    </row>
    <row r="24095" spans="1:1" x14ac:dyDescent="0.25">
      <c r="A24095" t="e">
        <v>#N/A</v>
      </c>
    </row>
    <row r="24096" spans="1:1" x14ac:dyDescent="0.25">
      <c r="A24096" t="e">
        <v>#N/A</v>
      </c>
    </row>
    <row r="24097" spans="1:1" x14ac:dyDescent="0.25">
      <c r="A24097" t="e">
        <v>#N/A</v>
      </c>
    </row>
    <row r="24098" spans="1:1" x14ac:dyDescent="0.25">
      <c r="A24098" t="e">
        <v>#N/A</v>
      </c>
    </row>
    <row r="24099" spans="1:1" x14ac:dyDescent="0.25">
      <c r="A24099" t="e">
        <v>#N/A</v>
      </c>
    </row>
    <row r="24100" spans="1:1" x14ac:dyDescent="0.25">
      <c r="A24100" t="e">
        <v>#N/A</v>
      </c>
    </row>
    <row r="24101" spans="1:1" x14ac:dyDescent="0.25">
      <c r="A24101" t="e">
        <v>#N/A</v>
      </c>
    </row>
    <row r="24102" spans="1:1" x14ac:dyDescent="0.25">
      <c r="A24102" t="e">
        <v>#N/A</v>
      </c>
    </row>
    <row r="24103" spans="1:1" x14ac:dyDescent="0.25">
      <c r="A24103" t="e">
        <v>#N/A</v>
      </c>
    </row>
    <row r="24104" spans="1:1" x14ac:dyDescent="0.25">
      <c r="A24104" t="e">
        <v>#N/A</v>
      </c>
    </row>
    <row r="24105" spans="1:1" x14ac:dyDescent="0.25">
      <c r="A24105" t="e">
        <v>#N/A</v>
      </c>
    </row>
    <row r="24106" spans="1:1" x14ac:dyDescent="0.25">
      <c r="A24106" t="e">
        <v>#N/A</v>
      </c>
    </row>
    <row r="24107" spans="1:1" x14ac:dyDescent="0.25">
      <c r="A24107" t="e">
        <v>#N/A</v>
      </c>
    </row>
    <row r="24108" spans="1:1" x14ac:dyDescent="0.25">
      <c r="A24108" t="e">
        <v>#N/A</v>
      </c>
    </row>
    <row r="24109" spans="1:1" x14ac:dyDescent="0.25">
      <c r="A24109" t="e">
        <v>#N/A</v>
      </c>
    </row>
    <row r="24110" spans="1:1" x14ac:dyDescent="0.25">
      <c r="A24110" t="e">
        <v>#N/A</v>
      </c>
    </row>
    <row r="24111" spans="1:1" x14ac:dyDescent="0.25">
      <c r="A24111" t="e">
        <v>#N/A</v>
      </c>
    </row>
    <row r="24112" spans="1:1" x14ac:dyDescent="0.25">
      <c r="A24112" t="e">
        <v>#N/A</v>
      </c>
    </row>
    <row r="24113" spans="1:1" x14ac:dyDescent="0.25">
      <c r="A24113" t="e">
        <v>#N/A</v>
      </c>
    </row>
    <row r="24114" spans="1:1" x14ac:dyDescent="0.25">
      <c r="A24114" t="e">
        <v>#N/A</v>
      </c>
    </row>
    <row r="24115" spans="1:1" x14ac:dyDescent="0.25">
      <c r="A24115" t="e">
        <v>#N/A</v>
      </c>
    </row>
    <row r="24116" spans="1:1" x14ac:dyDescent="0.25">
      <c r="A24116" t="e">
        <v>#N/A</v>
      </c>
    </row>
    <row r="24117" spans="1:1" x14ac:dyDescent="0.25">
      <c r="A24117" t="e">
        <v>#N/A</v>
      </c>
    </row>
    <row r="24118" spans="1:1" x14ac:dyDescent="0.25">
      <c r="A24118" t="e">
        <v>#N/A</v>
      </c>
    </row>
    <row r="24119" spans="1:1" x14ac:dyDescent="0.25">
      <c r="A24119" t="e">
        <v>#N/A</v>
      </c>
    </row>
    <row r="24120" spans="1:1" x14ac:dyDescent="0.25">
      <c r="A24120" t="e">
        <v>#N/A</v>
      </c>
    </row>
    <row r="24121" spans="1:1" x14ac:dyDescent="0.25">
      <c r="A24121" t="e">
        <v>#N/A</v>
      </c>
    </row>
    <row r="24122" spans="1:1" x14ac:dyDescent="0.25">
      <c r="A24122" t="e">
        <v>#N/A</v>
      </c>
    </row>
    <row r="24123" spans="1:1" x14ac:dyDescent="0.25">
      <c r="A24123" t="e">
        <v>#N/A</v>
      </c>
    </row>
    <row r="24124" spans="1:1" x14ac:dyDescent="0.25">
      <c r="A24124" t="e">
        <v>#N/A</v>
      </c>
    </row>
    <row r="24125" spans="1:1" x14ac:dyDescent="0.25">
      <c r="A24125" t="e">
        <v>#N/A</v>
      </c>
    </row>
    <row r="24126" spans="1:1" x14ac:dyDescent="0.25">
      <c r="A24126" t="e">
        <v>#N/A</v>
      </c>
    </row>
    <row r="24127" spans="1:1" x14ac:dyDescent="0.25">
      <c r="A24127" t="e">
        <v>#N/A</v>
      </c>
    </row>
    <row r="24128" spans="1:1" x14ac:dyDescent="0.25">
      <c r="A24128" t="e">
        <v>#N/A</v>
      </c>
    </row>
    <row r="24129" spans="1:1" x14ac:dyDescent="0.25">
      <c r="A24129" t="e">
        <v>#N/A</v>
      </c>
    </row>
    <row r="24130" spans="1:1" x14ac:dyDescent="0.25">
      <c r="A24130" t="e">
        <v>#N/A</v>
      </c>
    </row>
    <row r="24131" spans="1:1" x14ac:dyDescent="0.25">
      <c r="A24131" t="e">
        <v>#N/A</v>
      </c>
    </row>
    <row r="24132" spans="1:1" x14ac:dyDescent="0.25">
      <c r="A24132" t="e">
        <v>#N/A</v>
      </c>
    </row>
    <row r="24133" spans="1:1" x14ac:dyDescent="0.25">
      <c r="A24133" t="e">
        <v>#N/A</v>
      </c>
    </row>
    <row r="24134" spans="1:1" x14ac:dyDescent="0.25">
      <c r="A24134" t="e">
        <v>#N/A</v>
      </c>
    </row>
    <row r="24135" spans="1:1" x14ac:dyDescent="0.25">
      <c r="A24135" t="e">
        <v>#N/A</v>
      </c>
    </row>
    <row r="24136" spans="1:1" x14ac:dyDescent="0.25">
      <c r="A24136" t="e">
        <v>#N/A</v>
      </c>
    </row>
    <row r="24137" spans="1:1" x14ac:dyDescent="0.25">
      <c r="A24137" t="e">
        <v>#N/A</v>
      </c>
    </row>
    <row r="24138" spans="1:1" x14ac:dyDescent="0.25">
      <c r="A24138" t="e">
        <v>#N/A</v>
      </c>
    </row>
    <row r="24139" spans="1:1" x14ac:dyDescent="0.25">
      <c r="A24139" t="e">
        <v>#N/A</v>
      </c>
    </row>
    <row r="24140" spans="1:1" x14ac:dyDescent="0.25">
      <c r="A24140" t="e">
        <v>#N/A</v>
      </c>
    </row>
    <row r="24141" spans="1:1" x14ac:dyDescent="0.25">
      <c r="A24141" t="e">
        <v>#N/A</v>
      </c>
    </row>
    <row r="24142" spans="1:1" x14ac:dyDescent="0.25">
      <c r="A24142" t="e">
        <v>#N/A</v>
      </c>
    </row>
    <row r="24143" spans="1:1" x14ac:dyDescent="0.25">
      <c r="A24143" t="e">
        <v>#N/A</v>
      </c>
    </row>
    <row r="24144" spans="1:1" x14ac:dyDescent="0.25">
      <c r="A24144" t="e">
        <v>#N/A</v>
      </c>
    </row>
    <row r="24145" spans="1:1" x14ac:dyDescent="0.25">
      <c r="A24145" t="e">
        <v>#N/A</v>
      </c>
    </row>
    <row r="24146" spans="1:1" x14ac:dyDescent="0.25">
      <c r="A24146" t="e">
        <v>#N/A</v>
      </c>
    </row>
    <row r="24147" spans="1:1" x14ac:dyDescent="0.25">
      <c r="A24147" t="e">
        <v>#N/A</v>
      </c>
    </row>
    <row r="24148" spans="1:1" x14ac:dyDescent="0.25">
      <c r="A24148" t="e">
        <v>#N/A</v>
      </c>
    </row>
    <row r="24149" spans="1:1" x14ac:dyDescent="0.25">
      <c r="A24149" t="e">
        <v>#N/A</v>
      </c>
    </row>
    <row r="24150" spans="1:1" x14ac:dyDescent="0.25">
      <c r="A24150" t="e">
        <v>#N/A</v>
      </c>
    </row>
    <row r="24151" spans="1:1" x14ac:dyDescent="0.25">
      <c r="A24151" t="e">
        <v>#N/A</v>
      </c>
    </row>
    <row r="24152" spans="1:1" x14ac:dyDescent="0.25">
      <c r="A24152" t="e">
        <v>#N/A</v>
      </c>
    </row>
    <row r="24153" spans="1:1" x14ac:dyDescent="0.25">
      <c r="A24153" t="e">
        <v>#N/A</v>
      </c>
    </row>
    <row r="24154" spans="1:1" x14ac:dyDescent="0.25">
      <c r="A24154" t="e">
        <v>#N/A</v>
      </c>
    </row>
    <row r="24155" spans="1:1" x14ac:dyDescent="0.25">
      <c r="A24155" t="e">
        <v>#N/A</v>
      </c>
    </row>
    <row r="24156" spans="1:1" x14ac:dyDescent="0.25">
      <c r="A24156" t="e">
        <v>#N/A</v>
      </c>
    </row>
    <row r="24157" spans="1:1" x14ac:dyDescent="0.25">
      <c r="A24157" t="e">
        <v>#N/A</v>
      </c>
    </row>
    <row r="24158" spans="1:1" x14ac:dyDescent="0.25">
      <c r="A24158" t="e">
        <v>#N/A</v>
      </c>
    </row>
    <row r="24159" spans="1:1" x14ac:dyDescent="0.25">
      <c r="A24159" t="e">
        <v>#N/A</v>
      </c>
    </row>
    <row r="24160" spans="1:1" x14ac:dyDescent="0.25">
      <c r="A24160" t="e">
        <v>#N/A</v>
      </c>
    </row>
    <row r="24161" spans="1:1" x14ac:dyDescent="0.25">
      <c r="A24161" t="e">
        <v>#N/A</v>
      </c>
    </row>
    <row r="24162" spans="1:1" x14ac:dyDescent="0.25">
      <c r="A24162" t="e">
        <v>#N/A</v>
      </c>
    </row>
    <row r="24163" spans="1:1" x14ac:dyDescent="0.25">
      <c r="A24163" t="e">
        <v>#N/A</v>
      </c>
    </row>
    <row r="24164" spans="1:1" x14ac:dyDescent="0.25">
      <c r="A24164" t="e">
        <v>#N/A</v>
      </c>
    </row>
    <row r="24165" spans="1:1" x14ac:dyDescent="0.25">
      <c r="A24165" t="e">
        <v>#N/A</v>
      </c>
    </row>
    <row r="24166" spans="1:1" x14ac:dyDescent="0.25">
      <c r="A24166" t="e">
        <v>#N/A</v>
      </c>
    </row>
    <row r="24167" spans="1:1" x14ac:dyDescent="0.25">
      <c r="A24167" t="e">
        <v>#N/A</v>
      </c>
    </row>
    <row r="24168" spans="1:1" x14ac:dyDescent="0.25">
      <c r="A24168" t="e">
        <v>#N/A</v>
      </c>
    </row>
    <row r="24169" spans="1:1" x14ac:dyDescent="0.25">
      <c r="A24169" t="e">
        <v>#N/A</v>
      </c>
    </row>
    <row r="24170" spans="1:1" x14ac:dyDescent="0.25">
      <c r="A24170" t="e">
        <v>#N/A</v>
      </c>
    </row>
    <row r="24171" spans="1:1" x14ac:dyDescent="0.25">
      <c r="A24171" t="e">
        <v>#N/A</v>
      </c>
    </row>
    <row r="24172" spans="1:1" x14ac:dyDescent="0.25">
      <c r="A24172" t="e">
        <v>#N/A</v>
      </c>
    </row>
    <row r="24173" spans="1:1" x14ac:dyDescent="0.25">
      <c r="A24173" t="e">
        <v>#N/A</v>
      </c>
    </row>
    <row r="24174" spans="1:1" x14ac:dyDescent="0.25">
      <c r="A24174" t="e">
        <v>#N/A</v>
      </c>
    </row>
    <row r="24175" spans="1:1" x14ac:dyDescent="0.25">
      <c r="A24175" t="e">
        <v>#N/A</v>
      </c>
    </row>
    <row r="24176" spans="1:1" x14ac:dyDescent="0.25">
      <c r="A24176" t="e">
        <v>#N/A</v>
      </c>
    </row>
    <row r="24177" spans="1:1" x14ac:dyDescent="0.25">
      <c r="A24177" t="e">
        <v>#N/A</v>
      </c>
    </row>
    <row r="24178" spans="1:1" x14ac:dyDescent="0.25">
      <c r="A24178" t="e">
        <v>#N/A</v>
      </c>
    </row>
    <row r="24179" spans="1:1" x14ac:dyDescent="0.25">
      <c r="A24179" t="e">
        <v>#N/A</v>
      </c>
    </row>
    <row r="24180" spans="1:1" x14ac:dyDescent="0.25">
      <c r="A24180" t="e">
        <v>#N/A</v>
      </c>
    </row>
    <row r="24181" spans="1:1" x14ac:dyDescent="0.25">
      <c r="A24181" t="e">
        <v>#N/A</v>
      </c>
    </row>
    <row r="24182" spans="1:1" x14ac:dyDescent="0.25">
      <c r="A24182" t="e">
        <v>#N/A</v>
      </c>
    </row>
    <row r="24183" spans="1:1" x14ac:dyDescent="0.25">
      <c r="A24183" t="e">
        <v>#N/A</v>
      </c>
    </row>
    <row r="24184" spans="1:1" x14ac:dyDescent="0.25">
      <c r="A24184" t="e">
        <v>#N/A</v>
      </c>
    </row>
    <row r="24185" spans="1:1" x14ac:dyDescent="0.25">
      <c r="A24185" t="e">
        <v>#N/A</v>
      </c>
    </row>
    <row r="24186" spans="1:1" x14ac:dyDescent="0.25">
      <c r="A24186" t="e">
        <v>#N/A</v>
      </c>
    </row>
    <row r="24187" spans="1:1" x14ac:dyDescent="0.25">
      <c r="A24187" t="e">
        <v>#N/A</v>
      </c>
    </row>
    <row r="24188" spans="1:1" x14ac:dyDescent="0.25">
      <c r="A24188" t="e">
        <v>#N/A</v>
      </c>
    </row>
    <row r="24189" spans="1:1" x14ac:dyDescent="0.25">
      <c r="A24189" t="e">
        <v>#N/A</v>
      </c>
    </row>
    <row r="24190" spans="1:1" x14ac:dyDescent="0.25">
      <c r="A24190" t="e">
        <v>#N/A</v>
      </c>
    </row>
    <row r="24191" spans="1:1" x14ac:dyDescent="0.25">
      <c r="A24191" t="e">
        <v>#N/A</v>
      </c>
    </row>
    <row r="24192" spans="1:1" x14ac:dyDescent="0.25">
      <c r="A24192" t="e">
        <v>#N/A</v>
      </c>
    </row>
    <row r="24193" spans="1:1" x14ac:dyDescent="0.25">
      <c r="A24193" t="e">
        <v>#N/A</v>
      </c>
    </row>
    <row r="24194" spans="1:1" x14ac:dyDescent="0.25">
      <c r="A24194" t="e">
        <v>#N/A</v>
      </c>
    </row>
    <row r="24195" spans="1:1" x14ac:dyDescent="0.25">
      <c r="A24195" t="e">
        <v>#N/A</v>
      </c>
    </row>
    <row r="24196" spans="1:1" x14ac:dyDescent="0.25">
      <c r="A24196" t="e">
        <v>#N/A</v>
      </c>
    </row>
    <row r="24197" spans="1:1" x14ac:dyDescent="0.25">
      <c r="A24197" t="e">
        <v>#N/A</v>
      </c>
    </row>
    <row r="24198" spans="1:1" x14ac:dyDescent="0.25">
      <c r="A24198" t="e">
        <v>#N/A</v>
      </c>
    </row>
    <row r="24199" spans="1:1" x14ac:dyDescent="0.25">
      <c r="A24199" t="e">
        <v>#N/A</v>
      </c>
    </row>
    <row r="24200" spans="1:1" x14ac:dyDescent="0.25">
      <c r="A24200" t="e">
        <v>#N/A</v>
      </c>
    </row>
    <row r="24201" spans="1:1" x14ac:dyDescent="0.25">
      <c r="A24201" t="e">
        <v>#N/A</v>
      </c>
    </row>
    <row r="24202" spans="1:1" x14ac:dyDescent="0.25">
      <c r="A24202" t="e">
        <v>#N/A</v>
      </c>
    </row>
    <row r="24203" spans="1:1" x14ac:dyDescent="0.25">
      <c r="A24203" t="e">
        <v>#N/A</v>
      </c>
    </row>
    <row r="24204" spans="1:1" x14ac:dyDescent="0.25">
      <c r="A24204" t="e">
        <v>#N/A</v>
      </c>
    </row>
    <row r="24205" spans="1:1" x14ac:dyDescent="0.25">
      <c r="A24205" t="e">
        <v>#N/A</v>
      </c>
    </row>
    <row r="24206" spans="1:1" x14ac:dyDescent="0.25">
      <c r="A24206" t="e">
        <v>#N/A</v>
      </c>
    </row>
    <row r="24207" spans="1:1" x14ac:dyDescent="0.25">
      <c r="A24207" t="e">
        <v>#N/A</v>
      </c>
    </row>
    <row r="24208" spans="1:1" x14ac:dyDescent="0.25">
      <c r="A24208" t="e">
        <v>#N/A</v>
      </c>
    </row>
    <row r="24209" spans="1:1" x14ac:dyDescent="0.25">
      <c r="A24209" t="e">
        <v>#N/A</v>
      </c>
    </row>
    <row r="24210" spans="1:1" x14ac:dyDescent="0.25">
      <c r="A24210" t="e">
        <v>#N/A</v>
      </c>
    </row>
    <row r="24211" spans="1:1" x14ac:dyDescent="0.25">
      <c r="A24211" t="e">
        <v>#N/A</v>
      </c>
    </row>
    <row r="24212" spans="1:1" x14ac:dyDescent="0.25">
      <c r="A24212" t="e">
        <v>#N/A</v>
      </c>
    </row>
    <row r="24213" spans="1:1" x14ac:dyDescent="0.25">
      <c r="A24213" t="e">
        <v>#N/A</v>
      </c>
    </row>
    <row r="24214" spans="1:1" x14ac:dyDescent="0.25">
      <c r="A24214" t="e">
        <v>#N/A</v>
      </c>
    </row>
    <row r="24215" spans="1:1" x14ac:dyDescent="0.25">
      <c r="A24215" t="e">
        <v>#N/A</v>
      </c>
    </row>
    <row r="24216" spans="1:1" x14ac:dyDescent="0.25">
      <c r="A24216" t="e">
        <v>#N/A</v>
      </c>
    </row>
    <row r="24217" spans="1:1" x14ac:dyDescent="0.25">
      <c r="A24217" t="e">
        <v>#N/A</v>
      </c>
    </row>
    <row r="24218" spans="1:1" x14ac:dyDescent="0.25">
      <c r="A24218" t="e">
        <v>#N/A</v>
      </c>
    </row>
    <row r="24219" spans="1:1" x14ac:dyDescent="0.25">
      <c r="A24219" t="e">
        <v>#N/A</v>
      </c>
    </row>
    <row r="24220" spans="1:1" x14ac:dyDescent="0.25">
      <c r="A24220" t="e">
        <v>#N/A</v>
      </c>
    </row>
    <row r="24221" spans="1:1" x14ac:dyDescent="0.25">
      <c r="A24221" t="e">
        <v>#N/A</v>
      </c>
    </row>
    <row r="24222" spans="1:1" x14ac:dyDescent="0.25">
      <c r="A24222" t="e">
        <v>#N/A</v>
      </c>
    </row>
    <row r="24223" spans="1:1" x14ac:dyDescent="0.25">
      <c r="A24223" t="e">
        <v>#N/A</v>
      </c>
    </row>
    <row r="24224" spans="1:1" x14ac:dyDescent="0.25">
      <c r="A24224" t="e">
        <v>#N/A</v>
      </c>
    </row>
    <row r="24225" spans="1:1" x14ac:dyDescent="0.25">
      <c r="A24225" t="e">
        <v>#N/A</v>
      </c>
    </row>
    <row r="24226" spans="1:1" x14ac:dyDescent="0.25">
      <c r="A24226" t="e">
        <v>#N/A</v>
      </c>
    </row>
    <row r="24227" spans="1:1" x14ac:dyDescent="0.25">
      <c r="A24227" t="e">
        <v>#N/A</v>
      </c>
    </row>
    <row r="24228" spans="1:1" x14ac:dyDescent="0.25">
      <c r="A24228" t="e">
        <v>#N/A</v>
      </c>
    </row>
    <row r="24229" spans="1:1" x14ac:dyDescent="0.25">
      <c r="A24229" t="e">
        <v>#N/A</v>
      </c>
    </row>
    <row r="24230" spans="1:1" x14ac:dyDescent="0.25">
      <c r="A24230" t="e">
        <v>#N/A</v>
      </c>
    </row>
    <row r="24231" spans="1:1" x14ac:dyDescent="0.25">
      <c r="A24231" t="e">
        <v>#N/A</v>
      </c>
    </row>
    <row r="24232" spans="1:1" x14ac:dyDescent="0.25">
      <c r="A24232" t="e">
        <v>#N/A</v>
      </c>
    </row>
    <row r="24233" spans="1:1" x14ac:dyDescent="0.25">
      <c r="A24233" t="e">
        <v>#N/A</v>
      </c>
    </row>
    <row r="24234" spans="1:1" x14ac:dyDescent="0.25">
      <c r="A24234" t="e">
        <v>#N/A</v>
      </c>
    </row>
    <row r="24235" spans="1:1" x14ac:dyDescent="0.25">
      <c r="A24235" t="e">
        <v>#N/A</v>
      </c>
    </row>
    <row r="24236" spans="1:1" x14ac:dyDescent="0.25">
      <c r="A24236" t="e">
        <v>#N/A</v>
      </c>
    </row>
    <row r="24237" spans="1:1" x14ac:dyDescent="0.25">
      <c r="A24237" t="e">
        <v>#N/A</v>
      </c>
    </row>
    <row r="24238" spans="1:1" x14ac:dyDescent="0.25">
      <c r="A24238" t="e">
        <v>#N/A</v>
      </c>
    </row>
    <row r="24239" spans="1:1" x14ac:dyDescent="0.25">
      <c r="A24239" t="e">
        <v>#N/A</v>
      </c>
    </row>
    <row r="24240" spans="1:1" x14ac:dyDescent="0.25">
      <c r="A24240" t="e">
        <v>#N/A</v>
      </c>
    </row>
    <row r="24241" spans="1:1" x14ac:dyDescent="0.25">
      <c r="A24241" t="e">
        <v>#N/A</v>
      </c>
    </row>
    <row r="24242" spans="1:1" x14ac:dyDescent="0.25">
      <c r="A24242" t="e">
        <v>#N/A</v>
      </c>
    </row>
    <row r="24243" spans="1:1" x14ac:dyDescent="0.25">
      <c r="A24243" t="e">
        <v>#N/A</v>
      </c>
    </row>
    <row r="24244" spans="1:1" x14ac:dyDescent="0.25">
      <c r="A24244" t="e">
        <v>#N/A</v>
      </c>
    </row>
    <row r="24245" spans="1:1" x14ac:dyDescent="0.25">
      <c r="A24245" t="e">
        <v>#N/A</v>
      </c>
    </row>
    <row r="24246" spans="1:1" x14ac:dyDescent="0.25">
      <c r="A24246" t="e">
        <v>#N/A</v>
      </c>
    </row>
    <row r="24247" spans="1:1" x14ac:dyDescent="0.25">
      <c r="A24247" t="e">
        <v>#N/A</v>
      </c>
    </row>
    <row r="24248" spans="1:1" x14ac:dyDescent="0.25">
      <c r="A24248" t="e">
        <v>#N/A</v>
      </c>
    </row>
    <row r="24249" spans="1:1" x14ac:dyDescent="0.25">
      <c r="A24249" t="e">
        <v>#N/A</v>
      </c>
    </row>
    <row r="24250" spans="1:1" x14ac:dyDescent="0.25">
      <c r="A24250" t="e">
        <v>#N/A</v>
      </c>
    </row>
    <row r="24251" spans="1:1" x14ac:dyDescent="0.25">
      <c r="A24251" t="e">
        <v>#N/A</v>
      </c>
    </row>
    <row r="24252" spans="1:1" x14ac:dyDescent="0.25">
      <c r="A24252" t="e">
        <v>#N/A</v>
      </c>
    </row>
    <row r="24253" spans="1:1" x14ac:dyDescent="0.25">
      <c r="A24253" t="e">
        <v>#N/A</v>
      </c>
    </row>
    <row r="24254" spans="1:1" x14ac:dyDescent="0.25">
      <c r="A24254" t="e">
        <v>#N/A</v>
      </c>
    </row>
    <row r="24255" spans="1:1" x14ac:dyDescent="0.25">
      <c r="A24255" t="e">
        <v>#N/A</v>
      </c>
    </row>
    <row r="24256" spans="1:1" x14ac:dyDescent="0.25">
      <c r="A24256" t="e">
        <v>#N/A</v>
      </c>
    </row>
    <row r="24257" spans="1:1" x14ac:dyDescent="0.25">
      <c r="A24257" t="e">
        <v>#N/A</v>
      </c>
    </row>
    <row r="24258" spans="1:1" x14ac:dyDescent="0.25">
      <c r="A24258" t="e">
        <v>#N/A</v>
      </c>
    </row>
    <row r="24259" spans="1:1" x14ac:dyDescent="0.25">
      <c r="A24259" t="e">
        <v>#N/A</v>
      </c>
    </row>
    <row r="24260" spans="1:1" x14ac:dyDescent="0.25">
      <c r="A24260" t="e">
        <v>#N/A</v>
      </c>
    </row>
    <row r="24261" spans="1:1" x14ac:dyDescent="0.25">
      <c r="A24261" t="e">
        <v>#N/A</v>
      </c>
    </row>
    <row r="24262" spans="1:1" x14ac:dyDescent="0.25">
      <c r="A24262" t="e">
        <v>#N/A</v>
      </c>
    </row>
    <row r="24263" spans="1:1" x14ac:dyDescent="0.25">
      <c r="A24263" t="e">
        <v>#N/A</v>
      </c>
    </row>
    <row r="24264" spans="1:1" x14ac:dyDescent="0.25">
      <c r="A24264" t="e">
        <v>#N/A</v>
      </c>
    </row>
    <row r="24265" spans="1:1" x14ac:dyDescent="0.25">
      <c r="A24265" t="e">
        <v>#N/A</v>
      </c>
    </row>
    <row r="24266" spans="1:1" x14ac:dyDescent="0.25">
      <c r="A24266" t="e">
        <v>#N/A</v>
      </c>
    </row>
    <row r="24267" spans="1:1" x14ac:dyDescent="0.25">
      <c r="A24267" t="e">
        <v>#N/A</v>
      </c>
    </row>
    <row r="24268" spans="1:1" x14ac:dyDescent="0.25">
      <c r="A24268" t="e">
        <v>#N/A</v>
      </c>
    </row>
    <row r="24269" spans="1:1" x14ac:dyDescent="0.25">
      <c r="A24269" t="e">
        <v>#N/A</v>
      </c>
    </row>
    <row r="24270" spans="1:1" x14ac:dyDescent="0.25">
      <c r="A24270" t="e">
        <v>#N/A</v>
      </c>
    </row>
    <row r="24271" spans="1:1" x14ac:dyDescent="0.25">
      <c r="A24271" t="e">
        <v>#N/A</v>
      </c>
    </row>
    <row r="24272" spans="1:1" x14ac:dyDescent="0.25">
      <c r="A24272" t="e">
        <v>#N/A</v>
      </c>
    </row>
    <row r="24273" spans="1:1" x14ac:dyDescent="0.25">
      <c r="A24273" t="e">
        <v>#N/A</v>
      </c>
    </row>
    <row r="24274" spans="1:1" x14ac:dyDescent="0.25">
      <c r="A24274" t="e">
        <v>#N/A</v>
      </c>
    </row>
    <row r="24275" spans="1:1" x14ac:dyDescent="0.25">
      <c r="A24275" t="e">
        <v>#N/A</v>
      </c>
    </row>
    <row r="24276" spans="1:1" x14ac:dyDescent="0.25">
      <c r="A24276" t="e">
        <v>#N/A</v>
      </c>
    </row>
    <row r="24277" spans="1:1" x14ac:dyDescent="0.25">
      <c r="A24277" t="e">
        <v>#N/A</v>
      </c>
    </row>
    <row r="24278" spans="1:1" x14ac:dyDescent="0.25">
      <c r="A24278" t="e">
        <v>#N/A</v>
      </c>
    </row>
    <row r="24279" spans="1:1" x14ac:dyDescent="0.25">
      <c r="A24279" t="e">
        <v>#N/A</v>
      </c>
    </row>
    <row r="24280" spans="1:1" x14ac:dyDescent="0.25">
      <c r="A24280" t="e">
        <v>#N/A</v>
      </c>
    </row>
    <row r="24281" spans="1:1" x14ac:dyDescent="0.25">
      <c r="A24281" t="e">
        <v>#N/A</v>
      </c>
    </row>
    <row r="24282" spans="1:1" x14ac:dyDescent="0.25">
      <c r="A24282" t="e">
        <v>#N/A</v>
      </c>
    </row>
    <row r="24283" spans="1:1" x14ac:dyDescent="0.25">
      <c r="A24283" t="e">
        <v>#N/A</v>
      </c>
    </row>
    <row r="24284" spans="1:1" x14ac:dyDescent="0.25">
      <c r="A24284" t="e">
        <v>#N/A</v>
      </c>
    </row>
    <row r="24285" spans="1:1" x14ac:dyDescent="0.25">
      <c r="A24285" t="e">
        <v>#N/A</v>
      </c>
    </row>
    <row r="24286" spans="1:1" x14ac:dyDescent="0.25">
      <c r="A24286" t="e">
        <v>#N/A</v>
      </c>
    </row>
    <row r="24287" spans="1:1" x14ac:dyDescent="0.25">
      <c r="A24287" t="e">
        <v>#N/A</v>
      </c>
    </row>
    <row r="24288" spans="1:1" x14ac:dyDescent="0.25">
      <c r="A24288" t="e">
        <v>#N/A</v>
      </c>
    </row>
    <row r="24289" spans="1:1" x14ac:dyDescent="0.25">
      <c r="A24289" t="e">
        <v>#N/A</v>
      </c>
    </row>
    <row r="24290" spans="1:1" x14ac:dyDescent="0.25">
      <c r="A24290" t="e">
        <v>#N/A</v>
      </c>
    </row>
    <row r="24291" spans="1:1" x14ac:dyDescent="0.25">
      <c r="A24291" t="e">
        <v>#N/A</v>
      </c>
    </row>
    <row r="24292" spans="1:1" x14ac:dyDescent="0.25">
      <c r="A24292" t="e">
        <v>#N/A</v>
      </c>
    </row>
    <row r="24293" spans="1:1" x14ac:dyDescent="0.25">
      <c r="A24293" t="e">
        <v>#N/A</v>
      </c>
    </row>
    <row r="24294" spans="1:1" x14ac:dyDescent="0.25">
      <c r="A24294" t="e">
        <v>#N/A</v>
      </c>
    </row>
    <row r="24295" spans="1:1" x14ac:dyDescent="0.25">
      <c r="A24295" t="e">
        <v>#N/A</v>
      </c>
    </row>
    <row r="24296" spans="1:1" x14ac:dyDescent="0.25">
      <c r="A24296" t="e">
        <v>#N/A</v>
      </c>
    </row>
    <row r="24297" spans="1:1" x14ac:dyDescent="0.25">
      <c r="A24297" t="e">
        <v>#N/A</v>
      </c>
    </row>
    <row r="24298" spans="1:1" x14ac:dyDescent="0.25">
      <c r="A24298" t="e">
        <v>#N/A</v>
      </c>
    </row>
    <row r="24299" spans="1:1" x14ac:dyDescent="0.25">
      <c r="A24299" t="e">
        <v>#N/A</v>
      </c>
    </row>
    <row r="24300" spans="1:1" x14ac:dyDescent="0.25">
      <c r="A24300" t="e">
        <v>#N/A</v>
      </c>
    </row>
    <row r="24301" spans="1:1" x14ac:dyDescent="0.25">
      <c r="A24301" t="e">
        <v>#N/A</v>
      </c>
    </row>
    <row r="24302" spans="1:1" x14ac:dyDescent="0.25">
      <c r="A24302" t="e">
        <v>#N/A</v>
      </c>
    </row>
    <row r="24303" spans="1:1" x14ac:dyDescent="0.25">
      <c r="A24303" t="e">
        <v>#N/A</v>
      </c>
    </row>
    <row r="24304" spans="1:1" x14ac:dyDescent="0.25">
      <c r="A24304" t="e">
        <v>#N/A</v>
      </c>
    </row>
    <row r="24305" spans="1:1" x14ac:dyDescent="0.25">
      <c r="A24305" t="e">
        <v>#N/A</v>
      </c>
    </row>
    <row r="24306" spans="1:1" x14ac:dyDescent="0.25">
      <c r="A24306" t="e">
        <v>#N/A</v>
      </c>
    </row>
    <row r="24307" spans="1:1" x14ac:dyDescent="0.25">
      <c r="A24307" t="e">
        <v>#N/A</v>
      </c>
    </row>
    <row r="24308" spans="1:1" x14ac:dyDescent="0.25">
      <c r="A24308" t="e">
        <v>#N/A</v>
      </c>
    </row>
    <row r="24309" spans="1:1" x14ac:dyDescent="0.25">
      <c r="A24309" t="e">
        <v>#N/A</v>
      </c>
    </row>
    <row r="24310" spans="1:1" x14ac:dyDescent="0.25">
      <c r="A24310" t="e">
        <v>#N/A</v>
      </c>
    </row>
    <row r="24311" spans="1:1" x14ac:dyDescent="0.25">
      <c r="A24311" t="e">
        <v>#N/A</v>
      </c>
    </row>
    <row r="24312" spans="1:1" x14ac:dyDescent="0.25">
      <c r="A24312" t="e">
        <v>#N/A</v>
      </c>
    </row>
    <row r="24313" spans="1:1" x14ac:dyDescent="0.25">
      <c r="A24313" t="e">
        <v>#N/A</v>
      </c>
    </row>
    <row r="24314" spans="1:1" x14ac:dyDescent="0.25">
      <c r="A24314" t="e">
        <v>#N/A</v>
      </c>
    </row>
    <row r="24315" spans="1:1" x14ac:dyDescent="0.25">
      <c r="A24315" t="e">
        <v>#N/A</v>
      </c>
    </row>
    <row r="24316" spans="1:1" x14ac:dyDescent="0.25">
      <c r="A24316" t="e">
        <v>#N/A</v>
      </c>
    </row>
    <row r="24317" spans="1:1" x14ac:dyDescent="0.25">
      <c r="A24317" t="e">
        <v>#N/A</v>
      </c>
    </row>
    <row r="24318" spans="1:1" x14ac:dyDescent="0.25">
      <c r="A24318" t="e">
        <v>#N/A</v>
      </c>
    </row>
    <row r="24319" spans="1:1" x14ac:dyDescent="0.25">
      <c r="A24319" t="e">
        <v>#N/A</v>
      </c>
    </row>
    <row r="24320" spans="1:1" x14ac:dyDescent="0.25">
      <c r="A24320" t="e">
        <v>#N/A</v>
      </c>
    </row>
    <row r="24321" spans="1:1" x14ac:dyDescent="0.25">
      <c r="A24321" t="e">
        <v>#N/A</v>
      </c>
    </row>
    <row r="24322" spans="1:1" x14ac:dyDescent="0.25">
      <c r="A24322" t="e">
        <v>#N/A</v>
      </c>
    </row>
    <row r="24323" spans="1:1" x14ac:dyDescent="0.25">
      <c r="A24323" t="e">
        <v>#N/A</v>
      </c>
    </row>
    <row r="24324" spans="1:1" x14ac:dyDescent="0.25">
      <c r="A24324" t="e">
        <v>#N/A</v>
      </c>
    </row>
    <row r="24325" spans="1:1" x14ac:dyDescent="0.25">
      <c r="A24325" t="e">
        <v>#N/A</v>
      </c>
    </row>
    <row r="24326" spans="1:1" x14ac:dyDescent="0.25">
      <c r="A24326" t="e">
        <v>#N/A</v>
      </c>
    </row>
    <row r="24327" spans="1:1" x14ac:dyDescent="0.25">
      <c r="A24327" t="e">
        <v>#N/A</v>
      </c>
    </row>
    <row r="24328" spans="1:1" x14ac:dyDescent="0.25">
      <c r="A24328" t="e">
        <v>#N/A</v>
      </c>
    </row>
    <row r="24329" spans="1:1" x14ac:dyDescent="0.25">
      <c r="A24329" t="e">
        <v>#N/A</v>
      </c>
    </row>
    <row r="24330" spans="1:1" x14ac:dyDescent="0.25">
      <c r="A24330" t="e">
        <v>#N/A</v>
      </c>
    </row>
    <row r="24331" spans="1:1" x14ac:dyDescent="0.25">
      <c r="A24331" t="e">
        <v>#N/A</v>
      </c>
    </row>
    <row r="24332" spans="1:1" x14ac:dyDescent="0.25">
      <c r="A24332" t="e">
        <v>#N/A</v>
      </c>
    </row>
    <row r="24333" spans="1:1" x14ac:dyDescent="0.25">
      <c r="A24333" t="e">
        <v>#N/A</v>
      </c>
    </row>
    <row r="24334" spans="1:1" x14ac:dyDescent="0.25">
      <c r="A24334" t="e">
        <v>#N/A</v>
      </c>
    </row>
    <row r="24335" spans="1:1" x14ac:dyDescent="0.25">
      <c r="A24335" t="e">
        <v>#N/A</v>
      </c>
    </row>
    <row r="24336" spans="1:1" x14ac:dyDescent="0.25">
      <c r="A24336" t="e">
        <v>#N/A</v>
      </c>
    </row>
    <row r="24337" spans="1:1" x14ac:dyDescent="0.25">
      <c r="A24337" t="e">
        <v>#N/A</v>
      </c>
    </row>
    <row r="24338" spans="1:1" x14ac:dyDescent="0.25">
      <c r="A24338" t="e">
        <v>#N/A</v>
      </c>
    </row>
    <row r="24339" spans="1:1" x14ac:dyDescent="0.25">
      <c r="A24339" t="e">
        <v>#N/A</v>
      </c>
    </row>
    <row r="24340" spans="1:1" x14ac:dyDescent="0.25">
      <c r="A24340" t="e">
        <v>#N/A</v>
      </c>
    </row>
    <row r="24341" spans="1:1" x14ac:dyDescent="0.25">
      <c r="A24341" t="e">
        <v>#N/A</v>
      </c>
    </row>
    <row r="24342" spans="1:1" x14ac:dyDescent="0.25">
      <c r="A24342" t="e">
        <v>#N/A</v>
      </c>
    </row>
    <row r="24343" spans="1:1" x14ac:dyDescent="0.25">
      <c r="A24343" t="e">
        <v>#N/A</v>
      </c>
    </row>
    <row r="24344" spans="1:1" x14ac:dyDescent="0.25">
      <c r="A24344" t="e">
        <v>#N/A</v>
      </c>
    </row>
    <row r="24345" spans="1:1" x14ac:dyDescent="0.25">
      <c r="A24345" t="e">
        <v>#N/A</v>
      </c>
    </row>
    <row r="24346" spans="1:1" x14ac:dyDescent="0.25">
      <c r="A24346" t="e">
        <v>#N/A</v>
      </c>
    </row>
    <row r="24347" spans="1:1" x14ac:dyDescent="0.25">
      <c r="A24347" t="e">
        <v>#N/A</v>
      </c>
    </row>
    <row r="24348" spans="1:1" x14ac:dyDescent="0.25">
      <c r="A24348" t="e">
        <v>#N/A</v>
      </c>
    </row>
    <row r="24349" spans="1:1" x14ac:dyDescent="0.25">
      <c r="A24349" t="e">
        <v>#N/A</v>
      </c>
    </row>
    <row r="24350" spans="1:1" x14ac:dyDescent="0.25">
      <c r="A24350" t="e">
        <v>#N/A</v>
      </c>
    </row>
    <row r="24351" spans="1:1" x14ac:dyDescent="0.25">
      <c r="A24351" t="e">
        <v>#N/A</v>
      </c>
    </row>
    <row r="24352" spans="1:1" x14ac:dyDescent="0.25">
      <c r="A24352" t="e">
        <v>#N/A</v>
      </c>
    </row>
    <row r="24353" spans="1:1" x14ac:dyDescent="0.25">
      <c r="A24353" t="e">
        <v>#N/A</v>
      </c>
    </row>
    <row r="24354" spans="1:1" x14ac:dyDescent="0.25">
      <c r="A24354" t="e">
        <v>#N/A</v>
      </c>
    </row>
    <row r="24355" spans="1:1" x14ac:dyDescent="0.25">
      <c r="A24355" t="e">
        <v>#N/A</v>
      </c>
    </row>
    <row r="24356" spans="1:1" x14ac:dyDescent="0.25">
      <c r="A24356" t="e">
        <v>#N/A</v>
      </c>
    </row>
    <row r="24357" spans="1:1" x14ac:dyDescent="0.25">
      <c r="A24357" t="e">
        <v>#N/A</v>
      </c>
    </row>
    <row r="24358" spans="1:1" x14ac:dyDescent="0.25">
      <c r="A24358" t="e">
        <v>#N/A</v>
      </c>
    </row>
    <row r="24359" spans="1:1" x14ac:dyDescent="0.25">
      <c r="A24359" t="e">
        <v>#N/A</v>
      </c>
    </row>
    <row r="24360" spans="1:1" x14ac:dyDescent="0.25">
      <c r="A24360" t="e">
        <v>#N/A</v>
      </c>
    </row>
    <row r="24361" spans="1:1" x14ac:dyDescent="0.25">
      <c r="A24361" t="e">
        <v>#N/A</v>
      </c>
    </row>
    <row r="24362" spans="1:1" x14ac:dyDescent="0.25">
      <c r="A24362" t="e">
        <v>#N/A</v>
      </c>
    </row>
    <row r="24363" spans="1:1" x14ac:dyDescent="0.25">
      <c r="A24363" t="e">
        <v>#N/A</v>
      </c>
    </row>
    <row r="24364" spans="1:1" x14ac:dyDescent="0.25">
      <c r="A24364" t="e">
        <v>#N/A</v>
      </c>
    </row>
    <row r="24365" spans="1:1" x14ac:dyDescent="0.25">
      <c r="A24365" t="e">
        <v>#N/A</v>
      </c>
    </row>
    <row r="24366" spans="1:1" x14ac:dyDescent="0.25">
      <c r="A24366" t="e">
        <v>#N/A</v>
      </c>
    </row>
    <row r="24367" spans="1:1" x14ac:dyDescent="0.25">
      <c r="A24367" t="e">
        <v>#N/A</v>
      </c>
    </row>
    <row r="24368" spans="1:1" x14ac:dyDescent="0.25">
      <c r="A24368" t="e">
        <v>#N/A</v>
      </c>
    </row>
    <row r="24369" spans="1:1" x14ac:dyDescent="0.25">
      <c r="A24369" t="e">
        <v>#N/A</v>
      </c>
    </row>
    <row r="24370" spans="1:1" x14ac:dyDescent="0.25">
      <c r="A24370" t="e">
        <v>#N/A</v>
      </c>
    </row>
    <row r="24371" spans="1:1" x14ac:dyDescent="0.25">
      <c r="A24371" t="e">
        <v>#N/A</v>
      </c>
    </row>
    <row r="24372" spans="1:1" x14ac:dyDescent="0.25">
      <c r="A24372" t="e">
        <v>#N/A</v>
      </c>
    </row>
    <row r="24373" spans="1:1" x14ac:dyDescent="0.25">
      <c r="A24373" t="e">
        <v>#N/A</v>
      </c>
    </row>
    <row r="24374" spans="1:1" x14ac:dyDescent="0.25">
      <c r="A24374" t="e">
        <v>#N/A</v>
      </c>
    </row>
    <row r="24375" spans="1:1" x14ac:dyDescent="0.25">
      <c r="A24375" t="e">
        <v>#N/A</v>
      </c>
    </row>
    <row r="24376" spans="1:1" x14ac:dyDescent="0.25">
      <c r="A24376" t="e">
        <v>#N/A</v>
      </c>
    </row>
    <row r="24377" spans="1:1" x14ac:dyDescent="0.25">
      <c r="A24377" t="e">
        <v>#N/A</v>
      </c>
    </row>
    <row r="24378" spans="1:1" x14ac:dyDescent="0.25">
      <c r="A24378" t="e">
        <v>#N/A</v>
      </c>
    </row>
    <row r="24379" spans="1:1" x14ac:dyDescent="0.25">
      <c r="A24379" t="e">
        <v>#N/A</v>
      </c>
    </row>
    <row r="24380" spans="1:1" x14ac:dyDescent="0.25">
      <c r="A24380" t="e">
        <v>#N/A</v>
      </c>
    </row>
    <row r="24381" spans="1:1" x14ac:dyDescent="0.25">
      <c r="A24381" t="e">
        <v>#N/A</v>
      </c>
    </row>
    <row r="24382" spans="1:1" x14ac:dyDescent="0.25">
      <c r="A24382" t="e">
        <v>#N/A</v>
      </c>
    </row>
    <row r="24383" spans="1:1" x14ac:dyDescent="0.25">
      <c r="A24383" t="e">
        <v>#N/A</v>
      </c>
    </row>
    <row r="24384" spans="1:1" x14ac:dyDescent="0.25">
      <c r="A24384" t="e">
        <v>#N/A</v>
      </c>
    </row>
    <row r="24385" spans="1:1" x14ac:dyDescent="0.25">
      <c r="A24385" t="e">
        <v>#N/A</v>
      </c>
    </row>
    <row r="24386" spans="1:1" x14ac:dyDescent="0.25">
      <c r="A24386" t="e">
        <v>#N/A</v>
      </c>
    </row>
    <row r="24387" spans="1:1" x14ac:dyDescent="0.25">
      <c r="A24387" t="e">
        <v>#N/A</v>
      </c>
    </row>
    <row r="24388" spans="1:1" x14ac:dyDescent="0.25">
      <c r="A24388" t="e">
        <v>#N/A</v>
      </c>
    </row>
    <row r="24389" spans="1:1" x14ac:dyDescent="0.25">
      <c r="A24389" t="e">
        <v>#N/A</v>
      </c>
    </row>
    <row r="24390" spans="1:1" x14ac:dyDescent="0.25">
      <c r="A24390" t="e">
        <v>#N/A</v>
      </c>
    </row>
    <row r="24391" spans="1:1" x14ac:dyDescent="0.25">
      <c r="A24391" t="e">
        <v>#N/A</v>
      </c>
    </row>
    <row r="24392" spans="1:1" x14ac:dyDescent="0.25">
      <c r="A24392" t="e">
        <v>#N/A</v>
      </c>
    </row>
    <row r="24393" spans="1:1" x14ac:dyDescent="0.25">
      <c r="A24393" t="e">
        <v>#N/A</v>
      </c>
    </row>
    <row r="24394" spans="1:1" x14ac:dyDescent="0.25">
      <c r="A24394" t="e">
        <v>#N/A</v>
      </c>
    </row>
    <row r="24395" spans="1:1" x14ac:dyDescent="0.25">
      <c r="A24395" t="e">
        <v>#N/A</v>
      </c>
    </row>
    <row r="24396" spans="1:1" x14ac:dyDescent="0.25">
      <c r="A24396" t="e">
        <v>#N/A</v>
      </c>
    </row>
    <row r="24397" spans="1:1" x14ac:dyDescent="0.25">
      <c r="A24397" t="e">
        <v>#N/A</v>
      </c>
    </row>
    <row r="24398" spans="1:1" x14ac:dyDescent="0.25">
      <c r="A24398" t="e">
        <v>#N/A</v>
      </c>
    </row>
    <row r="24399" spans="1:1" x14ac:dyDescent="0.25">
      <c r="A24399" t="e">
        <v>#N/A</v>
      </c>
    </row>
    <row r="24400" spans="1:1" x14ac:dyDescent="0.25">
      <c r="A24400" t="e">
        <v>#N/A</v>
      </c>
    </row>
    <row r="24401" spans="1:1" x14ac:dyDescent="0.25">
      <c r="A24401" t="e">
        <v>#N/A</v>
      </c>
    </row>
    <row r="24402" spans="1:1" x14ac:dyDescent="0.25">
      <c r="A24402" t="e">
        <v>#N/A</v>
      </c>
    </row>
    <row r="24403" spans="1:1" x14ac:dyDescent="0.25">
      <c r="A24403" t="e">
        <v>#N/A</v>
      </c>
    </row>
    <row r="24404" spans="1:1" x14ac:dyDescent="0.25">
      <c r="A24404" t="e">
        <v>#N/A</v>
      </c>
    </row>
    <row r="24405" spans="1:1" x14ac:dyDescent="0.25">
      <c r="A24405" t="e">
        <v>#N/A</v>
      </c>
    </row>
    <row r="24406" spans="1:1" x14ac:dyDescent="0.25">
      <c r="A24406" t="e">
        <v>#N/A</v>
      </c>
    </row>
    <row r="24407" spans="1:1" x14ac:dyDescent="0.25">
      <c r="A24407" t="e">
        <v>#N/A</v>
      </c>
    </row>
    <row r="24408" spans="1:1" x14ac:dyDescent="0.25">
      <c r="A24408" t="e">
        <v>#N/A</v>
      </c>
    </row>
    <row r="24409" spans="1:1" x14ac:dyDescent="0.25">
      <c r="A24409" t="e">
        <v>#N/A</v>
      </c>
    </row>
    <row r="24410" spans="1:1" x14ac:dyDescent="0.25">
      <c r="A24410" t="e">
        <v>#N/A</v>
      </c>
    </row>
    <row r="24411" spans="1:1" x14ac:dyDescent="0.25">
      <c r="A24411" t="e">
        <v>#N/A</v>
      </c>
    </row>
    <row r="24412" spans="1:1" x14ac:dyDescent="0.25">
      <c r="A24412" t="e">
        <v>#N/A</v>
      </c>
    </row>
    <row r="24413" spans="1:1" x14ac:dyDescent="0.25">
      <c r="A24413" t="e">
        <v>#N/A</v>
      </c>
    </row>
    <row r="24414" spans="1:1" x14ac:dyDescent="0.25">
      <c r="A24414" t="e">
        <v>#N/A</v>
      </c>
    </row>
    <row r="24415" spans="1:1" x14ac:dyDescent="0.25">
      <c r="A24415" t="e">
        <v>#N/A</v>
      </c>
    </row>
    <row r="24416" spans="1:1" x14ac:dyDescent="0.25">
      <c r="A24416" t="e">
        <v>#N/A</v>
      </c>
    </row>
    <row r="24417" spans="1:1" x14ac:dyDescent="0.25">
      <c r="A24417" t="e">
        <v>#N/A</v>
      </c>
    </row>
    <row r="24418" spans="1:1" x14ac:dyDescent="0.25">
      <c r="A24418" t="e">
        <v>#N/A</v>
      </c>
    </row>
    <row r="24419" spans="1:1" x14ac:dyDescent="0.25">
      <c r="A24419" t="e">
        <v>#N/A</v>
      </c>
    </row>
    <row r="24420" spans="1:1" x14ac:dyDescent="0.25">
      <c r="A24420" t="e">
        <v>#N/A</v>
      </c>
    </row>
    <row r="24421" spans="1:1" x14ac:dyDescent="0.25">
      <c r="A24421" t="e">
        <v>#N/A</v>
      </c>
    </row>
    <row r="24422" spans="1:1" x14ac:dyDescent="0.25">
      <c r="A24422" t="e">
        <v>#N/A</v>
      </c>
    </row>
    <row r="24423" spans="1:1" x14ac:dyDescent="0.25">
      <c r="A24423" t="e">
        <v>#N/A</v>
      </c>
    </row>
    <row r="24424" spans="1:1" x14ac:dyDescent="0.25">
      <c r="A24424" t="e">
        <v>#N/A</v>
      </c>
    </row>
    <row r="24425" spans="1:1" x14ac:dyDescent="0.25">
      <c r="A24425" t="e">
        <v>#N/A</v>
      </c>
    </row>
    <row r="24426" spans="1:1" x14ac:dyDescent="0.25">
      <c r="A24426" t="e">
        <v>#N/A</v>
      </c>
    </row>
    <row r="24427" spans="1:1" x14ac:dyDescent="0.25">
      <c r="A24427" t="e">
        <v>#N/A</v>
      </c>
    </row>
    <row r="24428" spans="1:1" x14ac:dyDescent="0.25">
      <c r="A24428" t="e">
        <v>#N/A</v>
      </c>
    </row>
    <row r="24429" spans="1:1" x14ac:dyDescent="0.25">
      <c r="A24429" t="e">
        <v>#N/A</v>
      </c>
    </row>
    <row r="24430" spans="1:1" x14ac:dyDescent="0.25">
      <c r="A24430" t="e">
        <v>#N/A</v>
      </c>
    </row>
    <row r="24431" spans="1:1" x14ac:dyDescent="0.25">
      <c r="A24431" t="e">
        <v>#N/A</v>
      </c>
    </row>
    <row r="24432" spans="1:1" x14ac:dyDescent="0.25">
      <c r="A24432" t="e">
        <v>#N/A</v>
      </c>
    </row>
    <row r="24433" spans="1:1" x14ac:dyDescent="0.25">
      <c r="A24433" t="e">
        <v>#N/A</v>
      </c>
    </row>
    <row r="24434" spans="1:1" x14ac:dyDescent="0.25">
      <c r="A24434" t="e">
        <v>#N/A</v>
      </c>
    </row>
    <row r="24435" spans="1:1" x14ac:dyDescent="0.25">
      <c r="A24435" t="e">
        <v>#N/A</v>
      </c>
    </row>
    <row r="24436" spans="1:1" x14ac:dyDescent="0.25">
      <c r="A24436" t="e">
        <v>#N/A</v>
      </c>
    </row>
    <row r="24437" spans="1:1" x14ac:dyDescent="0.25">
      <c r="A24437" t="e">
        <v>#N/A</v>
      </c>
    </row>
    <row r="24438" spans="1:1" x14ac:dyDescent="0.25">
      <c r="A24438" t="e">
        <v>#N/A</v>
      </c>
    </row>
    <row r="24439" spans="1:1" x14ac:dyDescent="0.25">
      <c r="A24439" t="e">
        <v>#N/A</v>
      </c>
    </row>
    <row r="24440" spans="1:1" x14ac:dyDescent="0.25">
      <c r="A24440" t="e">
        <v>#N/A</v>
      </c>
    </row>
    <row r="24441" spans="1:1" x14ac:dyDescent="0.25">
      <c r="A24441" t="e">
        <v>#N/A</v>
      </c>
    </row>
    <row r="24442" spans="1:1" x14ac:dyDescent="0.25">
      <c r="A24442" t="e">
        <v>#N/A</v>
      </c>
    </row>
    <row r="24443" spans="1:1" x14ac:dyDescent="0.25">
      <c r="A24443" t="e">
        <v>#N/A</v>
      </c>
    </row>
    <row r="24444" spans="1:1" x14ac:dyDescent="0.25">
      <c r="A24444" t="e">
        <v>#N/A</v>
      </c>
    </row>
    <row r="24445" spans="1:1" x14ac:dyDescent="0.25">
      <c r="A24445" t="e">
        <v>#N/A</v>
      </c>
    </row>
    <row r="24446" spans="1:1" x14ac:dyDescent="0.25">
      <c r="A24446" t="e">
        <v>#N/A</v>
      </c>
    </row>
    <row r="24447" spans="1:1" x14ac:dyDescent="0.25">
      <c r="A24447" t="e">
        <v>#N/A</v>
      </c>
    </row>
    <row r="24448" spans="1:1" x14ac:dyDescent="0.25">
      <c r="A24448" t="e">
        <v>#N/A</v>
      </c>
    </row>
    <row r="24449" spans="1:1" x14ac:dyDescent="0.25">
      <c r="A24449" t="e">
        <v>#N/A</v>
      </c>
    </row>
    <row r="24450" spans="1:1" x14ac:dyDescent="0.25">
      <c r="A24450" t="e">
        <v>#N/A</v>
      </c>
    </row>
    <row r="24451" spans="1:1" x14ac:dyDescent="0.25">
      <c r="A24451" t="e">
        <v>#N/A</v>
      </c>
    </row>
    <row r="24452" spans="1:1" x14ac:dyDescent="0.25">
      <c r="A24452" t="e">
        <v>#N/A</v>
      </c>
    </row>
    <row r="24453" spans="1:1" x14ac:dyDescent="0.25">
      <c r="A24453" t="e">
        <v>#N/A</v>
      </c>
    </row>
    <row r="24454" spans="1:1" x14ac:dyDescent="0.25">
      <c r="A24454" t="e">
        <v>#N/A</v>
      </c>
    </row>
    <row r="24455" spans="1:1" x14ac:dyDescent="0.25">
      <c r="A24455" t="e">
        <v>#N/A</v>
      </c>
    </row>
    <row r="24456" spans="1:1" x14ac:dyDescent="0.25">
      <c r="A24456" t="e">
        <v>#N/A</v>
      </c>
    </row>
    <row r="24457" spans="1:1" x14ac:dyDescent="0.25">
      <c r="A24457" t="e">
        <v>#N/A</v>
      </c>
    </row>
    <row r="24458" spans="1:1" x14ac:dyDescent="0.25">
      <c r="A24458" t="e">
        <v>#N/A</v>
      </c>
    </row>
    <row r="24459" spans="1:1" x14ac:dyDescent="0.25">
      <c r="A24459" t="e">
        <v>#N/A</v>
      </c>
    </row>
    <row r="24460" spans="1:1" x14ac:dyDescent="0.25">
      <c r="A24460" t="e">
        <v>#N/A</v>
      </c>
    </row>
    <row r="24461" spans="1:1" x14ac:dyDescent="0.25">
      <c r="A24461" t="e">
        <v>#N/A</v>
      </c>
    </row>
    <row r="24462" spans="1:1" x14ac:dyDescent="0.25">
      <c r="A24462" t="e">
        <v>#N/A</v>
      </c>
    </row>
    <row r="24463" spans="1:1" x14ac:dyDescent="0.25">
      <c r="A24463" t="e">
        <v>#N/A</v>
      </c>
    </row>
    <row r="24464" spans="1:1" x14ac:dyDescent="0.25">
      <c r="A24464" t="e">
        <v>#N/A</v>
      </c>
    </row>
    <row r="24465" spans="1:1" x14ac:dyDescent="0.25">
      <c r="A24465" t="e">
        <v>#N/A</v>
      </c>
    </row>
    <row r="24466" spans="1:1" x14ac:dyDescent="0.25">
      <c r="A24466" t="e">
        <v>#N/A</v>
      </c>
    </row>
    <row r="24467" spans="1:1" x14ac:dyDescent="0.25">
      <c r="A24467" t="e">
        <v>#N/A</v>
      </c>
    </row>
    <row r="24468" spans="1:1" x14ac:dyDescent="0.25">
      <c r="A24468" t="e">
        <v>#N/A</v>
      </c>
    </row>
    <row r="24469" spans="1:1" x14ac:dyDescent="0.25">
      <c r="A24469" t="e">
        <v>#N/A</v>
      </c>
    </row>
    <row r="24470" spans="1:1" x14ac:dyDescent="0.25">
      <c r="A24470" t="e">
        <v>#N/A</v>
      </c>
    </row>
    <row r="24471" spans="1:1" x14ac:dyDescent="0.25">
      <c r="A24471" t="e">
        <v>#N/A</v>
      </c>
    </row>
    <row r="24472" spans="1:1" x14ac:dyDescent="0.25">
      <c r="A24472" t="e">
        <v>#N/A</v>
      </c>
    </row>
    <row r="24473" spans="1:1" x14ac:dyDescent="0.25">
      <c r="A24473" t="e">
        <v>#N/A</v>
      </c>
    </row>
    <row r="24474" spans="1:1" x14ac:dyDescent="0.25">
      <c r="A24474" t="e">
        <v>#N/A</v>
      </c>
    </row>
    <row r="24475" spans="1:1" x14ac:dyDescent="0.25">
      <c r="A24475" t="e">
        <v>#N/A</v>
      </c>
    </row>
    <row r="24476" spans="1:1" x14ac:dyDescent="0.25">
      <c r="A24476" t="e">
        <v>#N/A</v>
      </c>
    </row>
    <row r="24477" spans="1:1" x14ac:dyDescent="0.25">
      <c r="A24477" t="e">
        <v>#N/A</v>
      </c>
    </row>
    <row r="24478" spans="1:1" x14ac:dyDescent="0.25">
      <c r="A24478" t="e">
        <v>#N/A</v>
      </c>
    </row>
    <row r="24479" spans="1:1" x14ac:dyDescent="0.25">
      <c r="A24479" t="e">
        <v>#N/A</v>
      </c>
    </row>
    <row r="24480" spans="1:1" x14ac:dyDescent="0.25">
      <c r="A24480" t="e">
        <v>#N/A</v>
      </c>
    </row>
    <row r="24481" spans="1:1" x14ac:dyDescent="0.25">
      <c r="A24481" t="e">
        <v>#N/A</v>
      </c>
    </row>
    <row r="24482" spans="1:1" x14ac:dyDescent="0.25">
      <c r="A24482" t="e">
        <v>#N/A</v>
      </c>
    </row>
    <row r="24483" spans="1:1" x14ac:dyDescent="0.25">
      <c r="A24483" t="e">
        <v>#N/A</v>
      </c>
    </row>
    <row r="24484" spans="1:1" x14ac:dyDescent="0.25">
      <c r="A24484" t="e">
        <v>#N/A</v>
      </c>
    </row>
    <row r="24485" spans="1:1" x14ac:dyDescent="0.25">
      <c r="A24485" t="e">
        <v>#N/A</v>
      </c>
    </row>
    <row r="24486" spans="1:1" x14ac:dyDescent="0.25">
      <c r="A24486" t="e">
        <v>#N/A</v>
      </c>
    </row>
    <row r="24487" spans="1:1" x14ac:dyDescent="0.25">
      <c r="A24487" t="e">
        <v>#N/A</v>
      </c>
    </row>
    <row r="24488" spans="1:1" x14ac:dyDescent="0.25">
      <c r="A24488" t="e">
        <v>#N/A</v>
      </c>
    </row>
    <row r="24489" spans="1:1" x14ac:dyDescent="0.25">
      <c r="A24489" t="e">
        <v>#N/A</v>
      </c>
    </row>
    <row r="24490" spans="1:1" x14ac:dyDescent="0.25">
      <c r="A24490" t="e">
        <v>#N/A</v>
      </c>
    </row>
    <row r="24491" spans="1:1" x14ac:dyDescent="0.25">
      <c r="A24491" t="e">
        <v>#N/A</v>
      </c>
    </row>
    <row r="24492" spans="1:1" x14ac:dyDescent="0.25">
      <c r="A24492" t="e">
        <v>#N/A</v>
      </c>
    </row>
    <row r="24493" spans="1:1" x14ac:dyDescent="0.25">
      <c r="A24493" t="e">
        <v>#N/A</v>
      </c>
    </row>
    <row r="24494" spans="1:1" x14ac:dyDescent="0.25">
      <c r="A24494" t="e">
        <v>#N/A</v>
      </c>
    </row>
    <row r="24495" spans="1:1" x14ac:dyDescent="0.25">
      <c r="A24495" t="e">
        <v>#N/A</v>
      </c>
    </row>
    <row r="24496" spans="1:1" x14ac:dyDescent="0.25">
      <c r="A24496" t="e">
        <v>#N/A</v>
      </c>
    </row>
    <row r="24497" spans="1:1" x14ac:dyDescent="0.25">
      <c r="A24497" t="e">
        <v>#N/A</v>
      </c>
    </row>
    <row r="24498" spans="1:1" x14ac:dyDescent="0.25">
      <c r="A24498" t="e">
        <v>#N/A</v>
      </c>
    </row>
    <row r="24499" spans="1:1" x14ac:dyDescent="0.25">
      <c r="A24499" t="e">
        <v>#N/A</v>
      </c>
    </row>
    <row r="24500" spans="1:1" x14ac:dyDescent="0.25">
      <c r="A24500" t="e">
        <v>#N/A</v>
      </c>
    </row>
    <row r="24501" spans="1:1" x14ac:dyDescent="0.25">
      <c r="A24501" t="e">
        <v>#N/A</v>
      </c>
    </row>
    <row r="24502" spans="1:1" x14ac:dyDescent="0.25">
      <c r="A24502" t="e">
        <v>#N/A</v>
      </c>
    </row>
    <row r="24503" spans="1:1" x14ac:dyDescent="0.25">
      <c r="A24503" t="e">
        <v>#N/A</v>
      </c>
    </row>
    <row r="24504" spans="1:1" x14ac:dyDescent="0.25">
      <c r="A24504" t="e">
        <v>#N/A</v>
      </c>
    </row>
    <row r="24505" spans="1:1" x14ac:dyDescent="0.25">
      <c r="A24505" t="e">
        <v>#N/A</v>
      </c>
    </row>
    <row r="24506" spans="1:1" x14ac:dyDescent="0.25">
      <c r="A24506" t="e">
        <v>#N/A</v>
      </c>
    </row>
    <row r="24507" spans="1:1" x14ac:dyDescent="0.25">
      <c r="A24507" t="e">
        <v>#N/A</v>
      </c>
    </row>
    <row r="24508" spans="1:1" x14ac:dyDescent="0.25">
      <c r="A24508" t="e">
        <v>#N/A</v>
      </c>
    </row>
    <row r="24509" spans="1:1" x14ac:dyDescent="0.25">
      <c r="A24509" t="e">
        <v>#N/A</v>
      </c>
    </row>
    <row r="24510" spans="1:1" x14ac:dyDescent="0.25">
      <c r="A24510" t="e">
        <v>#N/A</v>
      </c>
    </row>
    <row r="24511" spans="1:1" x14ac:dyDescent="0.25">
      <c r="A24511" t="e">
        <v>#N/A</v>
      </c>
    </row>
    <row r="24512" spans="1:1" x14ac:dyDescent="0.25">
      <c r="A24512" t="e">
        <v>#N/A</v>
      </c>
    </row>
    <row r="24513" spans="1:1" x14ac:dyDescent="0.25">
      <c r="A24513" t="e">
        <v>#N/A</v>
      </c>
    </row>
    <row r="24514" spans="1:1" x14ac:dyDescent="0.25">
      <c r="A24514" t="e">
        <v>#N/A</v>
      </c>
    </row>
    <row r="24515" spans="1:1" x14ac:dyDescent="0.25">
      <c r="A24515" t="e">
        <v>#N/A</v>
      </c>
    </row>
    <row r="24516" spans="1:1" x14ac:dyDescent="0.25">
      <c r="A24516" t="e">
        <v>#N/A</v>
      </c>
    </row>
    <row r="24517" spans="1:1" x14ac:dyDescent="0.25">
      <c r="A24517" t="e">
        <v>#N/A</v>
      </c>
    </row>
    <row r="24518" spans="1:1" x14ac:dyDescent="0.25">
      <c r="A24518" t="e">
        <v>#N/A</v>
      </c>
    </row>
    <row r="24519" spans="1:1" x14ac:dyDescent="0.25">
      <c r="A24519" t="e">
        <v>#N/A</v>
      </c>
    </row>
    <row r="24520" spans="1:1" x14ac:dyDescent="0.25">
      <c r="A24520" t="e">
        <v>#N/A</v>
      </c>
    </row>
    <row r="24521" spans="1:1" x14ac:dyDescent="0.25">
      <c r="A24521" t="e">
        <v>#N/A</v>
      </c>
    </row>
    <row r="24522" spans="1:1" x14ac:dyDescent="0.25">
      <c r="A24522" t="e">
        <v>#N/A</v>
      </c>
    </row>
    <row r="24523" spans="1:1" x14ac:dyDescent="0.25">
      <c r="A24523" t="e">
        <v>#N/A</v>
      </c>
    </row>
    <row r="24524" spans="1:1" x14ac:dyDescent="0.25">
      <c r="A24524" t="e">
        <v>#N/A</v>
      </c>
    </row>
    <row r="24525" spans="1:1" x14ac:dyDescent="0.25">
      <c r="A24525" t="e">
        <v>#N/A</v>
      </c>
    </row>
    <row r="24526" spans="1:1" x14ac:dyDescent="0.25">
      <c r="A24526" t="e">
        <v>#N/A</v>
      </c>
    </row>
    <row r="24527" spans="1:1" x14ac:dyDescent="0.25">
      <c r="A24527" t="e">
        <v>#N/A</v>
      </c>
    </row>
    <row r="24528" spans="1:1" x14ac:dyDescent="0.25">
      <c r="A24528" t="e">
        <v>#N/A</v>
      </c>
    </row>
    <row r="24529" spans="1:1" x14ac:dyDescent="0.25">
      <c r="A24529" t="e">
        <v>#N/A</v>
      </c>
    </row>
    <row r="24530" spans="1:1" x14ac:dyDescent="0.25">
      <c r="A24530" t="e">
        <v>#N/A</v>
      </c>
    </row>
    <row r="24531" spans="1:1" x14ac:dyDescent="0.25">
      <c r="A24531" t="e">
        <v>#N/A</v>
      </c>
    </row>
    <row r="24532" spans="1:1" x14ac:dyDescent="0.25">
      <c r="A24532" t="e">
        <v>#N/A</v>
      </c>
    </row>
    <row r="24533" spans="1:1" x14ac:dyDescent="0.25">
      <c r="A24533" t="e">
        <v>#N/A</v>
      </c>
    </row>
    <row r="24534" spans="1:1" x14ac:dyDescent="0.25">
      <c r="A24534" t="e">
        <v>#N/A</v>
      </c>
    </row>
    <row r="24535" spans="1:1" x14ac:dyDescent="0.25">
      <c r="A24535" t="e">
        <v>#N/A</v>
      </c>
    </row>
    <row r="24536" spans="1:1" x14ac:dyDescent="0.25">
      <c r="A24536" t="e">
        <v>#N/A</v>
      </c>
    </row>
    <row r="24537" spans="1:1" x14ac:dyDescent="0.25">
      <c r="A24537" t="e">
        <v>#N/A</v>
      </c>
    </row>
    <row r="24538" spans="1:1" x14ac:dyDescent="0.25">
      <c r="A24538" t="e">
        <v>#N/A</v>
      </c>
    </row>
    <row r="24539" spans="1:1" x14ac:dyDescent="0.25">
      <c r="A24539" t="e">
        <v>#N/A</v>
      </c>
    </row>
    <row r="24540" spans="1:1" x14ac:dyDescent="0.25">
      <c r="A24540" t="e">
        <v>#N/A</v>
      </c>
    </row>
    <row r="24541" spans="1:1" x14ac:dyDescent="0.25">
      <c r="A24541" t="e">
        <v>#N/A</v>
      </c>
    </row>
    <row r="24542" spans="1:1" x14ac:dyDescent="0.25">
      <c r="A24542" t="e">
        <v>#N/A</v>
      </c>
    </row>
    <row r="24543" spans="1:1" x14ac:dyDescent="0.25">
      <c r="A24543" t="e">
        <v>#N/A</v>
      </c>
    </row>
    <row r="24544" spans="1:1" x14ac:dyDescent="0.25">
      <c r="A24544" t="e">
        <v>#N/A</v>
      </c>
    </row>
    <row r="24545" spans="1:1" x14ac:dyDescent="0.25">
      <c r="A24545" t="e">
        <v>#N/A</v>
      </c>
    </row>
    <row r="24546" spans="1:1" x14ac:dyDescent="0.25">
      <c r="A24546" t="e">
        <v>#N/A</v>
      </c>
    </row>
    <row r="24547" spans="1:1" x14ac:dyDescent="0.25">
      <c r="A24547" t="e">
        <v>#N/A</v>
      </c>
    </row>
    <row r="24548" spans="1:1" x14ac:dyDescent="0.25">
      <c r="A24548" t="e">
        <v>#N/A</v>
      </c>
    </row>
    <row r="24549" spans="1:1" x14ac:dyDescent="0.25">
      <c r="A24549" t="e">
        <v>#N/A</v>
      </c>
    </row>
    <row r="24550" spans="1:1" x14ac:dyDescent="0.25">
      <c r="A24550" t="e">
        <v>#N/A</v>
      </c>
    </row>
    <row r="24551" spans="1:1" x14ac:dyDescent="0.25">
      <c r="A24551" t="e">
        <v>#N/A</v>
      </c>
    </row>
    <row r="24552" spans="1:1" x14ac:dyDescent="0.25">
      <c r="A24552" t="e">
        <v>#N/A</v>
      </c>
    </row>
    <row r="24553" spans="1:1" x14ac:dyDescent="0.25">
      <c r="A24553" t="e">
        <v>#N/A</v>
      </c>
    </row>
    <row r="24554" spans="1:1" x14ac:dyDescent="0.25">
      <c r="A24554" t="e">
        <v>#N/A</v>
      </c>
    </row>
    <row r="24555" spans="1:1" x14ac:dyDescent="0.25">
      <c r="A24555" t="e">
        <v>#N/A</v>
      </c>
    </row>
    <row r="24556" spans="1:1" x14ac:dyDescent="0.25">
      <c r="A24556" t="e">
        <v>#N/A</v>
      </c>
    </row>
    <row r="24557" spans="1:1" x14ac:dyDescent="0.25">
      <c r="A24557" t="e">
        <v>#N/A</v>
      </c>
    </row>
    <row r="24558" spans="1:1" x14ac:dyDescent="0.25">
      <c r="A24558" t="e">
        <v>#N/A</v>
      </c>
    </row>
    <row r="24559" spans="1:1" x14ac:dyDescent="0.25">
      <c r="A24559" t="e">
        <v>#N/A</v>
      </c>
    </row>
    <row r="24560" spans="1:1" x14ac:dyDescent="0.25">
      <c r="A24560" t="e">
        <v>#N/A</v>
      </c>
    </row>
    <row r="24561" spans="1:1" x14ac:dyDescent="0.25">
      <c r="A24561" t="e">
        <v>#N/A</v>
      </c>
    </row>
    <row r="24562" spans="1:1" x14ac:dyDescent="0.25">
      <c r="A24562" t="e">
        <v>#N/A</v>
      </c>
    </row>
    <row r="24563" spans="1:1" x14ac:dyDescent="0.25">
      <c r="A24563" t="e">
        <v>#N/A</v>
      </c>
    </row>
    <row r="24564" spans="1:1" x14ac:dyDescent="0.25">
      <c r="A24564" t="e">
        <v>#N/A</v>
      </c>
    </row>
    <row r="24565" spans="1:1" x14ac:dyDescent="0.25">
      <c r="A24565" t="e">
        <v>#N/A</v>
      </c>
    </row>
    <row r="24566" spans="1:1" x14ac:dyDescent="0.25">
      <c r="A24566" t="e">
        <v>#N/A</v>
      </c>
    </row>
    <row r="24567" spans="1:1" x14ac:dyDescent="0.25">
      <c r="A24567" t="e">
        <v>#N/A</v>
      </c>
    </row>
    <row r="24568" spans="1:1" x14ac:dyDescent="0.25">
      <c r="A24568" t="e">
        <v>#N/A</v>
      </c>
    </row>
    <row r="24569" spans="1:1" x14ac:dyDescent="0.25">
      <c r="A24569" t="e">
        <v>#N/A</v>
      </c>
    </row>
    <row r="24570" spans="1:1" x14ac:dyDescent="0.25">
      <c r="A24570" t="e">
        <v>#N/A</v>
      </c>
    </row>
    <row r="24571" spans="1:1" x14ac:dyDescent="0.25">
      <c r="A24571" t="e">
        <v>#N/A</v>
      </c>
    </row>
    <row r="24572" spans="1:1" x14ac:dyDescent="0.25">
      <c r="A24572" t="e">
        <v>#N/A</v>
      </c>
    </row>
    <row r="24573" spans="1:1" x14ac:dyDescent="0.25">
      <c r="A24573" t="e">
        <v>#N/A</v>
      </c>
    </row>
    <row r="24574" spans="1:1" x14ac:dyDescent="0.25">
      <c r="A24574" t="e">
        <v>#N/A</v>
      </c>
    </row>
    <row r="24575" spans="1:1" x14ac:dyDescent="0.25">
      <c r="A24575" t="e">
        <v>#N/A</v>
      </c>
    </row>
    <row r="24576" spans="1:1" x14ac:dyDescent="0.25">
      <c r="A24576" t="e">
        <v>#N/A</v>
      </c>
    </row>
    <row r="24577" spans="1:1" x14ac:dyDescent="0.25">
      <c r="A24577" t="e">
        <v>#N/A</v>
      </c>
    </row>
    <row r="24578" spans="1:1" x14ac:dyDescent="0.25">
      <c r="A24578" t="e">
        <v>#N/A</v>
      </c>
    </row>
    <row r="24579" spans="1:1" x14ac:dyDescent="0.25">
      <c r="A24579" t="e">
        <v>#N/A</v>
      </c>
    </row>
    <row r="24580" spans="1:1" x14ac:dyDescent="0.25">
      <c r="A24580" t="e">
        <v>#N/A</v>
      </c>
    </row>
    <row r="24581" spans="1:1" x14ac:dyDescent="0.25">
      <c r="A24581" t="e">
        <v>#N/A</v>
      </c>
    </row>
    <row r="24582" spans="1:1" x14ac:dyDescent="0.25">
      <c r="A24582" t="e">
        <v>#N/A</v>
      </c>
    </row>
    <row r="24583" spans="1:1" x14ac:dyDescent="0.25">
      <c r="A24583" t="e">
        <v>#N/A</v>
      </c>
    </row>
    <row r="24584" spans="1:1" x14ac:dyDescent="0.25">
      <c r="A24584" t="e">
        <v>#N/A</v>
      </c>
    </row>
    <row r="24585" spans="1:1" x14ac:dyDescent="0.25">
      <c r="A24585" t="e">
        <v>#N/A</v>
      </c>
    </row>
    <row r="24586" spans="1:1" x14ac:dyDescent="0.25">
      <c r="A24586" t="e">
        <v>#N/A</v>
      </c>
    </row>
    <row r="24587" spans="1:1" x14ac:dyDescent="0.25">
      <c r="A24587" t="e">
        <v>#N/A</v>
      </c>
    </row>
    <row r="24588" spans="1:1" x14ac:dyDescent="0.25">
      <c r="A24588" t="e">
        <v>#N/A</v>
      </c>
    </row>
    <row r="24589" spans="1:1" x14ac:dyDescent="0.25">
      <c r="A24589" t="e">
        <v>#N/A</v>
      </c>
    </row>
    <row r="24590" spans="1:1" x14ac:dyDescent="0.25">
      <c r="A24590" t="e">
        <v>#N/A</v>
      </c>
    </row>
    <row r="24591" spans="1:1" x14ac:dyDescent="0.25">
      <c r="A24591" t="e">
        <v>#N/A</v>
      </c>
    </row>
    <row r="24592" spans="1:1" x14ac:dyDescent="0.25">
      <c r="A24592" t="e">
        <v>#N/A</v>
      </c>
    </row>
    <row r="24593" spans="1:1" x14ac:dyDescent="0.25">
      <c r="A24593" t="e">
        <v>#N/A</v>
      </c>
    </row>
    <row r="24594" spans="1:1" x14ac:dyDescent="0.25">
      <c r="A24594" t="e">
        <v>#N/A</v>
      </c>
    </row>
    <row r="24595" spans="1:1" x14ac:dyDescent="0.25">
      <c r="A24595" t="e">
        <v>#N/A</v>
      </c>
    </row>
    <row r="24596" spans="1:1" x14ac:dyDescent="0.25">
      <c r="A24596" t="e">
        <v>#N/A</v>
      </c>
    </row>
    <row r="24597" spans="1:1" x14ac:dyDescent="0.25">
      <c r="A24597" t="e">
        <v>#N/A</v>
      </c>
    </row>
    <row r="24598" spans="1:1" x14ac:dyDescent="0.25">
      <c r="A24598" t="e">
        <v>#N/A</v>
      </c>
    </row>
    <row r="24599" spans="1:1" x14ac:dyDescent="0.25">
      <c r="A24599" t="e">
        <v>#N/A</v>
      </c>
    </row>
    <row r="24600" spans="1:1" x14ac:dyDescent="0.25">
      <c r="A24600" t="e">
        <v>#N/A</v>
      </c>
    </row>
    <row r="24601" spans="1:1" x14ac:dyDescent="0.25">
      <c r="A24601" t="e">
        <v>#N/A</v>
      </c>
    </row>
    <row r="24602" spans="1:1" x14ac:dyDescent="0.25">
      <c r="A24602" t="e">
        <v>#N/A</v>
      </c>
    </row>
    <row r="24603" spans="1:1" x14ac:dyDescent="0.25">
      <c r="A24603" t="e">
        <v>#N/A</v>
      </c>
    </row>
    <row r="24604" spans="1:1" x14ac:dyDescent="0.25">
      <c r="A24604" t="e">
        <v>#N/A</v>
      </c>
    </row>
    <row r="24605" spans="1:1" x14ac:dyDescent="0.25">
      <c r="A24605" t="e">
        <v>#N/A</v>
      </c>
    </row>
    <row r="24606" spans="1:1" x14ac:dyDescent="0.25">
      <c r="A24606" t="e">
        <v>#N/A</v>
      </c>
    </row>
    <row r="24607" spans="1:1" x14ac:dyDescent="0.25">
      <c r="A24607" t="e">
        <v>#N/A</v>
      </c>
    </row>
    <row r="24608" spans="1:1" x14ac:dyDescent="0.25">
      <c r="A24608" t="e">
        <v>#N/A</v>
      </c>
    </row>
    <row r="24609" spans="1:1" x14ac:dyDescent="0.25">
      <c r="A24609" t="e">
        <v>#N/A</v>
      </c>
    </row>
    <row r="24610" spans="1:1" x14ac:dyDescent="0.25">
      <c r="A24610" t="e">
        <v>#N/A</v>
      </c>
    </row>
    <row r="24611" spans="1:1" x14ac:dyDescent="0.25">
      <c r="A24611" t="e">
        <v>#N/A</v>
      </c>
    </row>
    <row r="24612" spans="1:1" x14ac:dyDescent="0.25">
      <c r="A24612" t="e">
        <v>#N/A</v>
      </c>
    </row>
    <row r="24613" spans="1:1" x14ac:dyDescent="0.25">
      <c r="A24613" t="e">
        <v>#N/A</v>
      </c>
    </row>
    <row r="24614" spans="1:1" x14ac:dyDescent="0.25">
      <c r="A24614" t="e">
        <v>#N/A</v>
      </c>
    </row>
    <row r="24615" spans="1:1" x14ac:dyDescent="0.25">
      <c r="A24615" t="e">
        <v>#N/A</v>
      </c>
    </row>
    <row r="24616" spans="1:1" x14ac:dyDescent="0.25">
      <c r="A24616" t="e">
        <v>#N/A</v>
      </c>
    </row>
    <row r="24617" spans="1:1" x14ac:dyDescent="0.25">
      <c r="A24617" t="e">
        <v>#N/A</v>
      </c>
    </row>
    <row r="24618" spans="1:1" x14ac:dyDescent="0.25">
      <c r="A24618" t="e">
        <v>#N/A</v>
      </c>
    </row>
    <row r="24619" spans="1:1" x14ac:dyDescent="0.25">
      <c r="A24619" t="e">
        <v>#N/A</v>
      </c>
    </row>
    <row r="24620" spans="1:1" x14ac:dyDescent="0.25">
      <c r="A24620" t="e">
        <v>#N/A</v>
      </c>
    </row>
    <row r="24621" spans="1:1" x14ac:dyDescent="0.25">
      <c r="A24621" t="e">
        <v>#N/A</v>
      </c>
    </row>
    <row r="24622" spans="1:1" x14ac:dyDescent="0.25">
      <c r="A24622" t="e">
        <v>#N/A</v>
      </c>
    </row>
    <row r="24623" spans="1:1" x14ac:dyDescent="0.25">
      <c r="A24623" t="e">
        <v>#N/A</v>
      </c>
    </row>
    <row r="24624" spans="1:1" x14ac:dyDescent="0.25">
      <c r="A24624" t="e">
        <v>#N/A</v>
      </c>
    </row>
    <row r="24625" spans="1:1" x14ac:dyDescent="0.25">
      <c r="A24625" t="e">
        <v>#N/A</v>
      </c>
    </row>
    <row r="24626" spans="1:1" x14ac:dyDescent="0.25">
      <c r="A24626" t="e">
        <v>#N/A</v>
      </c>
    </row>
    <row r="24627" spans="1:1" x14ac:dyDescent="0.25">
      <c r="A24627" t="e">
        <v>#N/A</v>
      </c>
    </row>
    <row r="24628" spans="1:1" x14ac:dyDescent="0.25">
      <c r="A24628" t="e">
        <v>#N/A</v>
      </c>
    </row>
    <row r="24629" spans="1:1" x14ac:dyDescent="0.25">
      <c r="A24629" t="e">
        <v>#N/A</v>
      </c>
    </row>
    <row r="24630" spans="1:1" x14ac:dyDescent="0.25">
      <c r="A24630" t="e">
        <v>#N/A</v>
      </c>
    </row>
    <row r="24631" spans="1:1" x14ac:dyDescent="0.25">
      <c r="A24631" t="e">
        <v>#N/A</v>
      </c>
    </row>
    <row r="24632" spans="1:1" x14ac:dyDescent="0.25">
      <c r="A24632" t="e">
        <v>#N/A</v>
      </c>
    </row>
    <row r="24633" spans="1:1" x14ac:dyDescent="0.25">
      <c r="A24633" t="e">
        <v>#N/A</v>
      </c>
    </row>
    <row r="24634" spans="1:1" x14ac:dyDescent="0.25">
      <c r="A24634" t="e">
        <v>#N/A</v>
      </c>
    </row>
    <row r="24635" spans="1:1" x14ac:dyDescent="0.25">
      <c r="A24635" t="e">
        <v>#N/A</v>
      </c>
    </row>
    <row r="24636" spans="1:1" x14ac:dyDescent="0.25">
      <c r="A24636" t="e">
        <v>#N/A</v>
      </c>
    </row>
    <row r="24637" spans="1:1" x14ac:dyDescent="0.25">
      <c r="A24637" t="e">
        <v>#N/A</v>
      </c>
    </row>
    <row r="24638" spans="1:1" x14ac:dyDescent="0.25">
      <c r="A24638" t="e">
        <v>#N/A</v>
      </c>
    </row>
    <row r="24639" spans="1:1" x14ac:dyDescent="0.25">
      <c r="A24639" t="e">
        <v>#N/A</v>
      </c>
    </row>
    <row r="24640" spans="1:1" x14ac:dyDescent="0.25">
      <c r="A24640" t="e">
        <v>#N/A</v>
      </c>
    </row>
    <row r="24641" spans="1:1" x14ac:dyDescent="0.25">
      <c r="A24641" t="e">
        <v>#N/A</v>
      </c>
    </row>
    <row r="24642" spans="1:1" x14ac:dyDescent="0.25">
      <c r="A24642" t="e">
        <v>#N/A</v>
      </c>
    </row>
    <row r="24643" spans="1:1" x14ac:dyDescent="0.25">
      <c r="A24643" t="e">
        <v>#N/A</v>
      </c>
    </row>
    <row r="24644" spans="1:1" x14ac:dyDescent="0.25">
      <c r="A24644" t="e">
        <v>#N/A</v>
      </c>
    </row>
    <row r="24645" spans="1:1" x14ac:dyDescent="0.25">
      <c r="A24645" t="e">
        <v>#N/A</v>
      </c>
    </row>
    <row r="24646" spans="1:1" x14ac:dyDescent="0.25">
      <c r="A24646" t="e">
        <v>#N/A</v>
      </c>
    </row>
    <row r="24647" spans="1:1" x14ac:dyDescent="0.25">
      <c r="A24647" t="e">
        <v>#N/A</v>
      </c>
    </row>
    <row r="24648" spans="1:1" x14ac:dyDescent="0.25">
      <c r="A24648" t="e">
        <v>#N/A</v>
      </c>
    </row>
    <row r="24649" spans="1:1" x14ac:dyDescent="0.25">
      <c r="A24649" t="e">
        <v>#N/A</v>
      </c>
    </row>
    <row r="24650" spans="1:1" x14ac:dyDescent="0.25">
      <c r="A24650" t="e">
        <v>#N/A</v>
      </c>
    </row>
    <row r="24651" spans="1:1" x14ac:dyDescent="0.25">
      <c r="A24651" t="e">
        <v>#N/A</v>
      </c>
    </row>
    <row r="24652" spans="1:1" x14ac:dyDescent="0.25">
      <c r="A24652" t="e">
        <v>#N/A</v>
      </c>
    </row>
    <row r="24653" spans="1:1" x14ac:dyDescent="0.25">
      <c r="A24653" t="e">
        <v>#N/A</v>
      </c>
    </row>
    <row r="24654" spans="1:1" x14ac:dyDescent="0.25">
      <c r="A24654" t="e">
        <v>#N/A</v>
      </c>
    </row>
    <row r="24655" spans="1:1" x14ac:dyDescent="0.25">
      <c r="A24655" t="e">
        <v>#N/A</v>
      </c>
    </row>
    <row r="24656" spans="1:1" x14ac:dyDescent="0.25">
      <c r="A24656" t="e">
        <v>#N/A</v>
      </c>
    </row>
    <row r="24657" spans="1:1" x14ac:dyDescent="0.25">
      <c r="A24657" t="e">
        <v>#N/A</v>
      </c>
    </row>
    <row r="24658" spans="1:1" x14ac:dyDescent="0.25">
      <c r="A24658" t="e">
        <v>#N/A</v>
      </c>
    </row>
    <row r="24659" spans="1:1" x14ac:dyDescent="0.25">
      <c r="A24659" t="e">
        <v>#N/A</v>
      </c>
    </row>
    <row r="24660" spans="1:1" x14ac:dyDescent="0.25">
      <c r="A24660" t="e">
        <v>#N/A</v>
      </c>
    </row>
    <row r="24661" spans="1:1" x14ac:dyDescent="0.25">
      <c r="A24661" t="e">
        <v>#N/A</v>
      </c>
    </row>
    <row r="24662" spans="1:1" x14ac:dyDescent="0.25">
      <c r="A24662" t="e">
        <v>#N/A</v>
      </c>
    </row>
    <row r="24663" spans="1:1" x14ac:dyDescent="0.25">
      <c r="A24663" t="e">
        <v>#N/A</v>
      </c>
    </row>
    <row r="24664" spans="1:1" x14ac:dyDescent="0.25">
      <c r="A24664" t="e">
        <v>#N/A</v>
      </c>
    </row>
    <row r="24665" spans="1:1" x14ac:dyDescent="0.25">
      <c r="A24665" t="e">
        <v>#N/A</v>
      </c>
    </row>
    <row r="24666" spans="1:1" x14ac:dyDescent="0.25">
      <c r="A24666" t="e">
        <v>#N/A</v>
      </c>
    </row>
    <row r="24667" spans="1:1" x14ac:dyDescent="0.25">
      <c r="A24667" t="e">
        <v>#N/A</v>
      </c>
    </row>
    <row r="24668" spans="1:1" x14ac:dyDescent="0.25">
      <c r="A24668" t="e">
        <v>#N/A</v>
      </c>
    </row>
    <row r="24669" spans="1:1" x14ac:dyDescent="0.25">
      <c r="A24669" t="e">
        <v>#N/A</v>
      </c>
    </row>
    <row r="24670" spans="1:1" x14ac:dyDescent="0.25">
      <c r="A24670" t="e">
        <v>#N/A</v>
      </c>
    </row>
    <row r="24671" spans="1:1" x14ac:dyDescent="0.25">
      <c r="A24671" t="e">
        <v>#N/A</v>
      </c>
    </row>
    <row r="24672" spans="1:1" x14ac:dyDescent="0.25">
      <c r="A24672" t="e">
        <v>#N/A</v>
      </c>
    </row>
    <row r="24673" spans="1:1" x14ac:dyDescent="0.25">
      <c r="A24673" t="e">
        <v>#N/A</v>
      </c>
    </row>
    <row r="24674" spans="1:1" x14ac:dyDescent="0.25">
      <c r="A24674" t="e">
        <v>#N/A</v>
      </c>
    </row>
    <row r="24675" spans="1:1" x14ac:dyDescent="0.25">
      <c r="A24675" t="e">
        <v>#N/A</v>
      </c>
    </row>
    <row r="24676" spans="1:1" x14ac:dyDescent="0.25">
      <c r="A24676" t="e">
        <v>#N/A</v>
      </c>
    </row>
    <row r="24677" spans="1:1" x14ac:dyDescent="0.25">
      <c r="A24677" t="e">
        <v>#N/A</v>
      </c>
    </row>
    <row r="24678" spans="1:1" x14ac:dyDescent="0.25">
      <c r="A24678" t="e">
        <v>#N/A</v>
      </c>
    </row>
    <row r="24679" spans="1:1" x14ac:dyDescent="0.25">
      <c r="A24679" t="e">
        <v>#N/A</v>
      </c>
    </row>
    <row r="24680" spans="1:1" x14ac:dyDescent="0.25">
      <c r="A24680" t="e">
        <v>#N/A</v>
      </c>
    </row>
    <row r="24681" spans="1:1" x14ac:dyDescent="0.25">
      <c r="A24681" t="e">
        <v>#N/A</v>
      </c>
    </row>
    <row r="24682" spans="1:1" x14ac:dyDescent="0.25">
      <c r="A24682" t="e">
        <v>#N/A</v>
      </c>
    </row>
    <row r="24683" spans="1:1" x14ac:dyDescent="0.25">
      <c r="A24683" t="e">
        <v>#N/A</v>
      </c>
    </row>
    <row r="24684" spans="1:1" x14ac:dyDescent="0.25">
      <c r="A24684" t="e">
        <v>#N/A</v>
      </c>
    </row>
    <row r="24685" spans="1:1" x14ac:dyDescent="0.25">
      <c r="A24685" t="e">
        <v>#N/A</v>
      </c>
    </row>
    <row r="24686" spans="1:1" x14ac:dyDescent="0.25">
      <c r="A24686" t="e">
        <v>#N/A</v>
      </c>
    </row>
    <row r="24687" spans="1:1" x14ac:dyDescent="0.25">
      <c r="A24687" t="e">
        <v>#N/A</v>
      </c>
    </row>
    <row r="24688" spans="1:1" x14ac:dyDescent="0.25">
      <c r="A24688" t="e">
        <v>#N/A</v>
      </c>
    </row>
    <row r="24689" spans="1:1" x14ac:dyDescent="0.25">
      <c r="A24689" t="e">
        <v>#N/A</v>
      </c>
    </row>
    <row r="24690" spans="1:1" x14ac:dyDescent="0.25">
      <c r="A24690" t="e">
        <v>#N/A</v>
      </c>
    </row>
    <row r="24691" spans="1:1" x14ac:dyDescent="0.25">
      <c r="A24691" t="e">
        <v>#N/A</v>
      </c>
    </row>
    <row r="24692" spans="1:1" x14ac:dyDescent="0.25">
      <c r="A24692" t="e">
        <v>#N/A</v>
      </c>
    </row>
    <row r="24693" spans="1:1" x14ac:dyDescent="0.25">
      <c r="A24693" t="e">
        <v>#N/A</v>
      </c>
    </row>
    <row r="24694" spans="1:1" x14ac:dyDescent="0.25">
      <c r="A24694" t="e">
        <v>#N/A</v>
      </c>
    </row>
    <row r="24695" spans="1:1" x14ac:dyDescent="0.25">
      <c r="A24695" t="e">
        <v>#N/A</v>
      </c>
    </row>
    <row r="24696" spans="1:1" x14ac:dyDescent="0.25">
      <c r="A24696" t="e">
        <v>#N/A</v>
      </c>
    </row>
    <row r="24697" spans="1:1" x14ac:dyDescent="0.25">
      <c r="A24697" t="e">
        <v>#N/A</v>
      </c>
    </row>
    <row r="24698" spans="1:1" x14ac:dyDescent="0.25">
      <c r="A24698" t="e">
        <v>#N/A</v>
      </c>
    </row>
    <row r="24699" spans="1:1" x14ac:dyDescent="0.25">
      <c r="A24699" t="e">
        <v>#N/A</v>
      </c>
    </row>
    <row r="24700" spans="1:1" x14ac:dyDescent="0.25">
      <c r="A24700" t="e">
        <v>#N/A</v>
      </c>
    </row>
    <row r="24701" spans="1:1" x14ac:dyDescent="0.25">
      <c r="A24701" t="e">
        <v>#N/A</v>
      </c>
    </row>
    <row r="24702" spans="1:1" x14ac:dyDescent="0.25">
      <c r="A24702" t="e">
        <v>#N/A</v>
      </c>
    </row>
    <row r="24703" spans="1:1" x14ac:dyDescent="0.25">
      <c r="A24703" t="e">
        <v>#N/A</v>
      </c>
    </row>
    <row r="24704" spans="1:1" x14ac:dyDescent="0.25">
      <c r="A24704" t="e">
        <v>#N/A</v>
      </c>
    </row>
    <row r="24705" spans="1:1" x14ac:dyDescent="0.25">
      <c r="A24705" t="e">
        <v>#N/A</v>
      </c>
    </row>
    <row r="24706" spans="1:1" x14ac:dyDescent="0.25">
      <c r="A24706" t="e">
        <v>#N/A</v>
      </c>
    </row>
    <row r="24707" spans="1:1" x14ac:dyDescent="0.25">
      <c r="A24707" t="e">
        <v>#N/A</v>
      </c>
    </row>
    <row r="24708" spans="1:1" x14ac:dyDescent="0.25">
      <c r="A24708" t="e">
        <v>#N/A</v>
      </c>
    </row>
    <row r="24709" spans="1:1" x14ac:dyDescent="0.25">
      <c r="A24709" t="e">
        <v>#N/A</v>
      </c>
    </row>
    <row r="24710" spans="1:1" x14ac:dyDescent="0.25">
      <c r="A24710" t="e">
        <v>#N/A</v>
      </c>
    </row>
    <row r="24711" spans="1:1" x14ac:dyDescent="0.25">
      <c r="A24711" t="e">
        <v>#N/A</v>
      </c>
    </row>
    <row r="24712" spans="1:1" x14ac:dyDescent="0.25">
      <c r="A24712" t="e">
        <v>#N/A</v>
      </c>
    </row>
    <row r="24713" spans="1:1" x14ac:dyDescent="0.25">
      <c r="A24713" t="e">
        <v>#N/A</v>
      </c>
    </row>
    <row r="24714" spans="1:1" x14ac:dyDescent="0.25">
      <c r="A24714" t="e">
        <v>#N/A</v>
      </c>
    </row>
    <row r="24715" spans="1:1" x14ac:dyDescent="0.25">
      <c r="A24715" t="e">
        <v>#N/A</v>
      </c>
    </row>
    <row r="24716" spans="1:1" x14ac:dyDescent="0.25">
      <c r="A24716" t="e">
        <v>#N/A</v>
      </c>
    </row>
    <row r="24717" spans="1:1" x14ac:dyDescent="0.25">
      <c r="A24717" t="e">
        <v>#N/A</v>
      </c>
    </row>
    <row r="24718" spans="1:1" x14ac:dyDescent="0.25">
      <c r="A24718" t="e">
        <v>#N/A</v>
      </c>
    </row>
    <row r="24719" spans="1:1" x14ac:dyDescent="0.25">
      <c r="A24719" t="e">
        <v>#N/A</v>
      </c>
    </row>
    <row r="24720" spans="1:1" x14ac:dyDescent="0.25">
      <c r="A24720" t="e">
        <v>#N/A</v>
      </c>
    </row>
    <row r="24721" spans="1:1" x14ac:dyDescent="0.25">
      <c r="A24721" t="e">
        <v>#N/A</v>
      </c>
    </row>
    <row r="24722" spans="1:1" x14ac:dyDescent="0.25">
      <c r="A24722" t="e">
        <v>#N/A</v>
      </c>
    </row>
    <row r="24723" spans="1:1" x14ac:dyDescent="0.25">
      <c r="A24723" t="e">
        <v>#N/A</v>
      </c>
    </row>
    <row r="24724" spans="1:1" x14ac:dyDescent="0.25">
      <c r="A24724" t="e">
        <v>#N/A</v>
      </c>
    </row>
    <row r="24725" spans="1:1" x14ac:dyDescent="0.25">
      <c r="A24725" t="e">
        <v>#N/A</v>
      </c>
    </row>
    <row r="24726" spans="1:1" x14ac:dyDescent="0.25">
      <c r="A24726" t="e">
        <v>#N/A</v>
      </c>
    </row>
    <row r="24727" spans="1:1" x14ac:dyDescent="0.25">
      <c r="A24727" t="e">
        <v>#N/A</v>
      </c>
    </row>
    <row r="24728" spans="1:1" x14ac:dyDescent="0.25">
      <c r="A24728" t="e">
        <v>#N/A</v>
      </c>
    </row>
    <row r="24729" spans="1:1" x14ac:dyDescent="0.25">
      <c r="A24729" t="e">
        <v>#N/A</v>
      </c>
    </row>
    <row r="24730" spans="1:1" x14ac:dyDescent="0.25">
      <c r="A24730" t="e">
        <v>#N/A</v>
      </c>
    </row>
    <row r="24731" spans="1:1" x14ac:dyDescent="0.25">
      <c r="A24731" t="e">
        <v>#N/A</v>
      </c>
    </row>
    <row r="24732" spans="1:1" x14ac:dyDescent="0.25">
      <c r="A24732" t="e">
        <v>#N/A</v>
      </c>
    </row>
    <row r="24733" spans="1:1" x14ac:dyDescent="0.25">
      <c r="A24733" t="e">
        <v>#N/A</v>
      </c>
    </row>
    <row r="24734" spans="1:1" x14ac:dyDescent="0.25">
      <c r="A24734" t="e">
        <v>#N/A</v>
      </c>
    </row>
    <row r="24735" spans="1:1" x14ac:dyDescent="0.25">
      <c r="A24735" t="e">
        <v>#N/A</v>
      </c>
    </row>
    <row r="24736" spans="1:1" x14ac:dyDescent="0.25">
      <c r="A24736" t="e">
        <v>#N/A</v>
      </c>
    </row>
    <row r="24737" spans="1:1" x14ac:dyDescent="0.25">
      <c r="A24737" t="e">
        <v>#N/A</v>
      </c>
    </row>
    <row r="24738" spans="1:1" x14ac:dyDescent="0.25">
      <c r="A24738" t="e">
        <v>#N/A</v>
      </c>
    </row>
    <row r="24739" spans="1:1" x14ac:dyDescent="0.25">
      <c r="A24739" t="e">
        <v>#N/A</v>
      </c>
    </row>
    <row r="24740" spans="1:1" x14ac:dyDescent="0.25">
      <c r="A24740" t="e">
        <v>#N/A</v>
      </c>
    </row>
    <row r="24741" spans="1:1" x14ac:dyDescent="0.25">
      <c r="A24741" t="e">
        <v>#N/A</v>
      </c>
    </row>
    <row r="24742" spans="1:1" x14ac:dyDescent="0.25">
      <c r="A24742" t="e">
        <v>#N/A</v>
      </c>
    </row>
    <row r="24743" spans="1:1" x14ac:dyDescent="0.25">
      <c r="A24743" t="e">
        <v>#N/A</v>
      </c>
    </row>
    <row r="24744" spans="1:1" x14ac:dyDescent="0.25">
      <c r="A24744" t="e">
        <v>#N/A</v>
      </c>
    </row>
    <row r="24745" spans="1:1" x14ac:dyDescent="0.25">
      <c r="A24745" t="e">
        <v>#N/A</v>
      </c>
    </row>
    <row r="24746" spans="1:1" x14ac:dyDescent="0.25">
      <c r="A24746" t="e">
        <v>#N/A</v>
      </c>
    </row>
    <row r="24747" spans="1:1" x14ac:dyDescent="0.25">
      <c r="A24747" t="e">
        <v>#N/A</v>
      </c>
    </row>
    <row r="24748" spans="1:1" x14ac:dyDescent="0.25">
      <c r="A24748" t="e">
        <v>#N/A</v>
      </c>
    </row>
    <row r="24749" spans="1:1" x14ac:dyDescent="0.25">
      <c r="A24749" t="e">
        <v>#N/A</v>
      </c>
    </row>
    <row r="24750" spans="1:1" x14ac:dyDescent="0.25">
      <c r="A24750" t="e">
        <v>#N/A</v>
      </c>
    </row>
    <row r="24751" spans="1:1" x14ac:dyDescent="0.25">
      <c r="A24751" t="e">
        <v>#N/A</v>
      </c>
    </row>
    <row r="24752" spans="1:1" x14ac:dyDescent="0.25">
      <c r="A24752" t="e">
        <v>#N/A</v>
      </c>
    </row>
    <row r="24753" spans="1:1" x14ac:dyDescent="0.25">
      <c r="A24753" t="e">
        <v>#N/A</v>
      </c>
    </row>
    <row r="24754" spans="1:1" x14ac:dyDescent="0.25">
      <c r="A24754" t="e">
        <v>#N/A</v>
      </c>
    </row>
    <row r="24755" spans="1:1" x14ac:dyDescent="0.25">
      <c r="A24755" t="e">
        <v>#N/A</v>
      </c>
    </row>
    <row r="24756" spans="1:1" x14ac:dyDescent="0.25">
      <c r="A24756" t="e">
        <v>#N/A</v>
      </c>
    </row>
    <row r="24757" spans="1:1" x14ac:dyDescent="0.25">
      <c r="A24757" t="e">
        <v>#N/A</v>
      </c>
    </row>
    <row r="24758" spans="1:1" x14ac:dyDescent="0.25">
      <c r="A24758" t="e">
        <v>#N/A</v>
      </c>
    </row>
    <row r="24759" spans="1:1" x14ac:dyDescent="0.25">
      <c r="A24759" t="e">
        <v>#N/A</v>
      </c>
    </row>
    <row r="24760" spans="1:1" x14ac:dyDescent="0.25">
      <c r="A24760" t="e">
        <v>#N/A</v>
      </c>
    </row>
    <row r="24761" spans="1:1" x14ac:dyDescent="0.25">
      <c r="A24761" t="e">
        <v>#N/A</v>
      </c>
    </row>
    <row r="24762" spans="1:1" x14ac:dyDescent="0.25">
      <c r="A24762" t="e">
        <v>#N/A</v>
      </c>
    </row>
    <row r="24763" spans="1:1" x14ac:dyDescent="0.25">
      <c r="A24763" t="e">
        <v>#N/A</v>
      </c>
    </row>
    <row r="24764" spans="1:1" x14ac:dyDescent="0.25">
      <c r="A24764" t="e">
        <v>#N/A</v>
      </c>
    </row>
    <row r="24765" spans="1:1" x14ac:dyDescent="0.25">
      <c r="A24765" t="e">
        <v>#N/A</v>
      </c>
    </row>
    <row r="24766" spans="1:1" x14ac:dyDescent="0.25">
      <c r="A24766" t="e">
        <v>#N/A</v>
      </c>
    </row>
    <row r="24767" spans="1:1" x14ac:dyDescent="0.25">
      <c r="A24767" t="e">
        <v>#N/A</v>
      </c>
    </row>
    <row r="24768" spans="1:1" x14ac:dyDescent="0.25">
      <c r="A24768" t="e">
        <v>#N/A</v>
      </c>
    </row>
    <row r="24769" spans="1:1" x14ac:dyDescent="0.25">
      <c r="A24769" t="e">
        <v>#N/A</v>
      </c>
    </row>
    <row r="24770" spans="1:1" x14ac:dyDescent="0.25">
      <c r="A24770" t="e">
        <v>#N/A</v>
      </c>
    </row>
    <row r="24771" spans="1:1" x14ac:dyDescent="0.25">
      <c r="A24771" t="e">
        <v>#N/A</v>
      </c>
    </row>
    <row r="24772" spans="1:1" x14ac:dyDescent="0.25">
      <c r="A24772" t="e">
        <v>#N/A</v>
      </c>
    </row>
    <row r="24773" spans="1:1" x14ac:dyDescent="0.25">
      <c r="A24773" t="e">
        <v>#N/A</v>
      </c>
    </row>
    <row r="24774" spans="1:1" x14ac:dyDescent="0.25">
      <c r="A24774" t="e">
        <v>#N/A</v>
      </c>
    </row>
    <row r="24775" spans="1:1" x14ac:dyDescent="0.25">
      <c r="A24775" t="e">
        <v>#N/A</v>
      </c>
    </row>
    <row r="24776" spans="1:1" x14ac:dyDescent="0.25">
      <c r="A24776" t="e">
        <v>#N/A</v>
      </c>
    </row>
    <row r="24777" spans="1:1" x14ac:dyDescent="0.25">
      <c r="A24777" t="e">
        <v>#N/A</v>
      </c>
    </row>
    <row r="24778" spans="1:1" x14ac:dyDescent="0.25">
      <c r="A24778" t="e">
        <v>#N/A</v>
      </c>
    </row>
    <row r="24779" spans="1:1" x14ac:dyDescent="0.25">
      <c r="A24779" t="e">
        <v>#N/A</v>
      </c>
    </row>
    <row r="24780" spans="1:1" x14ac:dyDescent="0.25">
      <c r="A24780" t="e">
        <v>#N/A</v>
      </c>
    </row>
    <row r="24781" spans="1:1" x14ac:dyDescent="0.25">
      <c r="A24781" t="e">
        <v>#N/A</v>
      </c>
    </row>
    <row r="24782" spans="1:1" x14ac:dyDescent="0.25">
      <c r="A24782" t="e">
        <v>#N/A</v>
      </c>
    </row>
    <row r="24783" spans="1:1" x14ac:dyDescent="0.25">
      <c r="A24783" t="e">
        <v>#N/A</v>
      </c>
    </row>
    <row r="24784" spans="1:1" x14ac:dyDescent="0.25">
      <c r="A24784" t="e">
        <v>#N/A</v>
      </c>
    </row>
    <row r="24785" spans="1:1" x14ac:dyDescent="0.25">
      <c r="A24785" t="e">
        <v>#N/A</v>
      </c>
    </row>
    <row r="24786" spans="1:1" x14ac:dyDescent="0.25">
      <c r="A24786" t="e">
        <v>#N/A</v>
      </c>
    </row>
    <row r="24787" spans="1:1" x14ac:dyDescent="0.25">
      <c r="A24787" t="e">
        <v>#N/A</v>
      </c>
    </row>
    <row r="24788" spans="1:1" x14ac:dyDescent="0.25">
      <c r="A24788" t="e">
        <v>#N/A</v>
      </c>
    </row>
    <row r="24789" spans="1:1" x14ac:dyDescent="0.25">
      <c r="A24789" t="e">
        <v>#N/A</v>
      </c>
    </row>
    <row r="24790" spans="1:1" x14ac:dyDescent="0.25">
      <c r="A24790" t="e">
        <v>#N/A</v>
      </c>
    </row>
    <row r="24791" spans="1:1" x14ac:dyDescent="0.25">
      <c r="A24791" t="e">
        <v>#N/A</v>
      </c>
    </row>
    <row r="24792" spans="1:1" x14ac:dyDescent="0.25">
      <c r="A24792" t="e">
        <v>#N/A</v>
      </c>
    </row>
    <row r="24793" spans="1:1" x14ac:dyDescent="0.25">
      <c r="A24793" t="e">
        <v>#N/A</v>
      </c>
    </row>
    <row r="24794" spans="1:1" x14ac:dyDescent="0.25">
      <c r="A24794" t="e">
        <v>#N/A</v>
      </c>
    </row>
    <row r="24795" spans="1:1" x14ac:dyDescent="0.25">
      <c r="A24795" t="e">
        <v>#N/A</v>
      </c>
    </row>
    <row r="24796" spans="1:1" x14ac:dyDescent="0.25">
      <c r="A24796" t="e">
        <v>#N/A</v>
      </c>
    </row>
    <row r="24797" spans="1:1" x14ac:dyDescent="0.25">
      <c r="A24797" t="e">
        <v>#N/A</v>
      </c>
    </row>
    <row r="24798" spans="1:1" x14ac:dyDescent="0.25">
      <c r="A24798" t="e">
        <v>#N/A</v>
      </c>
    </row>
    <row r="24799" spans="1:1" x14ac:dyDescent="0.25">
      <c r="A24799" t="e">
        <v>#N/A</v>
      </c>
    </row>
    <row r="24800" spans="1:1" x14ac:dyDescent="0.25">
      <c r="A24800" t="e">
        <v>#N/A</v>
      </c>
    </row>
    <row r="24801" spans="1:1" x14ac:dyDescent="0.25">
      <c r="A24801" t="e">
        <v>#N/A</v>
      </c>
    </row>
    <row r="24802" spans="1:1" x14ac:dyDescent="0.25">
      <c r="A24802" t="e">
        <v>#N/A</v>
      </c>
    </row>
    <row r="24803" spans="1:1" x14ac:dyDescent="0.25">
      <c r="A24803" t="e">
        <v>#N/A</v>
      </c>
    </row>
    <row r="24804" spans="1:1" x14ac:dyDescent="0.25">
      <c r="A24804" t="e">
        <v>#N/A</v>
      </c>
    </row>
    <row r="24805" spans="1:1" x14ac:dyDescent="0.25">
      <c r="A24805" t="e">
        <v>#N/A</v>
      </c>
    </row>
    <row r="24806" spans="1:1" x14ac:dyDescent="0.25">
      <c r="A24806" t="e">
        <v>#N/A</v>
      </c>
    </row>
    <row r="24807" spans="1:1" x14ac:dyDescent="0.25">
      <c r="A24807" t="e">
        <v>#N/A</v>
      </c>
    </row>
    <row r="24808" spans="1:1" x14ac:dyDescent="0.25">
      <c r="A24808" t="e">
        <v>#N/A</v>
      </c>
    </row>
    <row r="24809" spans="1:1" x14ac:dyDescent="0.25">
      <c r="A24809" t="e">
        <v>#N/A</v>
      </c>
    </row>
    <row r="24810" spans="1:1" x14ac:dyDescent="0.25">
      <c r="A24810" t="e">
        <v>#N/A</v>
      </c>
    </row>
    <row r="24811" spans="1:1" x14ac:dyDescent="0.25">
      <c r="A24811" t="e">
        <v>#N/A</v>
      </c>
    </row>
    <row r="24812" spans="1:1" x14ac:dyDescent="0.25">
      <c r="A24812" t="e">
        <v>#N/A</v>
      </c>
    </row>
    <row r="24813" spans="1:1" x14ac:dyDescent="0.25">
      <c r="A24813" t="e">
        <v>#N/A</v>
      </c>
    </row>
    <row r="24814" spans="1:1" x14ac:dyDescent="0.25">
      <c r="A24814" t="e">
        <v>#N/A</v>
      </c>
    </row>
    <row r="24815" spans="1:1" x14ac:dyDescent="0.25">
      <c r="A24815" t="e">
        <v>#N/A</v>
      </c>
    </row>
    <row r="24816" spans="1:1" x14ac:dyDescent="0.25">
      <c r="A24816" t="e">
        <v>#N/A</v>
      </c>
    </row>
    <row r="24817" spans="1:1" x14ac:dyDescent="0.25">
      <c r="A24817" t="e">
        <v>#N/A</v>
      </c>
    </row>
    <row r="24818" spans="1:1" x14ac:dyDescent="0.25">
      <c r="A24818" t="e">
        <v>#N/A</v>
      </c>
    </row>
    <row r="24819" spans="1:1" x14ac:dyDescent="0.25">
      <c r="A24819" t="e">
        <v>#N/A</v>
      </c>
    </row>
    <row r="24820" spans="1:1" x14ac:dyDescent="0.25">
      <c r="A24820" t="e">
        <v>#N/A</v>
      </c>
    </row>
    <row r="24821" spans="1:1" x14ac:dyDescent="0.25">
      <c r="A24821" t="e">
        <v>#N/A</v>
      </c>
    </row>
    <row r="24822" spans="1:1" x14ac:dyDescent="0.25">
      <c r="A24822" t="e">
        <v>#N/A</v>
      </c>
    </row>
    <row r="24823" spans="1:1" x14ac:dyDescent="0.25">
      <c r="A24823" t="e">
        <v>#N/A</v>
      </c>
    </row>
    <row r="24824" spans="1:1" x14ac:dyDescent="0.25">
      <c r="A24824" t="e">
        <v>#N/A</v>
      </c>
    </row>
    <row r="24825" spans="1:1" x14ac:dyDescent="0.25">
      <c r="A24825" t="e">
        <v>#N/A</v>
      </c>
    </row>
    <row r="24826" spans="1:1" x14ac:dyDescent="0.25">
      <c r="A24826" t="e">
        <v>#N/A</v>
      </c>
    </row>
    <row r="24827" spans="1:1" x14ac:dyDescent="0.25">
      <c r="A24827" t="e">
        <v>#N/A</v>
      </c>
    </row>
    <row r="24828" spans="1:1" x14ac:dyDescent="0.25">
      <c r="A24828" t="e">
        <v>#N/A</v>
      </c>
    </row>
    <row r="24829" spans="1:1" x14ac:dyDescent="0.25">
      <c r="A24829" t="e">
        <v>#N/A</v>
      </c>
    </row>
    <row r="24830" spans="1:1" x14ac:dyDescent="0.25">
      <c r="A24830" t="e">
        <v>#N/A</v>
      </c>
    </row>
    <row r="24831" spans="1:1" x14ac:dyDescent="0.25">
      <c r="A24831" t="e">
        <v>#N/A</v>
      </c>
    </row>
    <row r="24832" spans="1:1" x14ac:dyDescent="0.25">
      <c r="A24832" t="e">
        <v>#N/A</v>
      </c>
    </row>
    <row r="24833" spans="1:1" x14ac:dyDescent="0.25">
      <c r="A24833" t="e">
        <v>#N/A</v>
      </c>
    </row>
    <row r="24834" spans="1:1" x14ac:dyDescent="0.25">
      <c r="A24834" t="e">
        <v>#N/A</v>
      </c>
    </row>
    <row r="24835" spans="1:1" x14ac:dyDescent="0.25">
      <c r="A24835" t="e">
        <v>#N/A</v>
      </c>
    </row>
    <row r="24836" spans="1:1" x14ac:dyDescent="0.25">
      <c r="A24836" t="e">
        <v>#N/A</v>
      </c>
    </row>
    <row r="24837" spans="1:1" x14ac:dyDescent="0.25">
      <c r="A24837" t="e">
        <v>#N/A</v>
      </c>
    </row>
    <row r="24838" spans="1:1" x14ac:dyDescent="0.25">
      <c r="A24838" t="e">
        <v>#N/A</v>
      </c>
    </row>
    <row r="24839" spans="1:1" x14ac:dyDescent="0.25">
      <c r="A24839" t="e">
        <v>#N/A</v>
      </c>
    </row>
    <row r="24840" spans="1:1" x14ac:dyDescent="0.25">
      <c r="A24840" t="e">
        <v>#N/A</v>
      </c>
    </row>
    <row r="24841" spans="1:1" x14ac:dyDescent="0.25">
      <c r="A24841" t="e">
        <v>#N/A</v>
      </c>
    </row>
    <row r="24842" spans="1:1" x14ac:dyDescent="0.25">
      <c r="A24842" t="e">
        <v>#N/A</v>
      </c>
    </row>
    <row r="24843" spans="1:1" x14ac:dyDescent="0.25">
      <c r="A24843" t="e">
        <v>#N/A</v>
      </c>
    </row>
    <row r="24844" spans="1:1" x14ac:dyDescent="0.25">
      <c r="A24844" t="e">
        <v>#N/A</v>
      </c>
    </row>
    <row r="24845" spans="1:1" x14ac:dyDescent="0.25">
      <c r="A24845" t="e">
        <v>#N/A</v>
      </c>
    </row>
    <row r="24846" spans="1:1" x14ac:dyDescent="0.25">
      <c r="A24846" t="e">
        <v>#N/A</v>
      </c>
    </row>
    <row r="24847" spans="1:1" x14ac:dyDescent="0.25">
      <c r="A24847" t="e">
        <v>#N/A</v>
      </c>
    </row>
    <row r="24848" spans="1:1" x14ac:dyDescent="0.25">
      <c r="A24848" t="e">
        <v>#N/A</v>
      </c>
    </row>
    <row r="24849" spans="1:1" x14ac:dyDescent="0.25">
      <c r="A24849" t="e">
        <v>#N/A</v>
      </c>
    </row>
    <row r="24850" spans="1:1" x14ac:dyDescent="0.25">
      <c r="A24850" t="e">
        <v>#N/A</v>
      </c>
    </row>
    <row r="24851" spans="1:1" x14ac:dyDescent="0.25">
      <c r="A24851" t="e">
        <v>#N/A</v>
      </c>
    </row>
    <row r="24852" spans="1:1" x14ac:dyDescent="0.25">
      <c r="A24852" t="e">
        <v>#N/A</v>
      </c>
    </row>
    <row r="24853" spans="1:1" x14ac:dyDescent="0.25">
      <c r="A24853" t="e">
        <v>#N/A</v>
      </c>
    </row>
    <row r="24854" spans="1:1" x14ac:dyDescent="0.25">
      <c r="A24854" t="e">
        <v>#N/A</v>
      </c>
    </row>
    <row r="24855" spans="1:1" x14ac:dyDescent="0.25">
      <c r="A24855" t="e">
        <v>#N/A</v>
      </c>
    </row>
    <row r="24856" spans="1:1" x14ac:dyDescent="0.25">
      <c r="A24856" t="e">
        <v>#N/A</v>
      </c>
    </row>
    <row r="24857" spans="1:1" x14ac:dyDescent="0.25">
      <c r="A24857" t="e">
        <v>#N/A</v>
      </c>
    </row>
    <row r="24858" spans="1:1" x14ac:dyDescent="0.25">
      <c r="A24858" t="e">
        <v>#N/A</v>
      </c>
    </row>
    <row r="24859" spans="1:1" x14ac:dyDescent="0.25">
      <c r="A24859" t="e">
        <v>#N/A</v>
      </c>
    </row>
    <row r="24860" spans="1:1" x14ac:dyDescent="0.25">
      <c r="A24860" t="e">
        <v>#N/A</v>
      </c>
    </row>
    <row r="24861" spans="1:1" x14ac:dyDescent="0.25">
      <c r="A24861" t="e">
        <v>#N/A</v>
      </c>
    </row>
    <row r="24862" spans="1:1" x14ac:dyDescent="0.25">
      <c r="A24862" t="e">
        <v>#N/A</v>
      </c>
    </row>
    <row r="24863" spans="1:1" x14ac:dyDescent="0.25">
      <c r="A24863" t="e">
        <v>#N/A</v>
      </c>
    </row>
    <row r="24864" spans="1:1" x14ac:dyDescent="0.25">
      <c r="A24864" t="e">
        <v>#N/A</v>
      </c>
    </row>
    <row r="24865" spans="1:1" x14ac:dyDescent="0.25">
      <c r="A24865" t="e">
        <v>#N/A</v>
      </c>
    </row>
    <row r="24866" spans="1:1" x14ac:dyDescent="0.25">
      <c r="A24866" t="e">
        <v>#N/A</v>
      </c>
    </row>
    <row r="24867" spans="1:1" x14ac:dyDescent="0.25">
      <c r="A24867" t="e">
        <v>#N/A</v>
      </c>
    </row>
    <row r="24868" spans="1:1" x14ac:dyDescent="0.25">
      <c r="A24868" t="e">
        <v>#N/A</v>
      </c>
    </row>
    <row r="24869" spans="1:1" x14ac:dyDescent="0.25">
      <c r="A24869" t="e">
        <v>#N/A</v>
      </c>
    </row>
    <row r="24870" spans="1:1" x14ac:dyDescent="0.25">
      <c r="A24870" t="e">
        <v>#N/A</v>
      </c>
    </row>
    <row r="24871" spans="1:1" x14ac:dyDescent="0.25">
      <c r="A24871" t="e">
        <v>#N/A</v>
      </c>
    </row>
    <row r="24872" spans="1:1" x14ac:dyDescent="0.25">
      <c r="A24872" t="e">
        <v>#N/A</v>
      </c>
    </row>
    <row r="24873" spans="1:1" x14ac:dyDescent="0.25">
      <c r="A24873" t="e">
        <v>#N/A</v>
      </c>
    </row>
    <row r="24874" spans="1:1" x14ac:dyDescent="0.25">
      <c r="A24874" t="e">
        <v>#N/A</v>
      </c>
    </row>
    <row r="24875" spans="1:1" x14ac:dyDescent="0.25">
      <c r="A24875" t="e">
        <v>#N/A</v>
      </c>
    </row>
    <row r="24876" spans="1:1" x14ac:dyDescent="0.25">
      <c r="A24876" t="e">
        <v>#N/A</v>
      </c>
    </row>
    <row r="24877" spans="1:1" x14ac:dyDescent="0.25">
      <c r="A24877" t="e">
        <v>#N/A</v>
      </c>
    </row>
    <row r="24878" spans="1:1" x14ac:dyDescent="0.25">
      <c r="A24878" t="e">
        <v>#N/A</v>
      </c>
    </row>
    <row r="24879" spans="1:1" x14ac:dyDescent="0.25">
      <c r="A24879" t="e">
        <v>#N/A</v>
      </c>
    </row>
    <row r="24880" spans="1:1" x14ac:dyDescent="0.25">
      <c r="A24880" t="e">
        <v>#N/A</v>
      </c>
    </row>
    <row r="24881" spans="1:1" x14ac:dyDescent="0.25">
      <c r="A24881" t="e">
        <v>#N/A</v>
      </c>
    </row>
    <row r="24882" spans="1:1" x14ac:dyDescent="0.25">
      <c r="A24882" t="e">
        <v>#N/A</v>
      </c>
    </row>
    <row r="24883" spans="1:1" x14ac:dyDescent="0.25">
      <c r="A24883" t="e">
        <v>#N/A</v>
      </c>
    </row>
    <row r="24884" spans="1:1" x14ac:dyDescent="0.25">
      <c r="A24884" t="e">
        <v>#N/A</v>
      </c>
    </row>
    <row r="24885" spans="1:1" x14ac:dyDescent="0.25">
      <c r="A24885" t="e">
        <v>#N/A</v>
      </c>
    </row>
    <row r="24886" spans="1:1" x14ac:dyDescent="0.25">
      <c r="A24886" t="e">
        <v>#N/A</v>
      </c>
    </row>
    <row r="24887" spans="1:1" x14ac:dyDescent="0.25">
      <c r="A24887" t="e">
        <v>#N/A</v>
      </c>
    </row>
    <row r="24888" spans="1:1" x14ac:dyDescent="0.25">
      <c r="A24888" t="e">
        <v>#N/A</v>
      </c>
    </row>
    <row r="24889" spans="1:1" x14ac:dyDescent="0.25">
      <c r="A24889" t="e">
        <v>#N/A</v>
      </c>
    </row>
    <row r="24890" spans="1:1" x14ac:dyDescent="0.25">
      <c r="A24890" t="e">
        <v>#N/A</v>
      </c>
    </row>
    <row r="24891" spans="1:1" x14ac:dyDescent="0.25">
      <c r="A24891" t="e">
        <v>#N/A</v>
      </c>
    </row>
    <row r="24892" spans="1:1" x14ac:dyDescent="0.25">
      <c r="A24892" t="e">
        <v>#N/A</v>
      </c>
    </row>
    <row r="24893" spans="1:1" x14ac:dyDescent="0.25">
      <c r="A24893" t="e">
        <v>#N/A</v>
      </c>
    </row>
    <row r="24894" spans="1:1" x14ac:dyDescent="0.25">
      <c r="A24894" t="e">
        <v>#N/A</v>
      </c>
    </row>
    <row r="24895" spans="1:1" x14ac:dyDescent="0.25">
      <c r="A24895" t="e">
        <v>#N/A</v>
      </c>
    </row>
    <row r="24896" spans="1:1" x14ac:dyDescent="0.25">
      <c r="A24896" t="e">
        <v>#N/A</v>
      </c>
    </row>
    <row r="24897" spans="1:1" x14ac:dyDescent="0.25">
      <c r="A24897" t="e">
        <v>#N/A</v>
      </c>
    </row>
    <row r="24898" spans="1:1" x14ac:dyDescent="0.25">
      <c r="A24898" t="e">
        <v>#N/A</v>
      </c>
    </row>
    <row r="24899" spans="1:1" x14ac:dyDescent="0.25">
      <c r="A24899" t="e">
        <v>#N/A</v>
      </c>
    </row>
    <row r="24900" spans="1:1" x14ac:dyDescent="0.25">
      <c r="A24900" t="e">
        <v>#N/A</v>
      </c>
    </row>
    <row r="24901" spans="1:1" x14ac:dyDescent="0.25">
      <c r="A24901" t="e">
        <v>#N/A</v>
      </c>
    </row>
    <row r="24902" spans="1:1" x14ac:dyDescent="0.25">
      <c r="A24902" t="e">
        <v>#N/A</v>
      </c>
    </row>
    <row r="24903" spans="1:1" x14ac:dyDescent="0.25">
      <c r="A24903" t="e">
        <v>#N/A</v>
      </c>
    </row>
    <row r="24904" spans="1:1" x14ac:dyDescent="0.25">
      <c r="A24904" t="e">
        <v>#N/A</v>
      </c>
    </row>
    <row r="24905" spans="1:1" x14ac:dyDescent="0.25">
      <c r="A24905" t="e">
        <v>#N/A</v>
      </c>
    </row>
    <row r="24906" spans="1:1" x14ac:dyDescent="0.25">
      <c r="A24906" t="e">
        <v>#N/A</v>
      </c>
    </row>
    <row r="24907" spans="1:1" x14ac:dyDescent="0.25">
      <c r="A24907" t="e">
        <v>#N/A</v>
      </c>
    </row>
    <row r="24908" spans="1:1" x14ac:dyDescent="0.25">
      <c r="A24908" t="e">
        <v>#N/A</v>
      </c>
    </row>
    <row r="24909" spans="1:1" x14ac:dyDescent="0.25">
      <c r="A24909" t="e">
        <v>#N/A</v>
      </c>
    </row>
    <row r="24910" spans="1:1" x14ac:dyDescent="0.25">
      <c r="A24910" t="e">
        <v>#N/A</v>
      </c>
    </row>
    <row r="24911" spans="1:1" x14ac:dyDescent="0.25">
      <c r="A24911" t="e">
        <v>#N/A</v>
      </c>
    </row>
    <row r="24912" spans="1:1" x14ac:dyDescent="0.25">
      <c r="A24912" t="e">
        <v>#N/A</v>
      </c>
    </row>
    <row r="24913" spans="1:1" x14ac:dyDescent="0.25">
      <c r="A24913" t="e">
        <v>#N/A</v>
      </c>
    </row>
    <row r="24914" spans="1:1" x14ac:dyDescent="0.25">
      <c r="A24914" t="e">
        <v>#N/A</v>
      </c>
    </row>
    <row r="24915" spans="1:1" x14ac:dyDescent="0.25">
      <c r="A24915" t="e">
        <v>#N/A</v>
      </c>
    </row>
    <row r="24916" spans="1:1" x14ac:dyDescent="0.25">
      <c r="A24916" t="e">
        <v>#N/A</v>
      </c>
    </row>
    <row r="24917" spans="1:1" x14ac:dyDescent="0.25">
      <c r="A24917" t="e">
        <v>#N/A</v>
      </c>
    </row>
    <row r="24918" spans="1:1" x14ac:dyDescent="0.25">
      <c r="A24918" t="e">
        <v>#N/A</v>
      </c>
    </row>
    <row r="24919" spans="1:1" x14ac:dyDescent="0.25">
      <c r="A24919" t="e">
        <v>#N/A</v>
      </c>
    </row>
    <row r="24920" spans="1:1" x14ac:dyDescent="0.25">
      <c r="A24920" t="e">
        <v>#N/A</v>
      </c>
    </row>
    <row r="24921" spans="1:1" x14ac:dyDescent="0.25">
      <c r="A24921" t="e">
        <v>#N/A</v>
      </c>
    </row>
    <row r="24922" spans="1:1" x14ac:dyDescent="0.25">
      <c r="A24922" t="e">
        <v>#N/A</v>
      </c>
    </row>
    <row r="24923" spans="1:1" x14ac:dyDescent="0.25">
      <c r="A24923" t="e">
        <v>#N/A</v>
      </c>
    </row>
    <row r="24924" spans="1:1" x14ac:dyDescent="0.25">
      <c r="A24924" t="e">
        <v>#N/A</v>
      </c>
    </row>
    <row r="24925" spans="1:1" x14ac:dyDescent="0.25">
      <c r="A24925" t="e">
        <v>#N/A</v>
      </c>
    </row>
    <row r="24926" spans="1:1" x14ac:dyDescent="0.25">
      <c r="A24926" t="e">
        <v>#N/A</v>
      </c>
    </row>
    <row r="24927" spans="1:1" x14ac:dyDescent="0.25">
      <c r="A24927" t="e">
        <v>#N/A</v>
      </c>
    </row>
    <row r="24928" spans="1:1" x14ac:dyDescent="0.25">
      <c r="A24928" t="e">
        <v>#N/A</v>
      </c>
    </row>
    <row r="24929" spans="1:1" x14ac:dyDescent="0.25">
      <c r="A24929" t="e">
        <v>#N/A</v>
      </c>
    </row>
    <row r="24930" spans="1:1" x14ac:dyDescent="0.25">
      <c r="A24930" t="e">
        <v>#N/A</v>
      </c>
    </row>
    <row r="24931" spans="1:1" x14ac:dyDescent="0.25">
      <c r="A24931" t="e">
        <v>#N/A</v>
      </c>
    </row>
    <row r="24932" spans="1:1" x14ac:dyDescent="0.25">
      <c r="A24932" t="e">
        <v>#N/A</v>
      </c>
    </row>
    <row r="24933" spans="1:1" x14ac:dyDescent="0.25">
      <c r="A24933" t="e">
        <v>#N/A</v>
      </c>
    </row>
    <row r="24934" spans="1:1" x14ac:dyDescent="0.25">
      <c r="A24934" t="e">
        <v>#N/A</v>
      </c>
    </row>
    <row r="24935" spans="1:1" x14ac:dyDescent="0.25">
      <c r="A24935" t="e">
        <v>#N/A</v>
      </c>
    </row>
    <row r="24936" spans="1:1" x14ac:dyDescent="0.25">
      <c r="A24936" t="e">
        <v>#N/A</v>
      </c>
    </row>
    <row r="24937" spans="1:1" x14ac:dyDescent="0.25">
      <c r="A24937" t="e">
        <v>#N/A</v>
      </c>
    </row>
    <row r="24938" spans="1:1" x14ac:dyDescent="0.25">
      <c r="A24938" t="e">
        <v>#N/A</v>
      </c>
    </row>
    <row r="24939" spans="1:1" x14ac:dyDescent="0.25">
      <c r="A24939" t="e">
        <v>#N/A</v>
      </c>
    </row>
    <row r="24940" spans="1:1" x14ac:dyDescent="0.25">
      <c r="A24940" t="e">
        <v>#N/A</v>
      </c>
    </row>
    <row r="24941" spans="1:1" x14ac:dyDescent="0.25">
      <c r="A24941" t="e">
        <v>#N/A</v>
      </c>
    </row>
    <row r="24942" spans="1:1" x14ac:dyDescent="0.25">
      <c r="A24942" t="e">
        <v>#N/A</v>
      </c>
    </row>
    <row r="24943" spans="1:1" x14ac:dyDescent="0.25">
      <c r="A24943" t="e">
        <v>#N/A</v>
      </c>
    </row>
    <row r="24944" spans="1:1" x14ac:dyDescent="0.25">
      <c r="A24944" t="e">
        <v>#N/A</v>
      </c>
    </row>
    <row r="24945" spans="1:1" x14ac:dyDescent="0.25">
      <c r="A24945" t="e">
        <v>#N/A</v>
      </c>
    </row>
    <row r="24946" spans="1:1" x14ac:dyDescent="0.25">
      <c r="A24946" t="e">
        <v>#N/A</v>
      </c>
    </row>
    <row r="24947" spans="1:1" x14ac:dyDescent="0.25">
      <c r="A24947" t="e">
        <v>#N/A</v>
      </c>
    </row>
    <row r="24948" spans="1:1" x14ac:dyDescent="0.25">
      <c r="A24948" t="e">
        <v>#N/A</v>
      </c>
    </row>
    <row r="24949" spans="1:1" x14ac:dyDescent="0.25">
      <c r="A24949" t="e">
        <v>#N/A</v>
      </c>
    </row>
    <row r="24950" spans="1:1" x14ac:dyDescent="0.25">
      <c r="A24950" t="e">
        <v>#N/A</v>
      </c>
    </row>
    <row r="24951" spans="1:1" x14ac:dyDescent="0.25">
      <c r="A24951" t="e">
        <v>#N/A</v>
      </c>
    </row>
    <row r="24952" spans="1:1" x14ac:dyDescent="0.25">
      <c r="A24952" t="e">
        <v>#N/A</v>
      </c>
    </row>
    <row r="24953" spans="1:1" x14ac:dyDescent="0.25">
      <c r="A24953" t="e">
        <v>#N/A</v>
      </c>
    </row>
    <row r="24954" spans="1:1" x14ac:dyDescent="0.25">
      <c r="A24954" t="e">
        <v>#N/A</v>
      </c>
    </row>
    <row r="24955" spans="1:1" x14ac:dyDescent="0.25">
      <c r="A24955" t="e">
        <v>#N/A</v>
      </c>
    </row>
    <row r="24956" spans="1:1" x14ac:dyDescent="0.25">
      <c r="A24956" t="e">
        <v>#N/A</v>
      </c>
    </row>
    <row r="24957" spans="1:1" x14ac:dyDescent="0.25">
      <c r="A24957" t="e">
        <v>#N/A</v>
      </c>
    </row>
    <row r="24958" spans="1:1" x14ac:dyDescent="0.25">
      <c r="A24958" t="e">
        <v>#N/A</v>
      </c>
    </row>
    <row r="24959" spans="1:1" x14ac:dyDescent="0.25">
      <c r="A24959" t="e">
        <v>#N/A</v>
      </c>
    </row>
    <row r="24960" spans="1:1" x14ac:dyDescent="0.25">
      <c r="A24960" t="e">
        <v>#N/A</v>
      </c>
    </row>
    <row r="24961" spans="1:1" x14ac:dyDescent="0.25">
      <c r="A24961" t="e">
        <v>#N/A</v>
      </c>
    </row>
    <row r="24962" spans="1:1" x14ac:dyDescent="0.25">
      <c r="A24962" t="e">
        <v>#N/A</v>
      </c>
    </row>
    <row r="24963" spans="1:1" x14ac:dyDescent="0.25">
      <c r="A24963" t="e">
        <v>#N/A</v>
      </c>
    </row>
    <row r="24964" spans="1:1" x14ac:dyDescent="0.25">
      <c r="A24964" t="e">
        <v>#N/A</v>
      </c>
    </row>
    <row r="24965" spans="1:1" x14ac:dyDescent="0.25">
      <c r="A24965" t="e">
        <v>#N/A</v>
      </c>
    </row>
    <row r="24966" spans="1:1" x14ac:dyDescent="0.25">
      <c r="A24966" t="e">
        <v>#N/A</v>
      </c>
    </row>
    <row r="24967" spans="1:1" x14ac:dyDescent="0.25">
      <c r="A24967" t="e">
        <v>#N/A</v>
      </c>
    </row>
    <row r="24968" spans="1:1" x14ac:dyDescent="0.25">
      <c r="A24968" t="e">
        <v>#N/A</v>
      </c>
    </row>
    <row r="24969" spans="1:1" x14ac:dyDescent="0.25">
      <c r="A24969" t="e">
        <v>#N/A</v>
      </c>
    </row>
    <row r="24970" spans="1:1" x14ac:dyDescent="0.25">
      <c r="A24970" t="e">
        <v>#N/A</v>
      </c>
    </row>
    <row r="24971" spans="1:1" x14ac:dyDescent="0.25">
      <c r="A24971" t="e">
        <v>#N/A</v>
      </c>
    </row>
    <row r="24972" spans="1:1" x14ac:dyDescent="0.25">
      <c r="A24972" t="e">
        <v>#N/A</v>
      </c>
    </row>
    <row r="24973" spans="1:1" x14ac:dyDescent="0.25">
      <c r="A24973" t="e">
        <v>#N/A</v>
      </c>
    </row>
    <row r="24974" spans="1:1" x14ac:dyDescent="0.25">
      <c r="A24974" t="e">
        <v>#N/A</v>
      </c>
    </row>
    <row r="24975" spans="1:1" x14ac:dyDescent="0.25">
      <c r="A24975" t="e">
        <v>#N/A</v>
      </c>
    </row>
    <row r="24976" spans="1:1" x14ac:dyDescent="0.25">
      <c r="A24976" t="e">
        <v>#N/A</v>
      </c>
    </row>
    <row r="24977" spans="1:1" x14ac:dyDescent="0.25">
      <c r="A24977" t="e">
        <v>#N/A</v>
      </c>
    </row>
    <row r="24978" spans="1:1" x14ac:dyDescent="0.25">
      <c r="A24978" t="e">
        <v>#N/A</v>
      </c>
    </row>
    <row r="24979" spans="1:1" x14ac:dyDescent="0.25">
      <c r="A24979" t="e">
        <v>#N/A</v>
      </c>
    </row>
    <row r="24980" spans="1:1" x14ac:dyDescent="0.25">
      <c r="A24980" t="e">
        <v>#N/A</v>
      </c>
    </row>
    <row r="24981" spans="1:1" x14ac:dyDescent="0.25">
      <c r="A24981" t="e">
        <v>#N/A</v>
      </c>
    </row>
    <row r="24982" spans="1:1" x14ac:dyDescent="0.25">
      <c r="A24982" t="e">
        <v>#N/A</v>
      </c>
    </row>
    <row r="24983" spans="1:1" x14ac:dyDescent="0.25">
      <c r="A24983" t="e">
        <v>#N/A</v>
      </c>
    </row>
    <row r="24984" spans="1:1" x14ac:dyDescent="0.25">
      <c r="A24984" t="e">
        <v>#N/A</v>
      </c>
    </row>
    <row r="24985" spans="1:1" x14ac:dyDescent="0.25">
      <c r="A24985" t="e">
        <v>#N/A</v>
      </c>
    </row>
    <row r="24986" spans="1:1" x14ac:dyDescent="0.25">
      <c r="A24986" t="e">
        <v>#N/A</v>
      </c>
    </row>
    <row r="24987" spans="1:1" x14ac:dyDescent="0.25">
      <c r="A24987" t="e">
        <v>#N/A</v>
      </c>
    </row>
    <row r="24988" spans="1:1" x14ac:dyDescent="0.25">
      <c r="A24988" t="e">
        <v>#N/A</v>
      </c>
    </row>
    <row r="24989" spans="1:1" x14ac:dyDescent="0.25">
      <c r="A24989" t="e">
        <v>#N/A</v>
      </c>
    </row>
    <row r="24990" spans="1:1" x14ac:dyDescent="0.25">
      <c r="A24990" t="e">
        <v>#N/A</v>
      </c>
    </row>
    <row r="24991" spans="1:1" x14ac:dyDescent="0.25">
      <c r="A24991" t="e">
        <v>#N/A</v>
      </c>
    </row>
    <row r="24992" spans="1:1" x14ac:dyDescent="0.25">
      <c r="A24992" t="e">
        <v>#N/A</v>
      </c>
    </row>
    <row r="24993" spans="1:1" x14ac:dyDescent="0.25">
      <c r="A24993" t="e">
        <v>#N/A</v>
      </c>
    </row>
    <row r="24994" spans="1:1" x14ac:dyDescent="0.25">
      <c r="A24994" t="e">
        <v>#N/A</v>
      </c>
    </row>
    <row r="24995" spans="1:1" x14ac:dyDescent="0.25">
      <c r="A24995" t="e">
        <v>#N/A</v>
      </c>
    </row>
    <row r="24996" spans="1:1" x14ac:dyDescent="0.25">
      <c r="A24996" t="e">
        <v>#N/A</v>
      </c>
    </row>
    <row r="24997" spans="1:1" x14ac:dyDescent="0.25">
      <c r="A24997" t="e">
        <v>#N/A</v>
      </c>
    </row>
    <row r="24998" spans="1:1" x14ac:dyDescent="0.25">
      <c r="A24998" t="e">
        <v>#N/A</v>
      </c>
    </row>
    <row r="24999" spans="1:1" x14ac:dyDescent="0.25">
      <c r="A24999" t="e">
        <v>#N/A</v>
      </c>
    </row>
    <row r="25000" spans="1:1" x14ac:dyDescent="0.25">
      <c r="A25000" t="e">
        <v>#N/A</v>
      </c>
    </row>
    <row r="25001" spans="1:1" x14ac:dyDescent="0.25">
      <c r="A25001" t="e">
        <v>#N/A</v>
      </c>
    </row>
    <row r="25002" spans="1:1" x14ac:dyDescent="0.25">
      <c r="A25002" t="e">
        <v>#N/A</v>
      </c>
    </row>
    <row r="25003" spans="1:1" x14ac:dyDescent="0.25">
      <c r="A25003" t="e">
        <v>#N/A</v>
      </c>
    </row>
    <row r="25004" spans="1:1" x14ac:dyDescent="0.25">
      <c r="A25004" t="e">
        <v>#N/A</v>
      </c>
    </row>
    <row r="25005" spans="1:1" x14ac:dyDescent="0.25">
      <c r="A25005" t="e">
        <v>#N/A</v>
      </c>
    </row>
    <row r="25006" spans="1:1" x14ac:dyDescent="0.25">
      <c r="A25006" t="e">
        <v>#N/A</v>
      </c>
    </row>
    <row r="25007" spans="1:1" x14ac:dyDescent="0.25">
      <c r="A25007" t="e">
        <v>#N/A</v>
      </c>
    </row>
    <row r="25008" spans="1:1" x14ac:dyDescent="0.25">
      <c r="A25008" t="e">
        <v>#N/A</v>
      </c>
    </row>
    <row r="25009" spans="1:1" x14ac:dyDescent="0.25">
      <c r="A25009" t="e">
        <v>#N/A</v>
      </c>
    </row>
    <row r="25010" spans="1:1" x14ac:dyDescent="0.25">
      <c r="A25010" t="e">
        <v>#N/A</v>
      </c>
    </row>
    <row r="25011" spans="1:1" x14ac:dyDescent="0.25">
      <c r="A25011" t="e">
        <v>#N/A</v>
      </c>
    </row>
    <row r="25012" spans="1:1" x14ac:dyDescent="0.25">
      <c r="A25012" t="e">
        <v>#N/A</v>
      </c>
    </row>
    <row r="25013" spans="1:1" x14ac:dyDescent="0.25">
      <c r="A25013" t="e">
        <v>#N/A</v>
      </c>
    </row>
    <row r="25014" spans="1:1" x14ac:dyDescent="0.25">
      <c r="A25014" t="e">
        <v>#N/A</v>
      </c>
    </row>
    <row r="25015" spans="1:1" x14ac:dyDescent="0.25">
      <c r="A25015" t="e">
        <v>#N/A</v>
      </c>
    </row>
    <row r="25016" spans="1:1" x14ac:dyDescent="0.25">
      <c r="A25016" t="e">
        <v>#N/A</v>
      </c>
    </row>
    <row r="25017" spans="1:1" x14ac:dyDescent="0.25">
      <c r="A25017" t="e">
        <v>#N/A</v>
      </c>
    </row>
    <row r="25018" spans="1:1" x14ac:dyDescent="0.25">
      <c r="A25018" t="e">
        <v>#N/A</v>
      </c>
    </row>
    <row r="25019" spans="1:1" x14ac:dyDescent="0.25">
      <c r="A25019" t="e">
        <v>#N/A</v>
      </c>
    </row>
    <row r="25020" spans="1:1" x14ac:dyDescent="0.25">
      <c r="A25020" t="e">
        <v>#N/A</v>
      </c>
    </row>
    <row r="25021" spans="1:1" x14ac:dyDescent="0.25">
      <c r="A25021" t="e">
        <v>#N/A</v>
      </c>
    </row>
    <row r="25022" spans="1:1" x14ac:dyDescent="0.25">
      <c r="A25022" t="e">
        <v>#N/A</v>
      </c>
    </row>
    <row r="25023" spans="1:1" x14ac:dyDescent="0.25">
      <c r="A25023" t="e">
        <v>#N/A</v>
      </c>
    </row>
    <row r="25024" spans="1:1" x14ac:dyDescent="0.25">
      <c r="A25024" t="e">
        <v>#N/A</v>
      </c>
    </row>
    <row r="25025" spans="1:1" x14ac:dyDescent="0.25">
      <c r="A25025" t="e">
        <v>#N/A</v>
      </c>
    </row>
    <row r="25026" spans="1:1" x14ac:dyDescent="0.25">
      <c r="A25026" t="e">
        <v>#N/A</v>
      </c>
    </row>
    <row r="25027" spans="1:1" x14ac:dyDescent="0.25">
      <c r="A25027" t="e">
        <v>#N/A</v>
      </c>
    </row>
    <row r="25028" spans="1:1" x14ac:dyDescent="0.25">
      <c r="A25028" t="e">
        <v>#N/A</v>
      </c>
    </row>
    <row r="25029" spans="1:1" x14ac:dyDescent="0.25">
      <c r="A25029" t="e">
        <v>#N/A</v>
      </c>
    </row>
    <row r="25030" spans="1:1" x14ac:dyDescent="0.25">
      <c r="A25030" t="e">
        <v>#N/A</v>
      </c>
    </row>
    <row r="25031" spans="1:1" x14ac:dyDescent="0.25">
      <c r="A25031" t="e">
        <v>#N/A</v>
      </c>
    </row>
    <row r="25032" spans="1:1" x14ac:dyDescent="0.25">
      <c r="A25032" t="e">
        <v>#N/A</v>
      </c>
    </row>
    <row r="25033" spans="1:1" x14ac:dyDescent="0.25">
      <c r="A25033" t="e">
        <v>#N/A</v>
      </c>
    </row>
    <row r="25034" spans="1:1" x14ac:dyDescent="0.25">
      <c r="A25034" t="e">
        <v>#N/A</v>
      </c>
    </row>
    <row r="25035" spans="1:1" x14ac:dyDescent="0.25">
      <c r="A25035" t="e">
        <v>#N/A</v>
      </c>
    </row>
    <row r="25036" spans="1:1" x14ac:dyDescent="0.25">
      <c r="A25036" t="e">
        <v>#N/A</v>
      </c>
    </row>
    <row r="25037" spans="1:1" x14ac:dyDescent="0.25">
      <c r="A25037" t="e">
        <v>#N/A</v>
      </c>
    </row>
    <row r="25038" spans="1:1" x14ac:dyDescent="0.25">
      <c r="A25038" t="e">
        <v>#N/A</v>
      </c>
    </row>
    <row r="25039" spans="1:1" x14ac:dyDescent="0.25">
      <c r="A25039" t="e">
        <v>#N/A</v>
      </c>
    </row>
    <row r="25040" spans="1:1" x14ac:dyDescent="0.25">
      <c r="A25040" t="e">
        <v>#N/A</v>
      </c>
    </row>
    <row r="25041" spans="1:1" x14ac:dyDescent="0.25">
      <c r="A25041" t="e">
        <v>#N/A</v>
      </c>
    </row>
    <row r="25042" spans="1:1" x14ac:dyDescent="0.25">
      <c r="A25042" t="e">
        <v>#N/A</v>
      </c>
    </row>
    <row r="25043" spans="1:1" x14ac:dyDescent="0.25">
      <c r="A25043" t="e">
        <v>#N/A</v>
      </c>
    </row>
    <row r="25044" spans="1:1" x14ac:dyDescent="0.25">
      <c r="A25044" t="e">
        <v>#N/A</v>
      </c>
    </row>
    <row r="25045" spans="1:1" x14ac:dyDescent="0.25">
      <c r="A25045" t="e">
        <v>#N/A</v>
      </c>
    </row>
    <row r="25046" spans="1:1" x14ac:dyDescent="0.25">
      <c r="A25046" t="e">
        <v>#N/A</v>
      </c>
    </row>
    <row r="25047" spans="1:1" x14ac:dyDescent="0.25">
      <c r="A25047" t="e">
        <v>#N/A</v>
      </c>
    </row>
    <row r="25048" spans="1:1" x14ac:dyDescent="0.25">
      <c r="A25048" t="e">
        <v>#N/A</v>
      </c>
    </row>
    <row r="25049" spans="1:1" x14ac:dyDescent="0.25">
      <c r="A25049" t="e">
        <v>#N/A</v>
      </c>
    </row>
    <row r="25050" spans="1:1" x14ac:dyDescent="0.25">
      <c r="A25050" t="e">
        <v>#N/A</v>
      </c>
    </row>
    <row r="25051" spans="1:1" x14ac:dyDescent="0.25">
      <c r="A25051" t="e">
        <v>#N/A</v>
      </c>
    </row>
    <row r="25052" spans="1:1" x14ac:dyDescent="0.25">
      <c r="A25052" t="e">
        <v>#N/A</v>
      </c>
    </row>
    <row r="25053" spans="1:1" x14ac:dyDescent="0.25">
      <c r="A25053" t="e">
        <v>#N/A</v>
      </c>
    </row>
    <row r="25054" spans="1:1" x14ac:dyDescent="0.25">
      <c r="A25054" t="e">
        <v>#N/A</v>
      </c>
    </row>
    <row r="25055" spans="1:1" x14ac:dyDescent="0.25">
      <c r="A25055" t="e">
        <v>#N/A</v>
      </c>
    </row>
    <row r="25056" spans="1:1" x14ac:dyDescent="0.25">
      <c r="A25056" t="e">
        <v>#N/A</v>
      </c>
    </row>
    <row r="25057" spans="1:1" x14ac:dyDescent="0.25">
      <c r="A25057" t="e">
        <v>#N/A</v>
      </c>
    </row>
    <row r="25058" spans="1:1" x14ac:dyDescent="0.25">
      <c r="A25058" t="e">
        <v>#N/A</v>
      </c>
    </row>
    <row r="25059" spans="1:1" x14ac:dyDescent="0.25">
      <c r="A25059" t="e">
        <v>#N/A</v>
      </c>
    </row>
    <row r="25060" spans="1:1" x14ac:dyDescent="0.25">
      <c r="A25060" t="e">
        <v>#N/A</v>
      </c>
    </row>
    <row r="25061" spans="1:1" x14ac:dyDescent="0.25">
      <c r="A25061" t="e">
        <v>#N/A</v>
      </c>
    </row>
    <row r="25062" spans="1:1" x14ac:dyDescent="0.25">
      <c r="A25062" t="e">
        <v>#N/A</v>
      </c>
    </row>
    <row r="25063" spans="1:1" x14ac:dyDescent="0.25">
      <c r="A25063" t="e">
        <v>#N/A</v>
      </c>
    </row>
    <row r="25064" spans="1:1" x14ac:dyDescent="0.25">
      <c r="A25064" t="e">
        <v>#N/A</v>
      </c>
    </row>
    <row r="25065" spans="1:1" x14ac:dyDescent="0.25">
      <c r="A25065" t="e">
        <v>#N/A</v>
      </c>
    </row>
    <row r="25066" spans="1:1" x14ac:dyDescent="0.25">
      <c r="A25066" t="e">
        <v>#N/A</v>
      </c>
    </row>
    <row r="25067" spans="1:1" x14ac:dyDescent="0.25">
      <c r="A25067" t="e">
        <v>#N/A</v>
      </c>
    </row>
    <row r="25068" spans="1:1" x14ac:dyDescent="0.25">
      <c r="A25068" t="e">
        <v>#N/A</v>
      </c>
    </row>
    <row r="25069" spans="1:1" x14ac:dyDescent="0.25">
      <c r="A25069" t="e">
        <v>#N/A</v>
      </c>
    </row>
    <row r="25070" spans="1:1" x14ac:dyDescent="0.25">
      <c r="A25070" t="e">
        <v>#N/A</v>
      </c>
    </row>
    <row r="25071" spans="1:1" x14ac:dyDescent="0.25">
      <c r="A25071" t="e">
        <v>#N/A</v>
      </c>
    </row>
    <row r="25072" spans="1:1" x14ac:dyDescent="0.25">
      <c r="A25072" t="e">
        <v>#N/A</v>
      </c>
    </row>
    <row r="25073" spans="1:1" x14ac:dyDescent="0.25">
      <c r="A25073" t="e">
        <v>#N/A</v>
      </c>
    </row>
    <row r="25074" spans="1:1" x14ac:dyDescent="0.25">
      <c r="A25074" t="e">
        <v>#N/A</v>
      </c>
    </row>
    <row r="25075" spans="1:1" x14ac:dyDescent="0.25">
      <c r="A25075" t="e">
        <v>#N/A</v>
      </c>
    </row>
    <row r="25076" spans="1:1" x14ac:dyDescent="0.25">
      <c r="A25076" t="e">
        <v>#N/A</v>
      </c>
    </row>
    <row r="25077" spans="1:1" x14ac:dyDescent="0.25">
      <c r="A25077" t="e">
        <v>#N/A</v>
      </c>
    </row>
    <row r="25078" spans="1:1" x14ac:dyDescent="0.25">
      <c r="A25078" t="e">
        <v>#N/A</v>
      </c>
    </row>
    <row r="25079" spans="1:1" x14ac:dyDescent="0.25">
      <c r="A25079" t="e">
        <v>#N/A</v>
      </c>
    </row>
    <row r="25080" spans="1:1" x14ac:dyDescent="0.25">
      <c r="A25080" t="e">
        <v>#N/A</v>
      </c>
    </row>
    <row r="25081" spans="1:1" x14ac:dyDescent="0.25">
      <c r="A25081" t="e">
        <v>#N/A</v>
      </c>
    </row>
    <row r="25082" spans="1:1" x14ac:dyDescent="0.25">
      <c r="A25082" t="e">
        <v>#N/A</v>
      </c>
    </row>
    <row r="25083" spans="1:1" x14ac:dyDescent="0.25">
      <c r="A25083" t="e">
        <v>#N/A</v>
      </c>
    </row>
    <row r="25084" spans="1:1" x14ac:dyDescent="0.25">
      <c r="A25084" t="e">
        <v>#N/A</v>
      </c>
    </row>
    <row r="25085" spans="1:1" x14ac:dyDescent="0.25">
      <c r="A25085" t="e">
        <v>#N/A</v>
      </c>
    </row>
    <row r="25086" spans="1:1" x14ac:dyDescent="0.25">
      <c r="A25086" t="e">
        <v>#N/A</v>
      </c>
    </row>
    <row r="25087" spans="1:1" x14ac:dyDescent="0.25">
      <c r="A25087" t="e">
        <v>#N/A</v>
      </c>
    </row>
    <row r="25088" spans="1:1" x14ac:dyDescent="0.25">
      <c r="A25088" t="e">
        <v>#N/A</v>
      </c>
    </row>
    <row r="25089" spans="1:1" x14ac:dyDescent="0.25">
      <c r="A25089" t="e">
        <v>#N/A</v>
      </c>
    </row>
    <row r="25090" spans="1:1" x14ac:dyDescent="0.25">
      <c r="A25090" t="e">
        <v>#N/A</v>
      </c>
    </row>
    <row r="25091" spans="1:1" x14ac:dyDescent="0.25">
      <c r="A25091" t="e">
        <v>#N/A</v>
      </c>
    </row>
    <row r="25092" spans="1:1" x14ac:dyDescent="0.25">
      <c r="A25092" t="e">
        <v>#N/A</v>
      </c>
    </row>
    <row r="25093" spans="1:1" x14ac:dyDescent="0.25">
      <c r="A25093" t="e">
        <v>#N/A</v>
      </c>
    </row>
    <row r="25094" spans="1:1" x14ac:dyDescent="0.25">
      <c r="A25094" t="e">
        <v>#N/A</v>
      </c>
    </row>
    <row r="25095" spans="1:1" x14ac:dyDescent="0.25">
      <c r="A25095" t="e">
        <v>#N/A</v>
      </c>
    </row>
    <row r="25096" spans="1:1" x14ac:dyDescent="0.25">
      <c r="A25096" t="e">
        <v>#N/A</v>
      </c>
    </row>
    <row r="25097" spans="1:1" x14ac:dyDescent="0.25">
      <c r="A25097" t="e">
        <v>#N/A</v>
      </c>
    </row>
    <row r="25098" spans="1:1" x14ac:dyDescent="0.25">
      <c r="A25098" t="e">
        <v>#N/A</v>
      </c>
    </row>
    <row r="25099" spans="1:1" x14ac:dyDescent="0.25">
      <c r="A25099" t="e">
        <v>#N/A</v>
      </c>
    </row>
    <row r="25100" spans="1:1" x14ac:dyDescent="0.25">
      <c r="A25100" t="e">
        <v>#N/A</v>
      </c>
    </row>
    <row r="25101" spans="1:1" x14ac:dyDescent="0.25">
      <c r="A25101" t="e">
        <v>#N/A</v>
      </c>
    </row>
    <row r="25102" spans="1:1" x14ac:dyDescent="0.25">
      <c r="A25102" t="e">
        <v>#N/A</v>
      </c>
    </row>
    <row r="25103" spans="1:1" x14ac:dyDescent="0.25">
      <c r="A25103" t="e">
        <v>#N/A</v>
      </c>
    </row>
    <row r="25104" spans="1:1" x14ac:dyDescent="0.25">
      <c r="A25104" t="e">
        <v>#N/A</v>
      </c>
    </row>
    <row r="25105" spans="1:1" x14ac:dyDescent="0.25">
      <c r="A25105" t="e">
        <v>#N/A</v>
      </c>
    </row>
    <row r="25106" spans="1:1" x14ac:dyDescent="0.25">
      <c r="A25106" t="e">
        <v>#N/A</v>
      </c>
    </row>
    <row r="25107" spans="1:1" x14ac:dyDescent="0.25">
      <c r="A25107" t="e">
        <v>#N/A</v>
      </c>
    </row>
    <row r="25108" spans="1:1" x14ac:dyDescent="0.25">
      <c r="A25108" t="e">
        <v>#N/A</v>
      </c>
    </row>
    <row r="25109" spans="1:1" x14ac:dyDescent="0.25">
      <c r="A25109" t="e">
        <v>#N/A</v>
      </c>
    </row>
    <row r="25110" spans="1:1" x14ac:dyDescent="0.25">
      <c r="A25110" t="e">
        <v>#N/A</v>
      </c>
    </row>
    <row r="25111" spans="1:1" x14ac:dyDescent="0.25">
      <c r="A25111" t="e">
        <v>#N/A</v>
      </c>
    </row>
    <row r="25112" spans="1:1" x14ac:dyDescent="0.25">
      <c r="A25112" t="e">
        <v>#N/A</v>
      </c>
    </row>
    <row r="25113" spans="1:1" x14ac:dyDescent="0.25">
      <c r="A25113" t="e">
        <v>#N/A</v>
      </c>
    </row>
    <row r="25114" spans="1:1" x14ac:dyDescent="0.25">
      <c r="A25114" t="e">
        <v>#N/A</v>
      </c>
    </row>
    <row r="25115" spans="1:1" x14ac:dyDescent="0.25">
      <c r="A25115" t="e">
        <v>#N/A</v>
      </c>
    </row>
    <row r="25116" spans="1:1" x14ac:dyDescent="0.25">
      <c r="A25116" t="e">
        <v>#N/A</v>
      </c>
    </row>
    <row r="25117" spans="1:1" x14ac:dyDescent="0.25">
      <c r="A25117" t="e">
        <v>#N/A</v>
      </c>
    </row>
    <row r="25118" spans="1:1" x14ac:dyDescent="0.25">
      <c r="A25118" t="e">
        <v>#N/A</v>
      </c>
    </row>
    <row r="25119" spans="1:1" x14ac:dyDescent="0.25">
      <c r="A25119" t="e">
        <v>#N/A</v>
      </c>
    </row>
    <row r="25120" spans="1:1" x14ac:dyDescent="0.25">
      <c r="A25120" t="e">
        <v>#N/A</v>
      </c>
    </row>
    <row r="25121" spans="1:1" x14ac:dyDescent="0.25">
      <c r="A25121" t="e">
        <v>#N/A</v>
      </c>
    </row>
    <row r="25122" spans="1:1" x14ac:dyDescent="0.25">
      <c r="A25122" t="e">
        <v>#N/A</v>
      </c>
    </row>
    <row r="25123" spans="1:1" x14ac:dyDescent="0.25">
      <c r="A25123" t="e">
        <v>#N/A</v>
      </c>
    </row>
    <row r="25124" spans="1:1" x14ac:dyDescent="0.25">
      <c r="A25124" t="e">
        <v>#N/A</v>
      </c>
    </row>
    <row r="25125" spans="1:1" x14ac:dyDescent="0.25">
      <c r="A25125" t="e">
        <v>#N/A</v>
      </c>
    </row>
    <row r="25126" spans="1:1" x14ac:dyDescent="0.25">
      <c r="A25126" t="e">
        <v>#N/A</v>
      </c>
    </row>
    <row r="25127" spans="1:1" x14ac:dyDescent="0.25">
      <c r="A25127" t="e">
        <v>#N/A</v>
      </c>
    </row>
    <row r="25128" spans="1:1" x14ac:dyDescent="0.25">
      <c r="A25128" t="e">
        <v>#N/A</v>
      </c>
    </row>
    <row r="25129" spans="1:1" x14ac:dyDescent="0.25">
      <c r="A25129" t="e">
        <v>#N/A</v>
      </c>
    </row>
    <row r="25130" spans="1:1" x14ac:dyDescent="0.25">
      <c r="A25130" t="e">
        <v>#N/A</v>
      </c>
    </row>
    <row r="25131" spans="1:1" x14ac:dyDescent="0.25">
      <c r="A25131" t="e">
        <v>#N/A</v>
      </c>
    </row>
    <row r="25132" spans="1:1" x14ac:dyDescent="0.25">
      <c r="A25132" t="e">
        <v>#N/A</v>
      </c>
    </row>
    <row r="25133" spans="1:1" x14ac:dyDescent="0.25">
      <c r="A25133" t="e">
        <v>#N/A</v>
      </c>
    </row>
    <row r="25134" spans="1:1" x14ac:dyDescent="0.25">
      <c r="A25134" t="e">
        <v>#N/A</v>
      </c>
    </row>
    <row r="25135" spans="1:1" x14ac:dyDescent="0.25">
      <c r="A25135" t="e">
        <v>#N/A</v>
      </c>
    </row>
    <row r="25136" spans="1:1" x14ac:dyDescent="0.25">
      <c r="A25136" t="e">
        <v>#N/A</v>
      </c>
    </row>
    <row r="25137" spans="1:1" x14ac:dyDescent="0.25">
      <c r="A25137" t="e">
        <v>#N/A</v>
      </c>
    </row>
    <row r="25138" spans="1:1" x14ac:dyDescent="0.25">
      <c r="A25138" t="e">
        <v>#N/A</v>
      </c>
    </row>
    <row r="25139" spans="1:1" x14ac:dyDescent="0.25">
      <c r="A25139" t="e">
        <v>#N/A</v>
      </c>
    </row>
    <row r="25140" spans="1:1" x14ac:dyDescent="0.25">
      <c r="A25140" t="e">
        <v>#N/A</v>
      </c>
    </row>
    <row r="25141" spans="1:1" x14ac:dyDescent="0.25">
      <c r="A25141" t="e">
        <v>#N/A</v>
      </c>
    </row>
    <row r="25142" spans="1:1" x14ac:dyDescent="0.25">
      <c r="A25142" t="e">
        <v>#N/A</v>
      </c>
    </row>
    <row r="25143" spans="1:1" x14ac:dyDescent="0.25">
      <c r="A25143" t="e">
        <v>#N/A</v>
      </c>
    </row>
    <row r="25144" spans="1:1" x14ac:dyDescent="0.25">
      <c r="A25144" t="e">
        <v>#N/A</v>
      </c>
    </row>
    <row r="25145" spans="1:1" x14ac:dyDescent="0.25">
      <c r="A25145" t="e">
        <v>#N/A</v>
      </c>
    </row>
    <row r="25146" spans="1:1" x14ac:dyDescent="0.25">
      <c r="A25146" t="e">
        <v>#N/A</v>
      </c>
    </row>
    <row r="25147" spans="1:1" x14ac:dyDescent="0.25">
      <c r="A25147" t="e">
        <v>#N/A</v>
      </c>
    </row>
    <row r="25148" spans="1:1" x14ac:dyDescent="0.25">
      <c r="A25148" t="e">
        <v>#N/A</v>
      </c>
    </row>
    <row r="25149" spans="1:1" x14ac:dyDescent="0.25">
      <c r="A25149" t="e">
        <v>#N/A</v>
      </c>
    </row>
    <row r="25150" spans="1:1" x14ac:dyDescent="0.25">
      <c r="A25150" t="e">
        <v>#N/A</v>
      </c>
    </row>
    <row r="25151" spans="1:1" x14ac:dyDescent="0.25">
      <c r="A25151" t="e">
        <v>#N/A</v>
      </c>
    </row>
    <row r="25152" spans="1:1" x14ac:dyDescent="0.25">
      <c r="A25152" t="e">
        <v>#N/A</v>
      </c>
    </row>
    <row r="25153" spans="1:1" x14ac:dyDescent="0.25">
      <c r="A25153" t="e">
        <v>#N/A</v>
      </c>
    </row>
    <row r="25154" spans="1:1" x14ac:dyDescent="0.25">
      <c r="A25154" t="e">
        <v>#N/A</v>
      </c>
    </row>
    <row r="25155" spans="1:1" x14ac:dyDescent="0.25">
      <c r="A25155" t="e">
        <v>#N/A</v>
      </c>
    </row>
    <row r="25156" spans="1:1" x14ac:dyDescent="0.25">
      <c r="A25156" t="e">
        <v>#N/A</v>
      </c>
    </row>
    <row r="25157" spans="1:1" x14ac:dyDescent="0.25">
      <c r="A25157" t="e">
        <v>#N/A</v>
      </c>
    </row>
    <row r="25158" spans="1:1" x14ac:dyDescent="0.25">
      <c r="A25158" t="e">
        <v>#N/A</v>
      </c>
    </row>
    <row r="25159" spans="1:1" x14ac:dyDescent="0.25">
      <c r="A25159" t="e">
        <v>#N/A</v>
      </c>
    </row>
    <row r="25160" spans="1:1" x14ac:dyDescent="0.25">
      <c r="A25160" t="e">
        <v>#N/A</v>
      </c>
    </row>
    <row r="25161" spans="1:1" x14ac:dyDescent="0.25">
      <c r="A25161" t="e">
        <v>#N/A</v>
      </c>
    </row>
    <row r="25162" spans="1:1" x14ac:dyDescent="0.25">
      <c r="A25162" t="e">
        <v>#N/A</v>
      </c>
    </row>
    <row r="25163" spans="1:1" x14ac:dyDescent="0.25">
      <c r="A25163" t="e">
        <v>#N/A</v>
      </c>
    </row>
    <row r="25164" spans="1:1" x14ac:dyDescent="0.25">
      <c r="A25164" t="e">
        <v>#N/A</v>
      </c>
    </row>
    <row r="25165" spans="1:1" x14ac:dyDescent="0.25">
      <c r="A25165" t="e">
        <v>#N/A</v>
      </c>
    </row>
    <row r="25166" spans="1:1" x14ac:dyDescent="0.25">
      <c r="A25166" t="e">
        <v>#N/A</v>
      </c>
    </row>
    <row r="25167" spans="1:1" x14ac:dyDescent="0.25">
      <c r="A25167" t="e">
        <v>#N/A</v>
      </c>
    </row>
    <row r="25168" spans="1:1" x14ac:dyDescent="0.25">
      <c r="A25168" t="e">
        <v>#N/A</v>
      </c>
    </row>
    <row r="25169" spans="1:1" x14ac:dyDescent="0.25">
      <c r="A25169" t="e">
        <v>#N/A</v>
      </c>
    </row>
    <row r="25170" spans="1:1" x14ac:dyDescent="0.25">
      <c r="A25170" t="e">
        <v>#N/A</v>
      </c>
    </row>
    <row r="25171" spans="1:1" x14ac:dyDescent="0.25">
      <c r="A25171" t="e">
        <v>#N/A</v>
      </c>
    </row>
    <row r="25172" spans="1:1" x14ac:dyDescent="0.25">
      <c r="A25172" t="e">
        <v>#N/A</v>
      </c>
    </row>
    <row r="25173" spans="1:1" x14ac:dyDescent="0.25">
      <c r="A25173" t="e">
        <v>#N/A</v>
      </c>
    </row>
    <row r="25174" spans="1:1" x14ac:dyDescent="0.25">
      <c r="A25174" t="e">
        <v>#N/A</v>
      </c>
    </row>
    <row r="25175" spans="1:1" x14ac:dyDescent="0.25">
      <c r="A25175" t="e">
        <v>#N/A</v>
      </c>
    </row>
    <row r="25176" spans="1:1" x14ac:dyDescent="0.25">
      <c r="A25176" t="e">
        <v>#N/A</v>
      </c>
    </row>
    <row r="25177" spans="1:1" x14ac:dyDescent="0.25">
      <c r="A25177" t="e">
        <v>#N/A</v>
      </c>
    </row>
    <row r="25178" spans="1:1" x14ac:dyDescent="0.25">
      <c r="A25178" t="e">
        <v>#N/A</v>
      </c>
    </row>
    <row r="25179" spans="1:1" x14ac:dyDescent="0.25">
      <c r="A25179" t="e">
        <v>#N/A</v>
      </c>
    </row>
    <row r="25180" spans="1:1" x14ac:dyDescent="0.25">
      <c r="A25180" t="e">
        <v>#N/A</v>
      </c>
    </row>
    <row r="25181" spans="1:1" x14ac:dyDescent="0.25">
      <c r="A25181" t="e">
        <v>#N/A</v>
      </c>
    </row>
    <row r="25182" spans="1:1" x14ac:dyDescent="0.25">
      <c r="A25182" t="e">
        <v>#N/A</v>
      </c>
    </row>
    <row r="25183" spans="1:1" x14ac:dyDescent="0.25">
      <c r="A25183" t="e">
        <v>#N/A</v>
      </c>
    </row>
    <row r="25184" spans="1:1" x14ac:dyDescent="0.25">
      <c r="A25184" t="e">
        <v>#N/A</v>
      </c>
    </row>
    <row r="25185" spans="1:1" x14ac:dyDescent="0.25">
      <c r="A25185" t="e">
        <v>#N/A</v>
      </c>
    </row>
    <row r="25186" spans="1:1" x14ac:dyDescent="0.25">
      <c r="A25186" t="e">
        <v>#N/A</v>
      </c>
    </row>
    <row r="25187" spans="1:1" x14ac:dyDescent="0.25">
      <c r="A25187" t="e">
        <v>#N/A</v>
      </c>
    </row>
    <row r="25188" spans="1:1" x14ac:dyDescent="0.25">
      <c r="A25188" t="e">
        <v>#N/A</v>
      </c>
    </row>
    <row r="25189" spans="1:1" x14ac:dyDescent="0.25">
      <c r="A25189" t="e">
        <v>#N/A</v>
      </c>
    </row>
    <row r="25190" spans="1:1" x14ac:dyDescent="0.25">
      <c r="A25190" t="e">
        <v>#N/A</v>
      </c>
    </row>
    <row r="25191" spans="1:1" x14ac:dyDescent="0.25">
      <c r="A25191" t="e">
        <v>#N/A</v>
      </c>
    </row>
    <row r="25192" spans="1:1" x14ac:dyDescent="0.25">
      <c r="A25192" t="e">
        <v>#N/A</v>
      </c>
    </row>
    <row r="25193" spans="1:1" x14ac:dyDescent="0.25">
      <c r="A25193" t="e">
        <v>#N/A</v>
      </c>
    </row>
    <row r="25194" spans="1:1" x14ac:dyDescent="0.25">
      <c r="A25194" t="e">
        <v>#N/A</v>
      </c>
    </row>
    <row r="25195" spans="1:1" x14ac:dyDescent="0.25">
      <c r="A25195" t="e">
        <v>#N/A</v>
      </c>
    </row>
    <row r="25196" spans="1:1" x14ac:dyDescent="0.25">
      <c r="A25196" t="e">
        <v>#N/A</v>
      </c>
    </row>
    <row r="25197" spans="1:1" x14ac:dyDescent="0.25">
      <c r="A25197" t="e">
        <v>#N/A</v>
      </c>
    </row>
    <row r="25198" spans="1:1" x14ac:dyDescent="0.25">
      <c r="A25198" t="e">
        <v>#N/A</v>
      </c>
    </row>
    <row r="25199" spans="1:1" x14ac:dyDescent="0.25">
      <c r="A25199" t="e">
        <v>#N/A</v>
      </c>
    </row>
    <row r="25200" spans="1:1" x14ac:dyDescent="0.25">
      <c r="A25200" t="e">
        <v>#N/A</v>
      </c>
    </row>
    <row r="25201" spans="1:1" x14ac:dyDescent="0.25">
      <c r="A25201" t="e">
        <v>#N/A</v>
      </c>
    </row>
    <row r="25202" spans="1:1" x14ac:dyDescent="0.25">
      <c r="A25202" t="e">
        <v>#N/A</v>
      </c>
    </row>
    <row r="25203" spans="1:1" x14ac:dyDescent="0.25">
      <c r="A25203" t="e">
        <v>#N/A</v>
      </c>
    </row>
    <row r="25204" spans="1:1" x14ac:dyDescent="0.25">
      <c r="A25204" t="e">
        <v>#N/A</v>
      </c>
    </row>
    <row r="25205" spans="1:1" x14ac:dyDescent="0.25">
      <c r="A25205" t="e">
        <v>#N/A</v>
      </c>
    </row>
    <row r="25206" spans="1:1" x14ac:dyDescent="0.25">
      <c r="A25206" t="e">
        <v>#N/A</v>
      </c>
    </row>
    <row r="25207" spans="1:1" x14ac:dyDescent="0.25">
      <c r="A25207" t="e">
        <v>#N/A</v>
      </c>
    </row>
    <row r="25208" spans="1:1" x14ac:dyDescent="0.25">
      <c r="A25208" t="e">
        <v>#N/A</v>
      </c>
    </row>
    <row r="25209" spans="1:1" x14ac:dyDescent="0.25">
      <c r="A25209" t="e">
        <v>#N/A</v>
      </c>
    </row>
    <row r="25210" spans="1:1" x14ac:dyDescent="0.25">
      <c r="A25210" t="e">
        <v>#N/A</v>
      </c>
    </row>
    <row r="25211" spans="1:1" x14ac:dyDescent="0.25">
      <c r="A25211" t="e">
        <v>#N/A</v>
      </c>
    </row>
    <row r="25212" spans="1:1" x14ac:dyDescent="0.25">
      <c r="A25212" t="e">
        <v>#N/A</v>
      </c>
    </row>
    <row r="25213" spans="1:1" x14ac:dyDescent="0.25">
      <c r="A25213" t="e">
        <v>#N/A</v>
      </c>
    </row>
    <row r="25214" spans="1:1" x14ac:dyDescent="0.25">
      <c r="A25214" t="e">
        <v>#N/A</v>
      </c>
    </row>
    <row r="25215" spans="1:1" x14ac:dyDescent="0.25">
      <c r="A25215" t="e">
        <v>#N/A</v>
      </c>
    </row>
    <row r="25216" spans="1:1" x14ac:dyDescent="0.25">
      <c r="A25216" t="e">
        <v>#N/A</v>
      </c>
    </row>
    <row r="25217" spans="1:1" x14ac:dyDescent="0.25">
      <c r="A25217" t="e">
        <v>#N/A</v>
      </c>
    </row>
    <row r="25218" spans="1:1" x14ac:dyDescent="0.25">
      <c r="A25218" t="e">
        <v>#N/A</v>
      </c>
    </row>
    <row r="25219" spans="1:1" x14ac:dyDescent="0.25">
      <c r="A25219" t="e">
        <v>#N/A</v>
      </c>
    </row>
    <row r="25220" spans="1:1" x14ac:dyDescent="0.25">
      <c r="A25220" t="e">
        <v>#N/A</v>
      </c>
    </row>
    <row r="25221" spans="1:1" x14ac:dyDescent="0.25">
      <c r="A25221" t="e">
        <v>#N/A</v>
      </c>
    </row>
    <row r="25222" spans="1:1" x14ac:dyDescent="0.25">
      <c r="A25222" t="e">
        <v>#N/A</v>
      </c>
    </row>
    <row r="25223" spans="1:1" x14ac:dyDescent="0.25">
      <c r="A25223" t="e">
        <v>#N/A</v>
      </c>
    </row>
    <row r="25224" spans="1:1" x14ac:dyDescent="0.25">
      <c r="A25224" t="e">
        <v>#N/A</v>
      </c>
    </row>
    <row r="25225" spans="1:1" x14ac:dyDescent="0.25">
      <c r="A25225" t="e">
        <v>#N/A</v>
      </c>
    </row>
    <row r="25226" spans="1:1" x14ac:dyDescent="0.25">
      <c r="A25226" t="e">
        <v>#N/A</v>
      </c>
    </row>
    <row r="25227" spans="1:1" x14ac:dyDescent="0.25">
      <c r="A25227" t="e">
        <v>#N/A</v>
      </c>
    </row>
    <row r="25228" spans="1:1" x14ac:dyDescent="0.25">
      <c r="A25228" t="e">
        <v>#N/A</v>
      </c>
    </row>
    <row r="25229" spans="1:1" x14ac:dyDescent="0.25">
      <c r="A25229" t="e">
        <v>#N/A</v>
      </c>
    </row>
    <row r="25230" spans="1:1" x14ac:dyDescent="0.25">
      <c r="A25230" t="e">
        <v>#N/A</v>
      </c>
    </row>
    <row r="25231" spans="1:1" x14ac:dyDescent="0.25">
      <c r="A25231" t="e">
        <v>#N/A</v>
      </c>
    </row>
    <row r="25232" spans="1:1" x14ac:dyDescent="0.25">
      <c r="A25232" t="e">
        <v>#N/A</v>
      </c>
    </row>
    <row r="25233" spans="1:1" x14ac:dyDescent="0.25">
      <c r="A25233" t="e">
        <v>#N/A</v>
      </c>
    </row>
    <row r="25234" spans="1:1" x14ac:dyDescent="0.25">
      <c r="A25234" t="e">
        <v>#N/A</v>
      </c>
    </row>
    <row r="25235" spans="1:1" x14ac:dyDescent="0.25">
      <c r="A25235" t="e">
        <v>#N/A</v>
      </c>
    </row>
    <row r="25236" spans="1:1" x14ac:dyDescent="0.25">
      <c r="A25236" t="e">
        <v>#N/A</v>
      </c>
    </row>
    <row r="25237" spans="1:1" x14ac:dyDescent="0.25">
      <c r="A25237" t="e">
        <v>#N/A</v>
      </c>
    </row>
    <row r="25238" spans="1:1" x14ac:dyDescent="0.25">
      <c r="A25238" t="e">
        <v>#N/A</v>
      </c>
    </row>
    <row r="25239" spans="1:1" x14ac:dyDescent="0.25">
      <c r="A25239" t="e">
        <v>#N/A</v>
      </c>
    </row>
    <row r="25240" spans="1:1" x14ac:dyDescent="0.25">
      <c r="A25240" t="e">
        <v>#N/A</v>
      </c>
    </row>
    <row r="25241" spans="1:1" x14ac:dyDescent="0.25">
      <c r="A25241" t="e">
        <v>#N/A</v>
      </c>
    </row>
    <row r="25242" spans="1:1" x14ac:dyDescent="0.25">
      <c r="A25242" t="e">
        <v>#N/A</v>
      </c>
    </row>
    <row r="25243" spans="1:1" x14ac:dyDescent="0.25">
      <c r="A25243" t="e">
        <v>#N/A</v>
      </c>
    </row>
    <row r="25244" spans="1:1" x14ac:dyDescent="0.25">
      <c r="A25244" t="e">
        <v>#N/A</v>
      </c>
    </row>
    <row r="25245" spans="1:1" x14ac:dyDescent="0.25">
      <c r="A25245" t="e">
        <v>#N/A</v>
      </c>
    </row>
    <row r="25246" spans="1:1" x14ac:dyDescent="0.25">
      <c r="A25246" t="e">
        <v>#N/A</v>
      </c>
    </row>
    <row r="25247" spans="1:1" x14ac:dyDescent="0.25">
      <c r="A25247" t="e">
        <v>#N/A</v>
      </c>
    </row>
    <row r="25248" spans="1:1" x14ac:dyDescent="0.25">
      <c r="A25248" t="e">
        <v>#N/A</v>
      </c>
    </row>
    <row r="25249" spans="1:1" x14ac:dyDescent="0.25">
      <c r="A25249" t="e">
        <v>#N/A</v>
      </c>
    </row>
    <row r="25250" spans="1:1" x14ac:dyDescent="0.25">
      <c r="A25250" t="e">
        <v>#N/A</v>
      </c>
    </row>
    <row r="25251" spans="1:1" x14ac:dyDescent="0.25">
      <c r="A25251" t="e">
        <v>#N/A</v>
      </c>
    </row>
    <row r="25252" spans="1:1" x14ac:dyDescent="0.25">
      <c r="A25252" t="e">
        <v>#N/A</v>
      </c>
    </row>
    <row r="25253" spans="1:1" x14ac:dyDescent="0.25">
      <c r="A25253" t="e">
        <v>#N/A</v>
      </c>
    </row>
    <row r="25254" spans="1:1" x14ac:dyDescent="0.25">
      <c r="A25254" t="e">
        <v>#N/A</v>
      </c>
    </row>
    <row r="25255" spans="1:1" x14ac:dyDescent="0.25">
      <c r="A25255" t="e">
        <v>#N/A</v>
      </c>
    </row>
    <row r="25256" spans="1:1" x14ac:dyDescent="0.25">
      <c r="A25256" t="e">
        <v>#N/A</v>
      </c>
    </row>
    <row r="25257" spans="1:1" x14ac:dyDescent="0.25">
      <c r="A25257" t="e">
        <v>#N/A</v>
      </c>
    </row>
    <row r="25258" spans="1:1" x14ac:dyDescent="0.25">
      <c r="A25258" t="e">
        <v>#N/A</v>
      </c>
    </row>
    <row r="25259" spans="1:1" x14ac:dyDescent="0.25">
      <c r="A25259" t="e">
        <v>#N/A</v>
      </c>
    </row>
    <row r="25260" spans="1:1" x14ac:dyDescent="0.25">
      <c r="A25260" t="e">
        <v>#N/A</v>
      </c>
    </row>
    <row r="25261" spans="1:1" x14ac:dyDescent="0.25">
      <c r="A25261" t="e">
        <v>#N/A</v>
      </c>
    </row>
    <row r="25262" spans="1:1" x14ac:dyDescent="0.25">
      <c r="A25262" t="e">
        <v>#N/A</v>
      </c>
    </row>
    <row r="25263" spans="1:1" x14ac:dyDescent="0.25">
      <c r="A25263" t="e">
        <v>#N/A</v>
      </c>
    </row>
    <row r="25264" spans="1:1" x14ac:dyDescent="0.25">
      <c r="A25264" t="e">
        <v>#N/A</v>
      </c>
    </row>
    <row r="25265" spans="1:1" x14ac:dyDescent="0.25">
      <c r="A25265" t="e">
        <v>#N/A</v>
      </c>
    </row>
    <row r="25266" spans="1:1" x14ac:dyDescent="0.25">
      <c r="A25266" t="e">
        <v>#N/A</v>
      </c>
    </row>
    <row r="25267" spans="1:1" x14ac:dyDescent="0.25">
      <c r="A25267" t="e">
        <v>#N/A</v>
      </c>
    </row>
    <row r="25268" spans="1:1" x14ac:dyDescent="0.25">
      <c r="A25268" t="e">
        <v>#N/A</v>
      </c>
    </row>
    <row r="25269" spans="1:1" x14ac:dyDescent="0.25">
      <c r="A25269" t="e">
        <v>#N/A</v>
      </c>
    </row>
    <row r="25270" spans="1:1" x14ac:dyDescent="0.25">
      <c r="A25270" t="e">
        <v>#N/A</v>
      </c>
    </row>
    <row r="25271" spans="1:1" x14ac:dyDescent="0.25">
      <c r="A25271" t="e">
        <v>#N/A</v>
      </c>
    </row>
    <row r="25272" spans="1:1" x14ac:dyDescent="0.25">
      <c r="A25272" t="e">
        <v>#N/A</v>
      </c>
    </row>
    <row r="25273" spans="1:1" x14ac:dyDescent="0.25">
      <c r="A25273" t="e">
        <v>#N/A</v>
      </c>
    </row>
    <row r="25274" spans="1:1" x14ac:dyDescent="0.25">
      <c r="A25274" t="e">
        <v>#N/A</v>
      </c>
    </row>
    <row r="25275" spans="1:1" x14ac:dyDescent="0.25">
      <c r="A25275" t="e">
        <v>#N/A</v>
      </c>
    </row>
    <row r="25276" spans="1:1" x14ac:dyDescent="0.25">
      <c r="A25276" t="e">
        <v>#N/A</v>
      </c>
    </row>
    <row r="25277" spans="1:1" x14ac:dyDescent="0.25">
      <c r="A25277" t="e">
        <v>#N/A</v>
      </c>
    </row>
    <row r="25278" spans="1:1" x14ac:dyDescent="0.25">
      <c r="A25278" t="e">
        <v>#N/A</v>
      </c>
    </row>
    <row r="25279" spans="1:1" x14ac:dyDescent="0.25">
      <c r="A25279" t="e">
        <v>#N/A</v>
      </c>
    </row>
    <row r="25280" spans="1:1" x14ac:dyDescent="0.25">
      <c r="A25280" t="e">
        <v>#N/A</v>
      </c>
    </row>
    <row r="25281" spans="1:1" x14ac:dyDescent="0.25">
      <c r="A25281" t="e">
        <v>#N/A</v>
      </c>
    </row>
    <row r="25282" spans="1:1" x14ac:dyDescent="0.25">
      <c r="A25282" t="e">
        <v>#N/A</v>
      </c>
    </row>
    <row r="25283" spans="1:1" x14ac:dyDescent="0.25">
      <c r="A25283" t="e">
        <v>#N/A</v>
      </c>
    </row>
    <row r="25284" spans="1:1" x14ac:dyDescent="0.25">
      <c r="A25284" t="e">
        <v>#N/A</v>
      </c>
    </row>
    <row r="25285" spans="1:1" x14ac:dyDescent="0.25">
      <c r="A25285" t="e">
        <v>#N/A</v>
      </c>
    </row>
    <row r="25286" spans="1:1" x14ac:dyDescent="0.25">
      <c r="A25286" t="e">
        <v>#N/A</v>
      </c>
    </row>
    <row r="25287" spans="1:1" x14ac:dyDescent="0.25">
      <c r="A25287" t="e">
        <v>#N/A</v>
      </c>
    </row>
    <row r="25288" spans="1:1" x14ac:dyDescent="0.25">
      <c r="A25288" t="e">
        <v>#N/A</v>
      </c>
    </row>
    <row r="25289" spans="1:1" x14ac:dyDescent="0.25">
      <c r="A25289" t="e">
        <v>#N/A</v>
      </c>
    </row>
    <row r="25290" spans="1:1" x14ac:dyDescent="0.25">
      <c r="A25290" t="e">
        <v>#N/A</v>
      </c>
    </row>
    <row r="25291" spans="1:1" x14ac:dyDescent="0.25">
      <c r="A25291" t="e">
        <v>#N/A</v>
      </c>
    </row>
    <row r="25292" spans="1:1" x14ac:dyDescent="0.25">
      <c r="A25292" t="e">
        <v>#N/A</v>
      </c>
    </row>
    <row r="25293" spans="1:1" x14ac:dyDescent="0.25">
      <c r="A25293" t="e">
        <v>#N/A</v>
      </c>
    </row>
    <row r="25294" spans="1:1" x14ac:dyDescent="0.25">
      <c r="A25294" t="e">
        <v>#N/A</v>
      </c>
    </row>
    <row r="25295" spans="1:1" x14ac:dyDescent="0.25">
      <c r="A25295" t="e">
        <v>#N/A</v>
      </c>
    </row>
    <row r="25296" spans="1:1" x14ac:dyDescent="0.25">
      <c r="A25296" t="e">
        <v>#N/A</v>
      </c>
    </row>
    <row r="25297" spans="1:1" x14ac:dyDescent="0.25">
      <c r="A25297" t="e">
        <v>#N/A</v>
      </c>
    </row>
    <row r="25298" spans="1:1" x14ac:dyDescent="0.25">
      <c r="A25298" t="e">
        <v>#N/A</v>
      </c>
    </row>
    <row r="25299" spans="1:1" x14ac:dyDescent="0.25">
      <c r="A25299" t="e">
        <v>#N/A</v>
      </c>
    </row>
    <row r="25300" spans="1:1" x14ac:dyDescent="0.25">
      <c r="A25300" t="e">
        <v>#N/A</v>
      </c>
    </row>
    <row r="25301" spans="1:1" x14ac:dyDescent="0.25">
      <c r="A25301" t="e">
        <v>#N/A</v>
      </c>
    </row>
    <row r="25302" spans="1:1" x14ac:dyDescent="0.25">
      <c r="A25302" t="e">
        <v>#N/A</v>
      </c>
    </row>
    <row r="25303" spans="1:1" x14ac:dyDescent="0.25">
      <c r="A25303" t="e">
        <v>#N/A</v>
      </c>
    </row>
    <row r="25304" spans="1:1" x14ac:dyDescent="0.25">
      <c r="A25304" t="e">
        <v>#N/A</v>
      </c>
    </row>
    <row r="25305" spans="1:1" x14ac:dyDescent="0.25">
      <c r="A25305" t="e">
        <v>#N/A</v>
      </c>
    </row>
    <row r="25306" spans="1:1" x14ac:dyDescent="0.25">
      <c r="A25306" t="e">
        <v>#N/A</v>
      </c>
    </row>
    <row r="25307" spans="1:1" x14ac:dyDescent="0.25">
      <c r="A25307" t="e">
        <v>#N/A</v>
      </c>
    </row>
    <row r="25308" spans="1:1" x14ac:dyDescent="0.25">
      <c r="A25308" t="e">
        <v>#N/A</v>
      </c>
    </row>
    <row r="25309" spans="1:1" x14ac:dyDescent="0.25">
      <c r="A25309" t="e">
        <v>#N/A</v>
      </c>
    </row>
    <row r="25310" spans="1:1" x14ac:dyDescent="0.25">
      <c r="A25310" t="e">
        <v>#N/A</v>
      </c>
    </row>
    <row r="25311" spans="1:1" x14ac:dyDescent="0.25">
      <c r="A25311" t="e">
        <v>#N/A</v>
      </c>
    </row>
    <row r="25312" spans="1:1" x14ac:dyDescent="0.25">
      <c r="A25312" t="e">
        <v>#N/A</v>
      </c>
    </row>
    <row r="25313" spans="1:1" x14ac:dyDescent="0.25">
      <c r="A25313" t="e">
        <v>#N/A</v>
      </c>
    </row>
    <row r="25314" spans="1:1" x14ac:dyDescent="0.25">
      <c r="A25314" t="e">
        <v>#N/A</v>
      </c>
    </row>
    <row r="25315" spans="1:1" x14ac:dyDescent="0.25">
      <c r="A25315" t="e">
        <v>#N/A</v>
      </c>
    </row>
    <row r="25316" spans="1:1" x14ac:dyDescent="0.25">
      <c r="A25316" t="e">
        <v>#N/A</v>
      </c>
    </row>
    <row r="25317" spans="1:1" x14ac:dyDescent="0.25">
      <c r="A25317" t="e">
        <v>#N/A</v>
      </c>
    </row>
    <row r="25318" spans="1:1" x14ac:dyDescent="0.25">
      <c r="A25318" t="e">
        <v>#N/A</v>
      </c>
    </row>
    <row r="25319" spans="1:1" x14ac:dyDescent="0.25">
      <c r="A25319" t="e">
        <v>#N/A</v>
      </c>
    </row>
    <row r="25320" spans="1:1" x14ac:dyDescent="0.25">
      <c r="A25320" t="e">
        <v>#N/A</v>
      </c>
    </row>
    <row r="25321" spans="1:1" x14ac:dyDescent="0.25">
      <c r="A25321" t="e">
        <v>#N/A</v>
      </c>
    </row>
    <row r="25322" spans="1:1" x14ac:dyDescent="0.25">
      <c r="A25322" t="e">
        <v>#N/A</v>
      </c>
    </row>
    <row r="25323" spans="1:1" x14ac:dyDescent="0.25">
      <c r="A25323" t="e">
        <v>#N/A</v>
      </c>
    </row>
    <row r="25324" spans="1:1" x14ac:dyDescent="0.25">
      <c r="A25324" t="e">
        <v>#N/A</v>
      </c>
    </row>
    <row r="25325" spans="1:1" x14ac:dyDescent="0.25">
      <c r="A25325" t="e">
        <v>#N/A</v>
      </c>
    </row>
    <row r="25326" spans="1:1" x14ac:dyDescent="0.25">
      <c r="A25326" t="e">
        <v>#N/A</v>
      </c>
    </row>
    <row r="25327" spans="1:1" x14ac:dyDescent="0.25">
      <c r="A25327" t="e">
        <v>#N/A</v>
      </c>
    </row>
    <row r="25328" spans="1:1" x14ac:dyDescent="0.25">
      <c r="A25328" t="e">
        <v>#N/A</v>
      </c>
    </row>
    <row r="25329" spans="1:1" x14ac:dyDescent="0.25">
      <c r="A25329" t="e">
        <v>#N/A</v>
      </c>
    </row>
    <row r="25330" spans="1:1" x14ac:dyDescent="0.25">
      <c r="A25330" t="e">
        <v>#N/A</v>
      </c>
    </row>
    <row r="25331" spans="1:1" x14ac:dyDescent="0.25">
      <c r="A25331" t="e">
        <v>#N/A</v>
      </c>
    </row>
    <row r="25332" spans="1:1" x14ac:dyDescent="0.25">
      <c r="A25332" t="e">
        <v>#N/A</v>
      </c>
    </row>
    <row r="25333" spans="1:1" x14ac:dyDescent="0.25">
      <c r="A25333" t="e">
        <v>#N/A</v>
      </c>
    </row>
    <row r="25334" spans="1:1" x14ac:dyDescent="0.25">
      <c r="A25334" t="e">
        <v>#N/A</v>
      </c>
    </row>
    <row r="25335" spans="1:1" x14ac:dyDescent="0.25">
      <c r="A25335" t="e">
        <v>#N/A</v>
      </c>
    </row>
    <row r="25336" spans="1:1" x14ac:dyDescent="0.25">
      <c r="A25336" t="e">
        <v>#N/A</v>
      </c>
    </row>
    <row r="25337" spans="1:1" x14ac:dyDescent="0.25">
      <c r="A25337" t="e">
        <v>#N/A</v>
      </c>
    </row>
    <row r="25338" spans="1:1" x14ac:dyDescent="0.25">
      <c r="A25338" t="e">
        <v>#N/A</v>
      </c>
    </row>
    <row r="25339" spans="1:1" x14ac:dyDescent="0.25">
      <c r="A25339" t="e">
        <v>#N/A</v>
      </c>
    </row>
    <row r="25340" spans="1:1" x14ac:dyDescent="0.25">
      <c r="A25340" t="e">
        <v>#N/A</v>
      </c>
    </row>
    <row r="25341" spans="1:1" x14ac:dyDescent="0.25">
      <c r="A25341" t="e">
        <v>#N/A</v>
      </c>
    </row>
    <row r="25342" spans="1:1" x14ac:dyDescent="0.25">
      <c r="A25342" t="e">
        <v>#N/A</v>
      </c>
    </row>
    <row r="25343" spans="1:1" x14ac:dyDescent="0.25">
      <c r="A25343" t="e">
        <v>#N/A</v>
      </c>
    </row>
    <row r="25344" spans="1:1" x14ac:dyDescent="0.25">
      <c r="A25344" t="e">
        <v>#N/A</v>
      </c>
    </row>
    <row r="25345" spans="1:1" x14ac:dyDescent="0.25">
      <c r="A25345" t="e">
        <v>#N/A</v>
      </c>
    </row>
    <row r="25346" spans="1:1" x14ac:dyDescent="0.25">
      <c r="A25346" t="e">
        <v>#N/A</v>
      </c>
    </row>
    <row r="25347" spans="1:1" x14ac:dyDescent="0.25">
      <c r="A25347" t="e">
        <v>#N/A</v>
      </c>
    </row>
    <row r="25348" spans="1:1" x14ac:dyDescent="0.25">
      <c r="A25348" t="e">
        <v>#N/A</v>
      </c>
    </row>
    <row r="25349" spans="1:1" x14ac:dyDescent="0.25">
      <c r="A25349" t="e">
        <v>#N/A</v>
      </c>
    </row>
    <row r="25350" spans="1:1" x14ac:dyDescent="0.25">
      <c r="A25350" t="e">
        <v>#N/A</v>
      </c>
    </row>
    <row r="25351" spans="1:1" x14ac:dyDescent="0.25">
      <c r="A25351" t="e">
        <v>#N/A</v>
      </c>
    </row>
    <row r="25352" spans="1:1" x14ac:dyDescent="0.25">
      <c r="A25352" t="e">
        <v>#N/A</v>
      </c>
    </row>
    <row r="25353" spans="1:1" x14ac:dyDescent="0.25">
      <c r="A25353" t="e">
        <v>#N/A</v>
      </c>
    </row>
    <row r="25354" spans="1:1" x14ac:dyDescent="0.25">
      <c r="A25354" t="e">
        <v>#N/A</v>
      </c>
    </row>
    <row r="25355" spans="1:1" x14ac:dyDescent="0.25">
      <c r="A25355" t="e">
        <v>#N/A</v>
      </c>
    </row>
    <row r="25356" spans="1:1" x14ac:dyDescent="0.25">
      <c r="A25356" t="e">
        <v>#N/A</v>
      </c>
    </row>
    <row r="25357" spans="1:1" x14ac:dyDescent="0.25">
      <c r="A25357" t="e">
        <v>#N/A</v>
      </c>
    </row>
    <row r="25358" spans="1:1" x14ac:dyDescent="0.25">
      <c r="A25358" t="e">
        <v>#N/A</v>
      </c>
    </row>
    <row r="25359" spans="1:1" x14ac:dyDescent="0.25">
      <c r="A25359" t="e">
        <v>#N/A</v>
      </c>
    </row>
    <row r="25360" spans="1:1" x14ac:dyDescent="0.25">
      <c r="A25360" t="e">
        <v>#N/A</v>
      </c>
    </row>
    <row r="25361" spans="1:1" x14ac:dyDescent="0.25">
      <c r="A25361" t="e">
        <v>#N/A</v>
      </c>
    </row>
    <row r="25362" spans="1:1" x14ac:dyDescent="0.25">
      <c r="A25362" t="e">
        <v>#N/A</v>
      </c>
    </row>
    <row r="25363" spans="1:1" x14ac:dyDescent="0.25">
      <c r="A25363" t="e">
        <v>#N/A</v>
      </c>
    </row>
    <row r="25364" spans="1:1" x14ac:dyDescent="0.25">
      <c r="A25364" t="e">
        <v>#N/A</v>
      </c>
    </row>
    <row r="25365" spans="1:1" x14ac:dyDescent="0.25">
      <c r="A25365" t="e">
        <v>#N/A</v>
      </c>
    </row>
    <row r="25366" spans="1:1" x14ac:dyDescent="0.25">
      <c r="A25366" t="e">
        <v>#N/A</v>
      </c>
    </row>
    <row r="25367" spans="1:1" x14ac:dyDescent="0.25">
      <c r="A25367" t="e">
        <v>#N/A</v>
      </c>
    </row>
    <row r="25368" spans="1:1" x14ac:dyDescent="0.25">
      <c r="A25368" t="e">
        <v>#N/A</v>
      </c>
    </row>
    <row r="25369" spans="1:1" x14ac:dyDescent="0.25">
      <c r="A25369" t="e">
        <v>#N/A</v>
      </c>
    </row>
    <row r="25370" spans="1:1" x14ac:dyDescent="0.25">
      <c r="A25370" t="e">
        <v>#N/A</v>
      </c>
    </row>
    <row r="25371" spans="1:1" x14ac:dyDescent="0.25">
      <c r="A25371" t="e">
        <v>#N/A</v>
      </c>
    </row>
    <row r="25372" spans="1:1" x14ac:dyDescent="0.25">
      <c r="A25372" t="e">
        <v>#N/A</v>
      </c>
    </row>
    <row r="25373" spans="1:1" x14ac:dyDescent="0.25">
      <c r="A25373" t="e">
        <v>#N/A</v>
      </c>
    </row>
    <row r="25374" spans="1:1" x14ac:dyDescent="0.25">
      <c r="A25374" t="e">
        <v>#N/A</v>
      </c>
    </row>
    <row r="25375" spans="1:1" x14ac:dyDescent="0.25">
      <c r="A25375" t="e">
        <v>#N/A</v>
      </c>
    </row>
    <row r="25376" spans="1:1" x14ac:dyDescent="0.25">
      <c r="A25376" t="e">
        <v>#N/A</v>
      </c>
    </row>
    <row r="25377" spans="1:1" x14ac:dyDescent="0.25">
      <c r="A25377" t="e">
        <v>#N/A</v>
      </c>
    </row>
    <row r="25378" spans="1:1" x14ac:dyDescent="0.25">
      <c r="A25378" t="e">
        <v>#N/A</v>
      </c>
    </row>
    <row r="25379" spans="1:1" x14ac:dyDescent="0.25">
      <c r="A25379" t="e">
        <v>#N/A</v>
      </c>
    </row>
    <row r="25380" spans="1:1" x14ac:dyDescent="0.25">
      <c r="A25380" t="e">
        <v>#N/A</v>
      </c>
    </row>
    <row r="25381" spans="1:1" x14ac:dyDescent="0.25">
      <c r="A25381" t="e">
        <v>#N/A</v>
      </c>
    </row>
    <row r="25382" spans="1:1" x14ac:dyDescent="0.25">
      <c r="A25382" t="e">
        <v>#N/A</v>
      </c>
    </row>
    <row r="25383" spans="1:1" x14ac:dyDescent="0.25">
      <c r="A25383" t="e">
        <v>#N/A</v>
      </c>
    </row>
    <row r="25384" spans="1:1" x14ac:dyDescent="0.25">
      <c r="A25384" t="e">
        <v>#N/A</v>
      </c>
    </row>
    <row r="25385" spans="1:1" x14ac:dyDescent="0.25">
      <c r="A25385" t="e">
        <v>#N/A</v>
      </c>
    </row>
    <row r="25386" spans="1:1" x14ac:dyDescent="0.25">
      <c r="A25386" t="e">
        <v>#N/A</v>
      </c>
    </row>
    <row r="25387" spans="1:1" x14ac:dyDescent="0.25">
      <c r="A25387" t="e">
        <v>#N/A</v>
      </c>
    </row>
    <row r="25388" spans="1:1" x14ac:dyDescent="0.25">
      <c r="A25388" t="e">
        <v>#N/A</v>
      </c>
    </row>
    <row r="25389" spans="1:1" x14ac:dyDescent="0.25">
      <c r="A25389" t="e">
        <v>#N/A</v>
      </c>
    </row>
    <row r="25390" spans="1:1" x14ac:dyDescent="0.25">
      <c r="A25390" t="e">
        <v>#N/A</v>
      </c>
    </row>
    <row r="25391" spans="1:1" x14ac:dyDescent="0.25">
      <c r="A25391" t="e">
        <v>#N/A</v>
      </c>
    </row>
    <row r="25392" spans="1:1" x14ac:dyDescent="0.25">
      <c r="A25392" t="e">
        <v>#N/A</v>
      </c>
    </row>
    <row r="25393" spans="1:1" x14ac:dyDescent="0.25">
      <c r="A25393" t="e">
        <v>#N/A</v>
      </c>
    </row>
    <row r="25394" spans="1:1" x14ac:dyDescent="0.25">
      <c r="A25394" t="e">
        <v>#N/A</v>
      </c>
    </row>
    <row r="25395" spans="1:1" x14ac:dyDescent="0.25">
      <c r="A25395" t="e">
        <v>#N/A</v>
      </c>
    </row>
    <row r="25396" spans="1:1" x14ac:dyDescent="0.25">
      <c r="A25396" t="e">
        <v>#N/A</v>
      </c>
    </row>
    <row r="25397" spans="1:1" x14ac:dyDescent="0.25">
      <c r="A25397" t="e">
        <v>#N/A</v>
      </c>
    </row>
    <row r="25398" spans="1:1" x14ac:dyDescent="0.25">
      <c r="A25398" t="e">
        <v>#N/A</v>
      </c>
    </row>
    <row r="25399" spans="1:1" x14ac:dyDescent="0.25">
      <c r="A25399" t="e">
        <v>#N/A</v>
      </c>
    </row>
    <row r="25400" spans="1:1" x14ac:dyDescent="0.25">
      <c r="A25400" t="e">
        <v>#N/A</v>
      </c>
    </row>
    <row r="25401" spans="1:1" x14ac:dyDescent="0.25">
      <c r="A25401" t="e">
        <v>#N/A</v>
      </c>
    </row>
    <row r="25402" spans="1:1" x14ac:dyDescent="0.25">
      <c r="A25402" t="e">
        <v>#N/A</v>
      </c>
    </row>
    <row r="25403" spans="1:1" x14ac:dyDescent="0.25">
      <c r="A25403" t="e">
        <v>#N/A</v>
      </c>
    </row>
    <row r="25404" spans="1:1" x14ac:dyDescent="0.25">
      <c r="A25404" t="e">
        <v>#N/A</v>
      </c>
    </row>
    <row r="25405" spans="1:1" x14ac:dyDescent="0.25">
      <c r="A25405" t="e">
        <v>#N/A</v>
      </c>
    </row>
    <row r="25406" spans="1:1" x14ac:dyDescent="0.25">
      <c r="A25406" t="e">
        <v>#N/A</v>
      </c>
    </row>
    <row r="25407" spans="1:1" x14ac:dyDescent="0.25">
      <c r="A25407" t="e">
        <v>#N/A</v>
      </c>
    </row>
    <row r="25408" spans="1:1" x14ac:dyDescent="0.25">
      <c r="A25408" t="e">
        <v>#N/A</v>
      </c>
    </row>
    <row r="25409" spans="1:1" x14ac:dyDescent="0.25">
      <c r="A25409" t="e">
        <v>#N/A</v>
      </c>
    </row>
    <row r="25410" spans="1:1" x14ac:dyDescent="0.25">
      <c r="A25410" t="e">
        <v>#N/A</v>
      </c>
    </row>
    <row r="25411" spans="1:1" x14ac:dyDescent="0.25">
      <c r="A25411" t="e">
        <v>#N/A</v>
      </c>
    </row>
    <row r="25412" spans="1:1" x14ac:dyDescent="0.25">
      <c r="A25412" t="e">
        <v>#N/A</v>
      </c>
    </row>
    <row r="25413" spans="1:1" x14ac:dyDescent="0.25">
      <c r="A25413" t="e">
        <v>#N/A</v>
      </c>
    </row>
    <row r="25414" spans="1:1" x14ac:dyDescent="0.25">
      <c r="A25414" t="e">
        <v>#N/A</v>
      </c>
    </row>
    <row r="25415" spans="1:1" x14ac:dyDescent="0.25">
      <c r="A25415" t="e">
        <v>#N/A</v>
      </c>
    </row>
    <row r="25416" spans="1:1" x14ac:dyDescent="0.25">
      <c r="A25416" t="e">
        <v>#N/A</v>
      </c>
    </row>
    <row r="25417" spans="1:1" x14ac:dyDescent="0.25">
      <c r="A25417" t="e">
        <v>#N/A</v>
      </c>
    </row>
    <row r="25418" spans="1:1" x14ac:dyDescent="0.25">
      <c r="A25418" t="e">
        <v>#N/A</v>
      </c>
    </row>
    <row r="25419" spans="1:1" x14ac:dyDescent="0.25">
      <c r="A25419" t="e">
        <v>#N/A</v>
      </c>
    </row>
    <row r="25420" spans="1:1" x14ac:dyDescent="0.25">
      <c r="A25420" t="e">
        <v>#N/A</v>
      </c>
    </row>
    <row r="25421" spans="1:1" x14ac:dyDescent="0.25">
      <c r="A25421" t="e">
        <v>#N/A</v>
      </c>
    </row>
    <row r="25422" spans="1:1" x14ac:dyDescent="0.25">
      <c r="A25422" t="e">
        <v>#N/A</v>
      </c>
    </row>
    <row r="25423" spans="1:1" x14ac:dyDescent="0.25">
      <c r="A25423" t="e">
        <v>#N/A</v>
      </c>
    </row>
    <row r="25424" spans="1:1" x14ac:dyDescent="0.25">
      <c r="A25424" t="e">
        <v>#N/A</v>
      </c>
    </row>
    <row r="25425" spans="1:1" x14ac:dyDescent="0.25">
      <c r="A25425" t="e">
        <v>#N/A</v>
      </c>
    </row>
    <row r="25426" spans="1:1" x14ac:dyDescent="0.25">
      <c r="A25426" t="e">
        <v>#N/A</v>
      </c>
    </row>
    <row r="25427" spans="1:1" x14ac:dyDescent="0.25">
      <c r="A25427" t="e">
        <v>#N/A</v>
      </c>
    </row>
    <row r="25428" spans="1:1" x14ac:dyDescent="0.25">
      <c r="A25428" t="e">
        <v>#N/A</v>
      </c>
    </row>
    <row r="25429" spans="1:1" x14ac:dyDescent="0.25">
      <c r="A25429" t="e">
        <v>#N/A</v>
      </c>
    </row>
    <row r="25430" spans="1:1" x14ac:dyDescent="0.25">
      <c r="A25430" t="e">
        <v>#N/A</v>
      </c>
    </row>
    <row r="25431" spans="1:1" x14ac:dyDescent="0.25">
      <c r="A25431" t="e">
        <v>#N/A</v>
      </c>
    </row>
    <row r="25432" spans="1:1" x14ac:dyDescent="0.25">
      <c r="A25432" t="e">
        <v>#N/A</v>
      </c>
    </row>
    <row r="25433" spans="1:1" x14ac:dyDescent="0.25">
      <c r="A25433" t="e">
        <v>#N/A</v>
      </c>
    </row>
    <row r="25434" spans="1:1" x14ac:dyDescent="0.25">
      <c r="A25434" t="e">
        <v>#N/A</v>
      </c>
    </row>
    <row r="25435" spans="1:1" x14ac:dyDescent="0.25">
      <c r="A25435" t="e">
        <v>#N/A</v>
      </c>
    </row>
    <row r="25436" spans="1:1" x14ac:dyDescent="0.25">
      <c r="A25436" t="e">
        <v>#N/A</v>
      </c>
    </row>
    <row r="25437" spans="1:1" x14ac:dyDescent="0.25">
      <c r="A25437" t="e">
        <v>#N/A</v>
      </c>
    </row>
    <row r="25438" spans="1:1" x14ac:dyDescent="0.25">
      <c r="A25438" t="e">
        <v>#N/A</v>
      </c>
    </row>
    <row r="25439" spans="1:1" x14ac:dyDescent="0.25">
      <c r="A25439" t="e">
        <v>#N/A</v>
      </c>
    </row>
    <row r="25440" spans="1:1" x14ac:dyDescent="0.25">
      <c r="A25440" t="e">
        <v>#N/A</v>
      </c>
    </row>
    <row r="25441" spans="1:1" x14ac:dyDescent="0.25">
      <c r="A25441" t="e">
        <v>#N/A</v>
      </c>
    </row>
    <row r="25442" spans="1:1" x14ac:dyDescent="0.25">
      <c r="A25442" t="e">
        <v>#N/A</v>
      </c>
    </row>
    <row r="25443" spans="1:1" x14ac:dyDescent="0.25">
      <c r="A25443" t="e">
        <v>#N/A</v>
      </c>
    </row>
    <row r="25444" spans="1:1" x14ac:dyDescent="0.25">
      <c r="A25444" t="e">
        <v>#N/A</v>
      </c>
    </row>
    <row r="25445" spans="1:1" x14ac:dyDescent="0.25">
      <c r="A25445" t="e">
        <v>#N/A</v>
      </c>
    </row>
    <row r="25446" spans="1:1" x14ac:dyDescent="0.25">
      <c r="A25446" t="e">
        <v>#N/A</v>
      </c>
    </row>
    <row r="25447" spans="1:1" x14ac:dyDescent="0.25">
      <c r="A25447" t="e">
        <v>#N/A</v>
      </c>
    </row>
    <row r="25448" spans="1:1" x14ac:dyDescent="0.25">
      <c r="A25448" t="e">
        <v>#N/A</v>
      </c>
    </row>
    <row r="25449" spans="1:1" x14ac:dyDescent="0.25">
      <c r="A25449" t="e">
        <v>#N/A</v>
      </c>
    </row>
    <row r="25450" spans="1:1" x14ac:dyDescent="0.25">
      <c r="A25450" t="e">
        <v>#N/A</v>
      </c>
    </row>
    <row r="25451" spans="1:1" x14ac:dyDescent="0.25">
      <c r="A25451" t="e">
        <v>#N/A</v>
      </c>
    </row>
    <row r="25452" spans="1:1" x14ac:dyDescent="0.25">
      <c r="A25452" t="e">
        <v>#N/A</v>
      </c>
    </row>
    <row r="25453" spans="1:1" x14ac:dyDescent="0.25">
      <c r="A25453" t="e">
        <v>#N/A</v>
      </c>
    </row>
    <row r="25454" spans="1:1" x14ac:dyDescent="0.25">
      <c r="A25454" t="e">
        <v>#N/A</v>
      </c>
    </row>
    <row r="25455" spans="1:1" x14ac:dyDescent="0.25">
      <c r="A25455" t="e">
        <v>#N/A</v>
      </c>
    </row>
    <row r="25456" spans="1:1" x14ac:dyDescent="0.25">
      <c r="A25456" t="e">
        <v>#N/A</v>
      </c>
    </row>
    <row r="25457" spans="1:1" x14ac:dyDescent="0.25">
      <c r="A25457" t="e">
        <v>#N/A</v>
      </c>
    </row>
    <row r="25458" spans="1:1" x14ac:dyDescent="0.25">
      <c r="A25458" t="e">
        <v>#N/A</v>
      </c>
    </row>
    <row r="25459" spans="1:1" x14ac:dyDescent="0.25">
      <c r="A25459" t="e">
        <v>#N/A</v>
      </c>
    </row>
    <row r="25460" spans="1:1" x14ac:dyDescent="0.25">
      <c r="A25460" t="e">
        <v>#N/A</v>
      </c>
    </row>
    <row r="25461" spans="1:1" x14ac:dyDescent="0.25">
      <c r="A25461" t="e">
        <v>#N/A</v>
      </c>
    </row>
    <row r="25462" spans="1:1" x14ac:dyDescent="0.25">
      <c r="A25462" t="e">
        <v>#N/A</v>
      </c>
    </row>
    <row r="25463" spans="1:1" x14ac:dyDescent="0.25">
      <c r="A25463" t="e">
        <v>#N/A</v>
      </c>
    </row>
    <row r="25464" spans="1:1" x14ac:dyDescent="0.25">
      <c r="A25464" t="e">
        <v>#N/A</v>
      </c>
    </row>
    <row r="25465" spans="1:1" x14ac:dyDescent="0.25">
      <c r="A25465" t="e">
        <v>#N/A</v>
      </c>
    </row>
    <row r="25466" spans="1:1" x14ac:dyDescent="0.25">
      <c r="A25466" t="e">
        <v>#N/A</v>
      </c>
    </row>
    <row r="25467" spans="1:1" x14ac:dyDescent="0.25">
      <c r="A25467" t="e">
        <v>#N/A</v>
      </c>
    </row>
    <row r="25468" spans="1:1" x14ac:dyDescent="0.25">
      <c r="A25468" t="e">
        <v>#N/A</v>
      </c>
    </row>
    <row r="25469" spans="1:1" x14ac:dyDescent="0.25">
      <c r="A25469" t="e">
        <v>#N/A</v>
      </c>
    </row>
    <row r="25470" spans="1:1" x14ac:dyDescent="0.25">
      <c r="A25470" t="e">
        <v>#N/A</v>
      </c>
    </row>
    <row r="25471" spans="1:1" x14ac:dyDescent="0.25">
      <c r="A25471" t="e">
        <v>#N/A</v>
      </c>
    </row>
    <row r="25472" spans="1:1" x14ac:dyDescent="0.25">
      <c r="A25472" t="e">
        <v>#N/A</v>
      </c>
    </row>
    <row r="25473" spans="1:1" x14ac:dyDescent="0.25">
      <c r="A25473" t="e">
        <v>#N/A</v>
      </c>
    </row>
    <row r="25474" spans="1:1" x14ac:dyDescent="0.25">
      <c r="A25474" t="e">
        <v>#N/A</v>
      </c>
    </row>
    <row r="25475" spans="1:1" x14ac:dyDescent="0.25">
      <c r="A25475" t="e">
        <v>#N/A</v>
      </c>
    </row>
    <row r="25476" spans="1:1" x14ac:dyDescent="0.25">
      <c r="A25476" t="e">
        <v>#N/A</v>
      </c>
    </row>
    <row r="25477" spans="1:1" x14ac:dyDescent="0.25">
      <c r="A25477" t="e">
        <v>#N/A</v>
      </c>
    </row>
    <row r="25478" spans="1:1" x14ac:dyDescent="0.25">
      <c r="A25478" t="e">
        <v>#N/A</v>
      </c>
    </row>
    <row r="25479" spans="1:1" x14ac:dyDescent="0.25">
      <c r="A25479" t="e">
        <v>#N/A</v>
      </c>
    </row>
    <row r="25480" spans="1:1" x14ac:dyDescent="0.25">
      <c r="A25480" t="e">
        <v>#N/A</v>
      </c>
    </row>
    <row r="25481" spans="1:1" x14ac:dyDescent="0.25">
      <c r="A25481" t="e">
        <v>#N/A</v>
      </c>
    </row>
    <row r="25482" spans="1:1" x14ac:dyDescent="0.25">
      <c r="A25482" t="e">
        <v>#N/A</v>
      </c>
    </row>
    <row r="25483" spans="1:1" x14ac:dyDescent="0.25">
      <c r="A25483" t="e">
        <v>#N/A</v>
      </c>
    </row>
    <row r="25484" spans="1:1" x14ac:dyDescent="0.25">
      <c r="A25484" t="e">
        <v>#N/A</v>
      </c>
    </row>
    <row r="25485" spans="1:1" x14ac:dyDescent="0.25">
      <c r="A25485" t="e">
        <v>#N/A</v>
      </c>
    </row>
    <row r="25486" spans="1:1" x14ac:dyDescent="0.25">
      <c r="A25486" t="e">
        <v>#N/A</v>
      </c>
    </row>
    <row r="25487" spans="1:1" x14ac:dyDescent="0.25">
      <c r="A25487" t="e">
        <v>#N/A</v>
      </c>
    </row>
    <row r="25488" spans="1:1" x14ac:dyDescent="0.25">
      <c r="A25488" t="e">
        <v>#N/A</v>
      </c>
    </row>
    <row r="25489" spans="1:1" x14ac:dyDescent="0.25">
      <c r="A25489" t="e">
        <v>#N/A</v>
      </c>
    </row>
    <row r="25490" spans="1:1" x14ac:dyDescent="0.25">
      <c r="A25490" t="e">
        <v>#N/A</v>
      </c>
    </row>
    <row r="25491" spans="1:1" x14ac:dyDescent="0.25">
      <c r="A25491" t="e">
        <v>#N/A</v>
      </c>
    </row>
    <row r="25492" spans="1:1" x14ac:dyDescent="0.25">
      <c r="A25492" t="e">
        <v>#N/A</v>
      </c>
    </row>
    <row r="25493" spans="1:1" x14ac:dyDescent="0.25">
      <c r="A25493" t="e">
        <v>#N/A</v>
      </c>
    </row>
    <row r="25494" spans="1:1" x14ac:dyDescent="0.25">
      <c r="A25494" t="e">
        <v>#N/A</v>
      </c>
    </row>
    <row r="25495" spans="1:1" x14ac:dyDescent="0.25">
      <c r="A25495" t="e">
        <v>#N/A</v>
      </c>
    </row>
    <row r="25496" spans="1:1" x14ac:dyDescent="0.25">
      <c r="A25496" t="e">
        <v>#N/A</v>
      </c>
    </row>
    <row r="25497" spans="1:1" x14ac:dyDescent="0.25">
      <c r="A25497" t="e">
        <v>#N/A</v>
      </c>
    </row>
    <row r="25498" spans="1:1" x14ac:dyDescent="0.25">
      <c r="A25498" t="e">
        <v>#N/A</v>
      </c>
    </row>
    <row r="25499" spans="1:1" x14ac:dyDescent="0.25">
      <c r="A25499" t="e">
        <v>#N/A</v>
      </c>
    </row>
    <row r="25500" spans="1:1" x14ac:dyDescent="0.25">
      <c r="A25500" t="e">
        <v>#N/A</v>
      </c>
    </row>
    <row r="25501" spans="1:1" x14ac:dyDescent="0.25">
      <c r="A25501" t="e">
        <v>#N/A</v>
      </c>
    </row>
    <row r="25502" spans="1:1" x14ac:dyDescent="0.25">
      <c r="A25502" t="e">
        <v>#N/A</v>
      </c>
    </row>
    <row r="25503" spans="1:1" x14ac:dyDescent="0.25">
      <c r="A25503" t="e">
        <v>#N/A</v>
      </c>
    </row>
    <row r="25504" spans="1:1" x14ac:dyDescent="0.25">
      <c r="A25504" t="e">
        <v>#N/A</v>
      </c>
    </row>
    <row r="25505" spans="1:1" x14ac:dyDescent="0.25">
      <c r="A25505" t="e">
        <v>#N/A</v>
      </c>
    </row>
    <row r="25506" spans="1:1" x14ac:dyDescent="0.25">
      <c r="A25506" t="e">
        <v>#N/A</v>
      </c>
    </row>
    <row r="25507" spans="1:1" x14ac:dyDescent="0.25">
      <c r="A25507" t="e">
        <v>#N/A</v>
      </c>
    </row>
    <row r="25508" spans="1:1" x14ac:dyDescent="0.25">
      <c r="A25508" t="e">
        <v>#N/A</v>
      </c>
    </row>
    <row r="25509" spans="1:1" x14ac:dyDescent="0.25">
      <c r="A25509" t="e">
        <v>#N/A</v>
      </c>
    </row>
    <row r="25510" spans="1:1" x14ac:dyDescent="0.25">
      <c r="A25510" t="e">
        <v>#N/A</v>
      </c>
    </row>
    <row r="25511" spans="1:1" x14ac:dyDescent="0.25">
      <c r="A25511" t="e">
        <v>#N/A</v>
      </c>
    </row>
    <row r="25512" spans="1:1" x14ac:dyDescent="0.25">
      <c r="A25512" t="e">
        <v>#N/A</v>
      </c>
    </row>
    <row r="25513" spans="1:1" x14ac:dyDescent="0.25">
      <c r="A25513" t="e">
        <v>#N/A</v>
      </c>
    </row>
    <row r="25514" spans="1:1" x14ac:dyDescent="0.25">
      <c r="A25514" t="e">
        <v>#N/A</v>
      </c>
    </row>
    <row r="25515" spans="1:1" x14ac:dyDescent="0.25">
      <c r="A25515" t="e">
        <v>#N/A</v>
      </c>
    </row>
    <row r="25516" spans="1:1" x14ac:dyDescent="0.25">
      <c r="A25516" t="e">
        <v>#N/A</v>
      </c>
    </row>
    <row r="25517" spans="1:1" x14ac:dyDescent="0.25">
      <c r="A25517" t="e">
        <v>#N/A</v>
      </c>
    </row>
    <row r="25518" spans="1:1" x14ac:dyDescent="0.25">
      <c r="A25518" t="e">
        <v>#N/A</v>
      </c>
    </row>
    <row r="25519" spans="1:1" x14ac:dyDescent="0.25">
      <c r="A25519" t="e">
        <v>#N/A</v>
      </c>
    </row>
    <row r="25520" spans="1:1" x14ac:dyDescent="0.25">
      <c r="A25520" t="e">
        <v>#N/A</v>
      </c>
    </row>
    <row r="25521" spans="1:1" x14ac:dyDescent="0.25">
      <c r="A25521" t="e">
        <v>#N/A</v>
      </c>
    </row>
    <row r="25522" spans="1:1" x14ac:dyDescent="0.25">
      <c r="A25522" t="e">
        <v>#N/A</v>
      </c>
    </row>
    <row r="25523" spans="1:1" x14ac:dyDescent="0.25">
      <c r="A25523" t="e">
        <v>#N/A</v>
      </c>
    </row>
    <row r="25524" spans="1:1" x14ac:dyDescent="0.25">
      <c r="A25524" t="e">
        <v>#N/A</v>
      </c>
    </row>
    <row r="25525" spans="1:1" x14ac:dyDescent="0.25">
      <c r="A25525" t="e">
        <v>#N/A</v>
      </c>
    </row>
    <row r="25526" spans="1:1" x14ac:dyDescent="0.25">
      <c r="A25526" t="e">
        <v>#N/A</v>
      </c>
    </row>
    <row r="25527" spans="1:1" x14ac:dyDescent="0.25">
      <c r="A25527" t="e">
        <v>#N/A</v>
      </c>
    </row>
    <row r="25528" spans="1:1" x14ac:dyDescent="0.25">
      <c r="A25528" t="e">
        <v>#N/A</v>
      </c>
    </row>
    <row r="25529" spans="1:1" x14ac:dyDescent="0.25">
      <c r="A25529" t="e">
        <v>#N/A</v>
      </c>
    </row>
    <row r="25530" spans="1:1" x14ac:dyDescent="0.25">
      <c r="A25530" t="e">
        <v>#N/A</v>
      </c>
    </row>
    <row r="25531" spans="1:1" x14ac:dyDescent="0.25">
      <c r="A25531" t="e">
        <v>#N/A</v>
      </c>
    </row>
    <row r="25532" spans="1:1" x14ac:dyDescent="0.25">
      <c r="A25532" t="e">
        <v>#N/A</v>
      </c>
    </row>
    <row r="25533" spans="1:1" x14ac:dyDescent="0.25">
      <c r="A25533" t="e">
        <v>#N/A</v>
      </c>
    </row>
    <row r="25534" spans="1:1" x14ac:dyDescent="0.25">
      <c r="A25534" t="e">
        <v>#N/A</v>
      </c>
    </row>
    <row r="25535" spans="1:1" x14ac:dyDescent="0.25">
      <c r="A25535" t="e">
        <v>#N/A</v>
      </c>
    </row>
    <row r="25536" spans="1:1" x14ac:dyDescent="0.25">
      <c r="A25536" t="e">
        <v>#N/A</v>
      </c>
    </row>
    <row r="25537" spans="1:1" x14ac:dyDescent="0.25">
      <c r="A25537" t="e">
        <v>#N/A</v>
      </c>
    </row>
    <row r="25538" spans="1:1" x14ac:dyDescent="0.25">
      <c r="A25538" t="e">
        <v>#N/A</v>
      </c>
    </row>
    <row r="25539" spans="1:1" x14ac:dyDescent="0.25">
      <c r="A25539" t="e">
        <v>#N/A</v>
      </c>
    </row>
    <row r="25540" spans="1:1" x14ac:dyDescent="0.25">
      <c r="A25540" t="e">
        <v>#N/A</v>
      </c>
    </row>
    <row r="25541" spans="1:1" x14ac:dyDescent="0.25">
      <c r="A25541" t="e">
        <v>#N/A</v>
      </c>
    </row>
    <row r="25542" spans="1:1" x14ac:dyDescent="0.25">
      <c r="A25542" t="e">
        <v>#N/A</v>
      </c>
    </row>
    <row r="25543" spans="1:1" x14ac:dyDescent="0.25">
      <c r="A25543" t="e">
        <v>#N/A</v>
      </c>
    </row>
    <row r="25544" spans="1:1" x14ac:dyDescent="0.25">
      <c r="A25544" t="e">
        <v>#N/A</v>
      </c>
    </row>
    <row r="25545" spans="1:1" x14ac:dyDescent="0.25">
      <c r="A25545" t="e">
        <v>#N/A</v>
      </c>
    </row>
    <row r="25546" spans="1:1" x14ac:dyDescent="0.25">
      <c r="A25546" t="e">
        <v>#N/A</v>
      </c>
    </row>
    <row r="25547" spans="1:1" x14ac:dyDescent="0.25">
      <c r="A25547" t="e">
        <v>#N/A</v>
      </c>
    </row>
    <row r="25548" spans="1:1" x14ac:dyDescent="0.25">
      <c r="A25548" t="e">
        <v>#N/A</v>
      </c>
    </row>
    <row r="25549" spans="1:1" x14ac:dyDescent="0.25">
      <c r="A25549" t="e">
        <v>#N/A</v>
      </c>
    </row>
    <row r="25550" spans="1:1" x14ac:dyDescent="0.25">
      <c r="A25550" t="e">
        <v>#N/A</v>
      </c>
    </row>
    <row r="25551" spans="1:1" x14ac:dyDescent="0.25">
      <c r="A25551" t="e">
        <v>#N/A</v>
      </c>
    </row>
    <row r="25552" spans="1:1" x14ac:dyDescent="0.25">
      <c r="A25552" t="e">
        <v>#N/A</v>
      </c>
    </row>
    <row r="25553" spans="1:1" x14ac:dyDescent="0.25">
      <c r="A25553" t="e">
        <v>#N/A</v>
      </c>
    </row>
    <row r="25554" spans="1:1" x14ac:dyDescent="0.25">
      <c r="A25554" t="e">
        <v>#N/A</v>
      </c>
    </row>
    <row r="25555" spans="1:1" x14ac:dyDescent="0.25">
      <c r="A25555" t="e">
        <v>#N/A</v>
      </c>
    </row>
    <row r="25556" spans="1:1" x14ac:dyDescent="0.25">
      <c r="A25556" t="e">
        <v>#N/A</v>
      </c>
    </row>
    <row r="25557" spans="1:1" x14ac:dyDescent="0.25">
      <c r="A25557" t="e">
        <v>#N/A</v>
      </c>
    </row>
    <row r="25558" spans="1:1" x14ac:dyDescent="0.25">
      <c r="A25558" t="e">
        <v>#N/A</v>
      </c>
    </row>
    <row r="25559" spans="1:1" x14ac:dyDescent="0.25">
      <c r="A25559" t="e">
        <v>#N/A</v>
      </c>
    </row>
    <row r="25560" spans="1:1" x14ac:dyDescent="0.25">
      <c r="A25560" t="e">
        <v>#N/A</v>
      </c>
    </row>
    <row r="25561" spans="1:1" x14ac:dyDescent="0.25">
      <c r="A25561" t="e">
        <v>#N/A</v>
      </c>
    </row>
    <row r="25562" spans="1:1" x14ac:dyDescent="0.25">
      <c r="A25562" t="e">
        <v>#N/A</v>
      </c>
    </row>
    <row r="25563" spans="1:1" x14ac:dyDescent="0.25">
      <c r="A25563" t="e">
        <v>#N/A</v>
      </c>
    </row>
    <row r="25564" spans="1:1" x14ac:dyDescent="0.25">
      <c r="A25564" t="e">
        <v>#N/A</v>
      </c>
    </row>
    <row r="25565" spans="1:1" x14ac:dyDescent="0.25">
      <c r="A25565" t="e">
        <v>#N/A</v>
      </c>
    </row>
    <row r="25566" spans="1:1" x14ac:dyDescent="0.25">
      <c r="A25566" t="e">
        <v>#N/A</v>
      </c>
    </row>
    <row r="25567" spans="1:1" x14ac:dyDescent="0.25">
      <c r="A25567" t="e">
        <v>#N/A</v>
      </c>
    </row>
    <row r="25568" spans="1:1" x14ac:dyDescent="0.25">
      <c r="A25568" t="e">
        <v>#N/A</v>
      </c>
    </row>
    <row r="25569" spans="1:1" x14ac:dyDescent="0.25">
      <c r="A25569" t="e">
        <v>#N/A</v>
      </c>
    </row>
    <row r="25570" spans="1:1" x14ac:dyDescent="0.25">
      <c r="A25570" t="e">
        <v>#N/A</v>
      </c>
    </row>
    <row r="25571" spans="1:1" x14ac:dyDescent="0.25">
      <c r="A25571" t="e">
        <v>#N/A</v>
      </c>
    </row>
    <row r="25572" spans="1:1" x14ac:dyDescent="0.25">
      <c r="A25572" t="e">
        <v>#N/A</v>
      </c>
    </row>
    <row r="25573" spans="1:1" x14ac:dyDescent="0.25">
      <c r="A25573" t="e">
        <v>#N/A</v>
      </c>
    </row>
    <row r="25574" spans="1:1" x14ac:dyDescent="0.25">
      <c r="A25574" t="e">
        <v>#N/A</v>
      </c>
    </row>
    <row r="25575" spans="1:1" x14ac:dyDescent="0.25">
      <c r="A25575" t="e">
        <v>#N/A</v>
      </c>
    </row>
    <row r="25576" spans="1:1" x14ac:dyDescent="0.25">
      <c r="A25576" t="e">
        <v>#N/A</v>
      </c>
    </row>
    <row r="25577" spans="1:1" x14ac:dyDescent="0.25">
      <c r="A25577" t="e">
        <v>#N/A</v>
      </c>
    </row>
    <row r="25578" spans="1:1" x14ac:dyDescent="0.25">
      <c r="A25578" t="e">
        <v>#N/A</v>
      </c>
    </row>
    <row r="25579" spans="1:1" x14ac:dyDescent="0.25">
      <c r="A25579" t="e">
        <v>#N/A</v>
      </c>
    </row>
    <row r="25580" spans="1:1" x14ac:dyDescent="0.25">
      <c r="A25580" t="e">
        <v>#N/A</v>
      </c>
    </row>
    <row r="25581" spans="1:1" x14ac:dyDescent="0.25">
      <c r="A25581" t="e">
        <v>#N/A</v>
      </c>
    </row>
    <row r="25582" spans="1:1" x14ac:dyDescent="0.25">
      <c r="A25582" t="e">
        <v>#N/A</v>
      </c>
    </row>
    <row r="25583" spans="1:1" x14ac:dyDescent="0.25">
      <c r="A25583" t="e">
        <v>#N/A</v>
      </c>
    </row>
    <row r="25584" spans="1:1" x14ac:dyDescent="0.25">
      <c r="A25584" t="e">
        <v>#N/A</v>
      </c>
    </row>
    <row r="25585" spans="1:1" x14ac:dyDescent="0.25">
      <c r="A25585" t="e">
        <v>#N/A</v>
      </c>
    </row>
    <row r="25586" spans="1:1" x14ac:dyDescent="0.25">
      <c r="A25586" t="e">
        <v>#N/A</v>
      </c>
    </row>
    <row r="25587" spans="1:1" x14ac:dyDescent="0.25">
      <c r="A25587" t="e">
        <v>#N/A</v>
      </c>
    </row>
    <row r="25588" spans="1:1" x14ac:dyDescent="0.25">
      <c r="A25588" t="e">
        <v>#N/A</v>
      </c>
    </row>
    <row r="25589" spans="1:1" x14ac:dyDescent="0.25">
      <c r="A25589" t="e">
        <v>#N/A</v>
      </c>
    </row>
    <row r="25590" spans="1:1" x14ac:dyDescent="0.25">
      <c r="A25590" t="e">
        <v>#N/A</v>
      </c>
    </row>
    <row r="25591" spans="1:1" x14ac:dyDescent="0.25">
      <c r="A25591" t="e">
        <v>#N/A</v>
      </c>
    </row>
    <row r="25592" spans="1:1" x14ac:dyDescent="0.25">
      <c r="A25592" t="e">
        <v>#N/A</v>
      </c>
    </row>
    <row r="25593" spans="1:1" x14ac:dyDescent="0.25">
      <c r="A25593" t="e">
        <v>#N/A</v>
      </c>
    </row>
    <row r="25594" spans="1:1" x14ac:dyDescent="0.25">
      <c r="A25594" t="e">
        <v>#N/A</v>
      </c>
    </row>
    <row r="25595" spans="1:1" x14ac:dyDescent="0.25">
      <c r="A25595" t="e">
        <v>#N/A</v>
      </c>
    </row>
    <row r="25596" spans="1:1" x14ac:dyDescent="0.25">
      <c r="A25596" t="e">
        <v>#N/A</v>
      </c>
    </row>
    <row r="25597" spans="1:1" x14ac:dyDescent="0.25">
      <c r="A25597" t="e">
        <v>#N/A</v>
      </c>
    </row>
    <row r="25598" spans="1:1" x14ac:dyDescent="0.25">
      <c r="A25598" t="e">
        <v>#N/A</v>
      </c>
    </row>
    <row r="25599" spans="1:1" x14ac:dyDescent="0.25">
      <c r="A25599" t="e">
        <v>#N/A</v>
      </c>
    </row>
    <row r="25600" spans="1:1" x14ac:dyDescent="0.25">
      <c r="A25600" t="e">
        <v>#N/A</v>
      </c>
    </row>
    <row r="25601" spans="1:1" x14ac:dyDescent="0.25">
      <c r="A25601" t="e">
        <v>#N/A</v>
      </c>
    </row>
    <row r="25602" spans="1:1" x14ac:dyDescent="0.25">
      <c r="A25602" t="e">
        <v>#N/A</v>
      </c>
    </row>
    <row r="25603" spans="1:1" x14ac:dyDescent="0.25">
      <c r="A25603" t="e">
        <v>#N/A</v>
      </c>
    </row>
    <row r="25604" spans="1:1" x14ac:dyDescent="0.25">
      <c r="A25604" t="e">
        <v>#N/A</v>
      </c>
    </row>
    <row r="25605" spans="1:1" x14ac:dyDescent="0.25">
      <c r="A25605" t="e">
        <v>#N/A</v>
      </c>
    </row>
    <row r="25606" spans="1:1" x14ac:dyDescent="0.25">
      <c r="A25606" t="e">
        <v>#N/A</v>
      </c>
    </row>
    <row r="25607" spans="1:1" x14ac:dyDescent="0.25">
      <c r="A25607" t="e">
        <v>#N/A</v>
      </c>
    </row>
    <row r="25608" spans="1:1" x14ac:dyDescent="0.25">
      <c r="A25608" t="e">
        <v>#N/A</v>
      </c>
    </row>
    <row r="25609" spans="1:1" x14ac:dyDescent="0.25">
      <c r="A25609" t="e">
        <v>#N/A</v>
      </c>
    </row>
    <row r="25610" spans="1:1" x14ac:dyDescent="0.25">
      <c r="A25610" t="e">
        <v>#N/A</v>
      </c>
    </row>
    <row r="25611" spans="1:1" x14ac:dyDescent="0.25">
      <c r="A25611" t="e">
        <v>#N/A</v>
      </c>
    </row>
    <row r="25612" spans="1:1" x14ac:dyDescent="0.25">
      <c r="A25612" t="e">
        <v>#N/A</v>
      </c>
    </row>
    <row r="25613" spans="1:1" x14ac:dyDescent="0.25">
      <c r="A25613" t="e">
        <v>#N/A</v>
      </c>
    </row>
    <row r="25614" spans="1:1" x14ac:dyDescent="0.25">
      <c r="A25614" t="e">
        <v>#N/A</v>
      </c>
    </row>
    <row r="25615" spans="1:1" x14ac:dyDescent="0.25">
      <c r="A25615" t="e">
        <v>#N/A</v>
      </c>
    </row>
    <row r="25616" spans="1:1" x14ac:dyDescent="0.25">
      <c r="A25616" t="e">
        <v>#N/A</v>
      </c>
    </row>
    <row r="25617" spans="1:1" x14ac:dyDescent="0.25">
      <c r="A25617" t="e">
        <v>#N/A</v>
      </c>
    </row>
    <row r="25618" spans="1:1" x14ac:dyDescent="0.25">
      <c r="A25618" t="e">
        <v>#N/A</v>
      </c>
    </row>
    <row r="25619" spans="1:1" x14ac:dyDescent="0.25">
      <c r="A25619" t="e">
        <v>#N/A</v>
      </c>
    </row>
    <row r="25620" spans="1:1" x14ac:dyDescent="0.25">
      <c r="A25620" t="e">
        <v>#N/A</v>
      </c>
    </row>
    <row r="25621" spans="1:1" x14ac:dyDescent="0.25">
      <c r="A25621" t="e">
        <v>#N/A</v>
      </c>
    </row>
    <row r="25622" spans="1:1" x14ac:dyDescent="0.25">
      <c r="A25622" t="e">
        <v>#N/A</v>
      </c>
    </row>
    <row r="25623" spans="1:1" x14ac:dyDescent="0.25">
      <c r="A25623" t="e">
        <v>#N/A</v>
      </c>
    </row>
    <row r="25624" spans="1:1" x14ac:dyDescent="0.25">
      <c r="A25624" t="e">
        <v>#N/A</v>
      </c>
    </row>
    <row r="25625" spans="1:1" x14ac:dyDescent="0.25">
      <c r="A25625" t="e">
        <v>#N/A</v>
      </c>
    </row>
    <row r="25626" spans="1:1" x14ac:dyDescent="0.25">
      <c r="A25626" t="e">
        <v>#N/A</v>
      </c>
    </row>
    <row r="25627" spans="1:1" x14ac:dyDescent="0.25">
      <c r="A25627" t="e">
        <v>#N/A</v>
      </c>
    </row>
    <row r="25628" spans="1:1" x14ac:dyDescent="0.25">
      <c r="A25628" t="e">
        <v>#N/A</v>
      </c>
    </row>
    <row r="25629" spans="1:1" x14ac:dyDescent="0.25">
      <c r="A25629" t="e">
        <v>#N/A</v>
      </c>
    </row>
    <row r="25630" spans="1:1" x14ac:dyDescent="0.25">
      <c r="A25630" t="e">
        <v>#N/A</v>
      </c>
    </row>
    <row r="25631" spans="1:1" x14ac:dyDescent="0.25">
      <c r="A25631" t="e">
        <v>#N/A</v>
      </c>
    </row>
    <row r="25632" spans="1:1" x14ac:dyDescent="0.25">
      <c r="A25632" t="e">
        <v>#N/A</v>
      </c>
    </row>
    <row r="25633" spans="1:1" x14ac:dyDescent="0.25">
      <c r="A25633" t="e">
        <v>#N/A</v>
      </c>
    </row>
    <row r="25634" spans="1:1" x14ac:dyDescent="0.25">
      <c r="A25634" t="e">
        <v>#N/A</v>
      </c>
    </row>
    <row r="25635" spans="1:1" x14ac:dyDescent="0.25">
      <c r="A25635" t="e">
        <v>#N/A</v>
      </c>
    </row>
    <row r="25636" spans="1:1" x14ac:dyDescent="0.25">
      <c r="A25636" t="e">
        <v>#N/A</v>
      </c>
    </row>
    <row r="25637" spans="1:1" x14ac:dyDescent="0.25">
      <c r="A25637" t="e">
        <v>#N/A</v>
      </c>
    </row>
    <row r="25638" spans="1:1" x14ac:dyDescent="0.25">
      <c r="A25638" t="e">
        <v>#N/A</v>
      </c>
    </row>
    <row r="25639" spans="1:1" x14ac:dyDescent="0.25">
      <c r="A25639" t="e">
        <v>#N/A</v>
      </c>
    </row>
    <row r="25640" spans="1:1" x14ac:dyDescent="0.25">
      <c r="A25640" t="e">
        <v>#N/A</v>
      </c>
    </row>
    <row r="25641" spans="1:1" x14ac:dyDescent="0.25">
      <c r="A25641" t="e">
        <v>#N/A</v>
      </c>
    </row>
    <row r="25642" spans="1:1" x14ac:dyDescent="0.25">
      <c r="A25642" t="e">
        <v>#N/A</v>
      </c>
    </row>
    <row r="25643" spans="1:1" x14ac:dyDescent="0.25">
      <c r="A25643" t="e">
        <v>#N/A</v>
      </c>
    </row>
    <row r="25644" spans="1:1" x14ac:dyDescent="0.25">
      <c r="A25644" t="e">
        <v>#N/A</v>
      </c>
    </row>
    <row r="25645" spans="1:1" x14ac:dyDescent="0.25">
      <c r="A25645" t="e">
        <v>#N/A</v>
      </c>
    </row>
    <row r="25646" spans="1:1" x14ac:dyDescent="0.25">
      <c r="A25646" t="e">
        <v>#N/A</v>
      </c>
    </row>
    <row r="25647" spans="1:1" x14ac:dyDescent="0.25">
      <c r="A25647" t="e">
        <v>#N/A</v>
      </c>
    </row>
    <row r="25648" spans="1:1" x14ac:dyDescent="0.25">
      <c r="A25648" t="e">
        <v>#N/A</v>
      </c>
    </row>
    <row r="25649" spans="1:1" x14ac:dyDescent="0.25">
      <c r="A25649" t="e">
        <v>#N/A</v>
      </c>
    </row>
    <row r="25650" spans="1:1" x14ac:dyDescent="0.25">
      <c r="A25650" t="e">
        <v>#N/A</v>
      </c>
    </row>
    <row r="25651" spans="1:1" x14ac:dyDescent="0.25">
      <c r="A25651" t="e">
        <v>#N/A</v>
      </c>
    </row>
    <row r="25652" spans="1:1" x14ac:dyDescent="0.25">
      <c r="A25652" t="e">
        <v>#N/A</v>
      </c>
    </row>
    <row r="25653" spans="1:1" x14ac:dyDescent="0.25">
      <c r="A25653" t="e">
        <v>#N/A</v>
      </c>
    </row>
    <row r="25654" spans="1:1" x14ac:dyDescent="0.25">
      <c r="A25654" t="e">
        <v>#N/A</v>
      </c>
    </row>
    <row r="25655" spans="1:1" x14ac:dyDescent="0.25">
      <c r="A25655" t="e">
        <v>#N/A</v>
      </c>
    </row>
    <row r="25656" spans="1:1" x14ac:dyDescent="0.25">
      <c r="A25656" t="e">
        <v>#N/A</v>
      </c>
    </row>
    <row r="25657" spans="1:1" x14ac:dyDescent="0.25">
      <c r="A25657" t="e">
        <v>#N/A</v>
      </c>
    </row>
    <row r="25658" spans="1:1" x14ac:dyDescent="0.25">
      <c r="A25658" t="e">
        <v>#N/A</v>
      </c>
    </row>
    <row r="25659" spans="1:1" x14ac:dyDescent="0.25">
      <c r="A25659" t="e">
        <v>#N/A</v>
      </c>
    </row>
    <row r="25660" spans="1:1" x14ac:dyDescent="0.25">
      <c r="A25660" t="e">
        <v>#N/A</v>
      </c>
    </row>
    <row r="25661" spans="1:1" x14ac:dyDescent="0.25">
      <c r="A25661" t="e">
        <v>#N/A</v>
      </c>
    </row>
    <row r="25662" spans="1:1" x14ac:dyDescent="0.25">
      <c r="A25662" t="e">
        <v>#N/A</v>
      </c>
    </row>
    <row r="25663" spans="1:1" x14ac:dyDescent="0.25">
      <c r="A25663" t="e">
        <v>#N/A</v>
      </c>
    </row>
    <row r="25664" spans="1:1" x14ac:dyDescent="0.25">
      <c r="A25664" t="e">
        <v>#N/A</v>
      </c>
    </row>
    <row r="25665" spans="1:1" x14ac:dyDescent="0.25">
      <c r="A25665" t="e">
        <v>#N/A</v>
      </c>
    </row>
    <row r="25666" spans="1:1" x14ac:dyDescent="0.25">
      <c r="A25666" t="e">
        <v>#N/A</v>
      </c>
    </row>
    <row r="25667" spans="1:1" x14ac:dyDescent="0.25">
      <c r="A25667" t="e">
        <v>#N/A</v>
      </c>
    </row>
    <row r="25668" spans="1:1" x14ac:dyDescent="0.25">
      <c r="A25668" t="e">
        <v>#N/A</v>
      </c>
    </row>
    <row r="25669" spans="1:1" x14ac:dyDescent="0.25">
      <c r="A25669" t="e">
        <v>#N/A</v>
      </c>
    </row>
    <row r="25670" spans="1:1" x14ac:dyDescent="0.25">
      <c r="A25670" t="e">
        <v>#N/A</v>
      </c>
    </row>
    <row r="25671" spans="1:1" x14ac:dyDescent="0.25">
      <c r="A25671" t="e">
        <v>#N/A</v>
      </c>
    </row>
    <row r="25672" spans="1:1" x14ac:dyDescent="0.25">
      <c r="A25672" t="e">
        <v>#N/A</v>
      </c>
    </row>
    <row r="25673" spans="1:1" x14ac:dyDescent="0.25">
      <c r="A25673" t="e">
        <v>#N/A</v>
      </c>
    </row>
    <row r="25674" spans="1:1" x14ac:dyDescent="0.25">
      <c r="A25674" t="e">
        <v>#N/A</v>
      </c>
    </row>
    <row r="25675" spans="1:1" x14ac:dyDescent="0.25">
      <c r="A25675" t="e">
        <v>#N/A</v>
      </c>
    </row>
    <row r="25676" spans="1:1" x14ac:dyDescent="0.25">
      <c r="A25676" t="e">
        <v>#N/A</v>
      </c>
    </row>
    <row r="25677" spans="1:1" x14ac:dyDescent="0.25">
      <c r="A25677" t="e">
        <v>#N/A</v>
      </c>
    </row>
    <row r="25678" spans="1:1" x14ac:dyDescent="0.25">
      <c r="A25678" t="e">
        <v>#N/A</v>
      </c>
    </row>
    <row r="25679" spans="1:1" x14ac:dyDescent="0.25">
      <c r="A25679" t="e">
        <v>#N/A</v>
      </c>
    </row>
    <row r="25680" spans="1:1" x14ac:dyDescent="0.25">
      <c r="A25680" t="e">
        <v>#N/A</v>
      </c>
    </row>
    <row r="25681" spans="1:1" x14ac:dyDescent="0.25">
      <c r="A25681" t="e">
        <v>#N/A</v>
      </c>
    </row>
    <row r="25682" spans="1:1" x14ac:dyDescent="0.25">
      <c r="A25682" t="e">
        <v>#N/A</v>
      </c>
    </row>
    <row r="25683" spans="1:1" x14ac:dyDescent="0.25">
      <c r="A25683" t="e">
        <v>#N/A</v>
      </c>
    </row>
    <row r="25684" spans="1:1" x14ac:dyDescent="0.25">
      <c r="A25684" t="e">
        <v>#N/A</v>
      </c>
    </row>
    <row r="25685" spans="1:1" x14ac:dyDescent="0.25">
      <c r="A25685" t="e">
        <v>#N/A</v>
      </c>
    </row>
    <row r="25686" spans="1:1" x14ac:dyDescent="0.25">
      <c r="A25686" t="e">
        <v>#N/A</v>
      </c>
    </row>
    <row r="25687" spans="1:1" x14ac:dyDescent="0.25">
      <c r="A25687" t="e">
        <v>#N/A</v>
      </c>
    </row>
    <row r="25688" spans="1:1" x14ac:dyDescent="0.25">
      <c r="A25688" t="e">
        <v>#N/A</v>
      </c>
    </row>
    <row r="25689" spans="1:1" x14ac:dyDescent="0.25">
      <c r="A25689" t="e">
        <v>#N/A</v>
      </c>
    </row>
    <row r="25690" spans="1:1" x14ac:dyDescent="0.25">
      <c r="A25690" t="e">
        <v>#N/A</v>
      </c>
    </row>
    <row r="25691" spans="1:1" x14ac:dyDescent="0.25">
      <c r="A25691" t="e">
        <v>#N/A</v>
      </c>
    </row>
    <row r="25692" spans="1:1" x14ac:dyDescent="0.25">
      <c r="A25692" t="e">
        <v>#N/A</v>
      </c>
    </row>
    <row r="25693" spans="1:1" x14ac:dyDescent="0.25">
      <c r="A25693" t="e">
        <v>#N/A</v>
      </c>
    </row>
    <row r="25694" spans="1:1" x14ac:dyDescent="0.25">
      <c r="A25694" t="e">
        <v>#N/A</v>
      </c>
    </row>
    <row r="25695" spans="1:1" x14ac:dyDescent="0.25">
      <c r="A25695" t="e">
        <v>#N/A</v>
      </c>
    </row>
    <row r="25696" spans="1:1" x14ac:dyDescent="0.25">
      <c r="A25696" t="e">
        <v>#N/A</v>
      </c>
    </row>
    <row r="25697" spans="1:1" x14ac:dyDescent="0.25">
      <c r="A25697" t="e">
        <v>#N/A</v>
      </c>
    </row>
    <row r="25698" spans="1:1" x14ac:dyDescent="0.25">
      <c r="A25698" t="e">
        <v>#N/A</v>
      </c>
    </row>
    <row r="25699" spans="1:1" x14ac:dyDescent="0.25">
      <c r="A25699" t="e">
        <v>#N/A</v>
      </c>
    </row>
    <row r="25700" spans="1:1" x14ac:dyDescent="0.25">
      <c r="A25700" t="e">
        <v>#N/A</v>
      </c>
    </row>
    <row r="25701" spans="1:1" x14ac:dyDescent="0.25">
      <c r="A25701" t="e">
        <v>#N/A</v>
      </c>
    </row>
    <row r="25702" spans="1:1" x14ac:dyDescent="0.25">
      <c r="A25702" t="e">
        <v>#N/A</v>
      </c>
    </row>
    <row r="25703" spans="1:1" x14ac:dyDescent="0.25">
      <c r="A25703" t="e">
        <v>#N/A</v>
      </c>
    </row>
    <row r="25704" spans="1:1" x14ac:dyDescent="0.25">
      <c r="A25704" t="e">
        <v>#N/A</v>
      </c>
    </row>
    <row r="25705" spans="1:1" x14ac:dyDescent="0.25">
      <c r="A25705" t="e">
        <v>#N/A</v>
      </c>
    </row>
    <row r="25706" spans="1:1" x14ac:dyDescent="0.25">
      <c r="A25706" t="e">
        <v>#N/A</v>
      </c>
    </row>
    <row r="25707" spans="1:1" x14ac:dyDescent="0.25">
      <c r="A25707" t="e">
        <v>#N/A</v>
      </c>
    </row>
    <row r="25708" spans="1:1" x14ac:dyDescent="0.25">
      <c r="A25708" t="e">
        <v>#N/A</v>
      </c>
    </row>
    <row r="25709" spans="1:1" x14ac:dyDescent="0.25">
      <c r="A25709" t="e">
        <v>#N/A</v>
      </c>
    </row>
    <row r="25710" spans="1:1" x14ac:dyDescent="0.25">
      <c r="A25710" t="e">
        <v>#N/A</v>
      </c>
    </row>
    <row r="25711" spans="1:1" x14ac:dyDescent="0.25">
      <c r="A25711" t="e">
        <v>#N/A</v>
      </c>
    </row>
    <row r="25712" spans="1:1" x14ac:dyDescent="0.25">
      <c r="A25712" t="e">
        <v>#N/A</v>
      </c>
    </row>
    <row r="25713" spans="1:1" x14ac:dyDescent="0.25">
      <c r="A25713" t="e">
        <v>#N/A</v>
      </c>
    </row>
    <row r="25714" spans="1:1" x14ac:dyDescent="0.25">
      <c r="A25714" t="e">
        <v>#N/A</v>
      </c>
    </row>
    <row r="25715" spans="1:1" x14ac:dyDescent="0.25">
      <c r="A25715" t="e">
        <v>#N/A</v>
      </c>
    </row>
    <row r="25716" spans="1:1" x14ac:dyDescent="0.25">
      <c r="A25716" t="e">
        <v>#N/A</v>
      </c>
    </row>
    <row r="25717" spans="1:1" x14ac:dyDescent="0.25">
      <c r="A25717" t="e">
        <v>#N/A</v>
      </c>
    </row>
    <row r="25718" spans="1:1" x14ac:dyDescent="0.25">
      <c r="A25718" t="e">
        <v>#N/A</v>
      </c>
    </row>
    <row r="25719" spans="1:1" x14ac:dyDescent="0.25">
      <c r="A25719" t="e">
        <v>#N/A</v>
      </c>
    </row>
    <row r="25720" spans="1:1" x14ac:dyDescent="0.25">
      <c r="A25720" t="e">
        <v>#N/A</v>
      </c>
    </row>
    <row r="25721" spans="1:1" x14ac:dyDescent="0.25">
      <c r="A25721" t="e">
        <v>#N/A</v>
      </c>
    </row>
    <row r="25722" spans="1:1" x14ac:dyDescent="0.25">
      <c r="A25722" t="e">
        <v>#N/A</v>
      </c>
    </row>
    <row r="25723" spans="1:1" x14ac:dyDescent="0.25">
      <c r="A25723" t="e">
        <v>#N/A</v>
      </c>
    </row>
    <row r="25724" spans="1:1" x14ac:dyDescent="0.25">
      <c r="A25724" t="e">
        <v>#N/A</v>
      </c>
    </row>
    <row r="25725" spans="1:1" x14ac:dyDescent="0.25">
      <c r="A25725" t="e">
        <v>#N/A</v>
      </c>
    </row>
    <row r="25726" spans="1:1" x14ac:dyDescent="0.25">
      <c r="A25726" t="e">
        <v>#N/A</v>
      </c>
    </row>
    <row r="25727" spans="1:1" x14ac:dyDescent="0.25">
      <c r="A25727" t="e">
        <v>#N/A</v>
      </c>
    </row>
    <row r="25728" spans="1:1" x14ac:dyDescent="0.25">
      <c r="A25728" t="e">
        <v>#N/A</v>
      </c>
    </row>
    <row r="25729" spans="1:1" x14ac:dyDescent="0.25">
      <c r="A25729" t="e">
        <v>#N/A</v>
      </c>
    </row>
    <row r="25730" spans="1:1" x14ac:dyDescent="0.25">
      <c r="A25730" t="e">
        <v>#N/A</v>
      </c>
    </row>
    <row r="25731" spans="1:1" x14ac:dyDescent="0.25">
      <c r="A25731" t="e">
        <v>#N/A</v>
      </c>
    </row>
    <row r="25732" spans="1:1" x14ac:dyDescent="0.25">
      <c r="A25732" t="e">
        <v>#N/A</v>
      </c>
    </row>
    <row r="25733" spans="1:1" x14ac:dyDescent="0.25">
      <c r="A25733" t="e">
        <v>#N/A</v>
      </c>
    </row>
    <row r="25734" spans="1:1" x14ac:dyDescent="0.25">
      <c r="A25734" t="e">
        <v>#N/A</v>
      </c>
    </row>
    <row r="25735" spans="1:1" x14ac:dyDescent="0.25">
      <c r="A25735" t="e">
        <v>#N/A</v>
      </c>
    </row>
    <row r="25736" spans="1:1" x14ac:dyDescent="0.25">
      <c r="A25736" t="e">
        <v>#N/A</v>
      </c>
    </row>
    <row r="25737" spans="1:1" x14ac:dyDescent="0.25">
      <c r="A25737" t="e">
        <v>#N/A</v>
      </c>
    </row>
    <row r="25738" spans="1:1" x14ac:dyDescent="0.25">
      <c r="A25738" t="e">
        <v>#N/A</v>
      </c>
    </row>
    <row r="25739" spans="1:1" x14ac:dyDescent="0.25">
      <c r="A25739" t="e">
        <v>#N/A</v>
      </c>
    </row>
    <row r="25740" spans="1:1" x14ac:dyDescent="0.25">
      <c r="A25740" t="e">
        <v>#N/A</v>
      </c>
    </row>
    <row r="25741" spans="1:1" x14ac:dyDescent="0.25">
      <c r="A25741" t="e">
        <v>#N/A</v>
      </c>
    </row>
    <row r="25742" spans="1:1" x14ac:dyDescent="0.25">
      <c r="A25742" t="e">
        <v>#N/A</v>
      </c>
    </row>
    <row r="25743" spans="1:1" x14ac:dyDescent="0.25">
      <c r="A25743" t="e">
        <v>#N/A</v>
      </c>
    </row>
    <row r="25744" spans="1:1" x14ac:dyDescent="0.25">
      <c r="A25744" t="e">
        <v>#N/A</v>
      </c>
    </row>
    <row r="25745" spans="1:1" x14ac:dyDescent="0.25">
      <c r="A25745" t="e">
        <v>#N/A</v>
      </c>
    </row>
    <row r="25746" spans="1:1" x14ac:dyDescent="0.25">
      <c r="A25746" t="e">
        <v>#N/A</v>
      </c>
    </row>
    <row r="25747" spans="1:1" x14ac:dyDescent="0.25">
      <c r="A25747" t="e">
        <v>#N/A</v>
      </c>
    </row>
    <row r="25748" spans="1:1" x14ac:dyDescent="0.25">
      <c r="A25748" t="e">
        <v>#N/A</v>
      </c>
    </row>
    <row r="25749" spans="1:1" x14ac:dyDescent="0.25">
      <c r="A25749" t="e">
        <v>#N/A</v>
      </c>
    </row>
    <row r="25750" spans="1:1" x14ac:dyDescent="0.25">
      <c r="A25750" t="e">
        <v>#N/A</v>
      </c>
    </row>
    <row r="25751" spans="1:1" x14ac:dyDescent="0.25">
      <c r="A25751" t="e">
        <v>#N/A</v>
      </c>
    </row>
    <row r="25752" spans="1:1" x14ac:dyDescent="0.25">
      <c r="A25752" t="e">
        <v>#N/A</v>
      </c>
    </row>
    <row r="25753" spans="1:1" x14ac:dyDescent="0.25">
      <c r="A25753" t="e">
        <v>#N/A</v>
      </c>
    </row>
    <row r="25754" spans="1:1" x14ac:dyDescent="0.25">
      <c r="A25754" t="e">
        <v>#N/A</v>
      </c>
    </row>
    <row r="25755" spans="1:1" x14ac:dyDescent="0.25">
      <c r="A25755" t="e">
        <v>#N/A</v>
      </c>
    </row>
    <row r="25756" spans="1:1" x14ac:dyDescent="0.25">
      <c r="A25756" t="e">
        <v>#N/A</v>
      </c>
    </row>
    <row r="25757" spans="1:1" x14ac:dyDescent="0.25">
      <c r="A25757" t="e">
        <v>#N/A</v>
      </c>
    </row>
    <row r="25758" spans="1:1" x14ac:dyDescent="0.25">
      <c r="A25758" t="e">
        <v>#N/A</v>
      </c>
    </row>
    <row r="25759" spans="1:1" x14ac:dyDescent="0.25">
      <c r="A25759" t="e">
        <v>#N/A</v>
      </c>
    </row>
    <row r="25760" spans="1:1" x14ac:dyDescent="0.25">
      <c r="A25760" t="e">
        <v>#N/A</v>
      </c>
    </row>
    <row r="25761" spans="1:1" x14ac:dyDescent="0.25">
      <c r="A25761" t="e">
        <v>#N/A</v>
      </c>
    </row>
    <row r="25762" spans="1:1" x14ac:dyDescent="0.25">
      <c r="A25762" t="e">
        <v>#N/A</v>
      </c>
    </row>
    <row r="25763" spans="1:1" x14ac:dyDescent="0.25">
      <c r="A25763" t="e">
        <v>#N/A</v>
      </c>
    </row>
    <row r="25764" spans="1:1" x14ac:dyDescent="0.25">
      <c r="A25764" t="e">
        <v>#N/A</v>
      </c>
    </row>
    <row r="25765" spans="1:1" x14ac:dyDescent="0.25">
      <c r="A25765" t="e">
        <v>#N/A</v>
      </c>
    </row>
    <row r="25766" spans="1:1" x14ac:dyDescent="0.25">
      <c r="A25766" t="e">
        <v>#N/A</v>
      </c>
    </row>
    <row r="25767" spans="1:1" x14ac:dyDescent="0.25">
      <c r="A25767" t="e">
        <v>#N/A</v>
      </c>
    </row>
    <row r="25768" spans="1:1" x14ac:dyDescent="0.25">
      <c r="A25768" t="e">
        <v>#N/A</v>
      </c>
    </row>
    <row r="25769" spans="1:1" x14ac:dyDescent="0.25">
      <c r="A25769" t="e">
        <v>#N/A</v>
      </c>
    </row>
    <row r="25770" spans="1:1" x14ac:dyDescent="0.25">
      <c r="A25770" t="e">
        <v>#N/A</v>
      </c>
    </row>
    <row r="25771" spans="1:1" x14ac:dyDescent="0.25">
      <c r="A25771" t="e">
        <v>#N/A</v>
      </c>
    </row>
    <row r="25772" spans="1:1" x14ac:dyDescent="0.25">
      <c r="A25772" t="e">
        <v>#N/A</v>
      </c>
    </row>
    <row r="25773" spans="1:1" x14ac:dyDescent="0.25">
      <c r="A25773" t="e">
        <v>#N/A</v>
      </c>
    </row>
    <row r="25774" spans="1:1" x14ac:dyDescent="0.25">
      <c r="A25774" t="e">
        <v>#N/A</v>
      </c>
    </row>
    <row r="25775" spans="1:1" x14ac:dyDescent="0.25">
      <c r="A25775" t="e">
        <v>#N/A</v>
      </c>
    </row>
    <row r="25776" spans="1:1" x14ac:dyDescent="0.25">
      <c r="A25776" t="e">
        <v>#N/A</v>
      </c>
    </row>
    <row r="25777" spans="1:1" x14ac:dyDescent="0.25">
      <c r="A25777" t="e">
        <v>#N/A</v>
      </c>
    </row>
    <row r="25778" spans="1:1" x14ac:dyDescent="0.25">
      <c r="A25778" t="e">
        <v>#N/A</v>
      </c>
    </row>
    <row r="25779" spans="1:1" x14ac:dyDescent="0.25">
      <c r="A25779" t="e">
        <v>#N/A</v>
      </c>
    </row>
    <row r="25780" spans="1:1" x14ac:dyDescent="0.25">
      <c r="A25780" t="e">
        <v>#N/A</v>
      </c>
    </row>
    <row r="25781" spans="1:1" x14ac:dyDescent="0.25">
      <c r="A25781" t="e">
        <v>#N/A</v>
      </c>
    </row>
    <row r="25782" spans="1:1" x14ac:dyDescent="0.25">
      <c r="A25782" t="e">
        <v>#N/A</v>
      </c>
    </row>
    <row r="25783" spans="1:1" x14ac:dyDescent="0.25">
      <c r="A25783" t="e">
        <v>#N/A</v>
      </c>
    </row>
    <row r="25784" spans="1:1" x14ac:dyDescent="0.25">
      <c r="A25784" t="e">
        <v>#N/A</v>
      </c>
    </row>
    <row r="25785" spans="1:1" x14ac:dyDescent="0.25">
      <c r="A25785" t="e">
        <v>#N/A</v>
      </c>
    </row>
    <row r="25786" spans="1:1" x14ac:dyDescent="0.25">
      <c r="A25786" t="e">
        <v>#N/A</v>
      </c>
    </row>
    <row r="25787" spans="1:1" x14ac:dyDescent="0.25">
      <c r="A25787" t="e">
        <v>#N/A</v>
      </c>
    </row>
    <row r="25788" spans="1:1" x14ac:dyDescent="0.25">
      <c r="A25788" t="e">
        <v>#N/A</v>
      </c>
    </row>
    <row r="25789" spans="1:1" x14ac:dyDescent="0.25">
      <c r="A25789" t="e">
        <v>#N/A</v>
      </c>
    </row>
    <row r="25790" spans="1:1" x14ac:dyDescent="0.25">
      <c r="A25790" t="e">
        <v>#N/A</v>
      </c>
    </row>
    <row r="25791" spans="1:1" x14ac:dyDescent="0.25">
      <c r="A25791" t="e">
        <v>#N/A</v>
      </c>
    </row>
    <row r="25792" spans="1:1" x14ac:dyDescent="0.25">
      <c r="A25792" t="e">
        <v>#N/A</v>
      </c>
    </row>
    <row r="25793" spans="1:1" x14ac:dyDescent="0.25">
      <c r="A25793" t="e">
        <v>#N/A</v>
      </c>
    </row>
    <row r="25794" spans="1:1" x14ac:dyDescent="0.25">
      <c r="A25794" t="e">
        <v>#N/A</v>
      </c>
    </row>
    <row r="25795" spans="1:1" x14ac:dyDescent="0.25">
      <c r="A25795" t="e">
        <v>#N/A</v>
      </c>
    </row>
    <row r="25796" spans="1:1" x14ac:dyDescent="0.25">
      <c r="A25796" t="e">
        <v>#N/A</v>
      </c>
    </row>
    <row r="25797" spans="1:1" x14ac:dyDescent="0.25">
      <c r="A25797" t="e">
        <v>#N/A</v>
      </c>
    </row>
    <row r="25798" spans="1:1" x14ac:dyDescent="0.25">
      <c r="A25798" t="e">
        <v>#N/A</v>
      </c>
    </row>
    <row r="25799" spans="1:1" x14ac:dyDescent="0.25">
      <c r="A25799" t="e">
        <v>#N/A</v>
      </c>
    </row>
    <row r="25800" spans="1:1" x14ac:dyDescent="0.25">
      <c r="A25800" t="e">
        <v>#N/A</v>
      </c>
    </row>
    <row r="25801" spans="1:1" x14ac:dyDescent="0.25">
      <c r="A25801" t="e">
        <v>#N/A</v>
      </c>
    </row>
    <row r="25802" spans="1:1" x14ac:dyDescent="0.25">
      <c r="A25802" t="e">
        <v>#N/A</v>
      </c>
    </row>
    <row r="25803" spans="1:1" x14ac:dyDescent="0.25">
      <c r="A25803" t="e">
        <v>#N/A</v>
      </c>
    </row>
    <row r="25804" spans="1:1" x14ac:dyDescent="0.25">
      <c r="A25804" t="e">
        <v>#N/A</v>
      </c>
    </row>
    <row r="25805" spans="1:1" x14ac:dyDescent="0.25">
      <c r="A25805" t="e">
        <v>#N/A</v>
      </c>
    </row>
    <row r="25806" spans="1:1" x14ac:dyDescent="0.25">
      <c r="A25806" t="e">
        <v>#N/A</v>
      </c>
    </row>
    <row r="25807" spans="1:1" x14ac:dyDescent="0.25">
      <c r="A25807" t="e">
        <v>#N/A</v>
      </c>
    </row>
    <row r="25808" spans="1:1" x14ac:dyDescent="0.25">
      <c r="A25808" t="e">
        <v>#N/A</v>
      </c>
    </row>
    <row r="25809" spans="1:1" x14ac:dyDescent="0.25">
      <c r="A25809" t="e">
        <v>#N/A</v>
      </c>
    </row>
    <row r="25810" spans="1:1" x14ac:dyDescent="0.25">
      <c r="A25810" t="e">
        <v>#N/A</v>
      </c>
    </row>
    <row r="25811" spans="1:1" x14ac:dyDescent="0.25">
      <c r="A25811" t="e">
        <v>#N/A</v>
      </c>
    </row>
    <row r="25812" spans="1:1" x14ac:dyDescent="0.25">
      <c r="A25812" t="e">
        <v>#N/A</v>
      </c>
    </row>
    <row r="25813" spans="1:1" x14ac:dyDescent="0.25">
      <c r="A25813" t="e">
        <v>#N/A</v>
      </c>
    </row>
    <row r="25814" spans="1:1" x14ac:dyDescent="0.25">
      <c r="A25814" t="e">
        <v>#N/A</v>
      </c>
    </row>
    <row r="25815" spans="1:1" x14ac:dyDescent="0.25">
      <c r="A25815" t="e">
        <v>#N/A</v>
      </c>
    </row>
    <row r="25816" spans="1:1" x14ac:dyDescent="0.25">
      <c r="A25816" t="e">
        <v>#N/A</v>
      </c>
    </row>
    <row r="25817" spans="1:1" x14ac:dyDescent="0.25">
      <c r="A25817" t="e">
        <v>#N/A</v>
      </c>
    </row>
    <row r="25818" spans="1:1" x14ac:dyDescent="0.25">
      <c r="A25818" t="e">
        <v>#N/A</v>
      </c>
    </row>
    <row r="25819" spans="1:1" x14ac:dyDescent="0.25">
      <c r="A25819" t="e">
        <v>#N/A</v>
      </c>
    </row>
    <row r="25820" spans="1:1" x14ac:dyDescent="0.25">
      <c r="A25820" t="e">
        <v>#N/A</v>
      </c>
    </row>
    <row r="25821" spans="1:1" x14ac:dyDescent="0.25">
      <c r="A25821" t="e">
        <v>#N/A</v>
      </c>
    </row>
    <row r="25822" spans="1:1" x14ac:dyDescent="0.25">
      <c r="A25822" t="e">
        <v>#N/A</v>
      </c>
    </row>
    <row r="25823" spans="1:1" x14ac:dyDescent="0.25">
      <c r="A25823" t="e">
        <v>#N/A</v>
      </c>
    </row>
    <row r="25824" spans="1:1" x14ac:dyDescent="0.25">
      <c r="A25824" t="e">
        <v>#N/A</v>
      </c>
    </row>
    <row r="25825" spans="1:1" x14ac:dyDescent="0.25">
      <c r="A25825" t="e">
        <v>#N/A</v>
      </c>
    </row>
    <row r="25826" spans="1:1" x14ac:dyDescent="0.25">
      <c r="A25826" t="e">
        <v>#N/A</v>
      </c>
    </row>
    <row r="25827" spans="1:1" x14ac:dyDescent="0.25">
      <c r="A25827" t="e">
        <v>#N/A</v>
      </c>
    </row>
    <row r="25828" spans="1:1" x14ac:dyDescent="0.25">
      <c r="A25828" t="e">
        <v>#N/A</v>
      </c>
    </row>
    <row r="25829" spans="1:1" x14ac:dyDescent="0.25">
      <c r="A25829" t="e">
        <v>#N/A</v>
      </c>
    </row>
    <row r="25830" spans="1:1" x14ac:dyDescent="0.25">
      <c r="A25830" t="e">
        <v>#N/A</v>
      </c>
    </row>
    <row r="25831" spans="1:1" x14ac:dyDescent="0.25">
      <c r="A25831" t="e">
        <v>#N/A</v>
      </c>
    </row>
    <row r="25832" spans="1:1" x14ac:dyDescent="0.25">
      <c r="A25832" t="e">
        <v>#N/A</v>
      </c>
    </row>
    <row r="25833" spans="1:1" x14ac:dyDescent="0.25">
      <c r="A25833" t="e">
        <v>#N/A</v>
      </c>
    </row>
    <row r="25834" spans="1:1" x14ac:dyDescent="0.25">
      <c r="A25834" t="e">
        <v>#N/A</v>
      </c>
    </row>
    <row r="25835" spans="1:1" x14ac:dyDescent="0.25">
      <c r="A25835" t="e">
        <v>#N/A</v>
      </c>
    </row>
    <row r="25836" spans="1:1" x14ac:dyDescent="0.25">
      <c r="A25836" t="e">
        <v>#N/A</v>
      </c>
    </row>
    <row r="25837" spans="1:1" x14ac:dyDescent="0.25">
      <c r="A25837" t="e">
        <v>#N/A</v>
      </c>
    </row>
    <row r="25838" spans="1:1" x14ac:dyDescent="0.25">
      <c r="A25838" t="e">
        <v>#N/A</v>
      </c>
    </row>
    <row r="25839" spans="1:1" x14ac:dyDescent="0.25">
      <c r="A25839" t="e">
        <v>#N/A</v>
      </c>
    </row>
    <row r="25840" spans="1:1" x14ac:dyDescent="0.25">
      <c r="A25840" t="e">
        <v>#N/A</v>
      </c>
    </row>
    <row r="25841" spans="1:1" x14ac:dyDescent="0.25">
      <c r="A25841" t="e">
        <v>#N/A</v>
      </c>
    </row>
    <row r="25842" spans="1:1" x14ac:dyDescent="0.25">
      <c r="A25842" t="e">
        <v>#N/A</v>
      </c>
    </row>
    <row r="25843" spans="1:1" x14ac:dyDescent="0.25">
      <c r="A25843" t="e">
        <v>#N/A</v>
      </c>
    </row>
    <row r="25844" spans="1:1" x14ac:dyDescent="0.25">
      <c r="A25844" t="e">
        <v>#N/A</v>
      </c>
    </row>
    <row r="25845" spans="1:1" x14ac:dyDescent="0.25">
      <c r="A25845" t="e">
        <v>#N/A</v>
      </c>
    </row>
    <row r="25846" spans="1:1" x14ac:dyDescent="0.25">
      <c r="A25846" t="e">
        <v>#N/A</v>
      </c>
    </row>
    <row r="25847" spans="1:1" x14ac:dyDescent="0.25">
      <c r="A25847" t="e">
        <v>#N/A</v>
      </c>
    </row>
    <row r="25848" spans="1:1" x14ac:dyDescent="0.25">
      <c r="A25848" t="e">
        <v>#N/A</v>
      </c>
    </row>
    <row r="25849" spans="1:1" x14ac:dyDescent="0.25">
      <c r="A25849" t="e">
        <v>#N/A</v>
      </c>
    </row>
    <row r="25850" spans="1:1" x14ac:dyDescent="0.25">
      <c r="A25850" t="e">
        <v>#N/A</v>
      </c>
    </row>
    <row r="25851" spans="1:1" x14ac:dyDescent="0.25">
      <c r="A25851" t="e">
        <v>#N/A</v>
      </c>
    </row>
    <row r="25852" spans="1:1" x14ac:dyDescent="0.25">
      <c r="A25852" t="e">
        <v>#N/A</v>
      </c>
    </row>
    <row r="25853" spans="1:1" x14ac:dyDescent="0.25">
      <c r="A25853" t="e">
        <v>#N/A</v>
      </c>
    </row>
    <row r="25854" spans="1:1" x14ac:dyDescent="0.25">
      <c r="A25854" t="e">
        <v>#N/A</v>
      </c>
    </row>
    <row r="25855" spans="1:1" x14ac:dyDescent="0.25">
      <c r="A25855" t="e">
        <v>#N/A</v>
      </c>
    </row>
    <row r="25856" spans="1:1" x14ac:dyDescent="0.25">
      <c r="A25856" t="e">
        <v>#N/A</v>
      </c>
    </row>
    <row r="25857" spans="1:1" x14ac:dyDescent="0.25">
      <c r="A25857" t="e">
        <v>#N/A</v>
      </c>
    </row>
    <row r="25858" spans="1:1" x14ac:dyDescent="0.25">
      <c r="A25858" t="e">
        <v>#N/A</v>
      </c>
    </row>
    <row r="25859" spans="1:1" x14ac:dyDescent="0.25">
      <c r="A25859" t="e">
        <v>#N/A</v>
      </c>
    </row>
    <row r="25860" spans="1:1" x14ac:dyDescent="0.25">
      <c r="A25860" t="e">
        <v>#N/A</v>
      </c>
    </row>
    <row r="25861" spans="1:1" x14ac:dyDescent="0.25">
      <c r="A25861" t="e">
        <v>#N/A</v>
      </c>
    </row>
    <row r="25862" spans="1:1" x14ac:dyDescent="0.25">
      <c r="A25862" t="e">
        <v>#N/A</v>
      </c>
    </row>
    <row r="25863" spans="1:1" x14ac:dyDescent="0.25">
      <c r="A25863" t="e">
        <v>#N/A</v>
      </c>
    </row>
    <row r="25864" spans="1:1" x14ac:dyDescent="0.25">
      <c r="A25864" t="e">
        <v>#N/A</v>
      </c>
    </row>
    <row r="25865" spans="1:1" x14ac:dyDescent="0.25">
      <c r="A25865" t="e">
        <v>#N/A</v>
      </c>
    </row>
    <row r="25866" spans="1:1" x14ac:dyDescent="0.25">
      <c r="A25866" t="e">
        <v>#N/A</v>
      </c>
    </row>
    <row r="25867" spans="1:1" x14ac:dyDescent="0.25">
      <c r="A25867" t="e">
        <v>#N/A</v>
      </c>
    </row>
    <row r="25868" spans="1:1" x14ac:dyDescent="0.25">
      <c r="A25868" t="e">
        <v>#N/A</v>
      </c>
    </row>
    <row r="25869" spans="1:1" x14ac:dyDescent="0.25">
      <c r="A25869" t="e">
        <v>#N/A</v>
      </c>
    </row>
    <row r="25870" spans="1:1" x14ac:dyDescent="0.25">
      <c r="A25870" t="e">
        <v>#N/A</v>
      </c>
    </row>
    <row r="25871" spans="1:1" x14ac:dyDescent="0.25">
      <c r="A25871" t="e">
        <v>#N/A</v>
      </c>
    </row>
    <row r="25872" spans="1:1" x14ac:dyDescent="0.25">
      <c r="A25872" t="e">
        <v>#N/A</v>
      </c>
    </row>
    <row r="25873" spans="1:1" x14ac:dyDescent="0.25">
      <c r="A25873" t="e">
        <v>#N/A</v>
      </c>
    </row>
    <row r="25874" spans="1:1" x14ac:dyDescent="0.25">
      <c r="A25874" t="e">
        <v>#N/A</v>
      </c>
    </row>
    <row r="25875" spans="1:1" x14ac:dyDescent="0.25">
      <c r="A25875" t="e">
        <v>#N/A</v>
      </c>
    </row>
    <row r="25876" spans="1:1" x14ac:dyDescent="0.25">
      <c r="A25876" t="e">
        <v>#N/A</v>
      </c>
    </row>
    <row r="25877" spans="1:1" x14ac:dyDescent="0.25">
      <c r="A25877" t="e">
        <v>#N/A</v>
      </c>
    </row>
    <row r="25878" spans="1:1" x14ac:dyDescent="0.25">
      <c r="A25878" t="e">
        <v>#N/A</v>
      </c>
    </row>
    <row r="25879" spans="1:1" x14ac:dyDescent="0.25">
      <c r="A25879" t="e">
        <v>#N/A</v>
      </c>
    </row>
    <row r="25880" spans="1:1" x14ac:dyDescent="0.25">
      <c r="A25880" t="e">
        <v>#N/A</v>
      </c>
    </row>
    <row r="25881" spans="1:1" x14ac:dyDescent="0.25">
      <c r="A25881" t="e">
        <v>#N/A</v>
      </c>
    </row>
    <row r="25882" spans="1:1" x14ac:dyDescent="0.25">
      <c r="A25882" t="e">
        <v>#N/A</v>
      </c>
    </row>
    <row r="25883" spans="1:1" x14ac:dyDescent="0.25">
      <c r="A25883" t="e">
        <v>#N/A</v>
      </c>
    </row>
    <row r="25884" spans="1:1" x14ac:dyDescent="0.25">
      <c r="A25884" t="e">
        <v>#N/A</v>
      </c>
    </row>
    <row r="25885" spans="1:1" x14ac:dyDescent="0.25">
      <c r="A25885" t="e">
        <v>#N/A</v>
      </c>
    </row>
    <row r="25886" spans="1:1" x14ac:dyDescent="0.25">
      <c r="A25886" t="e">
        <v>#N/A</v>
      </c>
    </row>
    <row r="25887" spans="1:1" x14ac:dyDescent="0.25">
      <c r="A25887" t="e">
        <v>#N/A</v>
      </c>
    </row>
    <row r="25888" spans="1:1" x14ac:dyDescent="0.25">
      <c r="A25888" t="e">
        <v>#N/A</v>
      </c>
    </row>
    <row r="25889" spans="1:1" x14ac:dyDescent="0.25">
      <c r="A25889" t="e">
        <v>#N/A</v>
      </c>
    </row>
    <row r="25890" spans="1:1" x14ac:dyDescent="0.25">
      <c r="A25890" t="e">
        <v>#N/A</v>
      </c>
    </row>
    <row r="25891" spans="1:1" x14ac:dyDescent="0.25">
      <c r="A25891" t="e">
        <v>#N/A</v>
      </c>
    </row>
    <row r="25892" spans="1:1" x14ac:dyDescent="0.25">
      <c r="A25892" t="e">
        <v>#N/A</v>
      </c>
    </row>
    <row r="25893" spans="1:1" x14ac:dyDescent="0.25">
      <c r="A25893" t="e">
        <v>#N/A</v>
      </c>
    </row>
    <row r="25894" spans="1:1" x14ac:dyDescent="0.25">
      <c r="A25894" t="e">
        <v>#N/A</v>
      </c>
    </row>
    <row r="25895" spans="1:1" x14ac:dyDescent="0.25">
      <c r="A25895" t="e">
        <v>#N/A</v>
      </c>
    </row>
    <row r="25896" spans="1:1" x14ac:dyDescent="0.25">
      <c r="A25896" t="e">
        <v>#N/A</v>
      </c>
    </row>
    <row r="25897" spans="1:1" x14ac:dyDescent="0.25">
      <c r="A25897" t="e">
        <v>#N/A</v>
      </c>
    </row>
    <row r="25898" spans="1:1" x14ac:dyDescent="0.25">
      <c r="A25898" t="e">
        <v>#N/A</v>
      </c>
    </row>
    <row r="25899" spans="1:1" x14ac:dyDescent="0.25">
      <c r="A25899" t="e">
        <v>#N/A</v>
      </c>
    </row>
    <row r="25900" spans="1:1" x14ac:dyDescent="0.25">
      <c r="A25900" t="e">
        <v>#N/A</v>
      </c>
    </row>
    <row r="25901" spans="1:1" x14ac:dyDescent="0.25">
      <c r="A25901" t="e">
        <v>#N/A</v>
      </c>
    </row>
    <row r="25902" spans="1:1" x14ac:dyDescent="0.25">
      <c r="A25902" t="e">
        <v>#N/A</v>
      </c>
    </row>
    <row r="25903" spans="1:1" x14ac:dyDescent="0.25">
      <c r="A25903" t="e">
        <v>#N/A</v>
      </c>
    </row>
    <row r="25904" spans="1:1" x14ac:dyDescent="0.25">
      <c r="A25904" t="e">
        <v>#N/A</v>
      </c>
    </row>
    <row r="25905" spans="1:1" x14ac:dyDescent="0.25">
      <c r="A25905" t="e">
        <v>#N/A</v>
      </c>
    </row>
    <row r="25906" spans="1:1" x14ac:dyDescent="0.25">
      <c r="A25906" t="e">
        <v>#N/A</v>
      </c>
    </row>
    <row r="25907" spans="1:1" x14ac:dyDescent="0.25">
      <c r="A25907" t="e">
        <v>#N/A</v>
      </c>
    </row>
    <row r="25908" spans="1:1" x14ac:dyDescent="0.25">
      <c r="A25908" t="e">
        <v>#N/A</v>
      </c>
    </row>
    <row r="25909" spans="1:1" x14ac:dyDescent="0.25">
      <c r="A25909" t="e">
        <v>#N/A</v>
      </c>
    </row>
    <row r="25910" spans="1:1" x14ac:dyDescent="0.25">
      <c r="A25910" t="e">
        <v>#N/A</v>
      </c>
    </row>
    <row r="25911" spans="1:1" x14ac:dyDescent="0.25">
      <c r="A25911" t="e">
        <v>#N/A</v>
      </c>
    </row>
    <row r="25912" spans="1:1" x14ac:dyDescent="0.25">
      <c r="A25912" t="e">
        <v>#N/A</v>
      </c>
    </row>
    <row r="25913" spans="1:1" x14ac:dyDescent="0.25">
      <c r="A25913" t="e">
        <v>#N/A</v>
      </c>
    </row>
    <row r="25914" spans="1:1" x14ac:dyDescent="0.25">
      <c r="A25914" t="e">
        <v>#N/A</v>
      </c>
    </row>
    <row r="25915" spans="1:1" x14ac:dyDescent="0.25">
      <c r="A25915" t="e">
        <v>#N/A</v>
      </c>
    </row>
    <row r="25916" spans="1:1" x14ac:dyDescent="0.25">
      <c r="A25916" t="e">
        <v>#N/A</v>
      </c>
    </row>
    <row r="25917" spans="1:1" x14ac:dyDescent="0.25">
      <c r="A25917" t="e">
        <v>#N/A</v>
      </c>
    </row>
    <row r="25918" spans="1:1" x14ac:dyDescent="0.25">
      <c r="A25918" t="e">
        <v>#N/A</v>
      </c>
    </row>
    <row r="25919" spans="1:1" x14ac:dyDescent="0.25">
      <c r="A25919" t="e">
        <v>#N/A</v>
      </c>
    </row>
    <row r="25920" spans="1:1" x14ac:dyDescent="0.25">
      <c r="A25920" t="e">
        <v>#N/A</v>
      </c>
    </row>
    <row r="25921" spans="1:1" x14ac:dyDescent="0.25">
      <c r="A25921" t="e">
        <v>#N/A</v>
      </c>
    </row>
    <row r="25922" spans="1:1" x14ac:dyDescent="0.25">
      <c r="A25922" t="e">
        <v>#N/A</v>
      </c>
    </row>
    <row r="25923" spans="1:1" x14ac:dyDescent="0.25">
      <c r="A25923" t="e">
        <v>#N/A</v>
      </c>
    </row>
    <row r="25924" spans="1:1" x14ac:dyDescent="0.25">
      <c r="A25924" t="e">
        <v>#N/A</v>
      </c>
    </row>
    <row r="25925" spans="1:1" x14ac:dyDescent="0.25">
      <c r="A25925" t="e">
        <v>#N/A</v>
      </c>
    </row>
    <row r="25926" spans="1:1" x14ac:dyDescent="0.25">
      <c r="A25926" t="e">
        <v>#N/A</v>
      </c>
    </row>
    <row r="25927" spans="1:1" x14ac:dyDescent="0.25">
      <c r="A25927" t="e">
        <v>#N/A</v>
      </c>
    </row>
    <row r="25928" spans="1:1" x14ac:dyDescent="0.25">
      <c r="A25928" t="e">
        <v>#N/A</v>
      </c>
    </row>
    <row r="25929" spans="1:1" x14ac:dyDescent="0.25">
      <c r="A25929" t="e">
        <v>#N/A</v>
      </c>
    </row>
    <row r="25930" spans="1:1" x14ac:dyDescent="0.25">
      <c r="A25930" t="e">
        <v>#N/A</v>
      </c>
    </row>
    <row r="25931" spans="1:1" x14ac:dyDescent="0.25">
      <c r="A25931" t="e">
        <v>#N/A</v>
      </c>
    </row>
    <row r="25932" spans="1:1" x14ac:dyDescent="0.25">
      <c r="A25932" t="e">
        <v>#N/A</v>
      </c>
    </row>
    <row r="25933" spans="1:1" x14ac:dyDescent="0.25">
      <c r="A25933" t="e">
        <v>#N/A</v>
      </c>
    </row>
    <row r="25934" spans="1:1" x14ac:dyDescent="0.25">
      <c r="A25934" t="e">
        <v>#N/A</v>
      </c>
    </row>
    <row r="25935" spans="1:1" x14ac:dyDescent="0.25">
      <c r="A25935" t="e">
        <v>#N/A</v>
      </c>
    </row>
    <row r="25936" spans="1:1" x14ac:dyDescent="0.25">
      <c r="A25936" t="e">
        <v>#N/A</v>
      </c>
    </row>
    <row r="25937" spans="1:1" x14ac:dyDescent="0.25">
      <c r="A25937" t="e">
        <v>#N/A</v>
      </c>
    </row>
    <row r="25938" spans="1:1" x14ac:dyDescent="0.25">
      <c r="A25938" t="e">
        <v>#N/A</v>
      </c>
    </row>
    <row r="25939" spans="1:1" x14ac:dyDescent="0.25">
      <c r="A25939" t="e">
        <v>#N/A</v>
      </c>
    </row>
    <row r="25940" spans="1:1" x14ac:dyDescent="0.25">
      <c r="A25940" t="e">
        <v>#N/A</v>
      </c>
    </row>
    <row r="25941" spans="1:1" x14ac:dyDescent="0.25">
      <c r="A25941" t="e">
        <v>#N/A</v>
      </c>
    </row>
    <row r="25942" spans="1:1" x14ac:dyDescent="0.25">
      <c r="A25942" t="e">
        <v>#N/A</v>
      </c>
    </row>
    <row r="25943" spans="1:1" x14ac:dyDescent="0.25">
      <c r="A25943" t="e">
        <v>#N/A</v>
      </c>
    </row>
    <row r="25944" spans="1:1" x14ac:dyDescent="0.25">
      <c r="A25944" t="e">
        <v>#N/A</v>
      </c>
    </row>
    <row r="25945" spans="1:1" x14ac:dyDescent="0.25">
      <c r="A25945" t="e">
        <v>#N/A</v>
      </c>
    </row>
    <row r="25946" spans="1:1" x14ac:dyDescent="0.25">
      <c r="A25946" t="e">
        <v>#N/A</v>
      </c>
    </row>
    <row r="25947" spans="1:1" x14ac:dyDescent="0.25">
      <c r="A25947" t="e">
        <v>#N/A</v>
      </c>
    </row>
    <row r="25948" spans="1:1" x14ac:dyDescent="0.25">
      <c r="A25948" t="e">
        <v>#N/A</v>
      </c>
    </row>
    <row r="25949" spans="1:1" x14ac:dyDescent="0.25">
      <c r="A25949" t="e">
        <v>#N/A</v>
      </c>
    </row>
    <row r="25950" spans="1:1" x14ac:dyDescent="0.25">
      <c r="A25950" t="e">
        <v>#N/A</v>
      </c>
    </row>
    <row r="25951" spans="1:1" x14ac:dyDescent="0.25">
      <c r="A25951" t="e">
        <v>#N/A</v>
      </c>
    </row>
    <row r="25952" spans="1:1" x14ac:dyDescent="0.25">
      <c r="A25952" t="e">
        <v>#N/A</v>
      </c>
    </row>
    <row r="25953" spans="1:1" x14ac:dyDescent="0.25">
      <c r="A25953" t="e">
        <v>#N/A</v>
      </c>
    </row>
    <row r="25954" spans="1:1" x14ac:dyDescent="0.25">
      <c r="A25954" t="e">
        <v>#N/A</v>
      </c>
    </row>
    <row r="25955" spans="1:1" x14ac:dyDescent="0.25">
      <c r="A25955" t="e">
        <v>#N/A</v>
      </c>
    </row>
    <row r="25956" spans="1:1" x14ac:dyDescent="0.25">
      <c r="A25956" t="e">
        <v>#N/A</v>
      </c>
    </row>
    <row r="25957" spans="1:1" x14ac:dyDescent="0.25">
      <c r="A25957" t="e">
        <v>#N/A</v>
      </c>
    </row>
    <row r="25958" spans="1:1" x14ac:dyDescent="0.25">
      <c r="A25958" t="e">
        <v>#N/A</v>
      </c>
    </row>
    <row r="25959" spans="1:1" x14ac:dyDescent="0.25">
      <c r="A25959" t="e">
        <v>#N/A</v>
      </c>
    </row>
    <row r="25960" spans="1:1" x14ac:dyDescent="0.25">
      <c r="A25960" t="e">
        <v>#N/A</v>
      </c>
    </row>
    <row r="25961" spans="1:1" x14ac:dyDescent="0.25">
      <c r="A25961" t="e">
        <v>#N/A</v>
      </c>
    </row>
    <row r="25962" spans="1:1" x14ac:dyDescent="0.25">
      <c r="A25962" t="e">
        <v>#N/A</v>
      </c>
    </row>
    <row r="25963" spans="1:1" x14ac:dyDescent="0.25">
      <c r="A25963" t="e">
        <v>#N/A</v>
      </c>
    </row>
    <row r="25964" spans="1:1" x14ac:dyDescent="0.25">
      <c r="A25964" t="e">
        <v>#N/A</v>
      </c>
    </row>
    <row r="25965" spans="1:1" x14ac:dyDescent="0.25">
      <c r="A25965" t="e">
        <v>#N/A</v>
      </c>
    </row>
    <row r="25966" spans="1:1" x14ac:dyDescent="0.25">
      <c r="A25966" t="e">
        <v>#N/A</v>
      </c>
    </row>
    <row r="25967" spans="1:1" x14ac:dyDescent="0.25">
      <c r="A25967" t="e">
        <v>#N/A</v>
      </c>
    </row>
    <row r="25968" spans="1:1" x14ac:dyDescent="0.25">
      <c r="A25968" t="e">
        <v>#N/A</v>
      </c>
    </row>
    <row r="25969" spans="1:1" x14ac:dyDescent="0.25">
      <c r="A25969" t="e">
        <v>#N/A</v>
      </c>
    </row>
    <row r="25970" spans="1:1" x14ac:dyDescent="0.25">
      <c r="A25970" t="e">
        <v>#N/A</v>
      </c>
    </row>
    <row r="25971" spans="1:1" x14ac:dyDescent="0.25">
      <c r="A25971" t="e">
        <v>#N/A</v>
      </c>
    </row>
    <row r="25972" spans="1:1" x14ac:dyDescent="0.25">
      <c r="A25972" t="e">
        <v>#N/A</v>
      </c>
    </row>
    <row r="25973" spans="1:1" x14ac:dyDescent="0.25">
      <c r="A25973" t="e">
        <v>#N/A</v>
      </c>
    </row>
    <row r="25974" spans="1:1" x14ac:dyDescent="0.25">
      <c r="A25974" t="e">
        <v>#N/A</v>
      </c>
    </row>
    <row r="25975" spans="1:1" x14ac:dyDescent="0.25">
      <c r="A25975" t="e">
        <v>#N/A</v>
      </c>
    </row>
    <row r="25976" spans="1:1" x14ac:dyDescent="0.25">
      <c r="A25976" t="e">
        <v>#N/A</v>
      </c>
    </row>
    <row r="25977" spans="1:1" x14ac:dyDescent="0.25">
      <c r="A25977" t="e">
        <v>#N/A</v>
      </c>
    </row>
    <row r="25978" spans="1:1" x14ac:dyDescent="0.25">
      <c r="A25978" t="e">
        <v>#N/A</v>
      </c>
    </row>
    <row r="25979" spans="1:1" x14ac:dyDescent="0.25">
      <c r="A25979" t="e">
        <v>#N/A</v>
      </c>
    </row>
    <row r="25980" spans="1:1" x14ac:dyDescent="0.25">
      <c r="A25980" t="e">
        <v>#N/A</v>
      </c>
    </row>
    <row r="25981" spans="1:1" x14ac:dyDescent="0.25">
      <c r="A25981" t="e">
        <v>#N/A</v>
      </c>
    </row>
    <row r="25982" spans="1:1" x14ac:dyDescent="0.25">
      <c r="A25982" t="e">
        <v>#N/A</v>
      </c>
    </row>
    <row r="25983" spans="1:1" x14ac:dyDescent="0.25">
      <c r="A25983" t="e">
        <v>#N/A</v>
      </c>
    </row>
    <row r="25984" spans="1:1" x14ac:dyDescent="0.25">
      <c r="A25984" t="e">
        <v>#N/A</v>
      </c>
    </row>
    <row r="25985" spans="1:1" x14ac:dyDescent="0.25">
      <c r="A25985" t="e">
        <v>#N/A</v>
      </c>
    </row>
    <row r="25986" spans="1:1" x14ac:dyDescent="0.25">
      <c r="A25986" t="e">
        <v>#N/A</v>
      </c>
    </row>
    <row r="25987" spans="1:1" x14ac:dyDescent="0.25">
      <c r="A25987" t="e">
        <v>#N/A</v>
      </c>
    </row>
    <row r="25988" spans="1:1" x14ac:dyDescent="0.25">
      <c r="A25988" t="e">
        <v>#N/A</v>
      </c>
    </row>
    <row r="25989" spans="1:1" x14ac:dyDescent="0.25">
      <c r="A25989" t="e">
        <v>#N/A</v>
      </c>
    </row>
    <row r="25990" spans="1:1" x14ac:dyDescent="0.25">
      <c r="A25990" t="e">
        <v>#N/A</v>
      </c>
    </row>
    <row r="25991" spans="1:1" x14ac:dyDescent="0.25">
      <c r="A25991" t="e">
        <v>#N/A</v>
      </c>
    </row>
    <row r="25992" spans="1:1" x14ac:dyDescent="0.25">
      <c r="A25992" t="e">
        <v>#N/A</v>
      </c>
    </row>
    <row r="25993" spans="1:1" x14ac:dyDescent="0.25">
      <c r="A25993" t="e">
        <v>#N/A</v>
      </c>
    </row>
    <row r="25994" spans="1:1" x14ac:dyDescent="0.25">
      <c r="A25994" t="e">
        <v>#N/A</v>
      </c>
    </row>
    <row r="25995" spans="1:1" x14ac:dyDescent="0.25">
      <c r="A25995" t="e">
        <v>#N/A</v>
      </c>
    </row>
    <row r="25996" spans="1:1" x14ac:dyDescent="0.25">
      <c r="A25996" t="e">
        <v>#N/A</v>
      </c>
    </row>
    <row r="25997" spans="1:1" x14ac:dyDescent="0.25">
      <c r="A25997" t="e">
        <v>#N/A</v>
      </c>
    </row>
    <row r="25998" spans="1:1" x14ac:dyDescent="0.25">
      <c r="A25998" t="e">
        <v>#N/A</v>
      </c>
    </row>
    <row r="25999" spans="1:1" x14ac:dyDescent="0.25">
      <c r="A25999" t="e">
        <v>#N/A</v>
      </c>
    </row>
    <row r="26000" spans="1:1" x14ac:dyDescent="0.25">
      <c r="A26000" t="e">
        <v>#N/A</v>
      </c>
    </row>
    <row r="26001" spans="1:1" x14ac:dyDescent="0.25">
      <c r="A26001" t="e">
        <v>#N/A</v>
      </c>
    </row>
    <row r="26002" spans="1:1" x14ac:dyDescent="0.25">
      <c r="A26002" t="e">
        <v>#N/A</v>
      </c>
    </row>
    <row r="26003" spans="1:1" x14ac:dyDescent="0.25">
      <c r="A26003" t="e">
        <v>#N/A</v>
      </c>
    </row>
    <row r="26004" spans="1:1" x14ac:dyDescent="0.25">
      <c r="A26004" t="e">
        <v>#N/A</v>
      </c>
    </row>
    <row r="26005" spans="1:1" x14ac:dyDescent="0.25">
      <c r="A26005" t="e">
        <v>#N/A</v>
      </c>
    </row>
    <row r="26006" spans="1:1" x14ac:dyDescent="0.25">
      <c r="A26006" t="e">
        <v>#N/A</v>
      </c>
    </row>
    <row r="26007" spans="1:1" x14ac:dyDescent="0.25">
      <c r="A26007" t="e">
        <v>#N/A</v>
      </c>
    </row>
    <row r="26008" spans="1:1" x14ac:dyDescent="0.25">
      <c r="A26008" t="e">
        <v>#N/A</v>
      </c>
    </row>
    <row r="26009" spans="1:1" x14ac:dyDescent="0.25">
      <c r="A26009" t="e">
        <v>#N/A</v>
      </c>
    </row>
    <row r="26010" spans="1:1" x14ac:dyDescent="0.25">
      <c r="A26010" t="e">
        <v>#N/A</v>
      </c>
    </row>
    <row r="26011" spans="1:1" x14ac:dyDescent="0.25">
      <c r="A26011" t="e">
        <v>#N/A</v>
      </c>
    </row>
    <row r="26012" spans="1:1" x14ac:dyDescent="0.25">
      <c r="A26012" t="e">
        <v>#N/A</v>
      </c>
    </row>
    <row r="26013" spans="1:1" x14ac:dyDescent="0.25">
      <c r="A26013" t="e">
        <v>#N/A</v>
      </c>
    </row>
    <row r="26014" spans="1:1" x14ac:dyDescent="0.25">
      <c r="A26014" t="e">
        <v>#N/A</v>
      </c>
    </row>
    <row r="26015" spans="1:1" x14ac:dyDescent="0.25">
      <c r="A26015" t="e">
        <v>#N/A</v>
      </c>
    </row>
    <row r="26016" spans="1:1" x14ac:dyDescent="0.25">
      <c r="A26016" t="e">
        <v>#N/A</v>
      </c>
    </row>
    <row r="26017" spans="1:1" x14ac:dyDescent="0.25">
      <c r="A26017" t="e">
        <v>#N/A</v>
      </c>
    </row>
    <row r="26018" spans="1:1" x14ac:dyDescent="0.25">
      <c r="A26018" t="e">
        <v>#N/A</v>
      </c>
    </row>
    <row r="26019" spans="1:1" x14ac:dyDescent="0.25">
      <c r="A26019" t="e">
        <v>#N/A</v>
      </c>
    </row>
    <row r="26020" spans="1:1" x14ac:dyDescent="0.25">
      <c r="A26020" t="e">
        <v>#N/A</v>
      </c>
    </row>
    <row r="26021" spans="1:1" x14ac:dyDescent="0.25">
      <c r="A26021" t="e">
        <v>#N/A</v>
      </c>
    </row>
    <row r="26022" spans="1:1" x14ac:dyDescent="0.25">
      <c r="A26022" t="e">
        <v>#N/A</v>
      </c>
    </row>
    <row r="26023" spans="1:1" x14ac:dyDescent="0.25">
      <c r="A26023" t="e">
        <v>#N/A</v>
      </c>
    </row>
    <row r="26024" spans="1:1" x14ac:dyDescent="0.25">
      <c r="A26024" t="e">
        <v>#N/A</v>
      </c>
    </row>
    <row r="26025" spans="1:1" x14ac:dyDescent="0.25">
      <c r="A26025" t="e">
        <v>#N/A</v>
      </c>
    </row>
    <row r="26026" spans="1:1" x14ac:dyDescent="0.25">
      <c r="A26026" t="e">
        <v>#N/A</v>
      </c>
    </row>
    <row r="26027" spans="1:1" x14ac:dyDescent="0.25">
      <c r="A26027" t="e">
        <v>#N/A</v>
      </c>
    </row>
    <row r="26028" spans="1:1" x14ac:dyDescent="0.25">
      <c r="A26028" t="e">
        <v>#N/A</v>
      </c>
    </row>
    <row r="26029" spans="1:1" x14ac:dyDescent="0.25">
      <c r="A26029" t="e">
        <v>#N/A</v>
      </c>
    </row>
    <row r="26030" spans="1:1" x14ac:dyDescent="0.25">
      <c r="A26030" t="e">
        <v>#N/A</v>
      </c>
    </row>
    <row r="26031" spans="1:1" x14ac:dyDescent="0.25">
      <c r="A26031" t="e">
        <v>#N/A</v>
      </c>
    </row>
    <row r="26032" spans="1:1" x14ac:dyDescent="0.25">
      <c r="A26032" t="e">
        <v>#N/A</v>
      </c>
    </row>
    <row r="26033" spans="1:1" x14ac:dyDescent="0.25">
      <c r="A26033" t="e">
        <v>#N/A</v>
      </c>
    </row>
    <row r="26034" spans="1:1" x14ac:dyDescent="0.25">
      <c r="A26034" t="e">
        <v>#N/A</v>
      </c>
    </row>
    <row r="26035" spans="1:1" x14ac:dyDescent="0.25">
      <c r="A26035" t="e">
        <v>#N/A</v>
      </c>
    </row>
    <row r="26036" spans="1:1" x14ac:dyDescent="0.25">
      <c r="A26036" t="e">
        <v>#N/A</v>
      </c>
    </row>
    <row r="26037" spans="1:1" x14ac:dyDescent="0.25">
      <c r="A26037" t="e">
        <v>#N/A</v>
      </c>
    </row>
    <row r="26038" spans="1:1" x14ac:dyDescent="0.25">
      <c r="A26038" t="e">
        <v>#N/A</v>
      </c>
    </row>
    <row r="26039" spans="1:1" x14ac:dyDescent="0.25">
      <c r="A26039" t="e">
        <v>#N/A</v>
      </c>
    </row>
    <row r="26040" spans="1:1" x14ac:dyDescent="0.25">
      <c r="A26040" t="e">
        <v>#N/A</v>
      </c>
    </row>
    <row r="26041" spans="1:1" x14ac:dyDescent="0.25">
      <c r="A26041" t="e">
        <v>#N/A</v>
      </c>
    </row>
    <row r="26042" spans="1:1" x14ac:dyDescent="0.25">
      <c r="A26042" t="e">
        <v>#N/A</v>
      </c>
    </row>
    <row r="26043" spans="1:1" x14ac:dyDescent="0.25">
      <c r="A26043" t="e">
        <v>#N/A</v>
      </c>
    </row>
    <row r="26044" spans="1:1" x14ac:dyDescent="0.25">
      <c r="A26044" t="e">
        <v>#N/A</v>
      </c>
    </row>
    <row r="26045" spans="1:1" x14ac:dyDescent="0.25">
      <c r="A26045" t="e">
        <v>#N/A</v>
      </c>
    </row>
    <row r="26046" spans="1:1" x14ac:dyDescent="0.25">
      <c r="A26046" t="e">
        <v>#N/A</v>
      </c>
    </row>
    <row r="26047" spans="1:1" x14ac:dyDescent="0.25">
      <c r="A26047" t="e">
        <v>#N/A</v>
      </c>
    </row>
    <row r="26048" spans="1:1" x14ac:dyDescent="0.25">
      <c r="A26048" t="e">
        <v>#N/A</v>
      </c>
    </row>
    <row r="26049" spans="1:1" x14ac:dyDescent="0.25">
      <c r="A26049" t="e">
        <v>#N/A</v>
      </c>
    </row>
    <row r="26050" spans="1:1" x14ac:dyDescent="0.25">
      <c r="A26050" t="e">
        <v>#N/A</v>
      </c>
    </row>
    <row r="26051" spans="1:1" x14ac:dyDescent="0.25">
      <c r="A26051" t="e">
        <v>#N/A</v>
      </c>
    </row>
    <row r="26052" spans="1:1" x14ac:dyDescent="0.25">
      <c r="A26052" t="e">
        <v>#N/A</v>
      </c>
    </row>
    <row r="26053" spans="1:1" x14ac:dyDescent="0.25">
      <c r="A26053" t="e">
        <v>#N/A</v>
      </c>
    </row>
    <row r="26054" spans="1:1" x14ac:dyDescent="0.25">
      <c r="A26054" t="e">
        <v>#N/A</v>
      </c>
    </row>
    <row r="26055" spans="1:1" x14ac:dyDescent="0.25">
      <c r="A26055" t="e">
        <v>#N/A</v>
      </c>
    </row>
    <row r="26056" spans="1:1" x14ac:dyDescent="0.25">
      <c r="A26056" t="e">
        <v>#N/A</v>
      </c>
    </row>
    <row r="26057" spans="1:1" x14ac:dyDescent="0.25">
      <c r="A26057" t="e">
        <v>#N/A</v>
      </c>
    </row>
    <row r="26058" spans="1:1" x14ac:dyDescent="0.25">
      <c r="A26058" t="e">
        <v>#N/A</v>
      </c>
    </row>
    <row r="26059" spans="1:1" x14ac:dyDescent="0.25">
      <c r="A26059" t="e">
        <v>#N/A</v>
      </c>
    </row>
    <row r="26060" spans="1:1" x14ac:dyDescent="0.25">
      <c r="A26060" t="e">
        <v>#N/A</v>
      </c>
    </row>
    <row r="26061" spans="1:1" x14ac:dyDescent="0.25">
      <c r="A26061" t="e">
        <v>#N/A</v>
      </c>
    </row>
    <row r="26062" spans="1:1" x14ac:dyDescent="0.25">
      <c r="A26062" t="e">
        <v>#N/A</v>
      </c>
    </row>
    <row r="26063" spans="1:1" x14ac:dyDescent="0.25">
      <c r="A26063" t="e">
        <v>#N/A</v>
      </c>
    </row>
    <row r="26064" spans="1:1" x14ac:dyDescent="0.25">
      <c r="A26064" t="e">
        <v>#N/A</v>
      </c>
    </row>
    <row r="26065" spans="1:1" x14ac:dyDescent="0.25">
      <c r="A26065" t="e">
        <v>#N/A</v>
      </c>
    </row>
    <row r="26066" spans="1:1" x14ac:dyDescent="0.25">
      <c r="A26066" t="e">
        <v>#N/A</v>
      </c>
    </row>
    <row r="26067" spans="1:1" x14ac:dyDescent="0.25">
      <c r="A26067" t="e">
        <v>#N/A</v>
      </c>
    </row>
    <row r="26068" spans="1:1" x14ac:dyDescent="0.25">
      <c r="A26068" t="e">
        <v>#N/A</v>
      </c>
    </row>
    <row r="26069" spans="1:1" x14ac:dyDescent="0.25">
      <c r="A26069" t="e">
        <v>#N/A</v>
      </c>
    </row>
    <row r="26070" spans="1:1" x14ac:dyDescent="0.25">
      <c r="A26070" t="e">
        <v>#N/A</v>
      </c>
    </row>
    <row r="26071" spans="1:1" x14ac:dyDescent="0.25">
      <c r="A26071" t="e">
        <v>#N/A</v>
      </c>
    </row>
    <row r="26072" spans="1:1" x14ac:dyDescent="0.25">
      <c r="A26072" t="e">
        <v>#N/A</v>
      </c>
    </row>
    <row r="26073" spans="1:1" x14ac:dyDescent="0.25">
      <c r="A26073" t="e">
        <v>#N/A</v>
      </c>
    </row>
    <row r="26074" spans="1:1" x14ac:dyDescent="0.25">
      <c r="A26074" t="e">
        <v>#N/A</v>
      </c>
    </row>
    <row r="26075" spans="1:1" x14ac:dyDescent="0.25">
      <c r="A26075" t="e">
        <v>#N/A</v>
      </c>
    </row>
    <row r="26076" spans="1:1" x14ac:dyDescent="0.25">
      <c r="A26076" t="e">
        <v>#N/A</v>
      </c>
    </row>
    <row r="26077" spans="1:1" x14ac:dyDescent="0.25">
      <c r="A26077" t="e">
        <v>#N/A</v>
      </c>
    </row>
    <row r="26078" spans="1:1" x14ac:dyDescent="0.25">
      <c r="A26078" t="e">
        <v>#N/A</v>
      </c>
    </row>
    <row r="26079" spans="1:1" x14ac:dyDescent="0.25">
      <c r="A26079" t="e">
        <v>#N/A</v>
      </c>
    </row>
    <row r="26080" spans="1:1" x14ac:dyDescent="0.25">
      <c r="A26080" t="e">
        <v>#N/A</v>
      </c>
    </row>
    <row r="26081" spans="1:1" x14ac:dyDescent="0.25">
      <c r="A26081" t="e">
        <v>#N/A</v>
      </c>
    </row>
    <row r="26082" spans="1:1" x14ac:dyDescent="0.25">
      <c r="A26082" t="e">
        <v>#N/A</v>
      </c>
    </row>
    <row r="26083" spans="1:1" x14ac:dyDescent="0.25">
      <c r="A26083" t="e">
        <v>#N/A</v>
      </c>
    </row>
    <row r="26084" spans="1:1" x14ac:dyDescent="0.25">
      <c r="A26084" t="e">
        <v>#N/A</v>
      </c>
    </row>
    <row r="26085" spans="1:1" x14ac:dyDescent="0.25">
      <c r="A26085" t="e">
        <v>#N/A</v>
      </c>
    </row>
    <row r="26086" spans="1:1" x14ac:dyDescent="0.25">
      <c r="A26086" t="e">
        <v>#N/A</v>
      </c>
    </row>
    <row r="26087" spans="1:1" x14ac:dyDescent="0.25">
      <c r="A26087" t="e">
        <v>#N/A</v>
      </c>
    </row>
    <row r="26088" spans="1:1" x14ac:dyDescent="0.25">
      <c r="A26088" t="e">
        <v>#N/A</v>
      </c>
    </row>
    <row r="26089" spans="1:1" x14ac:dyDescent="0.25">
      <c r="A26089" t="e">
        <v>#N/A</v>
      </c>
    </row>
    <row r="26090" spans="1:1" x14ac:dyDescent="0.25">
      <c r="A26090" t="e">
        <v>#N/A</v>
      </c>
    </row>
    <row r="26091" spans="1:1" x14ac:dyDescent="0.25">
      <c r="A26091" t="e">
        <v>#N/A</v>
      </c>
    </row>
    <row r="26092" spans="1:1" x14ac:dyDescent="0.25">
      <c r="A26092" t="e">
        <v>#N/A</v>
      </c>
    </row>
    <row r="26093" spans="1:1" x14ac:dyDescent="0.25">
      <c r="A26093" t="e">
        <v>#N/A</v>
      </c>
    </row>
    <row r="26094" spans="1:1" x14ac:dyDescent="0.25">
      <c r="A26094" t="e">
        <v>#N/A</v>
      </c>
    </row>
    <row r="26095" spans="1:1" x14ac:dyDescent="0.25">
      <c r="A26095" t="e">
        <v>#N/A</v>
      </c>
    </row>
    <row r="26096" spans="1:1" x14ac:dyDescent="0.25">
      <c r="A26096" t="e">
        <v>#N/A</v>
      </c>
    </row>
    <row r="26097" spans="1:1" x14ac:dyDescent="0.25">
      <c r="A26097" t="e">
        <v>#N/A</v>
      </c>
    </row>
    <row r="26098" spans="1:1" x14ac:dyDescent="0.25">
      <c r="A26098" t="e">
        <v>#N/A</v>
      </c>
    </row>
    <row r="26099" spans="1:1" x14ac:dyDescent="0.25">
      <c r="A26099" t="e">
        <v>#N/A</v>
      </c>
    </row>
    <row r="26100" spans="1:1" x14ac:dyDescent="0.25">
      <c r="A26100" t="e">
        <v>#N/A</v>
      </c>
    </row>
    <row r="26101" spans="1:1" x14ac:dyDescent="0.25">
      <c r="A26101" t="e">
        <v>#N/A</v>
      </c>
    </row>
    <row r="26102" spans="1:1" x14ac:dyDescent="0.25">
      <c r="A26102" t="e">
        <v>#N/A</v>
      </c>
    </row>
    <row r="26103" spans="1:1" x14ac:dyDescent="0.25">
      <c r="A26103" t="e">
        <v>#N/A</v>
      </c>
    </row>
    <row r="26104" spans="1:1" x14ac:dyDescent="0.25">
      <c r="A26104" t="e">
        <v>#N/A</v>
      </c>
    </row>
    <row r="26105" spans="1:1" x14ac:dyDescent="0.25">
      <c r="A26105" t="e">
        <v>#N/A</v>
      </c>
    </row>
    <row r="26106" spans="1:1" x14ac:dyDescent="0.25">
      <c r="A26106" t="e">
        <v>#N/A</v>
      </c>
    </row>
    <row r="26107" spans="1:1" x14ac:dyDescent="0.25">
      <c r="A26107" t="e">
        <v>#N/A</v>
      </c>
    </row>
    <row r="26108" spans="1:1" x14ac:dyDescent="0.25">
      <c r="A26108" t="e">
        <v>#N/A</v>
      </c>
    </row>
    <row r="26109" spans="1:1" x14ac:dyDescent="0.25">
      <c r="A26109" t="e">
        <v>#N/A</v>
      </c>
    </row>
    <row r="26110" spans="1:1" x14ac:dyDescent="0.25">
      <c r="A26110" t="e">
        <v>#N/A</v>
      </c>
    </row>
    <row r="26111" spans="1:1" x14ac:dyDescent="0.25">
      <c r="A26111" t="e">
        <v>#N/A</v>
      </c>
    </row>
    <row r="26112" spans="1:1" x14ac:dyDescent="0.25">
      <c r="A26112" t="e">
        <v>#N/A</v>
      </c>
    </row>
    <row r="26113" spans="1:1" x14ac:dyDescent="0.25">
      <c r="A26113" t="e">
        <v>#N/A</v>
      </c>
    </row>
    <row r="26114" spans="1:1" x14ac:dyDescent="0.25">
      <c r="A26114" t="e">
        <v>#N/A</v>
      </c>
    </row>
    <row r="26115" spans="1:1" x14ac:dyDescent="0.25">
      <c r="A26115" t="e">
        <v>#N/A</v>
      </c>
    </row>
    <row r="26116" spans="1:1" x14ac:dyDescent="0.25">
      <c r="A26116" t="e">
        <v>#N/A</v>
      </c>
    </row>
    <row r="26117" spans="1:1" x14ac:dyDescent="0.25">
      <c r="A26117" t="e">
        <v>#N/A</v>
      </c>
    </row>
    <row r="26118" spans="1:1" x14ac:dyDescent="0.25">
      <c r="A26118" t="e">
        <v>#N/A</v>
      </c>
    </row>
    <row r="26119" spans="1:1" x14ac:dyDescent="0.25">
      <c r="A26119" t="e">
        <v>#N/A</v>
      </c>
    </row>
    <row r="26120" spans="1:1" x14ac:dyDescent="0.25">
      <c r="A26120" t="e">
        <v>#N/A</v>
      </c>
    </row>
    <row r="26121" spans="1:1" x14ac:dyDescent="0.25">
      <c r="A26121" t="e">
        <v>#N/A</v>
      </c>
    </row>
    <row r="26122" spans="1:1" x14ac:dyDescent="0.25">
      <c r="A26122" t="e">
        <v>#N/A</v>
      </c>
    </row>
    <row r="26123" spans="1:1" x14ac:dyDescent="0.25">
      <c r="A26123" t="e">
        <v>#N/A</v>
      </c>
    </row>
    <row r="26124" spans="1:1" x14ac:dyDescent="0.25">
      <c r="A26124" t="e">
        <v>#N/A</v>
      </c>
    </row>
    <row r="26125" spans="1:1" x14ac:dyDescent="0.25">
      <c r="A26125" t="e">
        <v>#N/A</v>
      </c>
    </row>
    <row r="26126" spans="1:1" x14ac:dyDescent="0.25">
      <c r="A26126" t="e">
        <v>#N/A</v>
      </c>
    </row>
    <row r="26127" spans="1:1" x14ac:dyDescent="0.25">
      <c r="A26127" t="e">
        <v>#N/A</v>
      </c>
    </row>
    <row r="26128" spans="1:1" x14ac:dyDescent="0.25">
      <c r="A26128" t="e">
        <v>#N/A</v>
      </c>
    </row>
    <row r="26129" spans="1:1" x14ac:dyDescent="0.25">
      <c r="A26129" t="e">
        <v>#N/A</v>
      </c>
    </row>
    <row r="26130" spans="1:1" x14ac:dyDescent="0.25">
      <c r="A26130" t="e">
        <v>#N/A</v>
      </c>
    </row>
    <row r="26131" spans="1:1" x14ac:dyDescent="0.25">
      <c r="A26131" t="e">
        <v>#N/A</v>
      </c>
    </row>
    <row r="26132" spans="1:1" x14ac:dyDescent="0.25">
      <c r="A26132" t="e">
        <v>#N/A</v>
      </c>
    </row>
    <row r="26133" spans="1:1" x14ac:dyDescent="0.25">
      <c r="A26133" t="e">
        <v>#N/A</v>
      </c>
    </row>
    <row r="26134" spans="1:1" x14ac:dyDescent="0.25">
      <c r="A26134" t="e">
        <v>#N/A</v>
      </c>
    </row>
    <row r="26135" spans="1:1" x14ac:dyDescent="0.25">
      <c r="A26135" t="e">
        <v>#N/A</v>
      </c>
    </row>
    <row r="26136" spans="1:1" x14ac:dyDescent="0.25">
      <c r="A26136" t="e">
        <v>#N/A</v>
      </c>
    </row>
    <row r="26137" spans="1:1" x14ac:dyDescent="0.25">
      <c r="A26137" t="e">
        <v>#N/A</v>
      </c>
    </row>
    <row r="26138" spans="1:1" x14ac:dyDescent="0.25">
      <c r="A26138" t="e">
        <v>#N/A</v>
      </c>
    </row>
    <row r="26139" spans="1:1" x14ac:dyDescent="0.25">
      <c r="A26139" t="e">
        <v>#N/A</v>
      </c>
    </row>
    <row r="26140" spans="1:1" x14ac:dyDescent="0.25">
      <c r="A26140" t="e">
        <v>#N/A</v>
      </c>
    </row>
    <row r="26141" spans="1:1" x14ac:dyDescent="0.25">
      <c r="A26141" t="e">
        <v>#N/A</v>
      </c>
    </row>
    <row r="26142" spans="1:1" x14ac:dyDescent="0.25">
      <c r="A26142" t="e">
        <v>#N/A</v>
      </c>
    </row>
    <row r="26143" spans="1:1" x14ac:dyDescent="0.25">
      <c r="A26143" t="e">
        <v>#N/A</v>
      </c>
    </row>
    <row r="26144" spans="1:1" x14ac:dyDescent="0.25">
      <c r="A26144" t="e">
        <v>#N/A</v>
      </c>
    </row>
    <row r="26145" spans="1:1" x14ac:dyDescent="0.25">
      <c r="A26145" t="e">
        <v>#N/A</v>
      </c>
    </row>
    <row r="26146" spans="1:1" x14ac:dyDescent="0.25">
      <c r="A26146" t="e">
        <v>#N/A</v>
      </c>
    </row>
    <row r="26147" spans="1:1" x14ac:dyDescent="0.25">
      <c r="A26147" t="e">
        <v>#N/A</v>
      </c>
    </row>
    <row r="26148" spans="1:1" x14ac:dyDescent="0.25">
      <c r="A26148" t="e">
        <v>#N/A</v>
      </c>
    </row>
    <row r="26149" spans="1:1" x14ac:dyDescent="0.25">
      <c r="A26149" t="e">
        <v>#N/A</v>
      </c>
    </row>
    <row r="26150" spans="1:1" x14ac:dyDescent="0.25">
      <c r="A26150" t="e">
        <v>#N/A</v>
      </c>
    </row>
    <row r="26151" spans="1:1" x14ac:dyDescent="0.25">
      <c r="A26151" t="e">
        <v>#N/A</v>
      </c>
    </row>
    <row r="26152" spans="1:1" x14ac:dyDescent="0.25">
      <c r="A26152" t="e">
        <v>#N/A</v>
      </c>
    </row>
    <row r="26153" spans="1:1" x14ac:dyDescent="0.25">
      <c r="A26153" t="e">
        <v>#N/A</v>
      </c>
    </row>
    <row r="26154" spans="1:1" x14ac:dyDescent="0.25">
      <c r="A26154" t="e">
        <v>#N/A</v>
      </c>
    </row>
    <row r="26155" spans="1:1" x14ac:dyDescent="0.25">
      <c r="A26155" t="e">
        <v>#N/A</v>
      </c>
    </row>
    <row r="26156" spans="1:1" x14ac:dyDescent="0.25">
      <c r="A26156" t="e">
        <v>#N/A</v>
      </c>
    </row>
    <row r="26157" spans="1:1" x14ac:dyDescent="0.25">
      <c r="A26157" t="e">
        <v>#N/A</v>
      </c>
    </row>
    <row r="26158" spans="1:1" x14ac:dyDescent="0.25">
      <c r="A26158" t="e">
        <v>#N/A</v>
      </c>
    </row>
    <row r="26159" spans="1:1" x14ac:dyDescent="0.25">
      <c r="A26159" t="e">
        <v>#N/A</v>
      </c>
    </row>
    <row r="26160" spans="1:1" x14ac:dyDescent="0.25">
      <c r="A26160" t="e">
        <v>#N/A</v>
      </c>
    </row>
    <row r="26161" spans="1:1" x14ac:dyDescent="0.25">
      <c r="A26161" t="e">
        <v>#N/A</v>
      </c>
    </row>
    <row r="26162" spans="1:1" x14ac:dyDescent="0.25">
      <c r="A26162" t="e">
        <v>#N/A</v>
      </c>
    </row>
    <row r="26163" spans="1:1" x14ac:dyDescent="0.25">
      <c r="A26163" t="e">
        <v>#N/A</v>
      </c>
    </row>
    <row r="26164" spans="1:1" x14ac:dyDescent="0.25">
      <c r="A26164" t="e">
        <v>#N/A</v>
      </c>
    </row>
    <row r="26165" spans="1:1" x14ac:dyDescent="0.25">
      <c r="A26165" t="e">
        <v>#N/A</v>
      </c>
    </row>
    <row r="26166" spans="1:1" x14ac:dyDescent="0.25">
      <c r="A26166" t="e">
        <v>#N/A</v>
      </c>
    </row>
    <row r="26167" spans="1:1" x14ac:dyDescent="0.25">
      <c r="A26167" t="e">
        <v>#N/A</v>
      </c>
    </row>
    <row r="26168" spans="1:1" x14ac:dyDescent="0.25">
      <c r="A26168" t="e">
        <v>#N/A</v>
      </c>
    </row>
    <row r="26169" spans="1:1" x14ac:dyDescent="0.25">
      <c r="A26169" t="e">
        <v>#N/A</v>
      </c>
    </row>
    <row r="26170" spans="1:1" x14ac:dyDescent="0.25">
      <c r="A26170" t="e">
        <v>#N/A</v>
      </c>
    </row>
    <row r="26171" spans="1:1" x14ac:dyDescent="0.25">
      <c r="A26171" t="e">
        <v>#N/A</v>
      </c>
    </row>
    <row r="26172" spans="1:1" x14ac:dyDescent="0.25">
      <c r="A26172" t="e">
        <v>#N/A</v>
      </c>
    </row>
    <row r="26173" spans="1:1" x14ac:dyDescent="0.25">
      <c r="A26173" t="e">
        <v>#N/A</v>
      </c>
    </row>
    <row r="26174" spans="1:1" x14ac:dyDescent="0.25">
      <c r="A26174" t="e">
        <v>#N/A</v>
      </c>
    </row>
    <row r="26175" spans="1:1" x14ac:dyDescent="0.25">
      <c r="A26175" t="e">
        <v>#N/A</v>
      </c>
    </row>
    <row r="26176" spans="1:1" x14ac:dyDescent="0.25">
      <c r="A26176" t="e">
        <v>#N/A</v>
      </c>
    </row>
    <row r="26177" spans="1:1" x14ac:dyDescent="0.25">
      <c r="A26177" t="e">
        <v>#N/A</v>
      </c>
    </row>
    <row r="26178" spans="1:1" x14ac:dyDescent="0.25">
      <c r="A26178" t="e">
        <v>#N/A</v>
      </c>
    </row>
    <row r="26179" spans="1:1" x14ac:dyDescent="0.25">
      <c r="A26179" t="e">
        <v>#N/A</v>
      </c>
    </row>
    <row r="26180" spans="1:1" x14ac:dyDescent="0.25">
      <c r="A26180" t="e">
        <v>#N/A</v>
      </c>
    </row>
    <row r="26181" spans="1:1" x14ac:dyDescent="0.25">
      <c r="A26181" t="e">
        <v>#N/A</v>
      </c>
    </row>
    <row r="26182" spans="1:1" x14ac:dyDescent="0.25">
      <c r="A26182" t="e">
        <v>#N/A</v>
      </c>
    </row>
    <row r="26183" spans="1:1" x14ac:dyDescent="0.25">
      <c r="A26183" t="e">
        <v>#N/A</v>
      </c>
    </row>
    <row r="26184" spans="1:1" x14ac:dyDescent="0.25">
      <c r="A26184" t="e">
        <v>#N/A</v>
      </c>
    </row>
    <row r="26185" spans="1:1" x14ac:dyDescent="0.25">
      <c r="A26185" t="e">
        <v>#N/A</v>
      </c>
    </row>
    <row r="26186" spans="1:1" x14ac:dyDescent="0.25">
      <c r="A26186" t="e">
        <v>#N/A</v>
      </c>
    </row>
    <row r="26187" spans="1:1" x14ac:dyDescent="0.25">
      <c r="A26187" t="e">
        <v>#N/A</v>
      </c>
    </row>
    <row r="26188" spans="1:1" x14ac:dyDescent="0.25">
      <c r="A26188" t="e">
        <v>#N/A</v>
      </c>
    </row>
    <row r="26189" spans="1:1" x14ac:dyDescent="0.25">
      <c r="A26189" t="e">
        <v>#N/A</v>
      </c>
    </row>
    <row r="26190" spans="1:1" x14ac:dyDescent="0.25">
      <c r="A26190" t="e">
        <v>#N/A</v>
      </c>
    </row>
    <row r="26191" spans="1:1" x14ac:dyDescent="0.25">
      <c r="A26191" t="e">
        <v>#N/A</v>
      </c>
    </row>
    <row r="26192" spans="1:1" x14ac:dyDescent="0.25">
      <c r="A26192" t="e">
        <v>#N/A</v>
      </c>
    </row>
    <row r="26193" spans="1:1" x14ac:dyDescent="0.25">
      <c r="A26193" t="e">
        <v>#N/A</v>
      </c>
    </row>
    <row r="26194" spans="1:1" x14ac:dyDescent="0.25">
      <c r="A26194" t="e">
        <v>#N/A</v>
      </c>
    </row>
    <row r="26195" spans="1:1" x14ac:dyDescent="0.25">
      <c r="A26195" t="e">
        <v>#N/A</v>
      </c>
    </row>
    <row r="26196" spans="1:1" x14ac:dyDescent="0.25">
      <c r="A26196" t="e">
        <v>#N/A</v>
      </c>
    </row>
    <row r="26197" spans="1:1" x14ac:dyDescent="0.25">
      <c r="A26197" t="e">
        <v>#N/A</v>
      </c>
    </row>
    <row r="26198" spans="1:1" x14ac:dyDescent="0.25">
      <c r="A26198" t="e">
        <v>#N/A</v>
      </c>
    </row>
    <row r="26199" spans="1:1" x14ac:dyDescent="0.25">
      <c r="A26199" t="e">
        <v>#N/A</v>
      </c>
    </row>
    <row r="26200" spans="1:1" x14ac:dyDescent="0.25">
      <c r="A26200" t="e">
        <v>#N/A</v>
      </c>
    </row>
    <row r="26201" spans="1:1" x14ac:dyDescent="0.25">
      <c r="A26201" t="e">
        <v>#N/A</v>
      </c>
    </row>
    <row r="26202" spans="1:1" x14ac:dyDescent="0.25">
      <c r="A26202" t="e">
        <v>#N/A</v>
      </c>
    </row>
    <row r="26203" spans="1:1" x14ac:dyDescent="0.25">
      <c r="A26203" t="e">
        <v>#N/A</v>
      </c>
    </row>
    <row r="26204" spans="1:1" x14ac:dyDescent="0.25">
      <c r="A26204" t="e">
        <v>#N/A</v>
      </c>
    </row>
    <row r="26205" spans="1:1" x14ac:dyDescent="0.25">
      <c r="A26205" t="e">
        <v>#N/A</v>
      </c>
    </row>
    <row r="26206" spans="1:1" x14ac:dyDescent="0.25">
      <c r="A26206" t="e">
        <v>#N/A</v>
      </c>
    </row>
    <row r="26207" spans="1:1" x14ac:dyDescent="0.25">
      <c r="A26207" t="e">
        <v>#N/A</v>
      </c>
    </row>
    <row r="26208" spans="1:1" x14ac:dyDescent="0.25">
      <c r="A26208" t="e">
        <v>#N/A</v>
      </c>
    </row>
    <row r="26209" spans="1:1" x14ac:dyDescent="0.25">
      <c r="A26209" t="e">
        <v>#N/A</v>
      </c>
    </row>
    <row r="26210" spans="1:1" x14ac:dyDescent="0.25">
      <c r="A26210" t="e">
        <v>#N/A</v>
      </c>
    </row>
    <row r="26211" spans="1:1" x14ac:dyDescent="0.25">
      <c r="A26211" t="e">
        <v>#N/A</v>
      </c>
    </row>
    <row r="26212" spans="1:1" x14ac:dyDescent="0.25">
      <c r="A26212" t="e">
        <v>#N/A</v>
      </c>
    </row>
    <row r="26213" spans="1:1" x14ac:dyDescent="0.25">
      <c r="A26213" t="e">
        <v>#N/A</v>
      </c>
    </row>
    <row r="26214" spans="1:1" x14ac:dyDescent="0.25">
      <c r="A26214" t="e">
        <v>#N/A</v>
      </c>
    </row>
    <row r="26215" spans="1:1" x14ac:dyDescent="0.25">
      <c r="A26215" t="e">
        <v>#N/A</v>
      </c>
    </row>
    <row r="26216" spans="1:1" x14ac:dyDescent="0.25">
      <c r="A26216" t="e">
        <v>#N/A</v>
      </c>
    </row>
    <row r="26217" spans="1:1" x14ac:dyDescent="0.25">
      <c r="A26217" t="e">
        <v>#N/A</v>
      </c>
    </row>
    <row r="26218" spans="1:1" x14ac:dyDescent="0.25">
      <c r="A26218" t="e">
        <v>#N/A</v>
      </c>
    </row>
    <row r="26219" spans="1:1" x14ac:dyDescent="0.25">
      <c r="A26219" t="e">
        <v>#N/A</v>
      </c>
    </row>
    <row r="26220" spans="1:1" x14ac:dyDescent="0.25">
      <c r="A26220" t="e">
        <v>#N/A</v>
      </c>
    </row>
    <row r="26221" spans="1:1" x14ac:dyDescent="0.25">
      <c r="A26221" t="e">
        <v>#N/A</v>
      </c>
    </row>
    <row r="26222" spans="1:1" x14ac:dyDescent="0.25">
      <c r="A26222" t="e">
        <v>#N/A</v>
      </c>
    </row>
    <row r="26223" spans="1:1" x14ac:dyDescent="0.25">
      <c r="A26223" t="e">
        <v>#N/A</v>
      </c>
    </row>
    <row r="26224" spans="1:1" x14ac:dyDescent="0.25">
      <c r="A26224" t="e">
        <v>#N/A</v>
      </c>
    </row>
    <row r="26225" spans="1:1" x14ac:dyDescent="0.25">
      <c r="A26225" t="e">
        <v>#N/A</v>
      </c>
    </row>
    <row r="26226" spans="1:1" x14ac:dyDescent="0.25">
      <c r="A26226" t="e">
        <v>#N/A</v>
      </c>
    </row>
    <row r="26227" spans="1:1" x14ac:dyDescent="0.25">
      <c r="A26227" t="e">
        <v>#N/A</v>
      </c>
    </row>
    <row r="26228" spans="1:1" x14ac:dyDescent="0.25">
      <c r="A26228" t="e">
        <v>#N/A</v>
      </c>
    </row>
    <row r="26229" spans="1:1" x14ac:dyDescent="0.25">
      <c r="A26229" t="e">
        <v>#N/A</v>
      </c>
    </row>
    <row r="26230" spans="1:1" x14ac:dyDescent="0.25">
      <c r="A26230" t="e">
        <v>#N/A</v>
      </c>
    </row>
    <row r="26231" spans="1:1" x14ac:dyDescent="0.25">
      <c r="A26231" t="e">
        <v>#N/A</v>
      </c>
    </row>
    <row r="26232" spans="1:1" x14ac:dyDescent="0.25">
      <c r="A26232" t="e">
        <v>#N/A</v>
      </c>
    </row>
    <row r="26233" spans="1:1" x14ac:dyDescent="0.25">
      <c r="A26233" t="e">
        <v>#N/A</v>
      </c>
    </row>
    <row r="26234" spans="1:1" x14ac:dyDescent="0.25">
      <c r="A26234" t="e">
        <v>#N/A</v>
      </c>
    </row>
    <row r="26235" spans="1:1" x14ac:dyDescent="0.25">
      <c r="A26235" t="e">
        <v>#N/A</v>
      </c>
    </row>
    <row r="26236" spans="1:1" x14ac:dyDescent="0.25">
      <c r="A26236" t="e">
        <v>#N/A</v>
      </c>
    </row>
    <row r="26237" spans="1:1" x14ac:dyDescent="0.25">
      <c r="A26237" t="e">
        <v>#N/A</v>
      </c>
    </row>
    <row r="26238" spans="1:1" x14ac:dyDescent="0.25">
      <c r="A26238" t="e">
        <v>#N/A</v>
      </c>
    </row>
    <row r="26239" spans="1:1" x14ac:dyDescent="0.25">
      <c r="A26239" t="e">
        <v>#N/A</v>
      </c>
    </row>
    <row r="26240" spans="1:1" x14ac:dyDescent="0.25">
      <c r="A26240" t="e">
        <v>#N/A</v>
      </c>
    </row>
    <row r="26241" spans="1:1" x14ac:dyDescent="0.25">
      <c r="A26241" t="e">
        <v>#N/A</v>
      </c>
    </row>
    <row r="26242" spans="1:1" x14ac:dyDescent="0.25">
      <c r="A26242" t="e">
        <v>#N/A</v>
      </c>
    </row>
    <row r="26243" spans="1:1" x14ac:dyDescent="0.25">
      <c r="A26243" t="e">
        <v>#N/A</v>
      </c>
    </row>
    <row r="26244" spans="1:1" x14ac:dyDescent="0.25">
      <c r="A26244" t="e">
        <v>#N/A</v>
      </c>
    </row>
    <row r="26245" spans="1:1" x14ac:dyDescent="0.25">
      <c r="A26245" t="e">
        <v>#N/A</v>
      </c>
    </row>
    <row r="26246" spans="1:1" x14ac:dyDescent="0.25">
      <c r="A26246" t="e">
        <v>#N/A</v>
      </c>
    </row>
    <row r="26247" spans="1:1" x14ac:dyDescent="0.25">
      <c r="A26247" t="e">
        <v>#N/A</v>
      </c>
    </row>
    <row r="26248" spans="1:1" x14ac:dyDescent="0.25">
      <c r="A26248" t="e">
        <v>#N/A</v>
      </c>
    </row>
    <row r="26249" spans="1:1" x14ac:dyDescent="0.25">
      <c r="A26249" t="e">
        <v>#N/A</v>
      </c>
    </row>
    <row r="26250" spans="1:1" x14ac:dyDescent="0.25">
      <c r="A26250" t="e">
        <v>#N/A</v>
      </c>
    </row>
    <row r="26251" spans="1:1" x14ac:dyDescent="0.25">
      <c r="A26251" t="e">
        <v>#N/A</v>
      </c>
    </row>
    <row r="26252" spans="1:1" x14ac:dyDescent="0.25">
      <c r="A26252" t="e">
        <v>#N/A</v>
      </c>
    </row>
    <row r="26253" spans="1:1" x14ac:dyDescent="0.25">
      <c r="A26253" t="e">
        <v>#N/A</v>
      </c>
    </row>
    <row r="26254" spans="1:1" x14ac:dyDescent="0.25">
      <c r="A26254" t="e">
        <v>#N/A</v>
      </c>
    </row>
    <row r="26255" spans="1:1" x14ac:dyDescent="0.25">
      <c r="A26255" t="e">
        <v>#N/A</v>
      </c>
    </row>
    <row r="26256" spans="1:1" x14ac:dyDescent="0.25">
      <c r="A26256" t="e">
        <v>#N/A</v>
      </c>
    </row>
    <row r="26257" spans="1:1" x14ac:dyDescent="0.25">
      <c r="A26257" t="e">
        <v>#N/A</v>
      </c>
    </row>
    <row r="26258" spans="1:1" x14ac:dyDescent="0.25">
      <c r="A26258" t="e">
        <v>#N/A</v>
      </c>
    </row>
    <row r="26259" spans="1:1" x14ac:dyDescent="0.25">
      <c r="A26259" t="e">
        <v>#N/A</v>
      </c>
    </row>
    <row r="26260" spans="1:1" x14ac:dyDescent="0.25">
      <c r="A26260" t="e">
        <v>#N/A</v>
      </c>
    </row>
    <row r="26261" spans="1:1" x14ac:dyDescent="0.25">
      <c r="A26261" t="e">
        <v>#N/A</v>
      </c>
    </row>
    <row r="26262" spans="1:1" x14ac:dyDescent="0.25">
      <c r="A26262" t="e">
        <v>#N/A</v>
      </c>
    </row>
    <row r="26263" spans="1:1" x14ac:dyDescent="0.25">
      <c r="A26263" t="e">
        <v>#N/A</v>
      </c>
    </row>
    <row r="26264" spans="1:1" x14ac:dyDescent="0.25">
      <c r="A26264" t="e">
        <v>#N/A</v>
      </c>
    </row>
    <row r="26265" spans="1:1" x14ac:dyDescent="0.25">
      <c r="A26265" t="e">
        <v>#N/A</v>
      </c>
    </row>
    <row r="26266" spans="1:1" x14ac:dyDescent="0.25">
      <c r="A26266" t="e">
        <v>#N/A</v>
      </c>
    </row>
    <row r="26267" spans="1:1" x14ac:dyDescent="0.25">
      <c r="A26267" t="e">
        <v>#N/A</v>
      </c>
    </row>
    <row r="26268" spans="1:1" x14ac:dyDescent="0.25">
      <c r="A26268" t="e">
        <v>#N/A</v>
      </c>
    </row>
    <row r="26269" spans="1:1" x14ac:dyDescent="0.25">
      <c r="A26269" t="e">
        <v>#N/A</v>
      </c>
    </row>
    <row r="26270" spans="1:1" x14ac:dyDescent="0.25">
      <c r="A26270" t="e">
        <v>#N/A</v>
      </c>
    </row>
    <row r="26271" spans="1:1" x14ac:dyDescent="0.25">
      <c r="A26271" t="e">
        <v>#N/A</v>
      </c>
    </row>
    <row r="26272" spans="1:1" x14ac:dyDescent="0.25">
      <c r="A26272" t="e">
        <v>#N/A</v>
      </c>
    </row>
    <row r="26273" spans="1:1" x14ac:dyDescent="0.25">
      <c r="A26273" t="e">
        <v>#N/A</v>
      </c>
    </row>
    <row r="26274" spans="1:1" x14ac:dyDescent="0.25">
      <c r="A26274" t="e">
        <v>#N/A</v>
      </c>
    </row>
    <row r="26275" spans="1:1" x14ac:dyDescent="0.25">
      <c r="A26275" t="e">
        <v>#N/A</v>
      </c>
    </row>
    <row r="26276" spans="1:1" x14ac:dyDescent="0.25">
      <c r="A26276" t="e">
        <v>#N/A</v>
      </c>
    </row>
    <row r="26277" spans="1:1" x14ac:dyDescent="0.25">
      <c r="A26277" t="e">
        <v>#N/A</v>
      </c>
    </row>
    <row r="26278" spans="1:1" x14ac:dyDescent="0.25">
      <c r="A26278" t="e">
        <v>#N/A</v>
      </c>
    </row>
    <row r="26279" spans="1:1" x14ac:dyDescent="0.25">
      <c r="A26279" t="e">
        <v>#N/A</v>
      </c>
    </row>
    <row r="26280" spans="1:1" x14ac:dyDescent="0.25">
      <c r="A26280" t="e">
        <v>#N/A</v>
      </c>
    </row>
    <row r="26281" spans="1:1" x14ac:dyDescent="0.25">
      <c r="A26281" t="e">
        <v>#N/A</v>
      </c>
    </row>
    <row r="26282" spans="1:1" x14ac:dyDescent="0.25">
      <c r="A26282" t="e">
        <v>#N/A</v>
      </c>
    </row>
    <row r="26283" spans="1:1" x14ac:dyDescent="0.25">
      <c r="A26283" t="e">
        <v>#N/A</v>
      </c>
    </row>
    <row r="26284" spans="1:1" x14ac:dyDescent="0.25">
      <c r="A26284" t="e">
        <v>#N/A</v>
      </c>
    </row>
    <row r="26285" spans="1:1" x14ac:dyDescent="0.25">
      <c r="A26285" t="e">
        <v>#N/A</v>
      </c>
    </row>
    <row r="26286" spans="1:1" x14ac:dyDescent="0.25">
      <c r="A26286" t="e">
        <v>#N/A</v>
      </c>
    </row>
    <row r="26287" spans="1:1" x14ac:dyDescent="0.25">
      <c r="A26287" t="e">
        <v>#N/A</v>
      </c>
    </row>
    <row r="26288" spans="1:1" x14ac:dyDescent="0.25">
      <c r="A26288" t="e">
        <v>#N/A</v>
      </c>
    </row>
    <row r="26289" spans="1:1" x14ac:dyDescent="0.25">
      <c r="A26289" t="e">
        <v>#N/A</v>
      </c>
    </row>
    <row r="26290" spans="1:1" x14ac:dyDescent="0.25">
      <c r="A26290" t="e">
        <v>#N/A</v>
      </c>
    </row>
    <row r="26291" spans="1:1" x14ac:dyDescent="0.25">
      <c r="A26291" t="e">
        <v>#N/A</v>
      </c>
    </row>
    <row r="26292" spans="1:1" x14ac:dyDescent="0.25">
      <c r="A26292" t="e">
        <v>#N/A</v>
      </c>
    </row>
    <row r="26293" spans="1:1" x14ac:dyDescent="0.25">
      <c r="A26293" t="e">
        <v>#N/A</v>
      </c>
    </row>
    <row r="26294" spans="1:1" x14ac:dyDescent="0.25">
      <c r="A26294" t="e">
        <v>#N/A</v>
      </c>
    </row>
    <row r="26295" spans="1:1" x14ac:dyDescent="0.25">
      <c r="A26295" t="e">
        <v>#N/A</v>
      </c>
    </row>
    <row r="26296" spans="1:1" x14ac:dyDescent="0.25">
      <c r="A26296" t="e">
        <v>#N/A</v>
      </c>
    </row>
    <row r="26297" spans="1:1" x14ac:dyDescent="0.25">
      <c r="A26297" t="e">
        <v>#N/A</v>
      </c>
    </row>
    <row r="26298" spans="1:1" x14ac:dyDescent="0.25">
      <c r="A26298" t="e">
        <v>#N/A</v>
      </c>
    </row>
    <row r="26299" spans="1:1" x14ac:dyDescent="0.25">
      <c r="A26299" t="e">
        <v>#N/A</v>
      </c>
    </row>
    <row r="26300" spans="1:1" x14ac:dyDescent="0.25">
      <c r="A26300" t="e">
        <v>#N/A</v>
      </c>
    </row>
    <row r="26301" spans="1:1" x14ac:dyDescent="0.25">
      <c r="A26301" t="e">
        <v>#N/A</v>
      </c>
    </row>
    <row r="26302" spans="1:1" x14ac:dyDescent="0.25">
      <c r="A26302" t="e">
        <v>#N/A</v>
      </c>
    </row>
    <row r="26303" spans="1:1" x14ac:dyDescent="0.25">
      <c r="A26303" t="e">
        <v>#N/A</v>
      </c>
    </row>
    <row r="26304" spans="1:1" x14ac:dyDescent="0.25">
      <c r="A26304" t="e">
        <v>#N/A</v>
      </c>
    </row>
    <row r="26305" spans="1:1" x14ac:dyDescent="0.25">
      <c r="A26305" t="e">
        <v>#N/A</v>
      </c>
    </row>
    <row r="26306" spans="1:1" x14ac:dyDescent="0.25">
      <c r="A26306" t="e">
        <v>#N/A</v>
      </c>
    </row>
    <row r="26307" spans="1:1" x14ac:dyDescent="0.25">
      <c r="A26307" t="e">
        <v>#N/A</v>
      </c>
    </row>
    <row r="26308" spans="1:1" x14ac:dyDescent="0.25">
      <c r="A26308" t="e">
        <v>#N/A</v>
      </c>
    </row>
    <row r="26309" spans="1:1" x14ac:dyDescent="0.25">
      <c r="A26309" t="e">
        <v>#N/A</v>
      </c>
    </row>
    <row r="26310" spans="1:1" x14ac:dyDescent="0.25">
      <c r="A26310" t="e">
        <v>#N/A</v>
      </c>
    </row>
    <row r="26311" spans="1:1" x14ac:dyDescent="0.25">
      <c r="A26311" t="e">
        <v>#N/A</v>
      </c>
    </row>
    <row r="26312" spans="1:1" x14ac:dyDescent="0.25">
      <c r="A26312" t="e">
        <v>#N/A</v>
      </c>
    </row>
    <row r="26313" spans="1:1" x14ac:dyDescent="0.25">
      <c r="A26313" t="e">
        <v>#N/A</v>
      </c>
    </row>
    <row r="26314" spans="1:1" x14ac:dyDescent="0.25">
      <c r="A26314" t="e">
        <v>#N/A</v>
      </c>
    </row>
    <row r="26315" spans="1:1" x14ac:dyDescent="0.25">
      <c r="A26315" t="e">
        <v>#N/A</v>
      </c>
    </row>
    <row r="26316" spans="1:1" x14ac:dyDescent="0.25">
      <c r="A26316" t="e">
        <v>#N/A</v>
      </c>
    </row>
    <row r="26317" spans="1:1" x14ac:dyDescent="0.25">
      <c r="A26317" t="e">
        <v>#N/A</v>
      </c>
    </row>
    <row r="26318" spans="1:1" x14ac:dyDescent="0.25">
      <c r="A26318" t="e">
        <v>#N/A</v>
      </c>
    </row>
    <row r="26319" spans="1:1" x14ac:dyDescent="0.25">
      <c r="A26319" t="e">
        <v>#N/A</v>
      </c>
    </row>
    <row r="26320" spans="1:1" x14ac:dyDescent="0.25">
      <c r="A26320" t="e">
        <v>#N/A</v>
      </c>
    </row>
    <row r="26321" spans="1:1" x14ac:dyDescent="0.25">
      <c r="A26321" t="e">
        <v>#N/A</v>
      </c>
    </row>
    <row r="26322" spans="1:1" x14ac:dyDescent="0.25">
      <c r="A26322" t="e">
        <v>#N/A</v>
      </c>
    </row>
    <row r="26323" spans="1:1" x14ac:dyDescent="0.25">
      <c r="A26323" t="e">
        <v>#N/A</v>
      </c>
    </row>
    <row r="26324" spans="1:1" x14ac:dyDescent="0.25">
      <c r="A26324" t="e">
        <v>#N/A</v>
      </c>
    </row>
    <row r="26325" spans="1:1" x14ac:dyDescent="0.25">
      <c r="A26325" t="e">
        <v>#N/A</v>
      </c>
    </row>
    <row r="26326" spans="1:1" x14ac:dyDescent="0.25">
      <c r="A26326" t="e">
        <v>#N/A</v>
      </c>
    </row>
    <row r="26327" spans="1:1" x14ac:dyDescent="0.25">
      <c r="A26327" t="e">
        <v>#N/A</v>
      </c>
    </row>
    <row r="26328" spans="1:1" x14ac:dyDescent="0.25">
      <c r="A26328" t="e">
        <v>#N/A</v>
      </c>
    </row>
    <row r="26329" spans="1:1" x14ac:dyDescent="0.25">
      <c r="A26329" t="e">
        <v>#N/A</v>
      </c>
    </row>
    <row r="26330" spans="1:1" x14ac:dyDescent="0.25">
      <c r="A26330" t="e">
        <v>#N/A</v>
      </c>
    </row>
    <row r="26331" spans="1:1" x14ac:dyDescent="0.25">
      <c r="A26331" t="e">
        <v>#N/A</v>
      </c>
    </row>
    <row r="26332" spans="1:1" x14ac:dyDescent="0.25">
      <c r="A26332" t="e">
        <v>#N/A</v>
      </c>
    </row>
    <row r="26333" spans="1:1" x14ac:dyDescent="0.25">
      <c r="A26333" t="e">
        <v>#N/A</v>
      </c>
    </row>
    <row r="26334" spans="1:1" x14ac:dyDescent="0.25">
      <c r="A26334" t="e">
        <v>#N/A</v>
      </c>
    </row>
    <row r="26335" spans="1:1" x14ac:dyDescent="0.25">
      <c r="A26335" t="e">
        <v>#N/A</v>
      </c>
    </row>
    <row r="26336" spans="1:1" x14ac:dyDescent="0.25">
      <c r="A26336" t="e">
        <v>#N/A</v>
      </c>
    </row>
    <row r="26337" spans="1:1" x14ac:dyDescent="0.25">
      <c r="A26337" t="e">
        <v>#N/A</v>
      </c>
    </row>
    <row r="26338" spans="1:1" x14ac:dyDescent="0.25">
      <c r="A26338" t="e">
        <v>#N/A</v>
      </c>
    </row>
    <row r="26339" spans="1:1" x14ac:dyDescent="0.25">
      <c r="A26339" t="e">
        <v>#N/A</v>
      </c>
    </row>
    <row r="26340" spans="1:1" x14ac:dyDescent="0.25">
      <c r="A26340" t="e">
        <v>#N/A</v>
      </c>
    </row>
    <row r="26341" spans="1:1" x14ac:dyDescent="0.25">
      <c r="A26341" t="e">
        <v>#N/A</v>
      </c>
    </row>
    <row r="26342" spans="1:1" x14ac:dyDescent="0.25">
      <c r="A26342" t="e">
        <v>#N/A</v>
      </c>
    </row>
    <row r="26343" spans="1:1" x14ac:dyDescent="0.25">
      <c r="A26343" t="e">
        <v>#N/A</v>
      </c>
    </row>
    <row r="26344" spans="1:1" x14ac:dyDescent="0.25">
      <c r="A26344" t="e">
        <v>#N/A</v>
      </c>
    </row>
    <row r="26345" spans="1:1" x14ac:dyDescent="0.25">
      <c r="A26345" t="e">
        <v>#N/A</v>
      </c>
    </row>
    <row r="26346" spans="1:1" x14ac:dyDescent="0.25">
      <c r="A26346" t="e">
        <v>#N/A</v>
      </c>
    </row>
    <row r="26347" spans="1:1" x14ac:dyDescent="0.25">
      <c r="A26347" t="e">
        <v>#N/A</v>
      </c>
    </row>
    <row r="26348" spans="1:1" x14ac:dyDescent="0.25">
      <c r="A26348" t="e">
        <v>#N/A</v>
      </c>
    </row>
    <row r="26349" spans="1:1" x14ac:dyDescent="0.25">
      <c r="A26349" t="e">
        <v>#N/A</v>
      </c>
    </row>
    <row r="26350" spans="1:1" x14ac:dyDescent="0.25">
      <c r="A26350" t="e">
        <v>#N/A</v>
      </c>
    </row>
    <row r="26351" spans="1:1" x14ac:dyDescent="0.25">
      <c r="A26351" t="e">
        <v>#N/A</v>
      </c>
    </row>
    <row r="26352" spans="1:1" x14ac:dyDescent="0.25">
      <c r="A26352" t="e">
        <v>#N/A</v>
      </c>
    </row>
    <row r="26353" spans="1:1" x14ac:dyDescent="0.25">
      <c r="A26353" t="e">
        <v>#N/A</v>
      </c>
    </row>
    <row r="26354" spans="1:1" x14ac:dyDescent="0.25">
      <c r="A26354" t="e">
        <v>#N/A</v>
      </c>
    </row>
    <row r="26355" spans="1:1" x14ac:dyDescent="0.25">
      <c r="A26355" t="e">
        <v>#N/A</v>
      </c>
    </row>
    <row r="26356" spans="1:1" x14ac:dyDescent="0.25">
      <c r="A26356" t="e">
        <v>#N/A</v>
      </c>
    </row>
    <row r="26357" spans="1:1" x14ac:dyDescent="0.25">
      <c r="A26357" t="e">
        <v>#N/A</v>
      </c>
    </row>
    <row r="26358" spans="1:1" x14ac:dyDescent="0.25">
      <c r="A26358" t="e">
        <v>#N/A</v>
      </c>
    </row>
    <row r="26359" spans="1:1" x14ac:dyDescent="0.25">
      <c r="A26359" t="e">
        <v>#N/A</v>
      </c>
    </row>
    <row r="26360" spans="1:1" x14ac:dyDescent="0.25">
      <c r="A26360" t="e">
        <v>#N/A</v>
      </c>
    </row>
    <row r="26361" spans="1:1" x14ac:dyDescent="0.25">
      <c r="A26361" t="e">
        <v>#N/A</v>
      </c>
    </row>
    <row r="26362" spans="1:1" x14ac:dyDescent="0.25">
      <c r="A26362" t="e">
        <v>#N/A</v>
      </c>
    </row>
    <row r="26363" spans="1:1" x14ac:dyDescent="0.25">
      <c r="A26363" t="e">
        <v>#N/A</v>
      </c>
    </row>
    <row r="26364" spans="1:1" x14ac:dyDescent="0.25">
      <c r="A26364" t="e">
        <v>#N/A</v>
      </c>
    </row>
    <row r="26365" spans="1:1" x14ac:dyDescent="0.25">
      <c r="A26365" t="e">
        <v>#N/A</v>
      </c>
    </row>
    <row r="26366" spans="1:1" x14ac:dyDescent="0.25">
      <c r="A26366" t="e">
        <v>#N/A</v>
      </c>
    </row>
    <row r="26367" spans="1:1" x14ac:dyDescent="0.25">
      <c r="A26367" t="e">
        <v>#N/A</v>
      </c>
    </row>
    <row r="26368" spans="1:1" x14ac:dyDescent="0.25">
      <c r="A26368" t="e">
        <v>#N/A</v>
      </c>
    </row>
    <row r="26369" spans="1:1" x14ac:dyDescent="0.25">
      <c r="A26369" t="e">
        <v>#N/A</v>
      </c>
    </row>
    <row r="26370" spans="1:1" x14ac:dyDescent="0.25">
      <c r="A26370" t="e">
        <v>#N/A</v>
      </c>
    </row>
    <row r="26371" spans="1:1" x14ac:dyDescent="0.25">
      <c r="A26371" t="e">
        <v>#N/A</v>
      </c>
    </row>
    <row r="26372" spans="1:1" x14ac:dyDescent="0.25">
      <c r="A26372" t="e">
        <v>#N/A</v>
      </c>
    </row>
    <row r="26373" spans="1:1" x14ac:dyDescent="0.25">
      <c r="A26373" t="e">
        <v>#N/A</v>
      </c>
    </row>
    <row r="26374" spans="1:1" x14ac:dyDescent="0.25">
      <c r="A26374" t="e">
        <v>#N/A</v>
      </c>
    </row>
    <row r="26375" spans="1:1" x14ac:dyDescent="0.25">
      <c r="A26375" t="e">
        <v>#N/A</v>
      </c>
    </row>
    <row r="26376" spans="1:1" x14ac:dyDescent="0.25">
      <c r="A26376" t="e">
        <v>#N/A</v>
      </c>
    </row>
    <row r="26377" spans="1:1" x14ac:dyDescent="0.25">
      <c r="A26377" t="e">
        <v>#N/A</v>
      </c>
    </row>
    <row r="26378" spans="1:1" x14ac:dyDescent="0.25">
      <c r="A26378" t="e">
        <v>#N/A</v>
      </c>
    </row>
    <row r="26379" spans="1:1" x14ac:dyDescent="0.25">
      <c r="A26379" t="e">
        <v>#N/A</v>
      </c>
    </row>
    <row r="26380" spans="1:1" x14ac:dyDescent="0.25">
      <c r="A26380" t="e">
        <v>#N/A</v>
      </c>
    </row>
    <row r="26381" spans="1:1" x14ac:dyDescent="0.25">
      <c r="A26381" t="e">
        <v>#N/A</v>
      </c>
    </row>
    <row r="26382" spans="1:1" x14ac:dyDescent="0.25">
      <c r="A26382" t="e">
        <v>#N/A</v>
      </c>
    </row>
    <row r="26383" spans="1:1" x14ac:dyDescent="0.25">
      <c r="A26383" t="e">
        <v>#N/A</v>
      </c>
    </row>
    <row r="26384" spans="1:1" x14ac:dyDescent="0.25">
      <c r="A26384" t="e">
        <v>#N/A</v>
      </c>
    </row>
    <row r="26385" spans="1:1" x14ac:dyDescent="0.25">
      <c r="A26385" t="e">
        <v>#N/A</v>
      </c>
    </row>
    <row r="26386" spans="1:1" x14ac:dyDescent="0.25">
      <c r="A26386" t="e">
        <v>#N/A</v>
      </c>
    </row>
    <row r="26387" spans="1:1" x14ac:dyDescent="0.25">
      <c r="A26387" t="e">
        <v>#N/A</v>
      </c>
    </row>
    <row r="26388" spans="1:1" x14ac:dyDescent="0.25">
      <c r="A26388" t="e">
        <v>#N/A</v>
      </c>
    </row>
    <row r="26389" spans="1:1" x14ac:dyDescent="0.25">
      <c r="A26389" t="e">
        <v>#N/A</v>
      </c>
    </row>
    <row r="26390" spans="1:1" x14ac:dyDescent="0.25">
      <c r="A26390" t="e">
        <v>#N/A</v>
      </c>
    </row>
    <row r="26391" spans="1:1" x14ac:dyDescent="0.25">
      <c r="A26391" t="e">
        <v>#N/A</v>
      </c>
    </row>
    <row r="26392" spans="1:1" x14ac:dyDescent="0.25">
      <c r="A26392" t="e">
        <v>#N/A</v>
      </c>
    </row>
    <row r="26393" spans="1:1" x14ac:dyDescent="0.25">
      <c r="A26393" t="e">
        <v>#N/A</v>
      </c>
    </row>
    <row r="26394" spans="1:1" x14ac:dyDescent="0.25">
      <c r="A26394" t="e">
        <v>#N/A</v>
      </c>
    </row>
    <row r="26395" spans="1:1" x14ac:dyDescent="0.25">
      <c r="A26395" t="e">
        <v>#N/A</v>
      </c>
    </row>
    <row r="26396" spans="1:1" x14ac:dyDescent="0.25">
      <c r="A26396" t="e">
        <v>#N/A</v>
      </c>
    </row>
    <row r="26397" spans="1:1" x14ac:dyDescent="0.25">
      <c r="A26397" t="e">
        <v>#N/A</v>
      </c>
    </row>
    <row r="26398" spans="1:1" x14ac:dyDescent="0.25">
      <c r="A26398" t="e">
        <v>#N/A</v>
      </c>
    </row>
    <row r="26399" spans="1:1" x14ac:dyDescent="0.25">
      <c r="A26399" t="e">
        <v>#N/A</v>
      </c>
    </row>
    <row r="26400" spans="1:1" x14ac:dyDescent="0.25">
      <c r="A26400" t="e">
        <v>#N/A</v>
      </c>
    </row>
    <row r="26401" spans="1:1" x14ac:dyDescent="0.25">
      <c r="A26401" t="e">
        <v>#N/A</v>
      </c>
    </row>
    <row r="26402" spans="1:1" x14ac:dyDescent="0.25">
      <c r="A26402" t="e">
        <v>#N/A</v>
      </c>
    </row>
    <row r="26403" spans="1:1" x14ac:dyDescent="0.25">
      <c r="A26403" t="e">
        <v>#N/A</v>
      </c>
    </row>
    <row r="26404" spans="1:1" x14ac:dyDescent="0.25">
      <c r="A26404" t="e">
        <v>#N/A</v>
      </c>
    </row>
    <row r="26405" spans="1:1" x14ac:dyDescent="0.25">
      <c r="A26405" t="e">
        <v>#N/A</v>
      </c>
    </row>
    <row r="26406" spans="1:1" x14ac:dyDescent="0.25">
      <c r="A26406" t="e">
        <v>#N/A</v>
      </c>
    </row>
    <row r="26407" spans="1:1" x14ac:dyDescent="0.25">
      <c r="A26407" t="e">
        <v>#N/A</v>
      </c>
    </row>
    <row r="26408" spans="1:1" x14ac:dyDescent="0.25">
      <c r="A26408" t="e">
        <v>#N/A</v>
      </c>
    </row>
    <row r="26409" spans="1:1" x14ac:dyDescent="0.25">
      <c r="A26409" t="e">
        <v>#N/A</v>
      </c>
    </row>
    <row r="26410" spans="1:1" x14ac:dyDescent="0.25">
      <c r="A26410" t="e">
        <v>#N/A</v>
      </c>
    </row>
    <row r="26411" spans="1:1" x14ac:dyDescent="0.25">
      <c r="A26411" t="e">
        <v>#N/A</v>
      </c>
    </row>
    <row r="26412" spans="1:1" x14ac:dyDescent="0.25">
      <c r="A26412" t="e">
        <v>#N/A</v>
      </c>
    </row>
    <row r="26413" spans="1:1" x14ac:dyDescent="0.25">
      <c r="A26413" t="e">
        <v>#N/A</v>
      </c>
    </row>
    <row r="26414" spans="1:1" x14ac:dyDescent="0.25">
      <c r="A26414" t="e">
        <v>#N/A</v>
      </c>
    </row>
    <row r="26415" spans="1:1" x14ac:dyDescent="0.25">
      <c r="A26415" t="e">
        <v>#N/A</v>
      </c>
    </row>
    <row r="26416" spans="1:1" x14ac:dyDescent="0.25">
      <c r="A26416" t="e">
        <v>#N/A</v>
      </c>
    </row>
    <row r="26417" spans="1:1" x14ac:dyDescent="0.25">
      <c r="A26417" t="e">
        <v>#N/A</v>
      </c>
    </row>
    <row r="26418" spans="1:1" x14ac:dyDescent="0.25">
      <c r="A26418" t="e">
        <v>#N/A</v>
      </c>
    </row>
    <row r="26419" spans="1:1" x14ac:dyDescent="0.25">
      <c r="A26419" t="e">
        <v>#N/A</v>
      </c>
    </row>
    <row r="26420" spans="1:1" x14ac:dyDescent="0.25">
      <c r="A26420" t="e">
        <v>#N/A</v>
      </c>
    </row>
    <row r="26421" spans="1:1" x14ac:dyDescent="0.25">
      <c r="A26421" t="e">
        <v>#N/A</v>
      </c>
    </row>
    <row r="26422" spans="1:1" x14ac:dyDescent="0.25">
      <c r="A26422" t="e">
        <v>#N/A</v>
      </c>
    </row>
    <row r="26423" spans="1:1" x14ac:dyDescent="0.25">
      <c r="A26423" t="e">
        <v>#N/A</v>
      </c>
    </row>
    <row r="26424" spans="1:1" x14ac:dyDescent="0.25">
      <c r="A26424" t="e">
        <v>#N/A</v>
      </c>
    </row>
    <row r="26425" spans="1:1" x14ac:dyDescent="0.25">
      <c r="A26425" t="e">
        <v>#N/A</v>
      </c>
    </row>
    <row r="26426" spans="1:1" x14ac:dyDescent="0.25">
      <c r="A26426" t="e">
        <v>#N/A</v>
      </c>
    </row>
    <row r="26427" spans="1:1" x14ac:dyDescent="0.25">
      <c r="A26427" t="e">
        <v>#N/A</v>
      </c>
    </row>
    <row r="26428" spans="1:1" x14ac:dyDescent="0.25">
      <c r="A26428" t="e">
        <v>#N/A</v>
      </c>
    </row>
    <row r="26429" spans="1:1" x14ac:dyDescent="0.25">
      <c r="A26429" t="e">
        <v>#N/A</v>
      </c>
    </row>
    <row r="26430" spans="1:1" x14ac:dyDescent="0.25">
      <c r="A26430" t="e">
        <v>#N/A</v>
      </c>
    </row>
    <row r="26431" spans="1:1" x14ac:dyDescent="0.25">
      <c r="A26431" t="e">
        <v>#N/A</v>
      </c>
    </row>
    <row r="26432" spans="1:1" x14ac:dyDescent="0.25">
      <c r="A26432" t="e">
        <v>#N/A</v>
      </c>
    </row>
    <row r="26433" spans="1:1" x14ac:dyDescent="0.25">
      <c r="A26433" t="e">
        <v>#N/A</v>
      </c>
    </row>
    <row r="26434" spans="1:1" x14ac:dyDescent="0.25">
      <c r="A26434" t="e">
        <v>#N/A</v>
      </c>
    </row>
    <row r="26435" spans="1:1" x14ac:dyDescent="0.25">
      <c r="A26435" t="e">
        <v>#N/A</v>
      </c>
    </row>
    <row r="26436" spans="1:1" x14ac:dyDescent="0.25">
      <c r="A26436" t="e">
        <v>#N/A</v>
      </c>
    </row>
    <row r="26437" spans="1:1" x14ac:dyDescent="0.25">
      <c r="A26437" t="e">
        <v>#N/A</v>
      </c>
    </row>
    <row r="26438" spans="1:1" x14ac:dyDescent="0.25">
      <c r="A26438" t="e">
        <v>#N/A</v>
      </c>
    </row>
    <row r="26439" spans="1:1" x14ac:dyDescent="0.25">
      <c r="A26439" t="e">
        <v>#N/A</v>
      </c>
    </row>
    <row r="26440" spans="1:1" x14ac:dyDescent="0.25">
      <c r="A26440" t="e">
        <v>#N/A</v>
      </c>
    </row>
    <row r="26441" spans="1:1" x14ac:dyDescent="0.25">
      <c r="A26441" t="e">
        <v>#N/A</v>
      </c>
    </row>
    <row r="26442" spans="1:1" x14ac:dyDescent="0.25">
      <c r="A26442" t="e">
        <v>#N/A</v>
      </c>
    </row>
    <row r="26443" spans="1:1" x14ac:dyDescent="0.25">
      <c r="A26443" t="e">
        <v>#N/A</v>
      </c>
    </row>
    <row r="26444" spans="1:1" x14ac:dyDescent="0.25">
      <c r="A26444" t="e">
        <v>#N/A</v>
      </c>
    </row>
    <row r="26445" spans="1:1" x14ac:dyDescent="0.25">
      <c r="A26445" t="e">
        <v>#N/A</v>
      </c>
    </row>
    <row r="26446" spans="1:1" x14ac:dyDescent="0.25">
      <c r="A26446" t="e">
        <v>#N/A</v>
      </c>
    </row>
    <row r="26447" spans="1:1" x14ac:dyDescent="0.25">
      <c r="A26447" t="e">
        <v>#N/A</v>
      </c>
    </row>
    <row r="26448" spans="1:1" x14ac:dyDescent="0.25">
      <c r="A26448" t="e">
        <v>#N/A</v>
      </c>
    </row>
    <row r="26449" spans="1:1" x14ac:dyDescent="0.25">
      <c r="A26449" t="e">
        <v>#N/A</v>
      </c>
    </row>
    <row r="26450" spans="1:1" x14ac:dyDescent="0.25">
      <c r="A26450" t="e">
        <v>#N/A</v>
      </c>
    </row>
    <row r="26451" spans="1:1" x14ac:dyDescent="0.25">
      <c r="A26451" t="e">
        <v>#N/A</v>
      </c>
    </row>
    <row r="26452" spans="1:1" x14ac:dyDescent="0.25">
      <c r="A26452" t="e">
        <v>#N/A</v>
      </c>
    </row>
    <row r="26453" spans="1:1" x14ac:dyDescent="0.25">
      <c r="A26453" t="e">
        <v>#N/A</v>
      </c>
    </row>
    <row r="26454" spans="1:1" x14ac:dyDescent="0.25">
      <c r="A26454" t="e">
        <v>#N/A</v>
      </c>
    </row>
    <row r="26455" spans="1:1" x14ac:dyDescent="0.25">
      <c r="A26455" t="e">
        <v>#N/A</v>
      </c>
    </row>
    <row r="26456" spans="1:1" x14ac:dyDescent="0.25">
      <c r="A26456" t="e">
        <v>#N/A</v>
      </c>
    </row>
    <row r="26457" spans="1:1" x14ac:dyDescent="0.25">
      <c r="A26457" t="e">
        <v>#N/A</v>
      </c>
    </row>
    <row r="26458" spans="1:1" x14ac:dyDescent="0.25">
      <c r="A26458" t="e">
        <v>#N/A</v>
      </c>
    </row>
    <row r="26459" spans="1:1" x14ac:dyDescent="0.25">
      <c r="A26459" t="e">
        <v>#N/A</v>
      </c>
    </row>
    <row r="26460" spans="1:1" x14ac:dyDescent="0.25">
      <c r="A26460" t="e">
        <v>#N/A</v>
      </c>
    </row>
    <row r="26461" spans="1:1" x14ac:dyDescent="0.25">
      <c r="A26461" t="e">
        <v>#N/A</v>
      </c>
    </row>
    <row r="26462" spans="1:1" x14ac:dyDescent="0.25">
      <c r="A26462" t="e">
        <v>#N/A</v>
      </c>
    </row>
    <row r="26463" spans="1:1" x14ac:dyDescent="0.25">
      <c r="A26463" t="e">
        <v>#N/A</v>
      </c>
    </row>
    <row r="26464" spans="1:1" x14ac:dyDescent="0.25">
      <c r="A26464" t="e">
        <v>#N/A</v>
      </c>
    </row>
    <row r="26465" spans="1:1" x14ac:dyDescent="0.25">
      <c r="A26465" t="e">
        <v>#N/A</v>
      </c>
    </row>
    <row r="26466" spans="1:1" x14ac:dyDescent="0.25">
      <c r="A26466" t="e">
        <v>#N/A</v>
      </c>
    </row>
    <row r="26467" spans="1:1" x14ac:dyDescent="0.25">
      <c r="A26467" t="e">
        <v>#N/A</v>
      </c>
    </row>
    <row r="26468" spans="1:1" x14ac:dyDescent="0.25">
      <c r="A26468" t="e">
        <v>#N/A</v>
      </c>
    </row>
    <row r="26469" spans="1:1" x14ac:dyDescent="0.25">
      <c r="A26469" t="e">
        <v>#N/A</v>
      </c>
    </row>
    <row r="26470" spans="1:1" x14ac:dyDescent="0.25">
      <c r="A26470" t="e">
        <v>#N/A</v>
      </c>
    </row>
    <row r="26471" spans="1:1" x14ac:dyDescent="0.25">
      <c r="A26471" t="e">
        <v>#N/A</v>
      </c>
    </row>
    <row r="26472" spans="1:1" x14ac:dyDescent="0.25">
      <c r="A26472" t="e">
        <v>#N/A</v>
      </c>
    </row>
    <row r="26473" spans="1:1" x14ac:dyDescent="0.25">
      <c r="A26473" t="e">
        <v>#N/A</v>
      </c>
    </row>
    <row r="26474" spans="1:1" x14ac:dyDescent="0.25">
      <c r="A26474" t="e">
        <v>#N/A</v>
      </c>
    </row>
    <row r="26475" spans="1:1" x14ac:dyDescent="0.25">
      <c r="A26475" t="e">
        <v>#N/A</v>
      </c>
    </row>
    <row r="26476" spans="1:1" x14ac:dyDescent="0.25">
      <c r="A26476" t="e">
        <v>#N/A</v>
      </c>
    </row>
    <row r="26477" spans="1:1" x14ac:dyDescent="0.25">
      <c r="A26477" t="e">
        <v>#N/A</v>
      </c>
    </row>
    <row r="26478" spans="1:1" x14ac:dyDescent="0.25">
      <c r="A26478" t="e">
        <v>#N/A</v>
      </c>
    </row>
    <row r="26479" spans="1:1" x14ac:dyDescent="0.25">
      <c r="A26479" t="e">
        <v>#N/A</v>
      </c>
    </row>
    <row r="26480" spans="1:1" x14ac:dyDescent="0.25">
      <c r="A26480" t="e">
        <v>#N/A</v>
      </c>
    </row>
    <row r="26481" spans="1:1" x14ac:dyDescent="0.25">
      <c r="A26481" t="e">
        <v>#N/A</v>
      </c>
    </row>
    <row r="26482" spans="1:1" x14ac:dyDescent="0.25">
      <c r="A26482" t="e">
        <v>#N/A</v>
      </c>
    </row>
    <row r="26483" spans="1:1" x14ac:dyDescent="0.25">
      <c r="A26483" t="e">
        <v>#N/A</v>
      </c>
    </row>
    <row r="26484" spans="1:1" x14ac:dyDescent="0.25">
      <c r="A26484" t="e">
        <v>#N/A</v>
      </c>
    </row>
    <row r="26485" spans="1:1" x14ac:dyDescent="0.25">
      <c r="A26485" t="e">
        <v>#N/A</v>
      </c>
    </row>
    <row r="26486" spans="1:1" x14ac:dyDescent="0.25">
      <c r="A26486" t="e">
        <v>#N/A</v>
      </c>
    </row>
    <row r="26487" spans="1:1" x14ac:dyDescent="0.25">
      <c r="A26487" t="e">
        <v>#N/A</v>
      </c>
    </row>
    <row r="26488" spans="1:1" x14ac:dyDescent="0.25">
      <c r="A26488" t="e">
        <v>#N/A</v>
      </c>
    </row>
    <row r="26489" spans="1:1" x14ac:dyDescent="0.25">
      <c r="A26489" t="e">
        <v>#N/A</v>
      </c>
    </row>
    <row r="26490" spans="1:1" x14ac:dyDescent="0.25">
      <c r="A26490" t="e">
        <v>#N/A</v>
      </c>
    </row>
    <row r="26491" spans="1:1" x14ac:dyDescent="0.25">
      <c r="A26491" t="e">
        <v>#N/A</v>
      </c>
    </row>
    <row r="26492" spans="1:1" x14ac:dyDescent="0.25">
      <c r="A26492" t="e">
        <v>#N/A</v>
      </c>
    </row>
    <row r="26493" spans="1:1" x14ac:dyDescent="0.25">
      <c r="A26493" t="e">
        <v>#N/A</v>
      </c>
    </row>
    <row r="26494" spans="1:1" x14ac:dyDescent="0.25">
      <c r="A26494" t="e">
        <v>#N/A</v>
      </c>
    </row>
    <row r="26495" spans="1:1" x14ac:dyDescent="0.25">
      <c r="A26495" t="e">
        <v>#N/A</v>
      </c>
    </row>
    <row r="26496" spans="1:1" x14ac:dyDescent="0.25">
      <c r="A26496" t="e">
        <v>#N/A</v>
      </c>
    </row>
    <row r="26497" spans="1:1" x14ac:dyDescent="0.25">
      <c r="A26497" t="e">
        <v>#N/A</v>
      </c>
    </row>
    <row r="26498" spans="1:1" x14ac:dyDescent="0.25">
      <c r="A26498" t="e">
        <v>#N/A</v>
      </c>
    </row>
    <row r="26499" spans="1:1" x14ac:dyDescent="0.25">
      <c r="A26499" t="e">
        <v>#N/A</v>
      </c>
    </row>
    <row r="26500" spans="1:1" x14ac:dyDescent="0.25">
      <c r="A26500" t="e">
        <v>#N/A</v>
      </c>
    </row>
    <row r="26501" spans="1:1" x14ac:dyDescent="0.25">
      <c r="A26501" t="e">
        <v>#N/A</v>
      </c>
    </row>
    <row r="26502" spans="1:1" x14ac:dyDescent="0.25">
      <c r="A26502" t="e">
        <v>#N/A</v>
      </c>
    </row>
    <row r="26503" spans="1:1" x14ac:dyDescent="0.25">
      <c r="A26503" t="e">
        <v>#N/A</v>
      </c>
    </row>
    <row r="26504" spans="1:1" x14ac:dyDescent="0.25">
      <c r="A26504" t="e">
        <v>#N/A</v>
      </c>
    </row>
    <row r="26505" spans="1:1" x14ac:dyDescent="0.25">
      <c r="A26505" t="e">
        <v>#N/A</v>
      </c>
    </row>
    <row r="26506" spans="1:1" x14ac:dyDescent="0.25">
      <c r="A26506" t="e">
        <v>#N/A</v>
      </c>
    </row>
    <row r="26507" spans="1:1" x14ac:dyDescent="0.25">
      <c r="A26507" t="e">
        <v>#N/A</v>
      </c>
    </row>
    <row r="26508" spans="1:1" x14ac:dyDescent="0.25">
      <c r="A26508" t="e">
        <v>#N/A</v>
      </c>
    </row>
    <row r="26509" spans="1:1" x14ac:dyDescent="0.25">
      <c r="A26509" t="e">
        <v>#N/A</v>
      </c>
    </row>
    <row r="26510" spans="1:1" x14ac:dyDescent="0.25">
      <c r="A26510" t="e">
        <v>#N/A</v>
      </c>
    </row>
    <row r="26511" spans="1:1" x14ac:dyDescent="0.25">
      <c r="A26511" t="e">
        <v>#N/A</v>
      </c>
    </row>
    <row r="26512" spans="1:1" x14ac:dyDescent="0.25">
      <c r="A26512" t="e">
        <v>#N/A</v>
      </c>
    </row>
    <row r="26513" spans="1:1" x14ac:dyDescent="0.25">
      <c r="A26513" t="e">
        <v>#N/A</v>
      </c>
    </row>
    <row r="26514" spans="1:1" x14ac:dyDescent="0.25">
      <c r="A26514" t="e">
        <v>#N/A</v>
      </c>
    </row>
    <row r="26515" spans="1:1" x14ac:dyDescent="0.25">
      <c r="A26515" t="e">
        <v>#N/A</v>
      </c>
    </row>
    <row r="26516" spans="1:1" x14ac:dyDescent="0.25">
      <c r="A26516" t="e">
        <v>#N/A</v>
      </c>
    </row>
    <row r="26517" spans="1:1" x14ac:dyDescent="0.25">
      <c r="A26517" t="e">
        <v>#N/A</v>
      </c>
    </row>
    <row r="26518" spans="1:1" x14ac:dyDescent="0.25">
      <c r="A26518" t="e">
        <v>#N/A</v>
      </c>
    </row>
    <row r="26519" spans="1:1" x14ac:dyDescent="0.25">
      <c r="A26519" t="e">
        <v>#N/A</v>
      </c>
    </row>
    <row r="26520" spans="1:1" x14ac:dyDescent="0.25">
      <c r="A26520" t="e">
        <v>#N/A</v>
      </c>
    </row>
    <row r="26521" spans="1:1" x14ac:dyDescent="0.25">
      <c r="A26521" t="e">
        <v>#N/A</v>
      </c>
    </row>
    <row r="26522" spans="1:1" x14ac:dyDescent="0.25">
      <c r="A26522" t="e">
        <v>#N/A</v>
      </c>
    </row>
    <row r="26523" spans="1:1" x14ac:dyDescent="0.25">
      <c r="A26523" t="e">
        <v>#N/A</v>
      </c>
    </row>
    <row r="26524" spans="1:1" x14ac:dyDescent="0.25">
      <c r="A26524" t="e">
        <v>#N/A</v>
      </c>
    </row>
    <row r="26525" spans="1:1" x14ac:dyDescent="0.25">
      <c r="A26525" t="e">
        <v>#N/A</v>
      </c>
    </row>
    <row r="26526" spans="1:1" x14ac:dyDescent="0.25">
      <c r="A26526" t="e">
        <v>#N/A</v>
      </c>
    </row>
    <row r="26527" spans="1:1" x14ac:dyDescent="0.25">
      <c r="A26527" t="e">
        <v>#N/A</v>
      </c>
    </row>
    <row r="26528" spans="1:1" x14ac:dyDescent="0.25">
      <c r="A26528" t="e">
        <v>#N/A</v>
      </c>
    </row>
    <row r="26529" spans="1:1" x14ac:dyDescent="0.25">
      <c r="A26529" t="e">
        <v>#N/A</v>
      </c>
    </row>
    <row r="26530" spans="1:1" x14ac:dyDescent="0.25">
      <c r="A26530" t="e">
        <v>#N/A</v>
      </c>
    </row>
    <row r="26531" spans="1:1" x14ac:dyDescent="0.25">
      <c r="A26531" t="e">
        <v>#N/A</v>
      </c>
    </row>
    <row r="26532" spans="1:1" x14ac:dyDescent="0.25">
      <c r="A26532" t="e">
        <v>#N/A</v>
      </c>
    </row>
    <row r="26533" spans="1:1" x14ac:dyDescent="0.25">
      <c r="A26533" t="e">
        <v>#N/A</v>
      </c>
    </row>
    <row r="26534" spans="1:1" x14ac:dyDescent="0.25">
      <c r="A26534" t="e">
        <v>#N/A</v>
      </c>
    </row>
    <row r="26535" spans="1:1" x14ac:dyDescent="0.25">
      <c r="A26535" t="e">
        <v>#N/A</v>
      </c>
    </row>
    <row r="26536" spans="1:1" x14ac:dyDescent="0.25">
      <c r="A26536" t="e">
        <v>#N/A</v>
      </c>
    </row>
    <row r="26537" spans="1:1" x14ac:dyDescent="0.25">
      <c r="A26537" t="e">
        <v>#N/A</v>
      </c>
    </row>
    <row r="26538" spans="1:1" x14ac:dyDescent="0.25">
      <c r="A26538" t="e">
        <v>#N/A</v>
      </c>
    </row>
    <row r="26539" spans="1:1" x14ac:dyDescent="0.25">
      <c r="A26539" t="e">
        <v>#N/A</v>
      </c>
    </row>
    <row r="26540" spans="1:1" x14ac:dyDescent="0.25">
      <c r="A26540" t="e">
        <v>#N/A</v>
      </c>
    </row>
    <row r="26541" spans="1:1" x14ac:dyDescent="0.25">
      <c r="A26541" t="e">
        <v>#N/A</v>
      </c>
    </row>
    <row r="26542" spans="1:1" x14ac:dyDescent="0.25">
      <c r="A26542" t="e">
        <v>#N/A</v>
      </c>
    </row>
    <row r="26543" spans="1:1" x14ac:dyDescent="0.25">
      <c r="A26543" t="e">
        <v>#N/A</v>
      </c>
    </row>
    <row r="26544" spans="1:1" x14ac:dyDescent="0.25">
      <c r="A26544" t="e">
        <v>#N/A</v>
      </c>
    </row>
    <row r="26545" spans="1:1" x14ac:dyDescent="0.25">
      <c r="A26545" t="e">
        <v>#N/A</v>
      </c>
    </row>
    <row r="26546" spans="1:1" x14ac:dyDescent="0.25">
      <c r="A26546" t="e">
        <v>#N/A</v>
      </c>
    </row>
    <row r="26547" spans="1:1" x14ac:dyDescent="0.25">
      <c r="A26547" t="e">
        <v>#N/A</v>
      </c>
    </row>
    <row r="26548" spans="1:1" x14ac:dyDescent="0.25">
      <c r="A26548" t="e">
        <v>#N/A</v>
      </c>
    </row>
    <row r="26549" spans="1:1" x14ac:dyDescent="0.25">
      <c r="A26549" t="e">
        <v>#N/A</v>
      </c>
    </row>
    <row r="26550" spans="1:1" x14ac:dyDescent="0.25">
      <c r="A26550" t="e">
        <v>#N/A</v>
      </c>
    </row>
    <row r="26551" spans="1:1" x14ac:dyDescent="0.25">
      <c r="A26551" t="e">
        <v>#N/A</v>
      </c>
    </row>
    <row r="26552" spans="1:1" x14ac:dyDescent="0.25">
      <c r="A26552" t="e">
        <v>#N/A</v>
      </c>
    </row>
    <row r="26553" spans="1:1" x14ac:dyDescent="0.25">
      <c r="A26553" t="e">
        <v>#N/A</v>
      </c>
    </row>
    <row r="26554" spans="1:1" x14ac:dyDescent="0.25">
      <c r="A26554" t="e">
        <v>#N/A</v>
      </c>
    </row>
    <row r="26555" spans="1:1" x14ac:dyDescent="0.25">
      <c r="A26555" t="e">
        <v>#N/A</v>
      </c>
    </row>
    <row r="26556" spans="1:1" x14ac:dyDescent="0.25">
      <c r="A26556" t="e">
        <v>#N/A</v>
      </c>
    </row>
    <row r="26557" spans="1:1" x14ac:dyDescent="0.25">
      <c r="A26557" t="e">
        <v>#N/A</v>
      </c>
    </row>
    <row r="26558" spans="1:1" x14ac:dyDescent="0.25">
      <c r="A26558" t="e">
        <v>#N/A</v>
      </c>
    </row>
    <row r="26559" spans="1:1" x14ac:dyDescent="0.25">
      <c r="A26559" t="e">
        <v>#N/A</v>
      </c>
    </row>
    <row r="26560" spans="1:1" x14ac:dyDescent="0.25">
      <c r="A26560" t="e">
        <v>#N/A</v>
      </c>
    </row>
    <row r="26561" spans="1:1" x14ac:dyDescent="0.25">
      <c r="A26561" t="e">
        <v>#N/A</v>
      </c>
    </row>
    <row r="26562" spans="1:1" x14ac:dyDescent="0.25">
      <c r="A26562" t="e">
        <v>#N/A</v>
      </c>
    </row>
    <row r="26563" spans="1:1" x14ac:dyDescent="0.25">
      <c r="A26563" t="e">
        <v>#N/A</v>
      </c>
    </row>
    <row r="26564" spans="1:1" x14ac:dyDescent="0.25">
      <c r="A26564" t="e">
        <v>#N/A</v>
      </c>
    </row>
    <row r="26565" spans="1:1" x14ac:dyDescent="0.25">
      <c r="A26565" t="e">
        <v>#N/A</v>
      </c>
    </row>
    <row r="26566" spans="1:1" x14ac:dyDescent="0.25">
      <c r="A26566" t="e">
        <v>#N/A</v>
      </c>
    </row>
    <row r="26567" spans="1:1" x14ac:dyDescent="0.25">
      <c r="A26567" t="e">
        <v>#N/A</v>
      </c>
    </row>
    <row r="26568" spans="1:1" x14ac:dyDescent="0.25">
      <c r="A26568" t="e">
        <v>#N/A</v>
      </c>
    </row>
    <row r="26569" spans="1:1" x14ac:dyDescent="0.25">
      <c r="A26569" t="e">
        <v>#N/A</v>
      </c>
    </row>
    <row r="26570" spans="1:1" x14ac:dyDescent="0.25">
      <c r="A26570" t="e">
        <v>#N/A</v>
      </c>
    </row>
    <row r="26571" spans="1:1" x14ac:dyDescent="0.25">
      <c r="A26571" t="e">
        <v>#N/A</v>
      </c>
    </row>
    <row r="26572" spans="1:1" x14ac:dyDescent="0.25">
      <c r="A26572" t="e">
        <v>#N/A</v>
      </c>
    </row>
    <row r="26573" spans="1:1" x14ac:dyDescent="0.25">
      <c r="A26573" t="e">
        <v>#N/A</v>
      </c>
    </row>
    <row r="26574" spans="1:1" x14ac:dyDescent="0.25">
      <c r="A26574" t="e">
        <v>#N/A</v>
      </c>
    </row>
    <row r="26575" spans="1:1" x14ac:dyDescent="0.25">
      <c r="A26575" t="e">
        <v>#N/A</v>
      </c>
    </row>
    <row r="26576" spans="1:1" x14ac:dyDescent="0.25">
      <c r="A26576" t="e">
        <v>#N/A</v>
      </c>
    </row>
    <row r="26577" spans="1:1" x14ac:dyDescent="0.25">
      <c r="A26577" t="e">
        <v>#N/A</v>
      </c>
    </row>
    <row r="26578" spans="1:1" x14ac:dyDescent="0.25">
      <c r="A26578" t="e">
        <v>#N/A</v>
      </c>
    </row>
    <row r="26579" spans="1:1" x14ac:dyDescent="0.25">
      <c r="A26579" t="e">
        <v>#N/A</v>
      </c>
    </row>
    <row r="26580" spans="1:1" x14ac:dyDescent="0.25">
      <c r="A26580" t="e">
        <v>#N/A</v>
      </c>
    </row>
    <row r="26581" spans="1:1" x14ac:dyDescent="0.25">
      <c r="A26581" t="e">
        <v>#N/A</v>
      </c>
    </row>
    <row r="26582" spans="1:1" x14ac:dyDescent="0.25">
      <c r="A26582" t="e">
        <v>#N/A</v>
      </c>
    </row>
    <row r="26583" spans="1:1" x14ac:dyDescent="0.25">
      <c r="A26583" t="e">
        <v>#N/A</v>
      </c>
    </row>
    <row r="26584" spans="1:1" x14ac:dyDescent="0.25">
      <c r="A26584" t="e">
        <v>#N/A</v>
      </c>
    </row>
    <row r="26585" spans="1:1" x14ac:dyDescent="0.25">
      <c r="A26585" t="e">
        <v>#N/A</v>
      </c>
    </row>
    <row r="26586" spans="1:1" x14ac:dyDescent="0.25">
      <c r="A26586" t="e">
        <v>#N/A</v>
      </c>
    </row>
    <row r="26587" spans="1:1" x14ac:dyDescent="0.25">
      <c r="A26587" t="e">
        <v>#N/A</v>
      </c>
    </row>
    <row r="26588" spans="1:1" x14ac:dyDescent="0.25">
      <c r="A26588" t="e">
        <v>#N/A</v>
      </c>
    </row>
    <row r="26589" spans="1:1" x14ac:dyDescent="0.25">
      <c r="A26589" t="e">
        <v>#N/A</v>
      </c>
    </row>
    <row r="26590" spans="1:1" x14ac:dyDescent="0.25">
      <c r="A26590" t="e">
        <v>#N/A</v>
      </c>
    </row>
    <row r="26591" spans="1:1" x14ac:dyDescent="0.25">
      <c r="A26591" t="e">
        <v>#N/A</v>
      </c>
    </row>
    <row r="26592" spans="1:1" x14ac:dyDescent="0.25">
      <c r="A26592" t="e">
        <v>#N/A</v>
      </c>
    </row>
    <row r="26593" spans="1:1" x14ac:dyDescent="0.25">
      <c r="A26593" t="e">
        <v>#N/A</v>
      </c>
    </row>
    <row r="26594" spans="1:1" x14ac:dyDescent="0.25">
      <c r="A26594" t="e">
        <v>#N/A</v>
      </c>
    </row>
    <row r="26595" spans="1:1" x14ac:dyDescent="0.25">
      <c r="A26595" t="e">
        <v>#N/A</v>
      </c>
    </row>
    <row r="26596" spans="1:1" x14ac:dyDescent="0.25">
      <c r="A26596" t="e">
        <v>#N/A</v>
      </c>
    </row>
    <row r="26597" spans="1:1" x14ac:dyDescent="0.25">
      <c r="A26597" t="e">
        <v>#N/A</v>
      </c>
    </row>
    <row r="26598" spans="1:1" x14ac:dyDescent="0.25">
      <c r="A26598" t="e">
        <v>#N/A</v>
      </c>
    </row>
    <row r="26599" spans="1:1" x14ac:dyDescent="0.25">
      <c r="A26599" t="e">
        <v>#N/A</v>
      </c>
    </row>
    <row r="26600" spans="1:1" x14ac:dyDescent="0.25">
      <c r="A26600" t="e">
        <v>#N/A</v>
      </c>
    </row>
    <row r="26601" spans="1:1" x14ac:dyDescent="0.25">
      <c r="A26601" t="e">
        <v>#N/A</v>
      </c>
    </row>
    <row r="26602" spans="1:1" x14ac:dyDescent="0.25">
      <c r="A26602" t="e">
        <v>#N/A</v>
      </c>
    </row>
    <row r="26603" spans="1:1" x14ac:dyDescent="0.25">
      <c r="A26603" t="e">
        <v>#N/A</v>
      </c>
    </row>
    <row r="26604" spans="1:1" x14ac:dyDescent="0.25">
      <c r="A26604" t="e">
        <v>#N/A</v>
      </c>
    </row>
    <row r="26605" spans="1:1" x14ac:dyDescent="0.25">
      <c r="A26605" t="e">
        <v>#N/A</v>
      </c>
    </row>
    <row r="26606" spans="1:1" x14ac:dyDescent="0.25">
      <c r="A26606" t="e">
        <v>#N/A</v>
      </c>
    </row>
    <row r="26607" spans="1:1" x14ac:dyDescent="0.25">
      <c r="A26607" t="e">
        <v>#N/A</v>
      </c>
    </row>
    <row r="26608" spans="1:1" x14ac:dyDescent="0.25">
      <c r="A26608" t="e">
        <v>#N/A</v>
      </c>
    </row>
    <row r="26609" spans="1:1" x14ac:dyDescent="0.25">
      <c r="A26609" t="e">
        <v>#N/A</v>
      </c>
    </row>
    <row r="26610" spans="1:1" x14ac:dyDescent="0.25">
      <c r="A26610" t="e">
        <v>#N/A</v>
      </c>
    </row>
    <row r="26611" spans="1:1" x14ac:dyDescent="0.25">
      <c r="A26611" t="e">
        <v>#N/A</v>
      </c>
    </row>
    <row r="26612" spans="1:1" x14ac:dyDescent="0.25">
      <c r="A26612" t="e">
        <v>#N/A</v>
      </c>
    </row>
    <row r="26613" spans="1:1" x14ac:dyDescent="0.25">
      <c r="A26613" t="e">
        <v>#N/A</v>
      </c>
    </row>
    <row r="26614" spans="1:1" x14ac:dyDescent="0.25">
      <c r="A26614" t="e">
        <v>#N/A</v>
      </c>
    </row>
    <row r="26615" spans="1:1" x14ac:dyDescent="0.25">
      <c r="A26615" t="e">
        <v>#N/A</v>
      </c>
    </row>
    <row r="26616" spans="1:1" x14ac:dyDescent="0.25">
      <c r="A26616" t="e">
        <v>#N/A</v>
      </c>
    </row>
    <row r="26617" spans="1:1" x14ac:dyDescent="0.25">
      <c r="A26617" t="e">
        <v>#N/A</v>
      </c>
    </row>
    <row r="26618" spans="1:1" x14ac:dyDescent="0.25">
      <c r="A26618" t="e">
        <v>#N/A</v>
      </c>
    </row>
    <row r="26619" spans="1:1" x14ac:dyDescent="0.25">
      <c r="A26619" t="e">
        <v>#N/A</v>
      </c>
    </row>
    <row r="26620" spans="1:1" x14ac:dyDescent="0.25">
      <c r="A26620" t="e">
        <v>#N/A</v>
      </c>
    </row>
    <row r="26621" spans="1:1" x14ac:dyDescent="0.25">
      <c r="A26621" t="e">
        <v>#N/A</v>
      </c>
    </row>
    <row r="26622" spans="1:1" x14ac:dyDescent="0.25">
      <c r="A26622" t="e">
        <v>#N/A</v>
      </c>
    </row>
    <row r="26623" spans="1:1" x14ac:dyDescent="0.25">
      <c r="A26623" t="e">
        <v>#N/A</v>
      </c>
    </row>
    <row r="26624" spans="1:1" x14ac:dyDescent="0.25">
      <c r="A26624" t="e">
        <v>#N/A</v>
      </c>
    </row>
    <row r="26625" spans="1:1" x14ac:dyDescent="0.25">
      <c r="A26625" t="e">
        <v>#N/A</v>
      </c>
    </row>
    <row r="26626" spans="1:1" x14ac:dyDescent="0.25">
      <c r="A26626" t="e">
        <v>#N/A</v>
      </c>
    </row>
    <row r="26627" spans="1:1" x14ac:dyDescent="0.25">
      <c r="A26627" t="e">
        <v>#N/A</v>
      </c>
    </row>
    <row r="26628" spans="1:1" x14ac:dyDescent="0.25">
      <c r="A26628" t="e">
        <v>#N/A</v>
      </c>
    </row>
    <row r="26629" spans="1:1" x14ac:dyDescent="0.25">
      <c r="A26629" t="e">
        <v>#N/A</v>
      </c>
    </row>
    <row r="26630" spans="1:1" x14ac:dyDescent="0.25">
      <c r="A26630" t="e">
        <v>#N/A</v>
      </c>
    </row>
    <row r="26631" spans="1:1" x14ac:dyDescent="0.25">
      <c r="A26631" t="e">
        <v>#N/A</v>
      </c>
    </row>
    <row r="26632" spans="1:1" x14ac:dyDescent="0.25">
      <c r="A26632" t="e">
        <v>#N/A</v>
      </c>
    </row>
    <row r="26633" spans="1:1" x14ac:dyDescent="0.25">
      <c r="A26633" t="e">
        <v>#N/A</v>
      </c>
    </row>
    <row r="26634" spans="1:1" x14ac:dyDescent="0.25">
      <c r="A26634" t="e">
        <v>#N/A</v>
      </c>
    </row>
    <row r="26635" spans="1:1" x14ac:dyDescent="0.25">
      <c r="A26635" t="e">
        <v>#N/A</v>
      </c>
    </row>
    <row r="26636" spans="1:1" x14ac:dyDescent="0.25">
      <c r="A26636" t="e">
        <v>#N/A</v>
      </c>
    </row>
    <row r="26637" spans="1:1" x14ac:dyDescent="0.25">
      <c r="A26637" t="e">
        <v>#N/A</v>
      </c>
    </row>
    <row r="26638" spans="1:1" x14ac:dyDescent="0.25">
      <c r="A26638" t="e">
        <v>#N/A</v>
      </c>
    </row>
    <row r="26639" spans="1:1" x14ac:dyDescent="0.25">
      <c r="A26639" t="e">
        <v>#N/A</v>
      </c>
    </row>
    <row r="26640" spans="1:1" x14ac:dyDescent="0.25">
      <c r="A26640" t="e">
        <v>#N/A</v>
      </c>
    </row>
    <row r="26641" spans="1:1" x14ac:dyDescent="0.25">
      <c r="A26641" t="e">
        <v>#N/A</v>
      </c>
    </row>
    <row r="26642" spans="1:1" x14ac:dyDescent="0.25">
      <c r="A26642" t="e">
        <v>#N/A</v>
      </c>
    </row>
    <row r="26643" spans="1:1" x14ac:dyDescent="0.25">
      <c r="A26643" t="e">
        <v>#N/A</v>
      </c>
    </row>
    <row r="26644" spans="1:1" x14ac:dyDescent="0.25">
      <c r="A26644" t="e">
        <v>#N/A</v>
      </c>
    </row>
    <row r="26645" spans="1:1" x14ac:dyDescent="0.25">
      <c r="A26645" t="e">
        <v>#N/A</v>
      </c>
    </row>
    <row r="26646" spans="1:1" x14ac:dyDescent="0.25">
      <c r="A26646" t="e">
        <v>#N/A</v>
      </c>
    </row>
    <row r="26647" spans="1:1" x14ac:dyDescent="0.25">
      <c r="A26647" t="e">
        <v>#N/A</v>
      </c>
    </row>
    <row r="26648" spans="1:1" x14ac:dyDescent="0.25">
      <c r="A26648" t="e">
        <v>#N/A</v>
      </c>
    </row>
    <row r="26649" spans="1:1" x14ac:dyDescent="0.25">
      <c r="A26649" t="e">
        <v>#N/A</v>
      </c>
    </row>
    <row r="26650" spans="1:1" x14ac:dyDescent="0.25">
      <c r="A26650" t="e">
        <v>#N/A</v>
      </c>
    </row>
    <row r="26651" spans="1:1" x14ac:dyDescent="0.25">
      <c r="A26651" t="e">
        <v>#N/A</v>
      </c>
    </row>
    <row r="26652" spans="1:1" x14ac:dyDescent="0.25">
      <c r="A26652" t="e">
        <v>#N/A</v>
      </c>
    </row>
    <row r="26653" spans="1:1" x14ac:dyDescent="0.25">
      <c r="A26653" t="e">
        <v>#N/A</v>
      </c>
    </row>
    <row r="26654" spans="1:1" x14ac:dyDescent="0.25">
      <c r="A26654" t="e">
        <v>#N/A</v>
      </c>
    </row>
    <row r="26655" spans="1:1" x14ac:dyDescent="0.25">
      <c r="A26655" t="e">
        <v>#N/A</v>
      </c>
    </row>
    <row r="26656" spans="1:1" x14ac:dyDescent="0.25">
      <c r="A26656" t="e">
        <v>#N/A</v>
      </c>
    </row>
    <row r="26657" spans="1:1" x14ac:dyDescent="0.25">
      <c r="A26657" t="e">
        <v>#N/A</v>
      </c>
    </row>
    <row r="26658" spans="1:1" x14ac:dyDescent="0.25">
      <c r="A26658" t="e">
        <v>#N/A</v>
      </c>
    </row>
    <row r="26659" spans="1:1" x14ac:dyDescent="0.25">
      <c r="A26659" t="e">
        <v>#N/A</v>
      </c>
    </row>
    <row r="26660" spans="1:1" x14ac:dyDescent="0.25">
      <c r="A26660" t="e">
        <v>#N/A</v>
      </c>
    </row>
    <row r="26661" spans="1:1" x14ac:dyDescent="0.25">
      <c r="A26661" t="e">
        <v>#N/A</v>
      </c>
    </row>
    <row r="26662" spans="1:1" x14ac:dyDescent="0.25">
      <c r="A26662" t="e">
        <v>#N/A</v>
      </c>
    </row>
    <row r="26663" spans="1:1" x14ac:dyDescent="0.25">
      <c r="A26663" t="e">
        <v>#N/A</v>
      </c>
    </row>
    <row r="26664" spans="1:1" x14ac:dyDescent="0.25">
      <c r="A26664" t="e">
        <v>#N/A</v>
      </c>
    </row>
    <row r="26665" spans="1:1" x14ac:dyDescent="0.25">
      <c r="A26665" t="e">
        <v>#N/A</v>
      </c>
    </row>
    <row r="26666" spans="1:1" x14ac:dyDescent="0.25">
      <c r="A26666" t="e">
        <v>#N/A</v>
      </c>
    </row>
    <row r="26667" spans="1:1" x14ac:dyDescent="0.25">
      <c r="A26667" t="e">
        <v>#N/A</v>
      </c>
    </row>
    <row r="26668" spans="1:1" x14ac:dyDescent="0.25">
      <c r="A26668" t="e">
        <v>#N/A</v>
      </c>
    </row>
    <row r="26669" spans="1:1" x14ac:dyDescent="0.25">
      <c r="A26669" t="e">
        <v>#N/A</v>
      </c>
    </row>
    <row r="26670" spans="1:1" x14ac:dyDescent="0.25">
      <c r="A26670" t="e">
        <v>#N/A</v>
      </c>
    </row>
    <row r="26671" spans="1:1" x14ac:dyDescent="0.25">
      <c r="A26671" t="e">
        <v>#N/A</v>
      </c>
    </row>
    <row r="26672" spans="1:1" x14ac:dyDescent="0.25">
      <c r="A26672" t="e">
        <v>#N/A</v>
      </c>
    </row>
    <row r="26673" spans="1:1" x14ac:dyDescent="0.25">
      <c r="A26673" t="e">
        <v>#N/A</v>
      </c>
    </row>
    <row r="26674" spans="1:1" x14ac:dyDescent="0.25">
      <c r="A26674" t="e">
        <v>#N/A</v>
      </c>
    </row>
    <row r="26675" spans="1:1" x14ac:dyDescent="0.25">
      <c r="A26675" t="e">
        <v>#N/A</v>
      </c>
    </row>
    <row r="26676" spans="1:1" x14ac:dyDescent="0.25">
      <c r="A26676" t="e">
        <v>#N/A</v>
      </c>
    </row>
    <row r="26677" spans="1:1" x14ac:dyDescent="0.25">
      <c r="A26677" t="e">
        <v>#N/A</v>
      </c>
    </row>
    <row r="26678" spans="1:1" x14ac:dyDescent="0.25">
      <c r="A26678" t="e">
        <v>#N/A</v>
      </c>
    </row>
    <row r="26679" spans="1:1" x14ac:dyDescent="0.25">
      <c r="A26679" t="e">
        <v>#N/A</v>
      </c>
    </row>
    <row r="26680" spans="1:1" x14ac:dyDescent="0.25">
      <c r="A26680" t="e">
        <v>#N/A</v>
      </c>
    </row>
    <row r="26681" spans="1:1" x14ac:dyDescent="0.25">
      <c r="A26681" t="e">
        <v>#N/A</v>
      </c>
    </row>
    <row r="26682" spans="1:1" x14ac:dyDescent="0.25">
      <c r="A26682" t="e">
        <v>#N/A</v>
      </c>
    </row>
    <row r="26683" spans="1:1" x14ac:dyDescent="0.25">
      <c r="A26683" t="e">
        <v>#N/A</v>
      </c>
    </row>
    <row r="26684" spans="1:1" x14ac:dyDescent="0.25">
      <c r="A26684" t="e">
        <v>#N/A</v>
      </c>
    </row>
    <row r="26685" spans="1:1" x14ac:dyDescent="0.25">
      <c r="A26685" t="e">
        <v>#N/A</v>
      </c>
    </row>
    <row r="26686" spans="1:1" x14ac:dyDescent="0.25">
      <c r="A26686" t="e">
        <v>#N/A</v>
      </c>
    </row>
    <row r="26687" spans="1:1" x14ac:dyDescent="0.25">
      <c r="A26687" t="e">
        <v>#N/A</v>
      </c>
    </row>
    <row r="26688" spans="1:1" x14ac:dyDescent="0.25">
      <c r="A26688" t="e">
        <v>#N/A</v>
      </c>
    </row>
    <row r="26689" spans="1:1" x14ac:dyDescent="0.25">
      <c r="A26689" t="e">
        <v>#N/A</v>
      </c>
    </row>
    <row r="26690" spans="1:1" x14ac:dyDescent="0.25">
      <c r="A26690" t="e">
        <v>#N/A</v>
      </c>
    </row>
    <row r="26691" spans="1:1" x14ac:dyDescent="0.25">
      <c r="A26691" t="e">
        <v>#N/A</v>
      </c>
    </row>
    <row r="26692" spans="1:1" x14ac:dyDescent="0.25">
      <c r="A26692" t="e">
        <v>#N/A</v>
      </c>
    </row>
    <row r="26693" spans="1:1" x14ac:dyDescent="0.25">
      <c r="A26693" t="e">
        <v>#N/A</v>
      </c>
    </row>
    <row r="26694" spans="1:1" x14ac:dyDescent="0.25">
      <c r="A26694" t="e">
        <v>#N/A</v>
      </c>
    </row>
    <row r="26695" spans="1:1" x14ac:dyDescent="0.25">
      <c r="A26695" t="e">
        <v>#N/A</v>
      </c>
    </row>
    <row r="26696" spans="1:1" x14ac:dyDescent="0.25">
      <c r="A26696" t="e">
        <v>#N/A</v>
      </c>
    </row>
    <row r="26697" spans="1:1" x14ac:dyDescent="0.25">
      <c r="A26697" t="e">
        <v>#N/A</v>
      </c>
    </row>
    <row r="26698" spans="1:1" x14ac:dyDescent="0.25">
      <c r="A26698" t="e">
        <v>#N/A</v>
      </c>
    </row>
    <row r="26699" spans="1:1" x14ac:dyDescent="0.25">
      <c r="A26699" t="e">
        <v>#N/A</v>
      </c>
    </row>
    <row r="26700" spans="1:1" x14ac:dyDescent="0.25">
      <c r="A26700" t="e">
        <v>#N/A</v>
      </c>
    </row>
    <row r="26701" spans="1:1" x14ac:dyDescent="0.25">
      <c r="A26701" t="e">
        <v>#N/A</v>
      </c>
    </row>
    <row r="26702" spans="1:1" x14ac:dyDescent="0.25">
      <c r="A26702" t="e">
        <v>#N/A</v>
      </c>
    </row>
    <row r="26703" spans="1:1" x14ac:dyDescent="0.25">
      <c r="A26703" t="e">
        <v>#N/A</v>
      </c>
    </row>
    <row r="26704" spans="1:1" x14ac:dyDescent="0.25">
      <c r="A26704" t="e">
        <v>#N/A</v>
      </c>
    </row>
    <row r="26705" spans="1:1" x14ac:dyDescent="0.25">
      <c r="A26705" t="e">
        <v>#N/A</v>
      </c>
    </row>
    <row r="26706" spans="1:1" x14ac:dyDescent="0.25">
      <c r="A26706" t="e">
        <v>#N/A</v>
      </c>
    </row>
    <row r="26707" spans="1:1" x14ac:dyDescent="0.25">
      <c r="A26707" t="e">
        <v>#N/A</v>
      </c>
    </row>
    <row r="26708" spans="1:1" x14ac:dyDescent="0.25">
      <c r="A26708" t="e">
        <v>#N/A</v>
      </c>
    </row>
    <row r="26709" spans="1:1" x14ac:dyDescent="0.25">
      <c r="A26709" t="e">
        <v>#N/A</v>
      </c>
    </row>
    <row r="26710" spans="1:1" x14ac:dyDescent="0.25">
      <c r="A26710" t="e">
        <v>#N/A</v>
      </c>
    </row>
    <row r="26711" spans="1:1" x14ac:dyDescent="0.25">
      <c r="A26711" t="e">
        <v>#N/A</v>
      </c>
    </row>
    <row r="26712" spans="1:1" x14ac:dyDescent="0.25">
      <c r="A26712" t="e">
        <v>#N/A</v>
      </c>
    </row>
    <row r="26713" spans="1:1" x14ac:dyDescent="0.25">
      <c r="A26713" t="e">
        <v>#N/A</v>
      </c>
    </row>
    <row r="26714" spans="1:1" x14ac:dyDescent="0.25">
      <c r="A26714" t="e">
        <v>#N/A</v>
      </c>
    </row>
    <row r="26715" spans="1:1" x14ac:dyDescent="0.25">
      <c r="A26715" t="e">
        <v>#N/A</v>
      </c>
    </row>
    <row r="26716" spans="1:1" x14ac:dyDescent="0.25">
      <c r="A26716" t="e">
        <v>#N/A</v>
      </c>
    </row>
    <row r="26717" spans="1:1" x14ac:dyDescent="0.25">
      <c r="A26717" t="e">
        <v>#N/A</v>
      </c>
    </row>
    <row r="26718" spans="1:1" x14ac:dyDescent="0.25">
      <c r="A26718" t="e">
        <v>#N/A</v>
      </c>
    </row>
    <row r="26719" spans="1:1" x14ac:dyDescent="0.25">
      <c r="A26719" t="e">
        <v>#N/A</v>
      </c>
    </row>
    <row r="26720" spans="1:1" x14ac:dyDescent="0.25">
      <c r="A26720" t="e">
        <v>#N/A</v>
      </c>
    </row>
    <row r="26721" spans="1:1" x14ac:dyDescent="0.25">
      <c r="A26721" t="e">
        <v>#N/A</v>
      </c>
    </row>
    <row r="26722" spans="1:1" x14ac:dyDescent="0.25">
      <c r="A26722" t="e">
        <v>#N/A</v>
      </c>
    </row>
    <row r="26723" spans="1:1" x14ac:dyDescent="0.25">
      <c r="A26723" t="e">
        <v>#N/A</v>
      </c>
    </row>
    <row r="26724" spans="1:1" x14ac:dyDescent="0.25">
      <c r="A26724" t="e">
        <v>#N/A</v>
      </c>
    </row>
    <row r="26725" spans="1:1" x14ac:dyDescent="0.25">
      <c r="A26725" t="e">
        <v>#N/A</v>
      </c>
    </row>
    <row r="26726" spans="1:1" x14ac:dyDescent="0.25">
      <c r="A26726" t="e">
        <v>#N/A</v>
      </c>
    </row>
    <row r="26727" spans="1:1" x14ac:dyDescent="0.25">
      <c r="A26727" t="e">
        <v>#N/A</v>
      </c>
    </row>
    <row r="26728" spans="1:1" x14ac:dyDescent="0.25">
      <c r="A26728" t="e">
        <v>#N/A</v>
      </c>
    </row>
    <row r="26729" spans="1:1" x14ac:dyDescent="0.25">
      <c r="A26729" t="e">
        <v>#N/A</v>
      </c>
    </row>
    <row r="26730" spans="1:1" x14ac:dyDescent="0.25">
      <c r="A26730" t="e">
        <v>#N/A</v>
      </c>
    </row>
    <row r="26731" spans="1:1" x14ac:dyDescent="0.25">
      <c r="A26731" t="e">
        <v>#N/A</v>
      </c>
    </row>
    <row r="26732" spans="1:1" x14ac:dyDescent="0.25">
      <c r="A26732" t="e">
        <v>#N/A</v>
      </c>
    </row>
    <row r="26733" spans="1:1" x14ac:dyDescent="0.25">
      <c r="A26733" t="e">
        <v>#N/A</v>
      </c>
    </row>
    <row r="26734" spans="1:1" x14ac:dyDescent="0.25">
      <c r="A26734" t="e">
        <v>#N/A</v>
      </c>
    </row>
    <row r="26735" spans="1:1" x14ac:dyDescent="0.25">
      <c r="A26735" t="e">
        <v>#N/A</v>
      </c>
    </row>
    <row r="26736" spans="1:1" x14ac:dyDescent="0.25">
      <c r="A26736" t="e">
        <v>#N/A</v>
      </c>
    </row>
    <row r="26737" spans="1:1" x14ac:dyDescent="0.25">
      <c r="A26737" t="e">
        <v>#N/A</v>
      </c>
    </row>
    <row r="26738" spans="1:1" x14ac:dyDescent="0.25">
      <c r="A26738" t="e">
        <v>#N/A</v>
      </c>
    </row>
    <row r="26739" spans="1:1" x14ac:dyDescent="0.25">
      <c r="A26739" t="e">
        <v>#N/A</v>
      </c>
    </row>
    <row r="26740" spans="1:1" x14ac:dyDescent="0.25">
      <c r="A26740" t="e">
        <v>#N/A</v>
      </c>
    </row>
    <row r="26741" spans="1:1" x14ac:dyDescent="0.25">
      <c r="A26741" t="e">
        <v>#N/A</v>
      </c>
    </row>
    <row r="26742" spans="1:1" x14ac:dyDescent="0.25">
      <c r="A26742" t="e">
        <v>#N/A</v>
      </c>
    </row>
    <row r="26743" spans="1:1" x14ac:dyDescent="0.25">
      <c r="A26743" t="e">
        <v>#N/A</v>
      </c>
    </row>
    <row r="26744" spans="1:1" x14ac:dyDescent="0.25">
      <c r="A26744" t="e">
        <v>#N/A</v>
      </c>
    </row>
    <row r="26745" spans="1:1" x14ac:dyDescent="0.25">
      <c r="A26745" t="e">
        <v>#N/A</v>
      </c>
    </row>
    <row r="26746" spans="1:1" x14ac:dyDescent="0.25">
      <c r="A26746" t="e">
        <v>#N/A</v>
      </c>
    </row>
    <row r="26747" spans="1:1" x14ac:dyDescent="0.25">
      <c r="A26747" t="e">
        <v>#N/A</v>
      </c>
    </row>
    <row r="26748" spans="1:1" x14ac:dyDescent="0.25">
      <c r="A26748" t="e">
        <v>#N/A</v>
      </c>
    </row>
    <row r="26749" spans="1:1" x14ac:dyDescent="0.25">
      <c r="A26749" t="e">
        <v>#N/A</v>
      </c>
    </row>
    <row r="26750" spans="1:1" x14ac:dyDescent="0.25">
      <c r="A26750" t="e">
        <v>#N/A</v>
      </c>
    </row>
    <row r="26751" spans="1:1" x14ac:dyDescent="0.25">
      <c r="A26751" t="e">
        <v>#N/A</v>
      </c>
    </row>
    <row r="26752" spans="1:1" x14ac:dyDescent="0.25">
      <c r="A26752" t="e">
        <v>#N/A</v>
      </c>
    </row>
    <row r="26753" spans="1:1" x14ac:dyDescent="0.25">
      <c r="A26753" t="e">
        <v>#N/A</v>
      </c>
    </row>
    <row r="26754" spans="1:1" x14ac:dyDescent="0.25">
      <c r="A26754" t="e">
        <v>#N/A</v>
      </c>
    </row>
    <row r="26755" spans="1:1" x14ac:dyDescent="0.25">
      <c r="A26755" t="e">
        <v>#N/A</v>
      </c>
    </row>
    <row r="26756" spans="1:1" x14ac:dyDescent="0.25">
      <c r="A26756" t="e">
        <v>#N/A</v>
      </c>
    </row>
    <row r="26757" spans="1:1" x14ac:dyDescent="0.25">
      <c r="A26757" t="e">
        <v>#N/A</v>
      </c>
    </row>
    <row r="26758" spans="1:1" x14ac:dyDescent="0.25">
      <c r="A26758" t="e">
        <v>#N/A</v>
      </c>
    </row>
    <row r="26759" spans="1:1" x14ac:dyDescent="0.25">
      <c r="A26759" t="e">
        <v>#N/A</v>
      </c>
    </row>
    <row r="26760" spans="1:1" x14ac:dyDescent="0.25">
      <c r="A26760" t="e">
        <v>#N/A</v>
      </c>
    </row>
    <row r="26761" spans="1:1" x14ac:dyDescent="0.25">
      <c r="A26761" t="e">
        <v>#N/A</v>
      </c>
    </row>
    <row r="26762" spans="1:1" x14ac:dyDescent="0.25">
      <c r="A26762" t="e">
        <v>#N/A</v>
      </c>
    </row>
    <row r="26763" spans="1:1" x14ac:dyDescent="0.25">
      <c r="A26763" t="e">
        <v>#N/A</v>
      </c>
    </row>
    <row r="26764" spans="1:1" x14ac:dyDescent="0.25">
      <c r="A26764" t="e">
        <v>#N/A</v>
      </c>
    </row>
    <row r="26765" spans="1:1" x14ac:dyDescent="0.25">
      <c r="A26765" t="e">
        <v>#N/A</v>
      </c>
    </row>
    <row r="26766" spans="1:1" x14ac:dyDescent="0.25">
      <c r="A26766" t="e">
        <v>#N/A</v>
      </c>
    </row>
    <row r="26767" spans="1:1" x14ac:dyDescent="0.25">
      <c r="A26767" t="e">
        <v>#N/A</v>
      </c>
    </row>
    <row r="26768" spans="1:1" x14ac:dyDescent="0.25">
      <c r="A26768" t="e">
        <v>#N/A</v>
      </c>
    </row>
    <row r="26769" spans="1:1" x14ac:dyDescent="0.25">
      <c r="A26769" t="e">
        <v>#N/A</v>
      </c>
    </row>
    <row r="26770" spans="1:1" x14ac:dyDescent="0.25">
      <c r="A26770" t="e">
        <v>#N/A</v>
      </c>
    </row>
    <row r="26771" spans="1:1" x14ac:dyDescent="0.25">
      <c r="A26771" t="e">
        <v>#N/A</v>
      </c>
    </row>
    <row r="26772" spans="1:1" x14ac:dyDescent="0.25">
      <c r="A26772" t="e">
        <v>#N/A</v>
      </c>
    </row>
    <row r="26773" spans="1:1" x14ac:dyDescent="0.25">
      <c r="A26773" t="e">
        <v>#N/A</v>
      </c>
    </row>
    <row r="26774" spans="1:1" x14ac:dyDescent="0.25">
      <c r="A26774" t="e">
        <v>#N/A</v>
      </c>
    </row>
    <row r="26775" spans="1:1" x14ac:dyDescent="0.25">
      <c r="A26775" t="e">
        <v>#N/A</v>
      </c>
    </row>
    <row r="26776" spans="1:1" x14ac:dyDescent="0.25">
      <c r="A26776" t="e">
        <v>#N/A</v>
      </c>
    </row>
    <row r="26777" spans="1:1" x14ac:dyDescent="0.25">
      <c r="A26777" t="e">
        <v>#N/A</v>
      </c>
    </row>
    <row r="26778" spans="1:1" x14ac:dyDescent="0.25">
      <c r="A26778" t="e">
        <v>#N/A</v>
      </c>
    </row>
    <row r="26779" spans="1:1" x14ac:dyDescent="0.25">
      <c r="A26779" t="e">
        <v>#N/A</v>
      </c>
    </row>
    <row r="26780" spans="1:1" x14ac:dyDescent="0.25">
      <c r="A26780" t="e">
        <v>#N/A</v>
      </c>
    </row>
    <row r="26781" spans="1:1" x14ac:dyDescent="0.25">
      <c r="A26781" t="e">
        <v>#N/A</v>
      </c>
    </row>
    <row r="26782" spans="1:1" x14ac:dyDescent="0.25">
      <c r="A26782" t="e">
        <v>#N/A</v>
      </c>
    </row>
    <row r="26783" spans="1:1" x14ac:dyDescent="0.25">
      <c r="A26783" t="e">
        <v>#N/A</v>
      </c>
    </row>
    <row r="26784" spans="1:1" x14ac:dyDescent="0.25">
      <c r="A26784" t="e">
        <v>#N/A</v>
      </c>
    </row>
    <row r="26785" spans="1:1" x14ac:dyDescent="0.25">
      <c r="A26785" t="e">
        <v>#N/A</v>
      </c>
    </row>
    <row r="26786" spans="1:1" x14ac:dyDescent="0.25">
      <c r="A26786" t="e">
        <v>#N/A</v>
      </c>
    </row>
    <row r="26787" spans="1:1" x14ac:dyDescent="0.25">
      <c r="A26787" t="e">
        <v>#N/A</v>
      </c>
    </row>
    <row r="26788" spans="1:1" x14ac:dyDescent="0.25">
      <c r="A26788" t="e">
        <v>#N/A</v>
      </c>
    </row>
    <row r="26789" spans="1:1" x14ac:dyDescent="0.25">
      <c r="A26789" t="e">
        <v>#N/A</v>
      </c>
    </row>
    <row r="26790" spans="1:1" x14ac:dyDescent="0.25">
      <c r="A26790" t="e">
        <v>#N/A</v>
      </c>
    </row>
    <row r="26791" spans="1:1" x14ac:dyDescent="0.25">
      <c r="A26791" t="e">
        <v>#N/A</v>
      </c>
    </row>
    <row r="26792" spans="1:1" x14ac:dyDescent="0.25">
      <c r="A26792" t="e">
        <v>#N/A</v>
      </c>
    </row>
    <row r="26793" spans="1:1" x14ac:dyDescent="0.25">
      <c r="A26793" t="e">
        <v>#N/A</v>
      </c>
    </row>
    <row r="26794" spans="1:1" x14ac:dyDescent="0.25">
      <c r="A26794" t="e">
        <v>#N/A</v>
      </c>
    </row>
    <row r="26795" spans="1:1" x14ac:dyDescent="0.25">
      <c r="A26795" t="e">
        <v>#N/A</v>
      </c>
    </row>
    <row r="26796" spans="1:1" x14ac:dyDescent="0.25">
      <c r="A26796" t="e">
        <v>#N/A</v>
      </c>
    </row>
    <row r="26797" spans="1:1" x14ac:dyDescent="0.25">
      <c r="A26797" t="e">
        <v>#N/A</v>
      </c>
    </row>
    <row r="26798" spans="1:1" x14ac:dyDescent="0.25">
      <c r="A26798" t="e">
        <v>#N/A</v>
      </c>
    </row>
    <row r="26799" spans="1:1" x14ac:dyDescent="0.25">
      <c r="A26799" t="e">
        <v>#N/A</v>
      </c>
    </row>
    <row r="26800" spans="1:1" x14ac:dyDescent="0.25">
      <c r="A26800" t="e">
        <v>#N/A</v>
      </c>
    </row>
    <row r="26801" spans="1:1" x14ac:dyDescent="0.25">
      <c r="A26801" t="e">
        <v>#N/A</v>
      </c>
    </row>
    <row r="26802" spans="1:1" x14ac:dyDescent="0.25">
      <c r="A26802" t="e">
        <v>#N/A</v>
      </c>
    </row>
    <row r="26803" spans="1:1" x14ac:dyDescent="0.25">
      <c r="A26803" t="e">
        <v>#N/A</v>
      </c>
    </row>
    <row r="26804" spans="1:1" x14ac:dyDescent="0.25">
      <c r="A26804" t="e">
        <v>#N/A</v>
      </c>
    </row>
    <row r="26805" spans="1:1" x14ac:dyDescent="0.25">
      <c r="A26805" t="e">
        <v>#N/A</v>
      </c>
    </row>
    <row r="26806" spans="1:1" x14ac:dyDescent="0.25">
      <c r="A26806" t="e">
        <v>#N/A</v>
      </c>
    </row>
    <row r="26807" spans="1:1" x14ac:dyDescent="0.25">
      <c r="A26807" t="e">
        <v>#N/A</v>
      </c>
    </row>
    <row r="26808" spans="1:1" x14ac:dyDescent="0.25">
      <c r="A26808" t="e">
        <v>#N/A</v>
      </c>
    </row>
    <row r="26809" spans="1:1" x14ac:dyDescent="0.25">
      <c r="A26809" t="e">
        <v>#N/A</v>
      </c>
    </row>
    <row r="26810" spans="1:1" x14ac:dyDescent="0.25">
      <c r="A26810" t="e">
        <v>#N/A</v>
      </c>
    </row>
    <row r="26811" spans="1:1" x14ac:dyDescent="0.25">
      <c r="A26811" t="e">
        <v>#N/A</v>
      </c>
    </row>
    <row r="26812" spans="1:1" x14ac:dyDescent="0.25">
      <c r="A26812" t="e">
        <v>#N/A</v>
      </c>
    </row>
    <row r="26813" spans="1:1" x14ac:dyDescent="0.25">
      <c r="A26813" t="e">
        <v>#N/A</v>
      </c>
    </row>
    <row r="26814" spans="1:1" x14ac:dyDescent="0.25">
      <c r="A26814" t="e">
        <v>#N/A</v>
      </c>
    </row>
    <row r="26815" spans="1:1" x14ac:dyDescent="0.25">
      <c r="A26815" t="e">
        <v>#N/A</v>
      </c>
    </row>
    <row r="26816" spans="1:1" x14ac:dyDescent="0.25">
      <c r="A26816" t="e">
        <v>#N/A</v>
      </c>
    </row>
    <row r="26817" spans="1:1" x14ac:dyDescent="0.25">
      <c r="A26817" t="e">
        <v>#N/A</v>
      </c>
    </row>
    <row r="26818" spans="1:1" x14ac:dyDescent="0.25">
      <c r="A26818" t="e">
        <v>#N/A</v>
      </c>
    </row>
    <row r="26819" spans="1:1" x14ac:dyDescent="0.25">
      <c r="A26819" t="e">
        <v>#N/A</v>
      </c>
    </row>
    <row r="26820" spans="1:1" x14ac:dyDescent="0.25">
      <c r="A26820" t="e">
        <v>#N/A</v>
      </c>
    </row>
    <row r="26821" spans="1:1" x14ac:dyDescent="0.25">
      <c r="A26821" t="e">
        <v>#N/A</v>
      </c>
    </row>
    <row r="26822" spans="1:1" x14ac:dyDescent="0.25">
      <c r="A26822" t="e">
        <v>#N/A</v>
      </c>
    </row>
    <row r="26823" spans="1:1" x14ac:dyDescent="0.25">
      <c r="A26823" t="e">
        <v>#N/A</v>
      </c>
    </row>
    <row r="26824" spans="1:1" x14ac:dyDescent="0.25">
      <c r="A26824" t="e">
        <v>#N/A</v>
      </c>
    </row>
    <row r="26825" spans="1:1" x14ac:dyDescent="0.25">
      <c r="A26825" t="e">
        <v>#N/A</v>
      </c>
    </row>
    <row r="26826" spans="1:1" x14ac:dyDescent="0.25">
      <c r="A26826" t="e">
        <v>#N/A</v>
      </c>
    </row>
    <row r="26827" spans="1:1" x14ac:dyDescent="0.25">
      <c r="A26827" t="e">
        <v>#N/A</v>
      </c>
    </row>
    <row r="26828" spans="1:1" x14ac:dyDescent="0.25">
      <c r="A26828" t="e">
        <v>#N/A</v>
      </c>
    </row>
    <row r="26829" spans="1:1" x14ac:dyDescent="0.25">
      <c r="A26829" t="e">
        <v>#N/A</v>
      </c>
    </row>
    <row r="26830" spans="1:1" x14ac:dyDescent="0.25">
      <c r="A26830" t="e">
        <v>#N/A</v>
      </c>
    </row>
    <row r="26831" spans="1:1" x14ac:dyDescent="0.25">
      <c r="A26831" t="e">
        <v>#N/A</v>
      </c>
    </row>
    <row r="26832" spans="1:1" x14ac:dyDescent="0.25">
      <c r="A26832" t="e">
        <v>#N/A</v>
      </c>
    </row>
    <row r="26833" spans="1:1" x14ac:dyDescent="0.25">
      <c r="A26833" t="e">
        <v>#N/A</v>
      </c>
    </row>
    <row r="26834" spans="1:1" x14ac:dyDescent="0.25">
      <c r="A26834" t="e">
        <v>#N/A</v>
      </c>
    </row>
    <row r="26835" spans="1:1" x14ac:dyDescent="0.25">
      <c r="A26835" t="e">
        <v>#N/A</v>
      </c>
    </row>
    <row r="26836" spans="1:1" x14ac:dyDescent="0.25">
      <c r="A26836" t="e">
        <v>#N/A</v>
      </c>
    </row>
    <row r="26837" spans="1:1" x14ac:dyDescent="0.25">
      <c r="A26837" t="e">
        <v>#N/A</v>
      </c>
    </row>
    <row r="26838" spans="1:1" x14ac:dyDescent="0.25">
      <c r="A26838" t="e">
        <v>#N/A</v>
      </c>
    </row>
    <row r="26839" spans="1:1" x14ac:dyDescent="0.25">
      <c r="A26839" t="e">
        <v>#N/A</v>
      </c>
    </row>
    <row r="26840" spans="1:1" x14ac:dyDescent="0.25">
      <c r="A26840" t="e">
        <v>#N/A</v>
      </c>
    </row>
    <row r="26841" spans="1:1" x14ac:dyDescent="0.25">
      <c r="A26841" t="e">
        <v>#N/A</v>
      </c>
    </row>
    <row r="26842" spans="1:1" x14ac:dyDescent="0.25">
      <c r="A26842" t="e">
        <v>#N/A</v>
      </c>
    </row>
    <row r="26843" spans="1:1" x14ac:dyDescent="0.25">
      <c r="A26843" t="e">
        <v>#N/A</v>
      </c>
    </row>
    <row r="26844" spans="1:1" x14ac:dyDescent="0.25">
      <c r="A26844" t="e">
        <v>#N/A</v>
      </c>
    </row>
    <row r="26845" spans="1:1" x14ac:dyDescent="0.25">
      <c r="A26845" t="e">
        <v>#N/A</v>
      </c>
    </row>
    <row r="26846" spans="1:1" x14ac:dyDescent="0.25">
      <c r="A26846" t="e">
        <v>#N/A</v>
      </c>
    </row>
    <row r="26847" spans="1:1" x14ac:dyDescent="0.25">
      <c r="A26847" t="e">
        <v>#N/A</v>
      </c>
    </row>
    <row r="26848" spans="1:1" x14ac:dyDescent="0.25">
      <c r="A26848" t="e">
        <v>#N/A</v>
      </c>
    </row>
    <row r="26849" spans="1:1" x14ac:dyDescent="0.25">
      <c r="A26849" t="e">
        <v>#N/A</v>
      </c>
    </row>
    <row r="26850" spans="1:1" x14ac:dyDescent="0.25">
      <c r="A26850" t="e">
        <v>#N/A</v>
      </c>
    </row>
    <row r="26851" spans="1:1" x14ac:dyDescent="0.25">
      <c r="A26851" t="e">
        <v>#N/A</v>
      </c>
    </row>
    <row r="26852" spans="1:1" x14ac:dyDescent="0.25">
      <c r="A26852" t="e">
        <v>#N/A</v>
      </c>
    </row>
    <row r="26853" spans="1:1" x14ac:dyDescent="0.25">
      <c r="A26853" t="e">
        <v>#N/A</v>
      </c>
    </row>
    <row r="26854" spans="1:1" x14ac:dyDescent="0.25">
      <c r="A26854" t="e">
        <v>#N/A</v>
      </c>
    </row>
    <row r="26855" spans="1:1" x14ac:dyDescent="0.25">
      <c r="A26855" t="e">
        <v>#N/A</v>
      </c>
    </row>
    <row r="26856" spans="1:1" x14ac:dyDescent="0.25">
      <c r="A26856" t="e">
        <v>#N/A</v>
      </c>
    </row>
    <row r="26857" spans="1:1" x14ac:dyDescent="0.25">
      <c r="A26857" t="e">
        <v>#N/A</v>
      </c>
    </row>
    <row r="26858" spans="1:1" x14ac:dyDescent="0.25">
      <c r="A26858" t="e">
        <v>#N/A</v>
      </c>
    </row>
    <row r="26859" spans="1:1" x14ac:dyDescent="0.25">
      <c r="A26859" t="e">
        <v>#N/A</v>
      </c>
    </row>
    <row r="26860" spans="1:1" x14ac:dyDescent="0.25">
      <c r="A26860" t="e">
        <v>#N/A</v>
      </c>
    </row>
    <row r="26861" spans="1:1" x14ac:dyDescent="0.25">
      <c r="A26861" t="e">
        <v>#N/A</v>
      </c>
    </row>
    <row r="26862" spans="1:1" x14ac:dyDescent="0.25">
      <c r="A26862" t="e">
        <v>#N/A</v>
      </c>
    </row>
    <row r="26863" spans="1:1" x14ac:dyDescent="0.25">
      <c r="A26863" t="e">
        <v>#N/A</v>
      </c>
    </row>
    <row r="26864" spans="1:1" x14ac:dyDescent="0.25">
      <c r="A26864" t="e">
        <v>#N/A</v>
      </c>
    </row>
    <row r="26865" spans="1:1" x14ac:dyDescent="0.25">
      <c r="A26865" t="e">
        <v>#N/A</v>
      </c>
    </row>
    <row r="26866" spans="1:1" x14ac:dyDescent="0.25">
      <c r="A26866" t="e">
        <v>#N/A</v>
      </c>
    </row>
    <row r="26867" spans="1:1" x14ac:dyDescent="0.25">
      <c r="A26867" t="e">
        <v>#N/A</v>
      </c>
    </row>
    <row r="26868" spans="1:1" x14ac:dyDescent="0.25">
      <c r="A26868" t="e">
        <v>#N/A</v>
      </c>
    </row>
    <row r="26869" spans="1:1" x14ac:dyDescent="0.25">
      <c r="A26869" t="e">
        <v>#N/A</v>
      </c>
    </row>
    <row r="26870" spans="1:1" x14ac:dyDescent="0.25">
      <c r="A26870" t="e">
        <v>#N/A</v>
      </c>
    </row>
    <row r="26871" spans="1:1" x14ac:dyDescent="0.25">
      <c r="A26871" t="e">
        <v>#N/A</v>
      </c>
    </row>
    <row r="26872" spans="1:1" x14ac:dyDescent="0.25">
      <c r="A26872" t="e">
        <v>#N/A</v>
      </c>
    </row>
    <row r="26873" spans="1:1" x14ac:dyDescent="0.25">
      <c r="A26873" t="e">
        <v>#N/A</v>
      </c>
    </row>
    <row r="26874" spans="1:1" x14ac:dyDescent="0.25">
      <c r="A26874" t="e">
        <v>#N/A</v>
      </c>
    </row>
    <row r="26875" spans="1:1" x14ac:dyDescent="0.25">
      <c r="A26875" t="e">
        <v>#N/A</v>
      </c>
    </row>
    <row r="26876" spans="1:1" x14ac:dyDescent="0.25">
      <c r="A26876" t="e">
        <v>#N/A</v>
      </c>
    </row>
    <row r="26877" spans="1:1" x14ac:dyDescent="0.25">
      <c r="A26877" t="e">
        <v>#N/A</v>
      </c>
    </row>
    <row r="26878" spans="1:1" x14ac:dyDescent="0.25">
      <c r="A26878" t="e">
        <v>#N/A</v>
      </c>
    </row>
    <row r="26879" spans="1:1" x14ac:dyDescent="0.25">
      <c r="A26879" t="e">
        <v>#N/A</v>
      </c>
    </row>
    <row r="26880" spans="1:1" x14ac:dyDescent="0.25">
      <c r="A26880" t="e">
        <v>#N/A</v>
      </c>
    </row>
    <row r="26881" spans="1:1" x14ac:dyDescent="0.25">
      <c r="A26881" t="e">
        <v>#N/A</v>
      </c>
    </row>
    <row r="26882" spans="1:1" x14ac:dyDescent="0.25">
      <c r="A26882" t="e">
        <v>#N/A</v>
      </c>
    </row>
    <row r="26883" spans="1:1" x14ac:dyDescent="0.25">
      <c r="A26883" t="e">
        <v>#N/A</v>
      </c>
    </row>
    <row r="26884" spans="1:1" x14ac:dyDescent="0.25">
      <c r="A26884" t="e">
        <v>#N/A</v>
      </c>
    </row>
    <row r="26885" spans="1:1" x14ac:dyDescent="0.25">
      <c r="A26885" t="e">
        <v>#N/A</v>
      </c>
    </row>
    <row r="26886" spans="1:1" x14ac:dyDescent="0.25">
      <c r="A26886" t="e">
        <v>#N/A</v>
      </c>
    </row>
    <row r="26887" spans="1:1" x14ac:dyDescent="0.25">
      <c r="A26887" t="e">
        <v>#N/A</v>
      </c>
    </row>
    <row r="26888" spans="1:1" x14ac:dyDescent="0.25">
      <c r="A26888" t="e">
        <v>#N/A</v>
      </c>
    </row>
    <row r="26889" spans="1:1" x14ac:dyDescent="0.25">
      <c r="A26889" t="e">
        <v>#N/A</v>
      </c>
    </row>
    <row r="26890" spans="1:1" x14ac:dyDescent="0.25">
      <c r="A26890" t="e">
        <v>#N/A</v>
      </c>
    </row>
    <row r="26891" spans="1:1" x14ac:dyDescent="0.25">
      <c r="A26891" t="e">
        <v>#N/A</v>
      </c>
    </row>
    <row r="26892" spans="1:1" x14ac:dyDescent="0.25">
      <c r="A26892" t="e">
        <v>#N/A</v>
      </c>
    </row>
    <row r="26893" spans="1:1" x14ac:dyDescent="0.25">
      <c r="A26893" t="e">
        <v>#N/A</v>
      </c>
    </row>
    <row r="26894" spans="1:1" x14ac:dyDescent="0.25">
      <c r="A26894" t="e">
        <v>#N/A</v>
      </c>
    </row>
    <row r="26895" spans="1:1" x14ac:dyDescent="0.25">
      <c r="A26895" t="e">
        <v>#N/A</v>
      </c>
    </row>
    <row r="26896" spans="1:1" x14ac:dyDescent="0.25">
      <c r="A26896" t="e">
        <v>#N/A</v>
      </c>
    </row>
    <row r="26897" spans="1:1" x14ac:dyDescent="0.25">
      <c r="A26897" t="e">
        <v>#N/A</v>
      </c>
    </row>
    <row r="26898" spans="1:1" x14ac:dyDescent="0.25">
      <c r="A26898" t="e">
        <v>#N/A</v>
      </c>
    </row>
    <row r="26899" spans="1:1" x14ac:dyDescent="0.25">
      <c r="A26899" t="e">
        <v>#N/A</v>
      </c>
    </row>
    <row r="26900" spans="1:1" x14ac:dyDescent="0.25">
      <c r="A26900" t="e">
        <v>#N/A</v>
      </c>
    </row>
    <row r="26901" spans="1:1" x14ac:dyDescent="0.25">
      <c r="A26901" t="e">
        <v>#N/A</v>
      </c>
    </row>
    <row r="26902" spans="1:1" x14ac:dyDescent="0.25">
      <c r="A26902" t="e">
        <v>#N/A</v>
      </c>
    </row>
    <row r="26903" spans="1:1" x14ac:dyDescent="0.25">
      <c r="A26903" t="e">
        <v>#N/A</v>
      </c>
    </row>
    <row r="26904" spans="1:1" x14ac:dyDescent="0.25">
      <c r="A26904" t="e">
        <v>#N/A</v>
      </c>
    </row>
    <row r="26905" spans="1:1" x14ac:dyDescent="0.25">
      <c r="A26905" t="e">
        <v>#N/A</v>
      </c>
    </row>
    <row r="26906" spans="1:1" x14ac:dyDescent="0.25">
      <c r="A26906" t="e">
        <v>#N/A</v>
      </c>
    </row>
    <row r="26907" spans="1:1" x14ac:dyDescent="0.25">
      <c r="A26907" t="e">
        <v>#N/A</v>
      </c>
    </row>
    <row r="26908" spans="1:1" x14ac:dyDescent="0.25">
      <c r="A26908" t="e">
        <v>#N/A</v>
      </c>
    </row>
    <row r="26909" spans="1:1" x14ac:dyDescent="0.25">
      <c r="A26909" t="e">
        <v>#N/A</v>
      </c>
    </row>
    <row r="26910" spans="1:1" x14ac:dyDescent="0.25">
      <c r="A26910" t="e">
        <v>#N/A</v>
      </c>
    </row>
    <row r="26911" spans="1:1" x14ac:dyDescent="0.25">
      <c r="A26911" t="e">
        <v>#N/A</v>
      </c>
    </row>
    <row r="26912" spans="1:1" x14ac:dyDescent="0.25">
      <c r="A26912" t="e">
        <v>#N/A</v>
      </c>
    </row>
    <row r="26913" spans="1:1" x14ac:dyDescent="0.25">
      <c r="A26913" t="e">
        <v>#N/A</v>
      </c>
    </row>
    <row r="26914" spans="1:1" x14ac:dyDescent="0.25">
      <c r="A26914" t="e">
        <v>#N/A</v>
      </c>
    </row>
    <row r="26915" spans="1:1" x14ac:dyDescent="0.25">
      <c r="A26915" t="e">
        <v>#N/A</v>
      </c>
    </row>
    <row r="26916" spans="1:1" x14ac:dyDescent="0.25">
      <c r="A26916" t="e">
        <v>#N/A</v>
      </c>
    </row>
    <row r="26917" spans="1:1" x14ac:dyDescent="0.25">
      <c r="A26917" t="e">
        <v>#N/A</v>
      </c>
    </row>
    <row r="26918" spans="1:1" x14ac:dyDescent="0.25">
      <c r="A26918" t="e">
        <v>#N/A</v>
      </c>
    </row>
    <row r="26919" spans="1:1" x14ac:dyDescent="0.25">
      <c r="A26919" t="e">
        <v>#N/A</v>
      </c>
    </row>
    <row r="26920" spans="1:1" x14ac:dyDescent="0.25">
      <c r="A26920" t="e">
        <v>#N/A</v>
      </c>
    </row>
    <row r="26921" spans="1:1" x14ac:dyDescent="0.25">
      <c r="A26921" t="e">
        <v>#N/A</v>
      </c>
    </row>
    <row r="26922" spans="1:1" x14ac:dyDescent="0.25">
      <c r="A26922" t="e">
        <v>#N/A</v>
      </c>
    </row>
    <row r="26923" spans="1:1" x14ac:dyDescent="0.25">
      <c r="A26923" t="e">
        <v>#N/A</v>
      </c>
    </row>
    <row r="26924" spans="1:1" x14ac:dyDescent="0.25">
      <c r="A26924" t="e">
        <v>#N/A</v>
      </c>
    </row>
    <row r="26925" spans="1:1" x14ac:dyDescent="0.25">
      <c r="A26925" t="e">
        <v>#N/A</v>
      </c>
    </row>
    <row r="26926" spans="1:1" x14ac:dyDescent="0.25">
      <c r="A26926" t="e">
        <v>#N/A</v>
      </c>
    </row>
    <row r="26927" spans="1:1" x14ac:dyDescent="0.25">
      <c r="A26927" t="e">
        <v>#N/A</v>
      </c>
    </row>
    <row r="26928" spans="1:1" x14ac:dyDescent="0.25">
      <c r="A26928" t="e">
        <v>#N/A</v>
      </c>
    </row>
    <row r="26929" spans="1:1" x14ac:dyDescent="0.25">
      <c r="A26929" t="e">
        <v>#N/A</v>
      </c>
    </row>
    <row r="26930" spans="1:1" x14ac:dyDescent="0.25">
      <c r="A26930" t="e">
        <v>#N/A</v>
      </c>
    </row>
    <row r="26931" spans="1:1" x14ac:dyDescent="0.25">
      <c r="A26931" t="e">
        <v>#N/A</v>
      </c>
    </row>
    <row r="26932" spans="1:1" x14ac:dyDescent="0.25">
      <c r="A26932" t="e">
        <v>#N/A</v>
      </c>
    </row>
    <row r="26933" spans="1:1" x14ac:dyDescent="0.25">
      <c r="A26933" t="e">
        <v>#N/A</v>
      </c>
    </row>
    <row r="26934" spans="1:1" x14ac:dyDescent="0.25">
      <c r="A26934" t="e">
        <v>#N/A</v>
      </c>
    </row>
    <row r="26935" spans="1:1" x14ac:dyDescent="0.25">
      <c r="A26935" t="e">
        <v>#N/A</v>
      </c>
    </row>
    <row r="26936" spans="1:1" x14ac:dyDescent="0.25">
      <c r="A26936" t="e">
        <v>#N/A</v>
      </c>
    </row>
    <row r="26937" spans="1:1" x14ac:dyDescent="0.25">
      <c r="A26937" t="e">
        <v>#N/A</v>
      </c>
    </row>
    <row r="26938" spans="1:1" x14ac:dyDescent="0.25">
      <c r="A26938" t="e">
        <v>#N/A</v>
      </c>
    </row>
    <row r="26939" spans="1:1" x14ac:dyDescent="0.25">
      <c r="A26939" t="e">
        <v>#N/A</v>
      </c>
    </row>
    <row r="26940" spans="1:1" x14ac:dyDescent="0.25">
      <c r="A26940" t="e">
        <v>#N/A</v>
      </c>
    </row>
    <row r="26941" spans="1:1" x14ac:dyDescent="0.25">
      <c r="A26941" t="e">
        <v>#N/A</v>
      </c>
    </row>
    <row r="26942" spans="1:1" x14ac:dyDescent="0.25">
      <c r="A26942" t="e">
        <v>#N/A</v>
      </c>
    </row>
    <row r="26943" spans="1:1" x14ac:dyDescent="0.25">
      <c r="A26943" t="e">
        <v>#N/A</v>
      </c>
    </row>
    <row r="26944" spans="1:1" x14ac:dyDescent="0.25">
      <c r="A26944" t="e">
        <v>#N/A</v>
      </c>
    </row>
    <row r="26945" spans="1:1" x14ac:dyDescent="0.25">
      <c r="A26945" t="e">
        <v>#N/A</v>
      </c>
    </row>
    <row r="26946" spans="1:1" x14ac:dyDescent="0.25">
      <c r="A26946" t="e">
        <v>#N/A</v>
      </c>
    </row>
    <row r="26947" spans="1:1" x14ac:dyDescent="0.25">
      <c r="A26947" t="e">
        <v>#N/A</v>
      </c>
    </row>
    <row r="26948" spans="1:1" x14ac:dyDescent="0.25">
      <c r="A26948" t="e">
        <v>#N/A</v>
      </c>
    </row>
    <row r="26949" spans="1:1" x14ac:dyDescent="0.25">
      <c r="A26949" t="e">
        <v>#N/A</v>
      </c>
    </row>
    <row r="26950" spans="1:1" x14ac:dyDescent="0.25">
      <c r="A26950" t="e">
        <v>#N/A</v>
      </c>
    </row>
    <row r="26951" spans="1:1" x14ac:dyDescent="0.25">
      <c r="A26951" t="e">
        <v>#N/A</v>
      </c>
    </row>
    <row r="26952" spans="1:1" x14ac:dyDescent="0.25">
      <c r="A26952" t="e">
        <v>#N/A</v>
      </c>
    </row>
    <row r="26953" spans="1:1" x14ac:dyDescent="0.25">
      <c r="A26953" t="e">
        <v>#N/A</v>
      </c>
    </row>
    <row r="26954" spans="1:1" x14ac:dyDescent="0.25">
      <c r="A26954" t="e">
        <v>#N/A</v>
      </c>
    </row>
    <row r="26955" spans="1:1" x14ac:dyDescent="0.25">
      <c r="A26955" t="e">
        <v>#N/A</v>
      </c>
    </row>
    <row r="26956" spans="1:1" x14ac:dyDescent="0.25">
      <c r="A26956" t="e">
        <v>#N/A</v>
      </c>
    </row>
    <row r="26957" spans="1:1" x14ac:dyDescent="0.25">
      <c r="A26957" t="e">
        <v>#N/A</v>
      </c>
    </row>
    <row r="26958" spans="1:1" x14ac:dyDescent="0.25">
      <c r="A26958" t="e">
        <v>#N/A</v>
      </c>
    </row>
    <row r="26959" spans="1:1" x14ac:dyDescent="0.25">
      <c r="A26959" t="e">
        <v>#N/A</v>
      </c>
    </row>
    <row r="26960" spans="1:1" x14ac:dyDescent="0.25">
      <c r="A26960" t="e">
        <v>#N/A</v>
      </c>
    </row>
    <row r="26961" spans="1:1" x14ac:dyDescent="0.25">
      <c r="A26961" t="e">
        <v>#N/A</v>
      </c>
    </row>
    <row r="26962" spans="1:1" x14ac:dyDescent="0.25">
      <c r="A26962" t="e">
        <v>#N/A</v>
      </c>
    </row>
    <row r="26963" spans="1:1" x14ac:dyDescent="0.25">
      <c r="A26963" t="e">
        <v>#N/A</v>
      </c>
    </row>
    <row r="26964" spans="1:1" x14ac:dyDescent="0.25">
      <c r="A26964" t="e">
        <v>#N/A</v>
      </c>
    </row>
    <row r="26965" spans="1:1" x14ac:dyDescent="0.25">
      <c r="A26965" t="e">
        <v>#N/A</v>
      </c>
    </row>
    <row r="26966" spans="1:1" x14ac:dyDescent="0.25">
      <c r="A26966" t="e">
        <v>#N/A</v>
      </c>
    </row>
    <row r="26967" spans="1:1" x14ac:dyDescent="0.25">
      <c r="A26967" t="e">
        <v>#N/A</v>
      </c>
    </row>
    <row r="26968" spans="1:1" x14ac:dyDescent="0.25">
      <c r="A26968" t="e">
        <v>#N/A</v>
      </c>
    </row>
    <row r="26969" spans="1:1" x14ac:dyDescent="0.25">
      <c r="A26969" t="e">
        <v>#N/A</v>
      </c>
    </row>
    <row r="26970" spans="1:1" x14ac:dyDescent="0.25">
      <c r="A26970" t="e">
        <v>#N/A</v>
      </c>
    </row>
    <row r="26971" spans="1:1" x14ac:dyDescent="0.25">
      <c r="A26971" t="e">
        <v>#N/A</v>
      </c>
    </row>
    <row r="26972" spans="1:1" x14ac:dyDescent="0.25">
      <c r="A26972" t="e">
        <v>#N/A</v>
      </c>
    </row>
    <row r="26973" spans="1:1" x14ac:dyDescent="0.25">
      <c r="A26973" t="e">
        <v>#N/A</v>
      </c>
    </row>
    <row r="26974" spans="1:1" x14ac:dyDescent="0.25">
      <c r="A26974" t="e">
        <v>#N/A</v>
      </c>
    </row>
    <row r="26975" spans="1:1" x14ac:dyDescent="0.25">
      <c r="A26975" t="e">
        <v>#N/A</v>
      </c>
    </row>
    <row r="26976" spans="1:1" x14ac:dyDescent="0.25">
      <c r="A26976" t="e">
        <v>#N/A</v>
      </c>
    </row>
    <row r="26977" spans="1:1" x14ac:dyDescent="0.25">
      <c r="A26977" t="e">
        <v>#N/A</v>
      </c>
    </row>
    <row r="26978" spans="1:1" x14ac:dyDescent="0.25">
      <c r="A26978" t="e">
        <v>#N/A</v>
      </c>
    </row>
    <row r="26979" spans="1:1" x14ac:dyDescent="0.25">
      <c r="A26979" t="e">
        <v>#N/A</v>
      </c>
    </row>
    <row r="26980" spans="1:1" x14ac:dyDescent="0.25">
      <c r="A26980" t="e">
        <v>#N/A</v>
      </c>
    </row>
    <row r="26981" spans="1:1" x14ac:dyDescent="0.25">
      <c r="A26981" t="e">
        <v>#N/A</v>
      </c>
    </row>
    <row r="26982" spans="1:1" x14ac:dyDescent="0.25">
      <c r="A26982" t="e">
        <v>#N/A</v>
      </c>
    </row>
    <row r="26983" spans="1:1" x14ac:dyDescent="0.25">
      <c r="A26983" t="e">
        <v>#N/A</v>
      </c>
    </row>
    <row r="26984" spans="1:1" x14ac:dyDescent="0.25">
      <c r="A26984" t="e">
        <v>#N/A</v>
      </c>
    </row>
    <row r="26985" spans="1:1" x14ac:dyDescent="0.25">
      <c r="A26985" t="e">
        <v>#N/A</v>
      </c>
    </row>
    <row r="26986" spans="1:1" x14ac:dyDescent="0.25">
      <c r="A26986" t="e">
        <v>#N/A</v>
      </c>
    </row>
    <row r="26987" spans="1:1" x14ac:dyDescent="0.25">
      <c r="A26987" t="e">
        <v>#N/A</v>
      </c>
    </row>
    <row r="26988" spans="1:1" x14ac:dyDescent="0.25">
      <c r="A26988" t="e">
        <v>#N/A</v>
      </c>
    </row>
    <row r="26989" spans="1:1" x14ac:dyDescent="0.25">
      <c r="A26989" t="e">
        <v>#N/A</v>
      </c>
    </row>
    <row r="26990" spans="1:1" x14ac:dyDescent="0.25">
      <c r="A26990" t="e">
        <v>#N/A</v>
      </c>
    </row>
    <row r="26991" spans="1:1" x14ac:dyDescent="0.25">
      <c r="A26991" t="e">
        <v>#N/A</v>
      </c>
    </row>
    <row r="26992" spans="1:1" x14ac:dyDescent="0.25">
      <c r="A26992" t="e">
        <v>#N/A</v>
      </c>
    </row>
    <row r="26993" spans="1:1" x14ac:dyDescent="0.25">
      <c r="A26993" t="e">
        <v>#N/A</v>
      </c>
    </row>
    <row r="26994" spans="1:1" x14ac:dyDescent="0.25">
      <c r="A26994" t="e">
        <v>#N/A</v>
      </c>
    </row>
    <row r="26995" spans="1:1" x14ac:dyDescent="0.25">
      <c r="A26995" t="e">
        <v>#N/A</v>
      </c>
    </row>
    <row r="26996" spans="1:1" x14ac:dyDescent="0.25">
      <c r="A26996" t="e">
        <v>#N/A</v>
      </c>
    </row>
    <row r="26997" spans="1:1" x14ac:dyDescent="0.25">
      <c r="A26997" t="e">
        <v>#N/A</v>
      </c>
    </row>
    <row r="26998" spans="1:1" x14ac:dyDescent="0.25">
      <c r="A26998" t="e">
        <v>#N/A</v>
      </c>
    </row>
    <row r="26999" spans="1:1" x14ac:dyDescent="0.25">
      <c r="A26999" t="e">
        <v>#N/A</v>
      </c>
    </row>
    <row r="27000" spans="1:1" x14ac:dyDescent="0.25">
      <c r="A27000" t="e">
        <v>#N/A</v>
      </c>
    </row>
    <row r="27001" spans="1:1" x14ac:dyDescent="0.25">
      <c r="A27001" t="e">
        <v>#N/A</v>
      </c>
    </row>
    <row r="27002" spans="1:1" x14ac:dyDescent="0.25">
      <c r="A27002" t="e">
        <v>#N/A</v>
      </c>
    </row>
    <row r="27003" spans="1:1" x14ac:dyDescent="0.25">
      <c r="A27003" t="e">
        <v>#N/A</v>
      </c>
    </row>
    <row r="27004" spans="1:1" x14ac:dyDescent="0.25">
      <c r="A27004" t="e">
        <v>#N/A</v>
      </c>
    </row>
    <row r="27005" spans="1:1" x14ac:dyDescent="0.25">
      <c r="A27005" t="e">
        <v>#N/A</v>
      </c>
    </row>
    <row r="27006" spans="1:1" x14ac:dyDescent="0.25">
      <c r="A27006" t="e">
        <v>#N/A</v>
      </c>
    </row>
    <row r="27007" spans="1:1" x14ac:dyDescent="0.25">
      <c r="A27007" t="e">
        <v>#N/A</v>
      </c>
    </row>
    <row r="27008" spans="1:1" x14ac:dyDescent="0.25">
      <c r="A27008" t="e">
        <v>#N/A</v>
      </c>
    </row>
    <row r="27009" spans="1:1" x14ac:dyDescent="0.25">
      <c r="A27009" t="e">
        <v>#N/A</v>
      </c>
    </row>
    <row r="27010" spans="1:1" x14ac:dyDescent="0.25">
      <c r="A27010" t="e">
        <v>#N/A</v>
      </c>
    </row>
    <row r="27011" spans="1:1" x14ac:dyDescent="0.25">
      <c r="A27011" t="e">
        <v>#N/A</v>
      </c>
    </row>
    <row r="27012" spans="1:1" x14ac:dyDescent="0.25">
      <c r="A27012" t="e">
        <v>#N/A</v>
      </c>
    </row>
    <row r="27013" spans="1:1" x14ac:dyDescent="0.25">
      <c r="A27013" t="e">
        <v>#N/A</v>
      </c>
    </row>
    <row r="27014" spans="1:1" x14ac:dyDescent="0.25">
      <c r="A27014" t="e">
        <v>#N/A</v>
      </c>
    </row>
    <row r="27015" spans="1:1" x14ac:dyDescent="0.25">
      <c r="A27015" t="e">
        <v>#N/A</v>
      </c>
    </row>
    <row r="27016" spans="1:1" x14ac:dyDescent="0.25">
      <c r="A27016" t="e">
        <v>#N/A</v>
      </c>
    </row>
    <row r="27017" spans="1:1" x14ac:dyDescent="0.25">
      <c r="A27017" t="e">
        <v>#N/A</v>
      </c>
    </row>
    <row r="27018" spans="1:1" x14ac:dyDescent="0.25">
      <c r="A27018" t="e">
        <v>#N/A</v>
      </c>
    </row>
    <row r="27019" spans="1:1" x14ac:dyDescent="0.25">
      <c r="A27019" t="e">
        <v>#N/A</v>
      </c>
    </row>
    <row r="27020" spans="1:1" x14ac:dyDescent="0.25">
      <c r="A27020" t="e">
        <v>#N/A</v>
      </c>
    </row>
    <row r="27021" spans="1:1" x14ac:dyDescent="0.25">
      <c r="A27021" t="e">
        <v>#N/A</v>
      </c>
    </row>
    <row r="27022" spans="1:1" x14ac:dyDescent="0.25">
      <c r="A27022" t="e">
        <v>#N/A</v>
      </c>
    </row>
    <row r="27023" spans="1:1" x14ac:dyDescent="0.25">
      <c r="A27023" t="e">
        <v>#N/A</v>
      </c>
    </row>
    <row r="27024" spans="1:1" x14ac:dyDescent="0.25">
      <c r="A27024" t="e">
        <v>#N/A</v>
      </c>
    </row>
    <row r="27025" spans="1:1" x14ac:dyDescent="0.25">
      <c r="A27025" t="e">
        <v>#N/A</v>
      </c>
    </row>
    <row r="27026" spans="1:1" x14ac:dyDescent="0.25">
      <c r="A27026" t="e">
        <v>#N/A</v>
      </c>
    </row>
    <row r="27027" spans="1:1" x14ac:dyDescent="0.25">
      <c r="A27027" t="e">
        <v>#N/A</v>
      </c>
    </row>
    <row r="27028" spans="1:1" x14ac:dyDescent="0.25">
      <c r="A27028" t="e">
        <v>#N/A</v>
      </c>
    </row>
    <row r="27029" spans="1:1" x14ac:dyDescent="0.25">
      <c r="A27029" t="e">
        <v>#N/A</v>
      </c>
    </row>
    <row r="27030" spans="1:1" x14ac:dyDescent="0.25">
      <c r="A27030" t="e">
        <v>#N/A</v>
      </c>
    </row>
    <row r="27031" spans="1:1" x14ac:dyDescent="0.25">
      <c r="A27031" t="e">
        <v>#N/A</v>
      </c>
    </row>
    <row r="27032" spans="1:1" x14ac:dyDescent="0.25">
      <c r="A27032" t="e">
        <v>#N/A</v>
      </c>
    </row>
    <row r="27033" spans="1:1" x14ac:dyDescent="0.25">
      <c r="A27033" t="e">
        <v>#N/A</v>
      </c>
    </row>
    <row r="27034" spans="1:1" x14ac:dyDescent="0.25">
      <c r="A27034" t="e">
        <v>#N/A</v>
      </c>
    </row>
    <row r="27035" spans="1:1" x14ac:dyDescent="0.25">
      <c r="A27035" t="e">
        <v>#N/A</v>
      </c>
    </row>
    <row r="27036" spans="1:1" x14ac:dyDescent="0.25">
      <c r="A27036" t="e">
        <v>#N/A</v>
      </c>
    </row>
    <row r="27037" spans="1:1" x14ac:dyDescent="0.25">
      <c r="A27037" t="e">
        <v>#N/A</v>
      </c>
    </row>
    <row r="27038" spans="1:1" x14ac:dyDescent="0.25">
      <c r="A27038" t="e">
        <v>#N/A</v>
      </c>
    </row>
    <row r="27039" spans="1:1" x14ac:dyDescent="0.25">
      <c r="A27039" t="e">
        <v>#N/A</v>
      </c>
    </row>
    <row r="27040" spans="1:1" x14ac:dyDescent="0.25">
      <c r="A27040" t="e">
        <v>#N/A</v>
      </c>
    </row>
    <row r="27041" spans="1:1" x14ac:dyDescent="0.25">
      <c r="A27041" t="e">
        <v>#N/A</v>
      </c>
    </row>
    <row r="27042" spans="1:1" x14ac:dyDescent="0.25">
      <c r="A27042" t="e">
        <v>#N/A</v>
      </c>
    </row>
    <row r="27043" spans="1:1" x14ac:dyDescent="0.25">
      <c r="A27043" t="e">
        <v>#N/A</v>
      </c>
    </row>
    <row r="27044" spans="1:1" x14ac:dyDescent="0.25">
      <c r="A27044" t="e">
        <v>#N/A</v>
      </c>
    </row>
    <row r="27045" spans="1:1" x14ac:dyDescent="0.25">
      <c r="A27045" t="e">
        <v>#N/A</v>
      </c>
    </row>
    <row r="27046" spans="1:1" x14ac:dyDescent="0.25">
      <c r="A27046" t="e">
        <v>#N/A</v>
      </c>
    </row>
    <row r="27047" spans="1:1" x14ac:dyDescent="0.25">
      <c r="A27047" t="e">
        <v>#N/A</v>
      </c>
    </row>
    <row r="27048" spans="1:1" x14ac:dyDescent="0.25">
      <c r="A27048" t="e">
        <v>#N/A</v>
      </c>
    </row>
    <row r="27049" spans="1:1" x14ac:dyDescent="0.25">
      <c r="A27049" t="e">
        <v>#N/A</v>
      </c>
    </row>
    <row r="27050" spans="1:1" x14ac:dyDescent="0.25">
      <c r="A27050" t="e">
        <v>#N/A</v>
      </c>
    </row>
    <row r="27051" spans="1:1" x14ac:dyDescent="0.25">
      <c r="A27051" t="e">
        <v>#N/A</v>
      </c>
    </row>
    <row r="27052" spans="1:1" x14ac:dyDescent="0.25">
      <c r="A27052" t="e">
        <v>#N/A</v>
      </c>
    </row>
    <row r="27053" spans="1:1" x14ac:dyDescent="0.25">
      <c r="A27053" t="e">
        <v>#N/A</v>
      </c>
    </row>
    <row r="27054" spans="1:1" x14ac:dyDescent="0.25">
      <c r="A27054" t="e">
        <v>#N/A</v>
      </c>
    </row>
    <row r="27055" spans="1:1" x14ac:dyDescent="0.25">
      <c r="A27055" t="e">
        <v>#N/A</v>
      </c>
    </row>
    <row r="27056" spans="1:1" x14ac:dyDescent="0.25">
      <c r="A27056" t="e">
        <v>#N/A</v>
      </c>
    </row>
    <row r="27057" spans="1:1" x14ac:dyDescent="0.25">
      <c r="A27057" t="e">
        <v>#N/A</v>
      </c>
    </row>
    <row r="27058" spans="1:1" x14ac:dyDescent="0.25">
      <c r="A27058" t="e">
        <v>#N/A</v>
      </c>
    </row>
    <row r="27059" spans="1:1" x14ac:dyDescent="0.25">
      <c r="A27059" t="e">
        <v>#N/A</v>
      </c>
    </row>
    <row r="27060" spans="1:1" x14ac:dyDescent="0.25">
      <c r="A27060" t="e">
        <v>#N/A</v>
      </c>
    </row>
    <row r="27061" spans="1:1" x14ac:dyDescent="0.25">
      <c r="A27061" t="e">
        <v>#N/A</v>
      </c>
    </row>
    <row r="27062" spans="1:1" x14ac:dyDescent="0.25">
      <c r="A27062" t="e">
        <v>#N/A</v>
      </c>
    </row>
    <row r="27063" spans="1:1" x14ac:dyDescent="0.25">
      <c r="A27063" t="e">
        <v>#N/A</v>
      </c>
    </row>
    <row r="27064" spans="1:1" x14ac:dyDescent="0.25">
      <c r="A27064" t="e">
        <v>#N/A</v>
      </c>
    </row>
    <row r="27065" spans="1:1" x14ac:dyDescent="0.25">
      <c r="A27065" t="e">
        <v>#N/A</v>
      </c>
    </row>
    <row r="27066" spans="1:1" x14ac:dyDescent="0.25">
      <c r="A27066" t="e">
        <v>#N/A</v>
      </c>
    </row>
    <row r="27067" spans="1:1" x14ac:dyDescent="0.25">
      <c r="A27067" t="e">
        <v>#N/A</v>
      </c>
    </row>
    <row r="27068" spans="1:1" x14ac:dyDescent="0.25">
      <c r="A27068" t="e">
        <v>#N/A</v>
      </c>
    </row>
    <row r="27069" spans="1:1" x14ac:dyDescent="0.25">
      <c r="A27069" t="e">
        <v>#N/A</v>
      </c>
    </row>
    <row r="27070" spans="1:1" x14ac:dyDescent="0.25">
      <c r="A27070" t="e">
        <v>#N/A</v>
      </c>
    </row>
    <row r="27071" spans="1:1" x14ac:dyDescent="0.25">
      <c r="A27071" t="e">
        <v>#N/A</v>
      </c>
    </row>
    <row r="27072" spans="1:1" x14ac:dyDescent="0.25">
      <c r="A27072" t="e">
        <v>#N/A</v>
      </c>
    </row>
    <row r="27073" spans="1:1" x14ac:dyDescent="0.25">
      <c r="A27073" t="e">
        <v>#N/A</v>
      </c>
    </row>
    <row r="27074" spans="1:1" x14ac:dyDescent="0.25">
      <c r="A27074" t="e">
        <v>#N/A</v>
      </c>
    </row>
    <row r="27075" spans="1:1" x14ac:dyDescent="0.25">
      <c r="A27075" t="e">
        <v>#N/A</v>
      </c>
    </row>
    <row r="27076" spans="1:1" x14ac:dyDescent="0.25">
      <c r="A27076" t="e">
        <v>#N/A</v>
      </c>
    </row>
    <row r="27077" spans="1:1" x14ac:dyDescent="0.25">
      <c r="A27077" t="e">
        <v>#N/A</v>
      </c>
    </row>
    <row r="27078" spans="1:1" x14ac:dyDescent="0.25">
      <c r="A27078" t="e">
        <v>#N/A</v>
      </c>
    </row>
    <row r="27079" spans="1:1" x14ac:dyDescent="0.25">
      <c r="A27079" t="e">
        <v>#N/A</v>
      </c>
    </row>
    <row r="27080" spans="1:1" x14ac:dyDescent="0.25">
      <c r="A27080" t="e">
        <v>#N/A</v>
      </c>
    </row>
    <row r="27081" spans="1:1" x14ac:dyDescent="0.25">
      <c r="A27081" t="e">
        <v>#N/A</v>
      </c>
    </row>
    <row r="27082" spans="1:1" x14ac:dyDescent="0.25">
      <c r="A27082" t="e">
        <v>#N/A</v>
      </c>
    </row>
    <row r="27083" spans="1:1" x14ac:dyDescent="0.25">
      <c r="A27083" t="e">
        <v>#N/A</v>
      </c>
    </row>
    <row r="27084" spans="1:1" x14ac:dyDescent="0.25">
      <c r="A27084" t="e">
        <v>#N/A</v>
      </c>
    </row>
    <row r="27085" spans="1:1" x14ac:dyDescent="0.25">
      <c r="A27085" t="e">
        <v>#N/A</v>
      </c>
    </row>
    <row r="27086" spans="1:1" x14ac:dyDescent="0.25">
      <c r="A27086" t="e">
        <v>#N/A</v>
      </c>
    </row>
    <row r="27087" spans="1:1" x14ac:dyDescent="0.25">
      <c r="A27087" t="e">
        <v>#N/A</v>
      </c>
    </row>
    <row r="27088" spans="1:1" x14ac:dyDescent="0.25">
      <c r="A27088" t="e">
        <v>#N/A</v>
      </c>
    </row>
    <row r="27089" spans="1:1" x14ac:dyDescent="0.25">
      <c r="A27089" t="e">
        <v>#N/A</v>
      </c>
    </row>
    <row r="27090" spans="1:1" x14ac:dyDescent="0.25">
      <c r="A27090" t="e">
        <v>#N/A</v>
      </c>
    </row>
    <row r="27091" spans="1:1" x14ac:dyDescent="0.25">
      <c r="A27091" t="e">
        <v>#N/A</v>
      </c>
    </row>
    <row r="27092" spans="1:1" x14ac:dyDescent="0.25">
      <c r="A27092" t="e">
        <v>#N/A</v>
      </c>
    </row>
    <row r="27093" spans="1:1" x14ac:dyDescent="0.25">
      <c r="A27093" t="e">
        <v>#N/A</v>
      </c>
    </row>
    <row r="27094" spans="1:1" x14ac:dyDescent="0.25">
      <c r="A27094" t="e">
        <v>#N/A</v>
      </c>
    </row>
    <row r="27095" spans="1:1" x14ac:dyDescent="0.25">
      <c r="A27095" t="e">
        <v>#N/A</v>
      </c>
    </row>
    <row r="27096" spans="1:1" x14ac:dyDescent="0.25">
      <c r="A27096" t="e">
        <v>#N/A</v>
      </c>
    </row>
    <row r="27097" spans="1:1" x14ac:dyDescent="0.25">
      <c r="A27097" t="e">
        <v>#N/A</v>
      </c>
    </row>
    <row r="27098" spans="1:1" x14ac:dyDescent="0.25">
      <c r="A27098" t="e">
        <v>#N/A</v>
      </c>
    </row>
    <row r="27099" spans="1:1" x14ac:dyDescent="0.25">
      <c r="A27099" t="e">
        <v>#N/A</v>
      </c>
    </row>
    <row r="27100" spans="1:1" x14ac:dyDescent="0.25">
      <c r="A27100" t="e">
        <v>#N/A</v>
      </c>
    </row>
    <row r="27101" spans="1:1" x14ac:dyDescent="0.25">
      <c r="A27101" t="e">
        <v>#N/A</v>
      </c>
    </row>
    <row r="27102" spans="1:1" x14ac:dyDescent="0.25">
      <c r="A27102" t="e">
        <v>#N/A</v>
      </c>
    </row>
    <row r="27103" spans="1:1" x14ac:dyDescent="0.25">
      <c r="A27103" t="e">
        <v>#N/A</v>
      </c>
    </row>
    <row r="27104" spans="1:1" x14ac:dyDescent="0.25">
      <c r="A27104" t="e">
        <v>#N/A</v>
      </c>
    </row>
    <row r="27105" spans="1:1" x14ac:dyDescent="0.25">
      <c r="A27105" t="e">
        <v>#N/A</v>
      </c>
    </row>
    <row r="27106" spans="1:1" x14ac:dyDescent="0.25">
      <c r="A27106" t="e">
        <v>#N/A</v>
      </c>
    </row>
    <row r="27107" spans="1:1" x14ac:dyDescent="0.25">
      <c r="A27107" t="e">
        <v>#N/A</v>
      </c>
    </row>
    <row r="27108" spans="1:1" x14ac:dyDescent="0.25">
      <c r="A27108" t="e">
        <v>#N/A</v>
      </c>
    </row>
    <row r="27109" spans="1:1" x14ac:dyDescent="0.25">
      <c r="A27109" t="e">
        <v>#N/A</v>
      </c>
    </row>
    <row r="27110" spans="1:1" x14ac:dyDescent="0.25">
      <c r="A27110" t="e">
        <v>#N/A</v>
      </c>
    </row>
    <row r="27111" spans="1:1" x14ac:dyDescent="0.25">
      <c r="A27111" t="e">
        <v>#N/A</v>
      </c>
    </row>
    <row r="27112" spans="1:1" x14ac:dyDescent="0.25">
      <c r="A27112" t="e">
        <v>#N/A</v>
      </c>
    </row>
    <row r="27113" spans="1:1" x14ac:dyDescent="0.25">
      <c r="A27113" t="e">
        <v>#N/A</v>
      </c>
    </row>
    <row r="27114" spans="1:1" x14ac:dyDescent="0.25">
      <c r="A27114" t="e">
        <v>#N/A</v>
      </c>
    </row>
    <row r="27115" spans="1:1" x14ac:dyDescent="0.25">
      <c r="A27115" t="e">
        <v>#N/A</v>
      </c>
    </row>
    <row r="27116" spans="1:1" x14ac:dyDescent="0.25">
      <c r="A27116" t="e">
        <v>#N/A</v>
      </c>
    </row>
    <row r="27117" spans="1:1" x14ac:dyDescent="0.25">
      <c r="A27117" t="e">
        <v>#N/A</v>
      </c>
    </row>
    <row r="27118" spans="1:1" x14ac:dyDescent="0.25">
      <c r="A27118" t="e">
        <v>#N/A</v>
      </c>
    </row>
    <row r="27119" spans="1:1" x14ac:dyDescent="0.25">
      <c r="A27119" t="e">
        <v>#N/A</v>
      </c>
    </row>
    <row r="27120" spans="1:1" x14ac:dyDescent="0.25">
      <c r="A27120" t="e">
        <v>#N/A</v>
      </c>
    </row>
    <row r="27121" spans="1:1" x14ac:dyDescent="0.25">
      <c r="A27121" t="e">
        <v>#N/A</v>
      </c>
    </row>
    <row r="27122" spans="1:1" x14ac:dyDescent="0.25">
      <c r="A27122" t="e">
        <v>#N/A</v>
      </c>
    </row>
    <row r="27123" spans="1:1" x14ac:dyDescent="0.25">
      <c r="A27123" t="e">
        <v>#N/A</v>
      </c>
    </row>
    <row r="27124" spans="1:1" x14ac:dyDescent="0.25">
      <c r="A27124" t="e">
        <v>#N/A</v>
      </c>
    </row>
    <row r="27125" spans="1:1" x14ac:dyDescent="0.25">
      <c r="A27125" t="e">
        <v>#N/A</v>
      </c>
    </row>
    <row r="27126" spans="1:1" x14ac:dyDescent="0.25">
      <c r="A27126" t="e">
        <v>#N/A</v>
      </c>
    </row>
    <row r="27127" spans="1:1" x14ac:dyDescent="0.25">
      <c r="A27127" t="e">
        <v>#N/A</v>
      </c>
    </row>
    <row r="27128" spans="1:1" x14ac:dyDescent="0.25">
      <c r="A27128" t="e">
        <v>#N/A</v>
      </c>
    </row>
    <row r="27129" spans="1:1" x14ac:dyDescent="0.25">
      <c r="A27129" t="e">
        <v>#N/A</v>
      </c>
    </row>
    <row r="27130" spans="1:1" x14ac:dyDescent="0.25">
      <c r="A27130" t="e">
        <v>#N/A</v>
      </c>
    </row>
    <row r="27131" spans="1:1" x14ac:dyDescent="0.25">
      <c r="A27131" t="e">
        <v>#N/A</v>
      </c>
    </row>
    <row r="27132" spans="1:1" x14ac:dyDescent="0.25">
      <c r="A27132" t="e">
        <v>#N/A</v>
      </c>
    </row>
    <row r="27133" spans="1:1" x14ac:dyDescent="0.25">
      <c r="A27133" t="e">
        <v>#N/A</v>
      </c>
    </row>
    <row r="27134" spans="1:1" x14ac:dyDescent="0.25">
      <c r="A27134" t="e">
        <v>#N/A</v>
      </c>
    </row>
    <row r="27135" spans="1:1" x14ac:dyDescent="0.25">
      <c r="A27135" t="e">
        <v>#N/A</v>
      </c>
    </row>
    <row r="27136" spans="1:1" x14ac:dyDescent="0.25">
      <c r="A27136" t="e">
        <v>#N/A</v>
      </c>
    </row>
    <row r="27137" spans="1:1" x14ac:dyDescent="0.25">
      <c r="A27137" t="e">
        <v>#N/A</v>
      </c>
    </row>
    <row r="27138" spans="1:1" x14ac:dyDescent="0.25">
      <c r="A27138" t="e">
        <v>#N/A</v>
      </c>
    </row>
    <row r="27139" spans="1:1" x14ac:dyDescent="0.25">
      <c r="A27139" t="e">
        <v>#N/A</v>
      </c>
    </row>
    <row r="27140" spans="1:1" x14ac:dyDescent="0.25">
      <c r="A27140" t="e">
        <v>#N/A</v>
      </c>
    </row>
    <row r="27141" spans="1:1" x14ac:dyDescent="0.25">
      <c r="A27141" t="e">
        <v>#N/A</v>
      </c>
    </row>
    <row r="27142" spans="1:1" x14ac:dyDescent="0.25">
      <c r="A27142" t="e">
        <v>#N/A</v>
      </c>
    </row>
    <row r="27143" spans="1:1" x14ac:dyDescent="0.25">
      <c r="A27143" t="e">
        <v>#N/A</v>
      </c>
    </row>
    <row r="27144" spans="1:1" x14ac:dyDescent="0.25">
      <c r="A27144" t="e">
        <v>#N/A</v>
      </c>
    </row>
    <row r="27145" spans="1:1" x14ac:dyDescent="0.25">
      <c r="A27145" t="e">
        <v>#N/A</v>
      </c>
    </row>
    <row r="27146" spans="1:1" x14ac:dyDescent="0.25">
      <c r="A27146" t="e">
        <v>#N/A</v>
      </c>
    </row>
    <row r="27147" spans="1:1" x14ac:dyDescent="0.25">
      <c r="A27147" t="e">
        <v>#N/A</v>
      </c>
    </row>
    <row r="27148" spans="1:1" x14ac:dyDescent="0.25">
      <c r="A27148" t="e">
        <v>#N/A</v>
      </c>
    </row>
    <row r="27149" spans="1:1" x14ac:dyDescent="0.25">
      <c r="A27149" t="e">
        <v>#N/A</v>
      </c>
    </row>
    <row r="27150" spans="1:1" x14ac:dyDescent="0.25">
      <c r="A27150" t="e">
        <v>#N/A</v>
      </c>
    </row>
    <row r="27151" spans="1:1" x14ac:dyDescent="0.25">
      <c r="A27151" t="e">
        <v>#N/A</v>
      </c>
    </row>
    <row r="27152" spans="1:1" x14ac:dyDescent="0.25">
      <c r="A27152" t="e">
        <v>#N/A</v>
      </c>
    </row>
    <row r="27153" spans="1:1" x14ac:dyDescent="0.25">
      <c r="A27153" t="e">
        <v>#N/A</v>
      </c>
    </row>
    <row r="27154" spans="1:1" x14ac:dyDescent="0.25">
      <c r="A27154" t="e">
        <v>#N/A</v>
      </c>
    </row>
    <row r="27155" spans="1:1" x14ac:dyDescent="0.25">
      <c r="A27155" t="e">
        <v>#N/A</v>
      </c>
    </row>
    <row r="27156" spans="1:1" x14ac:dyDescent="0.25">
      <c r="A27156" t="e">
        <v>#N/A</v>
      </c>
    </row>
    <row r="27157" spans="1:1" x14ac:dyDescent="0.25">
      <c r="A27157" t="e">
        <v>#N/A</v>
      </c>
    </row>
    <row r="27158" spans="1:1" x14ac:dyDescent="0.25">
      <c r="A27158" t="e">
        <v>#N/A</v>
      </c>
    </row>
    <row r="27159" spans="1:1" x14ac:dyDescent="0.25">
      <c r="A27159" t="e">
        <v>#N/A</v>
      </c>
    </row>
    <row r="27160" spans="1:1" x14ac:dyDescent="0.25">
      <c r="A27160" t="e">
        <v>#N/A</v>
      </c>
    </row>
    <row r="27161" spans="1:1" x14ac:dyDescent="0.25">
      <c r="A27161" t="e">
        <v>#N/A</v>
      </c>
    </row>
    <row r="27162" spans="1:1" x14ac:dyDescent="0.25">
      <c r="A27162" t="e">
        <v>#N/A</v>
      </c>
    </row>
    <row r="27163" spans="1:1" x14ac:dyDescent="0.25">
      <c r="A27163" t="e">
        <v>#N/A</v>
      </c>
    </row>
    <row r="27164" spans="1:1" x14ac:dyDescent="0.25">
      <c r="A27164" t="e">
        <v>#N/A</v>
      </c>
    </row>
    <row r="27165" spans="1:1" x14ac:dyDescent="0.25">
      <c r="A27165" t="e">
        <v>#N/A</v>
      </c>
    </row>
    <row r="27166" spans="1:1" x14ac:dyDescent="0.25">
      <c r="A27166" t="e">
        <v>#N/A</v>
      </c>
    </row>
    <row r="27167" spans="1:1" x14ac:dyDescent="0.25">
      <c r="A27167" t="e">
        <v>#N/A</v>
      </c>
    </row>
    <row r="27168" spans="1:1" x14ac:dyDescent="0.25">
      <c r="A27168" t="e">
        <v>#N/A</v>
      </c>
    </row>
    <row r="27169" spans="1:1" x14ac:dyDescent="0.25">
      <c r="A27169" t="e">
        <v>#N/A</v>
      </c>
    </row>
    <row r="27170" spans="1:1" x14ac:dyDescent="0.25">
      <c r="A27170" t="e">
        <v>#N/A</v>
      </c>
    </row>
    <row r="27171" spans="1:1" x14ac:dyDescent="0.25">
      <c r="A27171" t="e">
        <v>#N/A</v>
      </c>
    </row>
    <row r="27172" spans="1:1" x14ac:dyDescent="0.25">
      <c r="A27172" t="e">
        <v>#N/A</v>
      </c>
    </row>
    <row r="27173" spans="1:1" x14ac:dyDescent="0.25">
      <c r="A27173" t="e">
        <v>#N/A</v>
      </c>
    </row>
    <row r="27174" spans="1:1" x14ac:dyDescent="0.25">
      <c r="A27174" t="e">
        <v>#N/A</v>
      </c>
    </row>
    <row r="27175" spans="1:1" x14ac:dyDescent="0.25">
      <c r="A27175" t="e">
        <v>#N/A</v>
      </c>
    </row>
    <row r="27176" spans="1:1" x14ac:dyDescent="0.25">
      <c r="A27176" t="e">
        <v>#N/A</v>
      </c>
    </row>
    <row r="27177" spans="1:1" x14ac:dyDescent="0.25">
      <c r="A27177" t="e">
        <v>#N/A</v>
      </c>
    </row>
    <row r="27178" spans="1:1" x14ac:dyDescent="0.25">
      <c r="A27178" t="e">
        <v>#N/A</v>
      </c>
    </row>
    <row r="27179" spans="1:1" x14ac:dyDescent="0.25">
      <c r="A27179" t="e">
        <v>#N/A</v>
      </c>
    </row>
    <row r="27180" spans="1:1" x14ac:dyDescent="0.25">
      <c r="A27180" t="e">
        <v>#N/A</v>
      </c>
    </row>
    <row r="27181" spans="1:1" x14ac:dyDescent="0.25">
      <c r="A27181" t="e">
        <v>#N/A</v>
      </c>
    </row>
    <row r="27182" spans="1:1" x14ac:dyDescent="0.25">
      <c r="A27182" t="e">
        <v>#N/A</v>
      </c>
    </row>
    <row r="27183" spans="1:1" x14ac:dyDescent="0.25">
      <c r="A27183" t="e">
        <v>#N/A</v>
      </c>
    </row>
    <row r="27184" spans="1:1" x14ac:dyDescent="0.25">
      <c r="A27184" t="e">
        <v>#N/A</v>
      </c>
    </row>
    <row r="27185" spans="1:1" x14ac:dyDescent="0.25">
      <c r="A27185" t="e">
        <v>#N/A</v>
      </c>
    </row>
    <row r="27186" spans="1:1" x14ac:dyDescent="0.25">
      <c r="A27186" t="e">
        <v>#N/A</v>
      </c>
    </row>
    <row r="27187" spans="1:1" x14ac:dyDescent="0.25">
      <c r="A27187" t="e">
        <v>#N/A</v>
      </c>
    </row>
    <row r="27188" spans="1:1" x14ac:dyDescent="0.25">
      <c r="A27188" t="e">
        <v>#N/A</v>
      </c>
    </row>
    <row r="27189" spans="1:1" x14ac:dyDescent="0.25">
      <c r="A27189" t="e">
        <v>#N/A</v>
      </c>
    </row>
    <row r="27190" spans="1:1" x14ac:dyDescent="0.25">
      <c r="A27190" t="e">
        <v>#N/A</v>
      </c>
    </row>
    <row r="27191" spans="1:1" x14ac:dyDescent="0.25">
      <c r="A27191" t="e">
        <v>#N/A</v>
      </c>
    </row>
    <row r="27192" spans="1:1" x14ac:dyDescent="0.25">
      <c r="A27192" t="e">
        <v>#N/A</v>
      </c>
    </row>
    <row r="27193" spans="1:1" x14ac:dyDescent="0.25">
      <c r="A27193" t="e">
        <v>#N/A</v>
      </c>
    </row>
    <row r="27194" spans="1:1" x14ac:dyDescent="0.25">
      <c r="A27194" t="e">
        <v>#N/A</v>
      </c>
    </row>
    <row r="27195" spans="1:1" x14ac:dyDescent="0.25">
      <c r="A27195" t="e">
        <v>#N/A</v>
      </c>
    </row>
    <row r="27196" spans="1:1" x14ac:dyDescent="0.25">
      <c r="A27196" t="e">
        <v>#N/A</v>
      </c>
    </row>
    <row r="27197" spans="1:1" x14ac:dyDescent="0.25">
      <c r="A27197" t="e">
        <v>#N/A</v>
      </c>
    </row>
    <row r="27198" spans="1:1" x14ac:dyDescent="0.25">
      <c r="A27198" t="e">
        <v>#N/A</v>
      </c>
    </row>
    <row r="27199" spans="1:1" x14ac:dyDescent="0.25">
      <c r="A27199" t="e">
        <v>#N/A</v>
      </c>
    </row>
    <row r="27200" spans="1:1" x14ac:dyDescent="0.25">
      <c r="A27200" t="e">
        <v>#N/A</v>
      </c>
    </row>
    <row r="27201" spans="1:1" x14ac:dyDescent="0.25">
      <c r="A27201" t="e">
        <v>#N/A</v>
      </c>
    </row>
    <row r="27202" spans="1:1" x14ac:dyDescent="0.25">
      <c r="A27202" t="e">
        <v>#N/A</v>
      </c>
    </row>
    <row r="27203" spans="1:1" x14ac:dyDescent="0.25">
      <c r="A27203" t="e">
        <v>#N/A</v>
      </c>
    </row>
    <row r="27204" spans="1:1" x14ac:dyDescent="0.25">
      <c r="A27204" t="e">
        <v>#N/A</v>
      </c>
    </row>
    <row r="27205" spans="1:1" x14ac:dyDescent="0.25">
      <c r="A27205" t="e">
        <v>#N/A</v>
      </c>
    </row>
    <row r="27206" spans="1:1" x14ac:dyDescent="0.25">
      <c r="A27206" t="e">
        <v>#N/A</v>
      </c>
    </row>
    <row r="27207" spans="1:1" x14ac:dyDescent="0.25">
      <c r="A27207" t="e">
        <v>#N/A</v>
      </c>
    </row>
    <row r="27208" spans="1:1" x14ac:dyDescent="0.25">
      <c r="A27208" t="e">
        <v>#N/A</v>
      </c>
    </row>
    <row r="27209" spans="1:1" x14ac:dyDescent="0.25">
      <c r="A27209" t="e">
        <v>#N/A</v>
      </c>
    </row>
    <row r="27210" spans="1:1" x14ac:dyDescent="0.25">
      <c r="A27210" t="e">
        <v>#N/A</v>
      </c>
    </row>
    <row r="27211" spans="1:1" x14ac:dyDescent="0.25">
      <c r="A27211" t="e">
        <v>#N/A</v>
      </c>
    </row>
    <row r="27212" spans="1:1" x14ac:dyDescent="0.25">
      <c r="A27212" t="e">
        <v>#N/A</v>
      </c>
    </row>
    <row r="27213" spans="1:1" x14ac:dyDescent="0.25">
      <c r="A27213" t="e">
        <v>#N/A</v>
      </c>
    </row>
    <row r="27214" spans="1:1" x14ac:dyDescent="0.25">
      <c r="A27214" t="e">
        <v>#N/A</v>
      </c>
    </row>
    <row r="27215" spans="1:1" x14ac:dyDescent="0.25">
      <c r="A27215" t="e">
        <v>#N/A</v>
      </c>
    </row>
    <row r="27216" spans="1:1" x14ac:dyDescent="0.25">
      <c r="A27216" t="e">
        <v>#N/A</v>
      </c>
    </row>
    <row r="27217" spans="1:1" x14ac:dyDescent="0.25">
      <c r="A27217" t="e">
        <v>#N/A</v>
      </c>
    </row>
    <row r="27218" spans="1:1" x14ac:dyDescent="0.25">
      <c r="A27218" t="e">
        <v>#N/A</v>
      </c>
    </row>
    <row r="27219" spans="1:1" x14ac:dyDescent="0.25">
      <c r="A27219" t="e">
        <v>#N/A</v>
      </c>
    </row>
    <row r="27220" spans="1:1" x14ac:dyDescent="0.25">
      <c r="A27220" t="e">
        <v>#N/A</v>
      </c>
    </row>
    <row r="27221" spans="1:1" x14ac:dyDescent="0.25">
      <c r="A27221" t="e">
        <v>#N/A</v>
      </c>
    </row>
    <row r="27222" spans="1:1" x14ac:dyDescent="0.25">
      <c r="A27222" t="e">
        <v>#N/A</v>
      </c>
    </row>
    <row r="27223" spans="1:1" x14ac:dyDescent="0.25">
      <c r="A27223" t="e">
        <v>#N/A</v>
      </c>
    </row>
    <row r="27224" spans="1:1" x14ac:dyDescent="0.25">
      <c r="A27224" t="e">
        <v>#N/A</v>
      </c>
    </row>
    <row r="27225" spans="1:1" x14ac:dyDescent="0.25">
      <c r="A27225" t="e">
        <v>#N/A</v>
      </c>
    </row>
    <row r="27226" spans="1:1" x14ac:dyDescent="0.25">
      <c r="A27226" t="e">
        <v>#N/A</v>
      </c>
    </row>
    <row r="27227" spans="1:1" x14ac:dyDescent="0.25">
      <c r="A27227" t="e">
        <v>#N/A</v>
      </c>
    </row>
    <row r="27228" spans="1:1" x14ac:dyDescent="0.25">
      <c r="A27228" t="e">
        <v>#N/A</v>
      </c>
    </row>
    <row r="27229" spans="1:1" x14ac:dyDescent="0.25">
      <c r="A27229" t="e">
        <v>#N/A</v>
      </c>
    </row>
    <row r="27230" spans="1:1" x14ac:dyDescent="0.25">
      <c r="A27230" t="e">
        <v>#N/A</v>
      </c>
    </row>
    <row r="27231" spans="1:1" x14ac:dyDescent="0.25">
      <c r="A27231" t="e">
        <v>#N/A</v>
      </c>
    </row>
    <row r="27232" spans="1:1" x14ac:dyDescent="0.25">
      <c r="A27232" t="e">
        <v>#N/A</v>
      </c>
    </row>
    <row r="27233" spans="1:1" x14ac:dyDescent="0.25">
      <c r="A27233" t="e">
        <v>#N/A</v>
      </c>
    </row>
    <row r="27234" spans="1:1" x14ac:dyDescent="0.25">
      <c r="A27234" t="e">
        <v>#N/A</v>
      </c>
    </row>
    <row r="27235" spans="1:1" x14ac:dyDescent="0.25">
      <c r="A27235" t="e">
        <v>#N/A</v>
      </c>
    </row>
    <row r="27236" spans="1:1" x14ac:dyDescent="0.25">
      <c r="A27236" t="e">
        <v>#N/A</v>
      </c>
    </row>
    <row r="27237" spans="1:1" x14ac:dyDescent="0.25">
      <c r="A27237" t="e">
        <v>#N/A</v>
      </c>
    </row>
    <row r="27238" spans="1:1" x14ac:dyDescent="0.25">
      <c r="A27238" t="e">
        <v>#N/A</v>
      </c>
    </row>
    <row r="27239" spans="1:1" x14ac:dyDescent="0.25">
      <c r="A27239" t="e">
        <v>#N/A</v>
      </c>
    </row>
    <row r="27240" spans="1:1" x14ac:dyDescent="0.25">
      <c r="A27240" t="e">
        <v>#N/A</v>
      </c>
    </row>
    <row r="27241" spans="1:1" x14ac:dyDescent="0.25">
      <c r="A27241" t="e">
        <v>#N/A</v>
      </c>
    </row>
    <row r="27242" spans="1:1" x14ac:dyDescent="0.25">
      <c r="A27242" t="e">
        <v>#N/A</v>
      </c>
    </row>
    <row r="27243" spans="1:1" x14ac:dyDescent="0.25">
      <c r="A27243" t="e">
        <v>#N/A</v>
      </c>
    </row>
    <row r="27244" spans="1:1" x14ac:dyDescent="0.25">
      <c r="A27244" t="e">
        <v>#N/A</v>
      </c>
    </row>
    <row r="27245" spans="1:1" x14ac:dyDescent="0.25">
      <c r="A27245" t="e">
        <v>#N/A</v>
      </c>
    </row>
    <row r="27246" spans="1:1" x14ac:dyDescent="0.25">
      <c r="A27246" t="e">
        <v>#N/A</v>
      </c>
    </row>
    <row r="27247" spans="1:1" x14ac:dyDescent="0.25">
      <c r="A27247" t="e">
        <v>#N/A</v>
      </c>
    </row>
    <row r="27248" spans="1:1" x14ac:dyDescent="0.25">
      <c r="A27248" t="e">
        <v>#N/A</v>
      </c>
    </row>
    <row r="27249" spans="1:1" x14ac:dyDescent="0.25">
      <c r="A27249" t="e">
        <v>#N/A</v>
      </c>
    </row>
    <row r="27250" spans="1:1" x14ac:dyDescent="0.25">
      <c r="A27250" t="e">
        <v>#N/A</v>
      </c>
    </row>
    <row r="27251" spans="1:1" x14ac:dyDescent="0.25">
      <c r="A27251" t="e">
        <v>#N/A</v>
      </c>
    </row>
    <row r="27252" spans="1:1" x14ac:dyDescent="0.25">
      <c r="A27252" t="e">
        <v>#N/A</v>
      </c>
    </row>
    <row r="27253" spans="1:1" x14ac:dyDescent="0.25">
      <c r="A27253" t="e">
        <v>#N/A</v>
      </c>
    </row>
    <row r="27254" spans="1:1" x14ac:dyDescent="0.25">
      <c r="A27254" t="e">
        <v>#N/A</v>
      </c>
    </row>
    <row r="27255" spans="1:1" x14ac:dyDescent="0.25">
      <c r="A27255" t="e">
        <v>#N/A</v>
      </c>
    </row>
    <row r="27256" spans="1:1" x14ac:dyDescent="0.25">
      <c r="A27256" t="e">
        <v>#N/A</v>
      </c>
    </row>
    <row r="27257" spans="1:1" x14ac:dyDescent="0.25">
      <c r="A27257" t="e">
        <v>#N/A</v>
      </c>
    </row>
    <row r="27258" spans="1:1" x14ac:dyDescent="0.25">
      <c r="A27258" t="e">
        <v>#N/A</v>
      </c>
    </row>
    <row r="27259" spans="1:1" x14ac:dyDescent="0.25">
      <c r="A27259" t="e">
        <v>#N/A</v>
      </c>
    </row>
    <row r="27260" spans="1:1" x14ac:dyDescent="0.25">
      <c r="A27260" t="e">
        <v>#N/A</v>
      </c>
    </row>
    <row r="27261" spans="1:1" x14ac:dyDescent="0.25">
      <c r="A27261" t="e">
        <v>#N/A</v>
      </c>
    </row>
    <row r="27262" spans="1:1" x14ac:dyDescent="0.25">
      <c r="A27262" t="e">
        <v>#N/A</v>
      </c>
    </row>
    <row r="27263" spans="1:1" x14ac:dyDescent="0.25">
      <c r="A27263" t="e">
        <v>#N/A</v>
      </c>
    </row>
    <row r="27264" spans="1:1" x14ac:dyDescent="0.25">
      <c r="A27264" t="e">
        <v>#N/A</v>
      </c>
    </row>
    <row r="27265" spans="1:1" x14ac:dyDescent="0.25">
      <c r="A27265" t="e">
        <v>#N/A</v>
      </c>
    </row>
    <row r="27266" spans="1:1" x14ac:dyDescent="0.25">
      <c r="A27266" t="e">
        <v>#N/A</v>
      </c>
    </row>
    <row r="27267" spans="1:1" x14ac:dyDescent="0.25">
      <c r="A27267" t="e">
        <v>#N/A</v>
      </c>
    </row>
    <row r="27268" spans="1:1" x14ac:dyDescent="0.25">
      <c r="A27268" t="e">
        <v>#N/A</v>
      </c>
    </row>
    <row r="27269" spans="1:1" x14ac:dyDescent="0.25">
      <c r="A27269" t="e">
        <v>#N/A</v>
      </c>
    </row>
    <row r="27270" spans="1:1" x14ac:dyDescent="0.25">
      <c r="A27270" t="e">
        <v>#N/A</v>
      </c>
    </row>
    <row r="27271" spans="1:1" x14ac:dyDescent="0.25">
      <c r="A27271" t="e">
        <v>#N/A</v>
      </c>
    </row>
    <row r="27272" spans="1:1" x14ac:dyDescent="0.25">
      <c r="A27272" t="e">
        <v>#N/A</v>
      </c>
    </row>
    <row r="27273" spans="1:1" x14ac:dyDescent="0.25">
      <c r="A27273" t="e">
        <v>#N/A</v>
      </c>
    </row>
    <row r="27274" spans="1:1" x14ac:dyDescent="0.25">
      <c r="A27274" t="e">
        <v>#N/A</v>
      </c>
    </row>
    <row r="27275" spans="1:1" x14ac:dyDescent="0.25">
      <c r="A27275" t="e">
        <v>#N/A</v>
      </c>
    </row>
    <row r="27276" spans="1:1" x14ac:dyDescent="0.25">
      <c r="A27276" t="e">
        <v>#N/A</v>
      </c>
    </row>
    <row r="27277" spans="1:1" x14ac:dyDescent="0.25">
      <c r="A27277" t="e">
        <v>#N/A</v>
      </c>
    </row>
    <row r="27278" spans="1:1" x14ac:dyDescent="0.25">
      <c r="A27278" t="e">
        <v>#N/A</v>
      </c>
    </row>
    <row r="27279" spans="1:1" x14ac:dyDescent="0.25">
      <c r="A27279" t="e">
        <v>#N/A</v>
      </c>
    </row>
    <row r="27280" spans="1:1" x14ac:dyDescent="0.25">
      <c r="A27280" t="e">
        <v>#N/A</v>
      </c>
    </row>
    <row r="27281" spans="1:1" x14ac:dyDescent="0.25">
      <c r="A27281" t="e">
        <v>#N/A</v>
      </c>
    </row>
    <row r="27282" spans="1:1" x14ac:dyDescent="0.25">
      <c r="A27282" t="e">
        <v>#N/A</v>
      </c>
    </row>
    <row r="27283" spans="1:1" x14ac:dyDescent="0.25">
      <c r="A27283" t="e">
        <v>#N/A</v>
      </c>
    </row>
    <row r="27284" spans="1:1" x14ac:dyDescent="0.25">
      <c r="A27284" t="e">
        <v>#N/A</v>
      </c>
    </row>
    <row r="27285" spans="1:1" x14ac:dyDescent="0.25">
      <c r="A27285" t="e">
        <v>#N/A</v>
      </c>
    </row>
    <row r="27286" spans="1:1" x14ac:dyDescent="0.25">
      <c r="A27286" t="e">
        <v>#N/A</v>
      </c>
    </row>
    <row r="27287" spans="1:1" x14ac:dyDescent="0.25">
      <c r="A27287" t="e">
        <v>#N/A</v>
      </c>
    </row>
    <row r="27288" spans="1:1" x14ac:dyDescent="0.25">
      <c r="A27288" t="e">
        <v>#N/A</v>
      </c>
    </row>
    <row r="27289" spans="1:1" x14ac:dyDescent="0.25">
      <c r="A27289" t="e">
        <v>#N/A</v>
      </c>
    </row>
    <row r="27290" spans="1:1" x14ac:dyDescent="0.25">
      <c r="A27290" t="e">
        <v>#N/A</v>
      </c>
    </row>
    <row r="27291" spans="1:1" x14ac:dyDescent="0.25">
      <c r="A27291" t="e">
        <v>#N/A</v>
      </c>
    </row>
    <row r="27292" spans="1:1" x14ac:dyDescent="0.25">
      <c r="A27292" t="e">
        <v>#N/A</v>
      </c>
    </row>
    <row r="27293" spans="1:1" x14ac:dyDescent="0.25">
      <c r="A27293" t="e">
        <v>#N/A</v>
      </c>
    </row>
    <row r="27294" spans="1:1" x14ac:dyDescent="0.25">
      <c r="A27294" t="e">
        <v>#N/A</v>
      </c>
    </row>
    <row r="27295" spans="1:1" x14ac:dyDescent="0.25">
      <c r="A27295" t="e">
        <v>#N/A</v>
      </c>
    </row>
    <row r="27296" spans="1:1" x14ac:dyDescent="0.25">
      <c r="A27296" t="e">
        <v>#N/A</v>
      </c>
    </row>
    <row r="27297" spans="1:1" x14ac:dyDescent="0.25">
      <c r="A27297" t="e">
        <v>#N/A</v>
      </c>
    </row>
    <row r="27298" spans="1:1" x14ac:dyDescent="0.25">
      <c r="A27298" t="e">
        <v>#N/A</v>
      </c>
    </row>
    <row r="27299" spans="1:1" x14ac:dyDescent="0.25">
      <c r="A27299" t="e">
        <v>#N/A</v>
      </c>
    </row>
    <row r="27300" spans="1:1" x14ac:dyDescent="0.25">
      <c r="A27300" t="e">
        <v>#N/A</v>
      </c>
    </row>
    <row r="27301" spans="1:1" x14ac:dyDescent="0.25">
      <c r="A27301" t="e">
        <v>#N/A</v>
      </c>
    </row>
    <row r="27302" spans="1:1" x14ac:dyDescent="0.25">
      <c r="A27302" t="e">
        <v>#N/A</v>
      </c>
    </row>
    <row r="27303" spans="1:1" x14ac:dyDescent="0.25">
      <c r="A27303" t="e">
        <v>#N/A</v>
      </c>
    </row>
    <row r="27304" spans="1:1" x14ac:dyDescent="0.25">
      <c r="A27304" t="e">
        <v>#N/A</v>
      </c>
    </row>
    <row r="27305" spans="1:1" x14ac:dyDescent="0.25">
      <c r="A27305" t="e">
        <v>#N/A</v>
      </c>
    </row>
    <row r="27306" spans="1:1" x14ac:dyDescent="0.25">
      <c r="A27306" t="e">
        <v>#N/A</v>
      </c>
    </row>
    <row r="27307" spans="1:1" x14ac:dyDescent="0.25">
      <c r="A27307" t="e">
        <v>#N/A</v>
      </c>
    </row>
    <row r="27308" spans="1:1" x14ac:dyDescent="0.25">
      <c r="A27308" t="e">
        <v>#N/A</v>
      </c>
    </row>
    <row r="27309" spans="1:1" x14ac:dyDescent="0.25">
      <c r="A27309" t="e">
        <v>#N/A</v>
      </c>
    </row>
    <row r="27310" spans="1:1" x14ac:dyDescent="0.25">
      <c r="A27310" t="e">
        <v>#N/A</v>
      </c>
    </row>
    <row r="27311" spans="1:1" x14ac:dyDescent="0.25">
      <c r="A27311" t="e">
        <v>#N/A</v>
      </c>
    </row>
    <row r="27312" spans="1:1" x14ac:dyDescent="0.25">
      <c r="A27312" t="e">
        <v>#N/A</v>
      </c>
    </row>
    <row r="27313" spans="1:1" x14ac:dyDescent="0.25">
      <c r="A27313" t="e">
        <v>#N/A</v>
      </c>
    </row>
    <row r="27314" spans="1:1" x14ac:dyDescent="0.25">
      <c r="A27314" t="e">
        <v>#N/A</v>
      </c>
    </row>
    <row r="27315" spans="1:1" x14ac:dyDescent="0.25">
      <c r="A27315" t="e">
        <v>#N/A</v>
      </c>
    </row>
    <row r="27316" spans="1:1" x14ac:dyDescent="0.25">
      <c r="A27316" t="e">
        <v>#N/A</v>
      </c>
    </row>
    <row r="27317" spans="1:1" x14ac:dyDescent="0.25">
      <c r="A27317" t="e">
        <v>#N/A</v>
      </c>
    </row>
    <row r="27318" spans="1:1" x14ac:dyDescent="0.25">
      <c r="A27318" t="e">
        <v>#N/A</v>
      </c>
    </row>
    <row r="27319" spans="1:1" x14ac:dyDescent="0.25">
      <c r="A27319" t="e">
        <v>#N/A</v>
      </c>
    </row>
    <row r="27320" spans="1:1" x14ac:dyDescent="0.25">
      <c r="A27320" t="e">
        <v>#N/A</v>
      </c>
    </row>
    <row r="27321" spans="1:1" x14ac:dyDescent="0.25">
      <c r="A27321" t="e">
        <v>#N/A</v>
      </c>
    </row>
    <row r="27322" spans="1:1" x14ac:dyDescent="0.25">
      <c r="A27322" t="e">
        <v>#N/A</v>
      </c>
    </row>
    <row r="27323" spans="1:1" x14ac:dyDescent="0.25">
      <c r="A27323" t="e">
        <v>#N/A</v>
      </c>
    </row>
    <row r="27324" spans="1:1" x14ac:dyDescent="0.25">
      <c r="A27324" t="e">
        <v>#N/A</v>
      </c>
    </row>
    <row r="27325" spans="1:1" x14ac:dyDescent="0.25">
      <c r="A27325" t="e">
        <v>#N/A</v>
      </c>
    </row>
    <row r="27326" spans="1:1" x14ac:dyDescent="0.25">
      <c r="A27326" t="e">
        <v>#N/A</v>
      </c>
    </row>
    <row r="27327" spans="1:1" x14ac:dyDescent="0.25">
      <c r="A27327" t="e">
        <v>#N/A</v>
      </c>
    </row>
    <row r="27328" spans="1:1" x14ac:dyDescent="0.25">
      <c r="A27328" t="e">
        <v>#N/A</v>
      </c>
    </row>
    <row r="27329" spans="1:1" x14ac:dyDescent="0.25">
      <c r="A27329" t="e">
        <v>#N/A</v>
      </c>
    </row>
    <row r="27330" spans="1:1" x14ac:dyDescent="0.25">
      <c r="A27330" t="e">
        <v>#N/A</v>
      </c>
    </row>
    <row r="27331" spans="1:1" x14ac:dyDescent="0.25">
      <c r="A27331" t="e">
        <v>#N/A</v>
      </c>
    </row>
    <row r="27332" spans="1:1" x14ac:dyDescent="0.25">
      <c r="A27332" t="e">
        <v>#N/A</v>
      </c>
    </row>
    <row r="27333" spans="1:1" x14ac:dyDescent="0.25">
      <c r="A27333" t="e">
        <v>#N/A</v>
      </c>
    </row>
    <row r="27334" spans="1:1" x14ac:dyDescent="0.25">
      <c r="A27334" t="e">
        <v>#N/A</v>
      </c>
    </row>
    <row r="27335" spans="1:1" x14ac:dyDescent="0.25">
      <c r="A27335" t="e">
        <v>#N/A</v>
      </c>
    </row>
    <row r="27336" spans="1:1" x14ac:dyDescent="0.25">
      <c r="A27336" t="e">
        <v>#N/A</v>
      </c>
    </row>
    <row r="27337" spans="1:1" x14ac:dyDescent="0.25">
      <c r="A27337" t="e">
        <v>#N/A</v>
      </c>
    </row>
    <row r="27338" spans="1:1" x14ac:dyDescent="0.25">
      <c r="A27338" t="e">
        <v>#N/A</v>
      </c>
    </row>
    <row r="27339" spans="1:1" x14ac:dyDescent="0.25">
      <c r="A27339" t="e">
        <v>#N/A</v>
      </c>
    </row>
    <row r="27340" spans="1:1" x14ac:dyDescent="0.25">
      <c r="A27340" t="e">
        <v>#N/A</v>
      </c>
    </row>
    <row r="27341" spans="1:1" x14ac:dyDescent="0.25">
      <c r="A27341" t="e">
        <v>#N/A</v>
      </c>
    </row>
    <row r="27342" spans="1:1" x14ac:dyDescent="0.25">
      <c r="A27342" t="e">
        <v>#N/A</v>
      </c>
    </row>
    <row r="27343" spans="1:1" x14ac:dyDescent="0.25">
      <c r="A27343" t="e">
        <v>#N/A</v>
      </c>
    </row>
    <row r="27344" spans="1:1" x14ac:dyDescent="0.25">
      <c r="A27344" t="e">
        <v>#N/A</v>
      </c>
    </row>
    <row r="27345" spans="1:1" x14ac:dyDescent="0.25">
      <c r="A27345" t="e">
        <v>#N/A</v>
      </c>
    </row>
    <row r="27346" spans="1:1" x14ac:dyDescent="0.25">
      <c r="A27346" t="e">
        <v>#N/A</v>
      </c>
    </row>
    <row r="27347" spans="1:1" x14ac:dyDescent="0.25">
      <c r="A27347" t="e">
        <v>#N/A</v>
      </c>
    </row>
    <row r="27348" spans="1:1" x14ac:dyDescent="0.25">
      <c r="A27348" t="e">
        <v>#N/A</v>
      </c>
    </row>
    <row r="27349" spans="1:1" x14ac:dyDescent="0.25">
      <c r="A27349" t="e">
        <v>#N/A</v>
      </c>
    </row>
    <row r="27350" spans="1:1" x14ac:dyDescent="0.25">
      <c r="A27350" t="e">
        <v>#N/A</v>
      </c>
    </row>
    <row r="27351" spans="1:1" x14ac:dyDescent="0.25">
      <c r="A27351" t="e">
        <v>#N/A</v>
      </c>
    </row>
    <row r="27352" spans="1:1" x14ac:dyDescent="0.25">
      <c r="A27352" t="e">
        <v>#N/A</v>
      </c>
    </row>
    <row r="27353" spans="1:1" x14ac:dyDescent="0.25">
      <c r="A27353" t="e">
        <v>#N/A</v>
      </c>
    </row>
    <row r="27354" spans="1:1" x14ac:dyDescent="0.25">
      <c r="A27354" t="e">
        <v>#N/A</v>
      </c>
    </row>
    <row r="27355" spans="1:1" x14ac:dyDescent="0.25">
      <c r="A27355" t="e">
        <v>#N/A</v>
      </c>
    </row>
    <row r="27356" spans="1:1" x14ac:dyDescent="0.25">
      <c r="A27356" t="e">
        <v>#N/A</v>
      </c>
    </row>
    <row r="27357" spans="1:1" x14ac:dyDescent="0.25">
      <c r="A27357" t="e">
        <v>#N/A</v>
      </c>
    </row>
    <row r="27358" spans="1:1" x14ac:dyDescent="0.25">
      <c r="A27358" t="e">
        <v>#N/A</v>
      </c>
    </row>
    <row r="27359" spans="1:1" x14ac:dyDescent="0.25">
      <c r="A27359" t="e">
        <v>#N/A</v>
      </c>
    </row>
    <row r="27360" spans="1:1" x14ac:dyDescent="0.25">
      <c r="A27360" t="e">
        <v>#N/A</v>
      </c>
    </row>
    <row r="27361" spans="1:1" x14ac:dyDescent="0.25">
      <c r="A27361" t="e">
        <v>#N/A</v>
      </c>
    </row>
    <row r="27362" spans="1:1" x14ac:dyDescent="0.25">
      <c r="A27362" t="e">
        <v>#N/A</v>
      </c>
    </row>
    <row r="27363" spans="1:1" x14ac:dyDescent="0.25">
      <c r="A27363" t="e">
        <v>#N/A</v>
      </c>
    </row>
    <row r="27364" spans="1:1" x14ac:dyDescent="0.25">
      <c r="A27364" t="e">
        <v>#N/A</v>
      </c>
    </row>
    <row r="27365" spans="1:1" x14ac:dyDescent="0.25">
      <c r="A27365" t="e">
        <v>#N/A</v>
      </c>
    </row>
    <row r="27366" spans="1:1" x14ac:dyDescent="0.25">
      <c r="A27366" t="e">
        <v>#N/A</v>
      </c>
    </row>
    <row r="27367" spans="1:1" x14ac:dyDescent="0.25">
      <c r="A27367" t="e">
        <v>#N/A</v>
      </c>
    </row>
    <row r="27368" spans="1:1" x14ac:dyDescent="0.25">
      <c r="A27368" t="e">
        <v>#N/A</v>
      </c>
    </row>
    <row r="27369" spans="1:1" x14ac:dyDescent="0.25">
      <c r="A27369" t="e">
        <v>#N/A</v>
      </c>
    </row>
    <row r="27370" spans="1:1" x14ac:dyDescent="0.25">
      <c r="A27370" t="e">
        <v>#N/A</v>
      </c>
    </row>
    <row r="27371" spans="1:1" x14ac:dyDescent="0.25">
      <c r="A27371" t="e">
        <v>#N/A</v>
      </c>
    </row>
    <row r="27372" spans="1:1" x14ac:dyDescent="0.25">
      <c r="A27372" t="e">
        <v>#N/A</v>
      </c>
    </row>
    <row r="27373" spans="1:1" x14ac:dyDescent="0.25">
      <c r="A27373" t="e">
        <v>#N/A</v>
      </c>
    </row>
    <row r="27374" spans="1:1" x14ac:dyDescent="0.25">
      <c r="A27374" t="e">
        <v>#N/A</v>
      </c>
    </row>
    <row r="27375" spans="1:1" x14ac:dyDescent="0.25">
      <c r="A27375" t="e">
        <v>#N/A</v>
      </c>
    </row>
    <row r="27376" spans="1:1" x14ac:dyDescent="0.25">
      <c r="A27376" t="e">
        <v>#N/A</v>
      </c>
    </row>
    <row r="27377" spans="1:1" x14ac:dyDescent="0.25">
      <c r="A27377" t="e">
        <v>#N/A</v>
      </c>
    </row>
    <row r="27378" spans="1:1" x14ac:dyDescent="0.25">
      <c r="A27378" t="e">
        <v>#N/A</v>
      </c>
    </row>
    <row r="27379" spans="1:1" x14ac:dyDescent="0.25">
      <c r="A27379" t="e">
        <v>#N/A</v>
      </c>
    </row>
    <row r="27380" spans="1:1" x14ac:dyDescent="0.25">
      <c r="A27380" t="e">
        <v>#N/A</v>
      </c>
    </row>
    <row r="27381" spans="1:1" x14ac:dyDescent="0.25">
      <c r="A27381" t="e">
        <v>#N/A</v>
      </c>
    </row>
    <row r="27382" spans="1:1" x14ac:dyDescent="0.25">
      <c r="A27382" t="e">
        <v>#N/A</v>
      </c>
    </row>
    <row r="27383" spans="1:1" x14ac:dyDescent="0.25">
      <c r="A27383" t="e">
        <v>#N/A</v>
      </c>
    </row>
    <row r="27384" spans="1:1" x14ac:dyDescent="0.25">
      <c r="A27384" t="e">
        <v>#N/A</v>
      </c>
    </row>
    <row r="27385" spans="1:1" x14ac:dyDescent="0.25">
      <c r="A27385" t="e">
        <v>#N/A</v>
      </c>
    </row>
    <row r="27386" spans="1:1" x14ac:dyDescent="0.25">
      <c r="A27386" t="e">
        <v>#N/A</v>
      </c>
    </row>
    <row r="27387" spans="1:1" x14ac:dyDescent="0.25">
      <c r="A27387" t="e">
        <v>#N/A</v>
      </c>
    </row>
    <row r="27388" spans="1:1" x14ac:dyDescent="0.25">
      <c r="A27388" t="e">
        <v>#N/A</v>
      </c>
    </row>
    <row r="27389" spans="1:1" x14ac:dyDescent="0.25">
      <c r="A27389" t="e">
        <v>#N/A</v>
      </c>
    </row>
    <row r="27390" spans="1:1" x14ac:dyDescent="0.25">
      <c r="A27390" t="e">
        <v>#N/A</v>
      </c>
    </row>
    <row r="27391" spans="1:1" x14ac:dyDescent="0.25">
      <c r="A27391" t="e">
        <v>#N/A</v>
      </c>
    </row>
    <row r="27392" spans="1:1" x14ac:dyDescent="0.25">
      <c r="A27392" t="e">
        <v>#N/A</v>
      </c>
    </row>
    <row r="27393" spans="1:1" x14ac:dyDescent="0.25">
      <c r="A27393" t="e">
        <v>#N/A</v>
      </c>
    </row>
    <row r="27394" spans="1:1" x14ac:dyDescent="0.25">
      <c r="A27394" t="e">
        <v>#N/A</v>
      </c>
    </row>
    <row r="27395" spans="1:1" x14ac:dyDescent="0.25">
      <c r="A27395" t="e">
        <v>#N/A</v>
      </c>
    </row>
    <row r="27396" spans="1:1" x14ac:dyDescent="0.25">
      <c r="A27396" t="e">
        <v>#N/A</v>
      </c>
    </row>
    <row r="27397" spans="1:1" x14ac:dyDescent="0.25">
      <c r="A27397" t="e">
        <v>#N/A</v>
      </c>
    </row>
    <row r="27398" spans="1:1" x14ac:dyDescent="0.25">
      <c r="A27398" t="e">
        <v>#N/A</v>
      </c>
    </row>
    <row r="27399" spans="1:1" x14ac:dyDescent="0.25">
      <c r="A27399" t="e">
        <v>#N/A</v>
      </c>
    </row>
    <row r="27400" spans="1:1" x14ac:dyDescent="0.25">
      <c r="A27400" t="e">
        <v>#N/A</v>
      </c>
    </row>
    <row r="27401" spans="1:1" x14ac:dyDescent="0.25">
      <c r="A27401" t="e">
        <v>#N/A</v>
      </c>
    </row>
    <row r="27402" spans="1:1" x14ac:dyDescent="0.25">
      <c r="A27402" t="e">
        <v>#N/A</v>
      </c>
    </row>
    <row r="27403" spans="1:1" x14ac:dyDescent="0.25">
      <c r="A27403" t="e">
        <v>#N/A</v>
      </c>
    </row>
    <row r="27404" spans="1:1" x14ac:dyDescent="0.25">
      <c r="A27404" t="e">
        <v>#N/A</v>
      </c>
    </row>
    <row r="27405" spans="1:1" x14ac:dyDescent="0.25">
      <c r="A27405" t="e">
        <v>#N/A</v>
      </c>
    </row>
    <row r="27406" spans="1:1" x14ac:dyDescent="0.25">
      <c r="A27406" t="e">
        <v>#N/A</v>
      </c>
    </row>
    <row r="27407" spans="1:1" x14ac:dyDescent="0.25">
      <c r="A27407" t="e">
        <v>#N/A</v>
      </c>
    </row>
    <row r="27408" spans="1:1" x14ac:dyDescent="0.25">
      <c r="A27408" t="e">
        <v>#N/A</v>
      </c>
    </row>
    <row r="27409" spans="1:1" x14ac:dyDescent="0.25">
      <c r="A27409" t="e">
        <v>#N/A</v>
      </c>
    </row>
    <row r="27410" spans="1:1" x14ac:dyDescent="0.25">
      <c r="A27410" t="e">
        <v>#N/A</v>
      </c>
    </row>
    <row r="27411" spans="1:1" x14ac:dyDescent="0.25">
      <c r="A27411" t="e">
        <v>#N/A</v>
      </c>
    </row>
    <row r="27412" spans="1:1" x14ac:dyDescent="0.25">
      <c r="A27412" t="e">
        <v>#N/A</v>
      </c>
    </row>
    <row r="27413" spans="1:1" x14ac:dyDescent="0.25">
      <c r="A27413" t="e">
        <v>#N/A</v>
      </c>
    </row>
    <row r="27414" spans="1:1" x14ac:dyDescent="0.25">
      <c r="A27414" t="e">
        <v>#N/A</v>
      </c>
    </row>
    <row r="27415" spans="1:1" x14ac:dyDescent="0.25">
      <c r="A27415" t="e">
        <v>#N/A</v>
      </c>
    </row>
    <row r="27416" spans="1:1" x14ac:dyDescent="0.25">
      <c r="A27416" t="e">
        <v>#N/A</v>
      </c>
    </row>
    <row r="27417" spans="1:1" x14ac:dyDescent="0.25">
      <c r="A27417" t="e">
        <v>#N/A</v>
      </c>
    </row>
    <row r="27418" spans="1:1" x14ac:dyDescent="0.25">
      <c r="A27418" t="e">
        <v>#N/A</v>
      </c>
    </row>
    <row r="27419" spans="1:1" x14ac:dyDescent="0.25">
      <c r="A27419" t="e">
        <v>#N/A</v>
      </c>
    </row>
    <row r="27420" spans="1:1" x14ac:dyDescent="0.25">
      <c r="A27420" t="e">
        <v>#N/A</v>
      </c>
    </row>
    <row r="27421" spans="1:1" x14ac:dyDescent="0.25">
      <c r="A27421" t="e">
        <v>#N/A</v>
      </c>
    </row>
    <row r="27422" spans="1:1" x14ac:dyDescent="0.25">
      <c r="A27422" t="e">
        <v>#N/A</v>
      </c>
    </row>
    <row r="27423" spans="1:1" x14ac:dyDescent="0.25">
      <c r="A27423" t="e">
        <v>#N/A</v>
      </c>
    </row>
    <row r="27424" spans="1:1" x14ac:dyDescent="0.25">
      <c r="A27424" t="e">
        <v>#N/A</v>
      </c>
    </row>
    <row r="27425" spans="1:1" x14ac:dyDescent="0.25">
      <c r="A27425" t="e">
        <v>#N/A</v>
      </c>
    </row>
    <row r="27426" spans="1:1" x14ac:dyDescent="0.25">
      <c r="A27426" t="e">
        <v>#N/A</v>
      </c>
    </row>
    <row r="27427" spans="1:1" x14ac:dyDescent="0.25">
      <c r="A27427" t="e">
        <v>#N/A</v>
      </c>
    </row>
    <row r="27428" spans="1:1" x14ac:dyDescent="0.25">
      <c r="A27428" t="e">
        <v>#N/A</v>
      </c>
    </row>
    <row r="27429" spans="1:1" x14ac:dyDescent="0.25">
      <c r="A27429" t="e">
        <v>#N/A</v>
      </c>
    </row>
    <row r="27430" spans="1:1" x14ac:dyDescent="0.25">
      <c r="A27430" t="e">
        <v>#N/A</v>
      </c>
    </row>
    <row r="27431" spans="1:1" x14ac:dyDescent="0.25">
      <c r="A27431" t="e">
        <v>#N/A</v>
      </c>
    </row>
    <row r="27432" spans="1:1" x14ac:dyDescent="0.25">
      <c r="A27432" t="e">
        <v>#N/A</v>
      </c>
    </row>
    <row r="27433" spans="1:1" x14ac:dyDescent="0.25">
      <c r="A27433" t="e">
        <v>#N/A</v>
      </c>
    </row>
    <row r="27434" spans="1:1" x14ac:dyDescent="0.25">
      <c r="A27434" t="e">
        <v>#N/A</v>
      </c>
    </row>
    <row r="27435" spans="1:1" x14ac:dyDescent="0.25">
      <c r="A27435" t="e">
        <v>#N/A</v>
      </c>
    </row>
    <row r="27436" spans="1:1" x14ac:dyDescent="0.25">
      <c r="A27436" t="e">
        <v>#N/A</v>
      </c>
    </row>
    <row r="27437" spans="1:1" x14ac:dyDescent="0.25">
      <c r="A27437" t="e">
        <v>#N/A</v>
      </c>
    </row>
    <row r="27438" spans="1:1" x14ac:dyDescent="0.25">
      <c r="A27438" t="e">
        <v>#N/A</v>
      </c>
    </row>
    <row r="27439" spans="1:1" x14ac:dyDescent="0.25">
      <c r="A27439" t="e">
        <v>#N/A</v>
      </c>
    </row>
    <row r="27440" spans="1:1" x14ac:dyDescent="0.25">
      <c r="A27440" t="e">
        <v>#N/A</v>
      </c>
    </row>
    <row r="27441" spans="1:1" x14ac:dyDescent="0.25">
      <c r="A27441" t="e">
        <v>#N/A</v>
      </c>
    </row>
    <row r="27442" spans="1:1" x14ac:dyDescent="0.25">
      <c r="A27442" t="e">
        <v>#N/A</v>
      </c>
    </row>
    <row r="27443" spans="1:1" x14ac:dyDescent="0.25">
      <c r="A27443" t="e">
        <v>#N/A</v>
      </c>
    </row>
    <row r="27444" spans="1:1" x14ac:dyDescent="0.25">
      <c r="A27444" t="e">
        <v>#N/A</v>
      </c>
    </row>
    <row r="27445" spans="1:1" x14ac:dyDescent="0.25">
      <c r="A27445" t="e">
        <v>#N/A</v>
      </c>
    </row>
    <row r="27446" spans="1:1" x14ac:dyDescent="0.25">
      <c r="A27446" t="e">
        <v>#N/A</v>
      </c>
    </row>
    <row r="27447" spans="1:1" x14ac:dyDescent="0.25">
      <c r="A27447" t="e">
        <v>#N/A</v>
      </c>
    </row>
    <row r="27448" spans="1:1" x14ac:dyDescent="0.25">
      <c r="A27448" t="e">
        <v>#N/A</v>
      </c>
    </row>
    <row r="27449" spans="1:1" x14ac:dyDescent="0.25">
      <c r="A27449" t="e">
        <v>#N/A</v>
      </c>
    </row>
    <row r="27450" spans="1:1" x14ac:dyDescent="0.25">
      <c r="A27450" t="e">
        <v>#N/A</v>
      </c>
    </row>
    <row r="27451" spans="1:1" x14ac:dyDescent="0.25">
      <c r="A27451" t="e">
        <v>#N/A</v>
      </c>
    </row>
    <row r="27452" spans="1:1" x14ac:dyDescent="0.25">
      <c r="A27452" t="e">
        <v>#N/A</v>
      </c>
    </row>
    <row r="27453" spans="1:1" x14ac:dyDescent="0.25">
      <c r="A27453" t="e">
        <v>#N/A</v>
      </c>
    </row>
    <row r="27454" spans="1:1" x14ac:dyDescent="0.25">
      <c r="A27454" t="e">
        <v>#N/A</v>
      </c>
    </row>
    <row r="27455" spans="1:1" x14ac:dyDescent="0.25">
      <c r="A27455" t="e">
        <v>#N/A</v>
      </c>
    </row>
    <row r="27456" spans="1:1" x14ac:dyDescent="0.25">
      <c r="A27456" t="e">
        <v>#N/A</v>
      </c>
    </row>
    <row r="27457" spans="1:1" x14ac:dyDescent="0.25">
      <c r="A27457" t="e">
        <v>#N/A</v>
      </c>
    </row>
    <row r="27458" spans="1:1" x14ac:dyDescent="0.25">
      <c r="A27458" t="e">
        <v>#N/A</v>
      </c>
    </row>
    <row r="27459" spans="1:1" x14ac:dyDescent="0.25">
      <c r="A27459" t="e">
        <v>#N/A</v>
      </c>
    </row>
    <row r="27460" spans="1:1" x14ac:dyDescent="0.25">
      <c r="A27460" t="e">
        <v>#N/A</v>
      </c>
    </row>
    <row r="27461" spans="1:1" x14ac:dyDescent="0.25">
      <c r="A27461" t="e">
        <v>#N/A</v>
      </c>
    </row>
    <row r="27462" spans="1:1" x14ac:dyDescent="0.25">
      <c r="A27462" t="e">
        <v>#N/A</v>
      </c>
    </row>
    <row r="27463" spans="1:1" x14ac:dyDescent="0.25">
      <c r="A27463" t="e">
        <v>#N/A</v>
      </c>
    </row>
    <row r="27464" spans="1:1" x14ac:dyDescent="0.25">
      <c r="A27464" t="e">
        <v>#N/A</v>
      </c>
    </row>
    <row r="27465" spans="1:1" x14ac:dyDescent="0.25">
      <c r="A27465" t="e">
        <v>#N/A</v>
      </c>
    </row>
    <row r="27466" spans="1:1" x14ac:dyDescent="0.25">
      <c r="A27466" t="e">
        <v>#N/A</v>
      </c>
    </row>
    <row r="27467" spans="1:1" x14ac:dyDescent="0.25">
      <c r="A27467" t="e">
        <v>#N/A</v>
      </c>
    </row>
    <row r="27468" spans="1:1" x14ac:dyDescent="0.25">
      <c r="A27468" t="e">
        <v>#N/A</v>
      </c>
    </row>
    <row r="27469" spans="1:1" x14ac:dyDescent="0.25">
      <c r="A27469" t="e">
        <v>#N/A</v>
      </c>
    </row>
    <row r="27470" spans="1:1" x14ac:dyDescent="0.25">
      <c r="A27470" t="e">
        <v>#N/A</v>
      </c>
    </row>
    <row r="27471" spans="1:1" x14ac:dyDescent="0.25">
      <c r="A27471" t="e">
        <v>#N/A</v>
      </c>
    </row>
    <row r="27472" spans="1:1" x14ac:dyDescent="0.25">
      <c r="A27472" t="e">
        <v>#N/A</v>
      </c>
    </row>
    <row r="27473" spans="1:1" x14ac:dyDescent="0.25">
      <c r="A27473" t="e">
        <v>#N/A</v>
      </c>
    </row>
    <row r="27474" spans="1:1" x14ac:dyDescent="0.25">
      <c r="A27474" t="e">
        <v>#N/A</v>
      </c>
    </row>
    <row r="27475" spans="1:1" x14ac:dyDescent="0.25">
      <c r="A27475" t="e">
        <v>#N/A</v>
      </c>
    </row>
    <row r="27476" spans="1:1" x14ac:dyDescent="0.25">
      <c r="A27476" t="e">
        <v>#N/A</v>
      </c>
    </row>
    <row r="27477" spans="1:1" x14ac:dyDescent="0.25">
      <c r="A27477" t="e">
        <v>#N/A</v>
      </c>
    </row>
    <row r="27478" spans="1:1" x14ac:dyDescent="0.25">
      <c r="A27478" t="e">
        <v>#N/A</v>
      </c>
    </row>
    <row r="27479" spans="1:1" x14ac:dyDescent="0.25">
      <c r="A27479" t="e">
        <v>#N/A</v>
      </c>
    </row>
    <row r="27480" spans="1:1" x14ac:dyDescent="0.25">
      <c r="A27480" t="e">
        <v>#N/A</v>
      </c>
    </row>
    <row r="27481" spans="1:1" x14ac:dyDescent="0.25">
      <c r="A27481" t="e">
        <v>#N/A</v>
      </c>
    </row>
    <row r="27482" spans="1:1" x14ac:dyDescent="0.25">
      <c r="A27482" t="e">
        <v>#N/A</v>
      </c>
    </row>
    <row r="27483" spans="1:1" x14ac:dyDescent="0.25">
      <c r="A27483" t="e">
        <v>#N/A</v>
      </c>
    </row>
    <row r="27484" spans="1:1" x14ac:dyDescent="0.25">
      <c r="A27484" t="e">
        <v>#N/A</v>
      </c>
    </row>
    <row r="27485" spans="1:1" x14ac:dyDescent="0.25">
      <c r="A27485" t="e">
        <v>#N/A</v>
      </c>
    </row>
    <row r="27486" spans="1:1" x14ac:dyDescent="0.25">
      <c r="A27486" t="e">
        <v>#N/A</v>
      </c>
    </row>
    <row r="27487" spans="1:1" x14ac:dyDescent="0.25">
      <c r="A27487" t="e">
        <v>#N/A</v>
      </c>
    </row>
    <row r="27488" spans="1:1" x14ac:dyDescent="0.25">
      <c r="A27488" t="e">
        <v>#N/A</v>
      </c>
    </row>
    <row r="27489" spans="1:1" x14ac:dyDescent="0.25">
      <c r="A27489" t="e">
        <v>#N/A</v>
      </c>
    </row>
    <row r="27490" spans="1:1" x14ac:dyDescent="0.25">
      <c r="A27490" t="e">
        <v>#N/A</v>
      </c>
    </row>
    <row r="27491" spans="1:1" x14ac:dyDescent="0.25">
      <c r="A27491" t="e">
        <v>#N/A</v>
      </c>
    </row>
    <row r="27492" spans="1:1" x14ac:dyDescent="0.25">
      <c r="A27492" t="e">
        <v>#N/A</v>
      </c>
    </row>
    <row r="27493" spans="1:1" x14ac:dyDescent="0.25">
      <c r="A27493" t="e">
        <v>#N/A</v>
      </c>
    </row>
    <row r="27494" spans="1:1" x14ac:dyDescent="0.25">
      <c r="A27494" t="e">
        <v>#N/A</v>
      </c>
    </row>
    <row r="27495" spans="1:1" x14ac:dyDescent="0.25">
      <c r="A27495" t="e">
        <v>#N/A</v>
      </c>
    </row>
    <row r="27496" spans="1:1" x14ac:dyDescent="0.25">
      <c r="A27496" t="e">
        <v>#N/A</v>
      </c>
    </row>
    <row r="27497" spans="1:1" x14ac:dyDescent="0.25">
      <c r="A27497" t="e">
        <v>#N/A</v>
      </c>
    </row>
    <row r="27498" spans="1:1" x14ac:dyDescent="0.25">
      <c r="A27498" t="e">
        <v>#N/A</v>
      </c>
    </row>
    <row r="27499" spans="1:1" x14ac:dyDescent="0.25">
      <c r="A27499" t="e">
        <v>#N/A</v>
      </c>
    </row>
    <row r="27500" spans="1:1" x14ac:dyDescent="0.25">
      <c r="A27500" t="e">
        <v>#N/A</v>
      </c>
    </row>
    <row r="27501" spans="1:1" x14ac:dyDescent="0.25">
      <c r="A27501" t="e">
        <v>#N/A</v>
      </c>
    </row>
    <row r="27502" spans="1:1" x14ac:dyDescent="0.25">
      <c r="A27502" t="e">
        <v>#N/A</v>
      </c>
    </row>
    <row r="27503" spans="1:1" x14ac:dyDescent="0.25">
      <c r="A27503" t="e">
        <v>#N/A</v>
      </c>
    </row>
    <row r="27504" spans="1:1" x14ac:dyDescent="0.25">
      <c r="A27504" t="e">
        <v>#N/A</v>
      </c>
    </row>
    <row r="27505" spans="1:1" x14ac:dyDescent="0.25">
      <c r="A27505" t="e">
        <v>#N/A</v>
      </c>
    </row>
    <row r="27506" spans="1:1" x14ac:dyDescent="0.25">
      <c r="A27506" t="e">
        <v>#N/A</v>
      </c>
    </row>
    <row r="27507" spans="1:1" x14ac:dyDescent="0.25">
      <c r="A27507" t="e">
        <v>#N/A</v>
      </c>
    </row>
    <row r="27508" spans="1:1" x14ac:dyDescent="0.25">
      <c r="A27508" t="e">
        <v>#N/A</v>
      </c>
    </row>
    <row r="27509" spans="1:1" x14ac:dyDescent="0.25">
      <c r="A27509" t="e">
        <v>#N/A</v>
      </c>
    </row>
    <row r="27510" spans="1:1" x14ac:dyDescent="0.25">
      <c r="A27510" t="e">
        <v>#N/A</v>
      </c>
    </row>
    <row r="27511" spans="1:1" x14ac:dyDescent="0.25">
      <c r="A27511" t="e">
        <v>#N/A</v>
      </c>
    </row>
    <row r="27512" spans="1:1" x14ac:dyDescent="0.25">
      <c r="A27512" t="e">
        <v>#N/A</v>
      </c>
    </row>
    <row r="27513" spans="1:1" x14ac:dyDescent="0.25">
      <c r="A27513" t="e">
        <v>#N/A</v>
      </c>
    </row>
    <row r="27514" spans="1:1" x14ac:dyDescent="0.25">
      <c r="A27514" t="e">
        <v>#N/A</v>
      </c>
    </row>
    <row r="27515" spans="1:1" x14ac:dyDescent="0.25">
      <c r="A27515" t="e">
        <v>#N/A</v>
      </c>
    </row>
    <row r="27516" spans="1:1" x14ac:dyDescent="0.25">
      <c r="A27516" t="e">
        <v>#N/A</v>
      </c>
    </row>
    <row r="27517" spans="1:1" x14ac:dyDescent="0.25">
      <c r="A27517" t="e">
        <v>#N/A</v>
      </c>
    </row>
    <row r="27518" spans="1:1" x14ac:dyDescent="0.25">
      <c r="A27518" t="e">
        <v>#N/A</v>
      </c>
    </row>
    <row r="27519" spans="1:1" x14ac:dyDescent="0.25">
      <c r="A27519" t="e">
        <v>#N/A</v>
      </c>
    </row>
    <row r="27520" spans="1:1" x14ac:dyDescent="0.25">
      <c r="A27520" t="e">
        <v>#N/A</v>
      </c>
    </row>
    <row r="27521" spans="1:1" x14ac:dyDescent="0.25">
      <c r="A27521" t="e">
        <v>#N/A</v>
      </c>
    </row>
    <row r="27522" spans="1:1" x14ac:dyDescent="0.25">
      <c r="A27522" t="e">
        <v>#N/A</v>
      </c>
    </row>
    <row r="27523" spans="1:1" x14ac:dyDescent="0.25">
      <c r="A27523" t="e">
        <v>#N/A</v>
      </c>
    </row>
    <row r="27524" spans="1:1" x14ac:dyDescent="0.25">
      <c r="A27524" t="e">
        <v>#N/A</v>
      </c>
    </row>
    <row r="27525" spans="1:1" x14ac:dyDescent="0.25">
      <c r="A27525" t="e">
        <v>#N/A</v>
      </c>
    </row>
    <row r="27526" spans="1:1" x14ac:dyDescent="0.25">
      <c r="A27526" t="e">
        <v>#N/A</v>
      </c>
    </row>
    <row r="27527" spans="1:1" x14ac:dyDescent="0.25">
      <c r="A27527" t="e">
        <v>#N/A</v>
      </c>
    </row>
    <row r="27528" spans="1:1" x14ac:dyDescent="0.25">
      <c r="A27528" t="e">
        <v>#N/A</v>
      </c>
    </row>
    <row r="27529" spans="1:1" x14ac:dyDescent="0.25">
      <c r="A27529" t="e">
        <v>#N/A</v>
      </c>
    </row>
    <row r="27530" spans="1:1" x14ac:dyDescent="0.25">
      <c r="A27530" t="e">
        <v>#N/A</v>
      </c>
    </row>
    <row r="27531" spans="1:1" x14ac:dyDescent="0.25">
      <c r="A27531" t="e">
        <v>#N/A</v>
      </c>
    </row>
    <row r="27532" spans="1:1" x14ac:dyDescent="0.25">
      <c r="A27532" t="e">
        <v>#N/A</v>
      </c>
    </row>
    <row r="27533" spans="1:1" x14ac:dyDescent="0.25">
      <c r="A27533" t="e">
        <v>#N/A</v>
      </c>
    </row>
    <row r="27534" spans="1:1" x14ac:dyDescent="0.25">
      <c r="A27534" t="e">
        <v>#N/A</v>
      </c>
    </row>
    <row r="27535" spans="1:1" x14ac:dyDescent="0.25">
      <c r="A27535" t="e">
        <v>#N/A</v>
      </c>
    </row>
    <row r="27536" spans="1:1" x14ac:dyDescent="0.25">
      <c r="A27536" t="e">
        <v>#N/A</v>
      </c>
    </row>
    <row r="27537" spans="1:1" x14ac:dyDescent="0.25">
      <c r="A27537" t="e">
        <v>#N/A</v>
      </c>
    </row>
    <row r="27538" spans="1:1" x14ac:dyDescent="0.25">
      <c r="A27538" t="e">
        <v>#N/A</v>
      </c>
    </row>
    <row r="27539" spans="1:1" x14ac:dyDescent="0.25">
      <c r="A27539" t="e">
        <v>#N/A</v>
      </c>
    </row>
    <row r="27540" spans="1:1" x14ac:dyDescent="0.25">
      <c r="A27540" t="e">
        <v>#N/A</v>
      </c>
    </row>
    <row r="27541" spans="1:1" x14ac:dyDescent="0.25">
      <c r="A27541" t="e">
        <v>#N/A</v>
      </c>
    </row>
    <row r="27542" spans="1:1" x14ac:dyDescent="0.25">
      <c r="A27542" t="e">
        <v>#N/A</v>
      </c>
    </row>
    <row r="27543" spans="1:1" x14ac:dyDescent="0.25">
      <c r="A27543" t="e">
        <v>#N/A</v>
      </c>
    </row>
    <row r="27544" spans="1:1" x14ac:dyDescent="0.25">
      <c r="A27544" t="e">
        <v>#N/A</v>
      </c>
    </row>
    <row r="27545" spans="1:1" x14ac:dyDescent="0.25">
      <c r="A27545" t="e">
        <v>#N/A</v>
      </c>
    </row>
    <row r="27546" spans="1:1" x14ac:dyDescent="0.25">
      <c r="A27546" t="e">
        <v>#N/A</v>
      </c>
    </row>
    <row r="27547" spans="1:1" x14ac:dyDescent="0.25">
      <c r="A27547" t="e">
        <v>#N/A</v>
      </c>
    </row>
    <row r="27548" spans="1:1" x14ac:dyDescent="0.25">
      <c r="A27548" t="e">
        <v>#N/A</v>
      </c>
    </row>
    <row r="27549" spans="1:1" x14ac:dyDescent="0.25">
      <c r="A27549" t="e">
        <v>#N/A</v>
      </c>
    </row>
    <row r="27550" spans="1:1" x14ac:dyDescent="0.25">
      <c r="A27550" t="e">
        <v>#N/A</v>
      </c>
    </row>
    <row r="27551" spans="1:1" x14ac:dyDescent="0.25">
      <c r="A27551" t="e">
        <v>#N/A</v>
      </c>
    </row>
    <row r="27552" spans="1:1" x14ac:dyDescent="0.25">
      <c r="A27552" t="e">
        <v>#N/A</v>
      </c>
    </row>
    <row r="27553" spans="1:1" x14ac:dyDescent="0.25">
      <c r="A27553" t="e">
        <v>#N/A</v>
      </c>
    </row>
    <row r="27554" spans="1:1" x14ac:dyDescent="0.25">
      <c r="A27554" t="e">
        <v>#N/A</v>
      </c>
    </row>
    <row r="27555" spans="1:1" x14ac:dyDescent="0.25">
      <c r="A27555" t="e">
        <v>#N/A</v>
      </c>
    </row>
    <row r="27556" spans="1:1" x14ac:dyDescent="0.25">
      <c r="A27556" t="e">
        <v>#N/A</v>
      </c>
    </row>
    <row r="27557" spans="1:1" x14ac:dyDescent="0.25">
      <c r="A27557" t="e">
        <v>#N/A</v>
      </c>
    </row>
    <row r="27558" spans="1:1" x14ac:dyDescent="0.25">
      <c r="A27558" t="e">
        <v>#N/A</v>
      </c>
    </row>
    <row r="27559" spans="1:1" x14ac:dyDescent="0.25">
      <c r="A27559" t="e">
        <v>#N/A</v>
      </c>
    </row>
    <row r="27560" spans="1:1" x14ac:dyDescent="0.25">
      <c r="A27560" t="e">
        <v>#N/A</v>
      </c>
    </row>
    <row r="27561" spans="1:1" x14ac:dyDescent="0.25">
      <c r="A27561" t="e">
        <v>#N/A</v>
      </c>
    </row>
    <row r="27562" spans="1:1" x14ac:dyDescent="0.25">
      <c r="A27562" t="e">
        <v>#N/A</v>
      </c>
    </row>
    <row r="27563" spans="1:1" x14ac:dyDescent="0.25">
      <c r="A27563" t="e">
        <v>#N/A</v>
      </c>
    </row>
    <row r="27564" spans="1:1" x14ac:dyDescent="0.25">
      <c r="A27564" t="e">
        <v>#N/A</v>
      </c>
    </row>
    <row r="27565" spans="1:1" x14ac:dyDescent="0.25">
      <c r="A27565" t="e">
        <v>#N/A</v>
      </c>
    </row>
    <row r="27566" spans="1:1" x14ac:dyDescent="0.25">
      <c r="A27566" t="e">
        <v>#N/A</v>
      </c>
    </row>
    <row r="27567" spans="1:1" x14ac:dyDescent="0.25">
      <c r="A27567" t="e">
        <v>#N/A</v>
      </c>
    </row>
    <row r="27568" spans="1:1" x14ac:dyDescent="0.25">
      <c r="A27568" t="e">
        <v>#N/A</v>
      </c>
    </row>
    <row r="27569" spans="1:1" x14ac:dyDescent="0.25">
      <c r="A27569" t="e">
        <v>#N/A</v>
      </c>
    </row>
    <row r="27570" spans="1:1" x14ac:dyDescent="0.25">
      <c r="A27570" t="e">
        <v>#N/A</v>
      </c>
    </row>
    <row r="27571" spans="1:1" x14ac:dyDescent="0.25">
      <c r="A27571" t="e">
        <v>#N/A</v>
      </c>
    </row>
    <row r="27572" spans="1:1" x14ac:dyDescent="0.25">
      <c r="A27572" t="e">
        <v>#N/A</v>
      </c>
    </row>
    <row r="27573" spans="1:1" x14ac:dyDescent="0.25">
      <c r="A27573" t="e">
        <v>#N/A</v>
      </c>
    </row>
    <row r="27574" spans="1:1" x14ac:dyDescent="0.25">
      <c r="A27574" t="e">
        <v>#N/A</v>
      </c>
    </row>
    <row r="27575" spans="1:1" x14ac:dyDescent="0.25">
      <c r="A27575" t="e">
        <v>#N/A</v>
      </c>
    </row>
    <row r="27576" spans="1:1" x14ac:dyDescent="0.25">
      <c r="A27576" t="e">
        <v>#N/A</v>
      </c>
    </row>
    <row r="27577" spans="1:1" x14ac:dyDescent="0.25">
      <c r="A27577" t="e">
        <v>#N/A</v>
      </c>
    </row>
    <row r="27578" spans="1:1" x14ac:dyDescent="0.25">
      <c r="A27578" t="e">
        <v>#N/A</v>
      </c>
    </row>
    <row r="27579" spans="1:1" x14ac:dyDescent="0.25">
      <c r="A27579" t="e">
        <v>#N/A</v>
      </c>
    </row>
    <row r="27580" spans="1:1" x14ac:dyDescent="0.25">
      <c r="A27580" t="e">
        <v>#N/A</v>
      </c>
    </row>
    <row r="27581" spans="1:1" x14ac:dyDescent="0.25">
      <c r="A27581" t="e">
        <v>#N/A</v>
      </c>
    </row>
    <row r="27582" spans="1:1" x14ac:dyDescent="0.25">
      <c r="A27582" t="e">
        <v>#N/A</v>
      </c>
    </row>
    <row r="27583" spans="1:1" x14ac:dyDescent="0.25">
      <c r="A27583" t="e">
        <v>#N/A</v>
      </c>
    </row>
    <row r="27584" spans="1:1" x14ac:dyDescent="0.25">
      <c r="A27584" t="e">
        <v>#N/A</v>
      </c>
    </row>
    <row r="27585" spans="1:1" x14ac:dyDescent="0.25">
      <c r="A27585" t="e">
        <v>#N/A</v>
      </c>
    </row>
    <row r="27586" spans="1:1" x14ac:dyDescent="0.25">
      <c r="A27586" t="e">
        <v>#N/A</v>
      </c>
    </row>
    <row r="27587" spans="1:1" x14ac:dyDescent="0.25">
      <c r="A27587" t="e">
        <v>#N/A</v>
      </c>
    </row>
    <row r="27588" spans="1:1" x14ac:dyDescent="0.25">
      <c r="A27588" t="e">
        <v>#N/A</v>
      </c>
    </row>
    <row r="27589" spans="1:1" x14ac:dyDescent="0.25">
      <c r="A27589" t="e">
        <v>#N/A</v>
      </c>
    </row>
    <row r="27590" spans="1:1" x14ac:dyDescent="0.25">
      <c r="A27590" t="e">
        <v>#N/A</v>
      </c>
    </row>
    <row r="27591" spans="1:1" x14ac:dyDescent="0.25">
      <c r="A27591" t="e">
        <v>#N/A</v>
      </c>
    </row>
    <row r="27592" spans="1:1" x14ac:dyDescent="0.25">
      <c r="A27592" t="e">
        <v>#N/A</v>
      </c>
    </row>
    <row r="27593" spans="1:1" x14ac:dyDescent="0.25">
      <c r="A27593" t="e">
        <v>#N/A</v>
      </c>
    </row>
    <row r="27594" spans="1:1" x14ac:dyDescent="0.25">
      <c r="A27594" t="e">
        <v>#N/A</v>
      </c>
    </row>
    <row r="27595" spans="1:1" x14ac:dyDescent="0.25">
      <c r="A27595" t="e">
        <v>#N/A</v>
      </c>
    </row>
    <row r="27596" spans="1:1" x14ac:dyDescent="0.25">
      <c r="A27596" t="e">
        <v>#N/A</v>
      </c>
    </row>
    <row r="27597" spans="1:1" x14ac:dyDescent="0.25">
      <c r="A27597" t="e">
        <v>#N/A</v>
      </c>
    </row>
    <row r="27598" spans="1:1" x14ac:dyDescent="0.25">
      <c r="A27598" t="e">
        <v>#N/A</v>
      </c>
    </row>
    <row r="27599" spans="1:1" x14ac:dyDescent="0.25">
      <c r="A27599" t="e">
        <v>#N/A</v>
      </c>
    </row>
    <row r="27600" spans="1:1" x14ac:dyDescent="0.25">
      <c r="A27600" t="e">
        <v>#N/A</v>
      </c>
    </row>
    <row r="27601" spans="1:1" x14ac:dyDescent="0.25">
      <c r="A27601" t="e">
        <v>#N/A</v>
      </c>
    </row>
    <row r="27602" spans="1:1" x14ac:dyDescent="0.25">
      <c r="A27602" t="e">
        <v>#N/A</v>
      </c>
    </row>
    <row r="27603" spans="1:1" x14ac:dyDescent="0.25">
      <c r="A27603" t="e">
        <v>#N/A</v>
      </c>
    </row>
    <row r="27604" spans="1:1" x14ac:dyDescent="0.25">
      <c r="A27604" t="e">
        <v>#N/A</v>
      </c>
    </row>
    <row r="27605" spans="1:1" x14ac:dyDescent="0.25">
      <c r="A27605" t="e">
        <v>#N/A</v>
      </c>
    </row>
    <row r="27606" spans="1:1" x14ac:dyDescent="0.25">
      <c r="A27606" t="e">
        <v>#N/A</v>
      </c>
    </row>
    <row r="27607" spans="1:1" x14ac:dyDescent="0.25">
      <c r="A27607" t="e">
        <v>#N/A</v>
      </c>
    </row>
    <row r="27608" spans="1:1" x14ac:dyDescent="0.25">
      <c r="A27608" t="e">
        <v>#N/A</v>
      </c>
    </row>
    <row r="27609" spans="1:1" x14ac:dyDescent="0.25">
      <c r="A27609" t="e">
        <v>#N/A</v>
      </c>
    </row>
    <row r="27610" spans="1:1" x14ac:dyDescent="0.25">
      <c r="A27610" t="e">
        <v>#N/A</v>
      </c>
    </row>
    <row r="27611" spans="1:1" x14ac:dyDescent="0.25">
      <c r="A27611" t="e">
        <v>#N/A</v>
      </c>
    </row>
    <row r="27612" spans="1:1" x14ac:dyDescent="0.25">
      <c r="A27612" t="e">
        <v>#N/A</v>
      </c>
    </row>
    <row r="27613" spans="1:1" x14ac:dyDescent="0.25">
      <c r="A27613" t="e">
        <v>#N/A</v>
      </c>
    </row>
    <row r="27614" spans="1:1" x14ac:dyDescent="0.25">
      <c r="A27614" t="e">
        <v>#N/A</v>
      </c>
    </row>
    <row r="27615" spans="1:1" x14ac:dyDescent="0.25">
      <c r="A27615" t="e">
        <v>#N/A</v>
      </c>
    </row>
    <row r="27616" spans="1:1" x14ac:dyDescent="0.25">
      <c r="A27616" t="e">
        <v>#N/A</v>
      </c>
    </row>
    <row r="27617" spans="1:1" x14ac:dyDescent="0.25">
      <c r="A27617" t="e">
        <v>#N/A</v>
      </c>
    </row>
    <row r="27618" spans="1:1" x14ac:dyDescent="0.25">
      <c r="A27618" t="e">
        <v>#N/A</v>
      </c>
    </row>
    <row r="27619" spans="1:1" x14ac:dyDescent="0.25">
      <c r="A27619" t="e">
        <v>#N/A</v>
      </c>
    </row>
    <row r="27620" spans="1:1" x14ac:dyDescent="0.25">
      <c r="A27620" t="e">
        <v>#N/A</v>
      </c>
    </row>
    <row r="27621" spans="1:1" x14ac:dyDescent="0.25">
      <c r="A27621" t="e">
        <v>#N/A</v>
      </c>
    </row>
    <row r="27622" spans="1:1" x14ac:dyDescent="0.25">
      <c r="A27622" t="e">
        <v>#N/A</v>
      </c>
    </row>
    <row r="27623" spans="1:1" x14ac:dyDescent="0.25">
      <c r="A27623" t="e">
        <v>#N/A</v>
      </c>
    </row>
    <row r="27624" spans="1:1" x14ac:dyDescent="0.25">
      <c r="A27624" t="e">
        <v>#N/A</v>
      </c>
    </row>
    <row r="27625" spans="1:1" x14ac:dyDescent="0.25">
      <c r="A27625" t="e">
        <v>#N/A</v>
      </c>
    </row>
    <row r="27626" spans="1:1" x14ac:dyDescent="0.25">
      <c r="A27626" t="e">
        <v>#N/A</v>
      </c>
    </row>
    <row r="27627" spans="1:1" x14ac:dyDescent="0.25">
      <c r="A27627" t="e">
        <v>#N/A</v>
      </c>
    </row>
    <row r="27628" spans="1:1" x14ac:dyDescent="0.25">
      <c r="A27628" t="e">
        <v>#N/A</v>
      </c>
    </row>
    <row r="27629" spans="1:1" x14ac:dyDescent="0.25">
      <c r="A27629" t="e">
        <v>#N/A</v>
      </c>
    </row>
    <row r="27630" spans="1:1" x14ac:dyDescent="0.25">
      <c r="A27630" t="e">
        <v>#N/A</v>
      </c>
    </row>
    <row r="27631" spans="1:1" x14ac:dyDescent="0.25">
      <c r="A27631" t="e">
        <v>#N/A</v>
      </c>
    </row>
    <row r="27632" spans="1:1" x14ac:dyDescent="0.25">
      <c r="A27632" t="e">
        <v>#N/A</v>
      </c>
    </row>
    <row r="27633" spans="1:1" x14ac:dyDescent="0.25">
      <c r="A27633" t="e">
        <v>#N/A</v>
      </c>
    </row>
    <row r="27634" spans="1:1" x14ac:dyDescent="0.25">
      <c r="A27634" t="e">
        <v>#N/A</v>
      </c>
    </row>
    <row r="27635" spans="1:1" x14ac:dyDescent="0.25">
      <c r="A27635" t="e">
        <v>#N/A</v>
      </c>
    </row>
    <row r="27636" spans="1:1" x14ac:dyDescent="0.25">
      <c r="A27636" t="e">
        <v>#N/A</v>
      </c>
    </row>
    <row r="27637" spans="1:1" x14ac:dyDescent="0.25">
      <c r="A27637" t="e">
        <v>#N/A</v>
      </c>
    </row>
    <row r="27638" spans="1:1" x14ac:dyDescent="0.25">
      <c r="A27638" t="e">
        <v>#N/A</v>
      </c>
    </row>
    <row r="27639" spans="1:1" x14ac:dyDescent="0.25">
      <c r="A27639" t="e">
        <v>#N/A</v>
      </c>
    </row>
    <row r="27640" spans="1:1" x14ac:dyDescent="0.25">
      <c r="A27640" t="e">
        <v>#N/A</v>
      </c>
    </row>
    <row r="27641" spans="1:1" x14ac:dyDescent="0.25">
      <c r="A27641" t="e">
        <v>#N/A</v>
      </c>
    </row>
    <row r="27642" spans="1:1" x14ac:dyDescent="0.25">
      <c r="A27642" t="e">
        <v>#N/A</v>
      </c>
    </row>
    <row r="27643" spans="1:1" x14ac:dyDescent="0.25">
      <c r="A27643" t="e">
        <v>#N/A</v>
      </c>
    </row>
    <row r="27644" spans="1:1" x14ac:dyDescent="0.25">
      <c r="A27644" t="e">
        <v>#N/A</v>
      </c>
    </row>
    <row r="27645" spans="1:1" x14ac:dyDescent="0.25">
      <c r="A27645" t="e">
        <v>#N/A</v>
      </c>
    </row>
    <row r="27646" spans="1:1" x14ac:dyDescent="0.25">
      <c r="A27646" t="e">
        <v>#N/A</v>
      </c>
    </row>
    <row r="27647" spans="1:1" x14ac:dyDescent="0.25">
      <c r="A27647" t="e">
        <v>#N/A</v>
      </c>
    </row>
    <row r="27648" spans="1:1" x14ac:dyDescent="0.25">
      <c r="A27648" t="e">
        <v>#N/A</v>
      </c>
    </row>
    <row r="27649" spans="1:1" x14ac:dyDescent="0.25">
      <c r="A27649" t="e">
        <v>#N/A</v>
      </c>
    </row>
    <row r="27650" spans="1:1" x14ac:dyDescent="0.25">
      <c r="A27650" t="e">
        <v>#N/A</v>
      </c>
    </row>
    <row r="27651" spans="1:1" x14ac:dyDescent="0.25">
      <c r="A27651" t="e">
        <v>#N/A</v>
      </c>
    </row>
    <row r="27652" spans="1:1" x14ac:dyDescent="0.25">
      <c r="A27652" t="e">
        <v>#N/A</v>
      </c>
    </row>
    <row r="27653" spans="1:1" x14ac:dyDescent="0.25">
      <c r="A27653" t="e">
        <v>#N/A</v>
      </c>
    </row>
    <row r="27654" spans="1:1" x14ac:dyDescent="0.25">
      <c r="A27654" t="e">
        <v>#N/A</v>
      </c>
    </row>
    <row r="27655" spans="1:1" x14ac:dyDescent="0.25">
      <c r="A27655" t="e">
        <v>#N/A</v>
      </c>
    </row>
    <row r="27656" spans="1:1" x14ac:dyDescent="0.25">
      <c r="A27656" t="e">
        <v>#N/A</v>
      </c>
    </row>
    <row r="27657" spans="1:1" x14ac:dyDescent="0.25">
      <c r="A27657" t="e">
        <v>#N/A</v>
      </c>
    </row>
    <row r="27658" spans="1:1" x14ac:dyDescent="0.25">
      <c r="A27658" t="e">
        <v>#N/A</v>
      </c>
    </row>
    <row r="27659" spans="1:1" x14ac:dyDescent="0.25">
      <c r="A27659" t="e">
        <v>#N/A</v>
      </c>
    </row>
    <row r="27660" spans="1:1" x14ac:dyDescent="0.25">
      <c r="A27660" t="e">
        <v>#N/A</v>
      </c>
    </row>
    <row r="27661" spans="1:1" x14ac:dyDescent="0.25">
      <c r="A27661" t="e">
        <v>#N/A</v>
      </c>
    </row>
    <row r="27662" spans="1:1" x14ac:dyDescent="0.25">
      <c r="A27662" t="e">
        <v>#N/A</v>
      </c>
    </row>
    <row r="27663" spans="1:1" x14ac:dyDescent="0.25">
      <c r="A27663" t="e">
        <v>#N/A</v>
      </c>
    </row>
    <row r="27664" spans="1:1" x14ac:dyDescent="0.25">
      <c r="A27664" t="e">
        <v>#N/A</v>
      </c>
    </row>
    <row r="27665" spans="1:1" x14ac:dyDescent="0.25">
      <c r="A27665" t="e">
        <v>#N/A</v>
      </c>
    </row>
    <row r="27666" spans="1:1" x14ac:dyDescent="0.25">
      <c r="A27666" t="e">
        <v>#N/A</v>
      </c>
    </row>
    <row r="27667" spans="1:1" x14ac:dyDescent="0.25">
      <c r="A27667" t="e">
        <v>#N/A</v>
      </c>
    </row>
    <row r="27668" spans="1:1" x14ac:dyDescent="0.25">
      <c r="A27668" t="e">
        <v>#N/A</v>
      </c>
    </row>
    <row r="27669" spans="1:1" x14ac:dyDescent="0.25">
      <c r="A27669" t="e">
        <v>#N/A</v>
      </c>
    </row>
    <row r="27670" spans="1:1" x14ac:dyDescent="0.25">
      <c r="A27670" t="e">
        <v>#N/A</v>
      </c>
    </row>
    <row r="27671" spans="1:1" x14ac:dyDescent="0.25">
      <c r="A27671" t="e">
        <v>#N/A</v>
      </c>
    </row>
    <row r="27672" spans="1:1" x14ac:dyDescent="0.25">
      <c r="A27672" t="e">
        <v>#N/A</v>
      </c>
    </row>
    <row r="27673" spans="1:1" x14ac:dyDescent="0.25">
      <c r="A27673" t="e">
        <v>#N/A</v>
      </c>
    </row>
    <row r="27674" spans="1:1" x14ac:dyDescent="0.25">
      <c r="A27674" t="e">
        <v>#N/A</v>
      </c>
    </row>
    <row r="27675" spans="1:1" x14ac:dyDescent="0.25">
      <c r="A27675" t="e">
        <v>#N/A</v>
      </c>
    </row>
    <row r="27676" spans="1:1" x14ac:dyDescent="0.25">
      <c r="A27676" t="e">
        <v>#N/A</v>
      </c>
    </row>
    <row r="27677" spans="1:1" x14ac:dyDescent="0.25">
      <c r="A27677" t="e">
        <v>#N/A</v>
      </c>
    </row>
    <row r="27678" spans="1:1" x14ac:dyDescent="0.25">
      <c r="A27678" t="e">
        <v>#N/A</v>
      </c>
    </row>
    <row r="27679" spans="1:1" x14ac:dyDescent="0.25">
      <c r="A27679" t="e">
        <v>#N/A</v>
      </c>
    </row>
    <row r="27680" spans="1:1" x14ac:dyDescent="0.25">
      <c r="A27680" t="e">
        <v>#N/A</v>
      </c>
    </row>
    <row r="27681" spans="1:1" x14ac:dyDescent="0.25">
      <c r="A27681" t="e">
        <v>#N/A</v>
      </c>
    </row>
    <row r="27682" spans="1:1" x14ac:dyDescent="0.25">
      <c r="A27682" t="e">
        <v>#N/A</v>
      </c>
    </row>
    <row r="27683" spans="1:1" x14ac:dyDescent="0.25">
      <c r="A27683" t="e">
        <v>#N/A</v>
      </c>
    </row>
    <row r="27684" spans="1:1" x14ac:dyDescent="0.25">
      <c r="A27684" t="e">
        <v>#N/A</v>
      </c>
    </row>
    <row r="27685" spans="1:1" x14ac:dyDescent="0.25">
      <c r="A27685" t="e">
        <v>#N/A</v>
      </c>
    </row>
    <row r="27686" spans="1:1" x14ac:dyDescent="0.25">
      <c r="A27686" t="e">
        <v>#N/A</v>
      </c>
    </row>
    <row r="27687" spans="1:1" x14ac:dyDescent="0.25">
      <c r="A27687" t="e">
        <v>#N/A</v>
      </c>
    </row>
    <row r="27688" spans="1:1" x14ac:dyDescent="0.25">
      <c r="A27688" t="e">
        <v>#N/A</v>
      </c>
    </row>
    <row r="27689" spans="1:1" x14ac:dyDescent="0.25">
      <c r="A27689" t="e">
        <v>#N/A</v>
      </c>
    </row>
    <row r="27690" spans="1:1" x14ac:dyDescent="0.25">
      <c r="A27690" t="e">
        <v>#N/A</v>
      </c>
    </row>
    <row r="27691" spans="1:1" x14ac:dyDescent="0.25">
      <c r="A27691" t="e">
        <v>#N/A</v>
      </c>
    </row>
    <row r="27692" spans="1:1" x14ac:dyDescent="0.25">
      <c r="A27692" t="e">
        <v>#N/A</v>
      </c>
    </row>
    <row r="27693" spans="1:1" x14ac:dyDescent="0.25">
      <c r="A27693" t="e">
        <v>#N/A</v>
      </c>
    </row>
    <row r="27694" spans="1:1" x14ac:dyDescent="0.25">
      <c r="A27694" t="e">
        <v>#N/A</v>
      </c>
    </row>
    <row r="27695" spans="1:1" x14ac:dyDescent="0.25">
      <c r="A27695" t="e">
        <v>#N/A</v>
      </c>
    </row>
    <row r="27696" spans="1:1" x14ac:dyDescent="0.25">
      <c r="A27696" t="e">
        <v>#N/A</v>
      </c>
    </row>
    <row r="27697" spans="1:1" x14ac:dyDescent="0.25">
      <c r="A27697" t="e">
        <v>#N/A</v>
      </c>
    </row>
    <row r="27698" spans="1:1" x14ac:dyDescent="0.25">
      <c r="A27698" t="e">
        <v>#N/A</v>
      </c>
    </row>
    <row r="27699" spans="1:1" x14ac:dyDescent="0.25">
      <c r="A27699" t="e">
        <v>#N/A</v>
      </c>
    </row>
    <row r="27700" spans="1:1" x14ac:dyDescent="0.25">
      <c r="A27700" t="e">
        <v>#N/A</v>
      </c>
    </row>
    <row r="27701" spans="1:1" x14ac:dyDescent="0.25">
      <c r="A27701" t="e">
        <v>#N/A</v>
      </c>
    </row>
    <row r="27702" spans="1:1" x14ac:dyDescent="0.25">
      <c r="A27702" t="e">
        <v>#N/A</v>
      </c>
    </row>
    <row r="27703" spans="1:1" x14ac:dyDescent="0.25">
      <c r="A27703" t="e">
        <v>#N/A</v>
      </c>
    </row>
    <row r="27704" spans="1:1" x14ac:dyDescent="0.25">
      <c r="A27704" t="e">
        <v>#N/A</v>
      </c>
    </row>
    <row r="27705" spans="1:1" x14ac:dyDescent="0.25">
      <c r="A27705" t="e">
        <v>#N/A</v>
      </c>
    </row>
    <row r="27706" spans="1:1" x14ac:dyDescent="0.25">
      <c r="A27706" t="e">
        <v>#N/A</v>
      </c>
    </row>
    <row r="27707" spans="1:1" x14ac:dyDescent="0.25">
      <c r="A27707" t="e">
        <v>#N/A</v>
      </c>
    </row>
    <row r="27708" spans="1:1" x14ac:dyDescent="0.25">
      <c r="A27708" t="e">
        <v>#N/A</v>
      </c>
    </row>
    <row r="27709" spans="1:1" x14ac:dyDescent="0.25">
      <c r="A27709" t="e">
        <v>#N/A</v>
      </c>
    </row>
    <row r="27710" spans="1:1" x14ac:dyDescent="0.25">
      <c r="A27710" t="e">
        <v>#N/A</v>
      </c>
    </row>
    <row r="27711" spans="1:1" x14ac:dyDescent="0.25">
      <c r="A27711" t="e">
        <v>#N/A</v>
      </c>
    </row>
    <row r="27712" spans="1:1" x14ac:dyDescent="0.25">
      <c r="A27712" t="e">
        <v>#N/A</v>
      </c>
    </row>
    <row r="27713" spans="1:1" x14ac:dyDescent="0.25">
      <c r="A27713" t="e">
        <v>#N/A</v>
      </c>
    </row>
    <row r="27714" spans="1:1" x14ac:dyDescent="0.25">
      <c r="A27714" t="e">
        <v>#N/A</v>
      </c>
    </row>
    <row r="27715" spans="1:1" x14ac:dyDescent="0.25">
      <c r="A27715" t="e">
        <v>#N/A</v>
      </c>
    </row>
    <row r="27716" spans="1:1" x14ac:dyDescent="0.25">
      <c r="A27716" t="e">
        <v>#N/A</v>
      </c>
    </row>
    <row r="27717" spans="1:1" x14ac:dyDescent="0.25">
      <c r="A27717" t="e">
        <v>#N/A</v>
      </c>
    </row>
    <row r="27718" spans="1:1" x14ac:dyDescent="0.25">
      <c r="A27718" t="e">
        <v>#N/A</v>
      </c>
    </row>
    <row r="27719" spans="1:1" x14ac:dyDescent="0.25">
      <c r="A27719" t="e">
        <v>#N/A</v>
      </c>
    </row>
    <row r="27720" spans="1:1" x14ac:dyDescent="0.25">
      <c r="A27720" t="e">
        <v>#N/A</v>
      </c>
    </row>
    <row r="27721" spans="1:1" x14ac:dyDescent="0.25">
      <c r="A27721" t="e">
        <v>#N/A</v>
      </c>
    </row>
    <row r="27722" spans="1:1" x14ac:dyDescent="0.25">
      <c r="A27722" t="e">
        <v>#N/A</v>
      </c>
    </row>
    <row r="27723" spans="1:1" x14ac:dyDescent="0.25">
      <c r="A27723" t="e">
        <v>#N/A</v>
      </c>
    </row>
    <row r="27724" spans="1:1" x14ac:dyDescent="0.25">
      <c r="A27724" t="e">
        <v>#N/A</v>
      </c>
    </row>
    <row r="27725" spans="1:1" x14ac:dyDescent="0.25">
      <c r="A27725" t="e">
        <v>#N/A</v>
      </c>
    </row>
    <row r="27726" spans="1:1" x14ac:dyDescent="0.25">
      <c r="A27726" t="e">
        <v>#N/A</v>
      </c>
    </row>
    <row r="27727" spans="1:1" x14ac:dyDescent="0.25">
      <c r="A27727" t="e">
        <v>#N/A</v>
      </c>
    </row>
    <row r="27728" spans="1:1" x14ac:dyDescent="0.25">
      <c r="A27728" t="e">
        <v>#N/A</v>
      </c>
    </row>
    <row r="27729" spans="1:1" x14ac:dyDescent="0.25">
      <c r="A27729" t="e">
        <v>#N/A</v>
      </c>
    </row>
    <row r="27730" spans="1:1" x14ac:dyDescent="0.25">
      <c r="A27730" t="e">
        <v>#N/A</v>
      </c>
    </row>
    <row r="27731" spans="1:1" x14ac:dyDescent="0.25">
      <c r="A27731" t="e">
        <v>#N/A</v>
      </c>
    </row>
    <row r="27732" spans="1:1" x14ac:dyDescent="0.25">
      <c r="A27732" t="e">
        <v>#N/A</v>
      </c>
    </row>
    <row r="27733" spans="1:1" x14ac:dyDescent="0.25">
      <c r="A27733" t="e">
        <v>#N/A</v>
      </c>
    </row>
    <row r="27734" spans="1:1" x14ac:dyDescent="0.25">
      <c r="A27734" t="e">
        <v>#N/A</v>
      </c>
    </row>
    <row r="27735" spans="1:1" x14ac:dyDescent="0.25">
      <c r="A27735" t="e">
        <v>#N/A</v>
      </c>
    </row>
    <row r="27736" spans="1:1" x14ac:dyDescent="0.25">
      <c r="A27736" t="e">
        <v>#N/A</v>
      </c>
    </row>
    <row r="27737" spans="1:1" x14ac:dyDescent="0.25">
      <c r="A27737" t="e">
        <v>#N/A</v>
      </c>
    </row>
    <row r="27738" spans="1:1" x14ac:dyDescent="0.25">
      <c r="A27738" t="e">
        <v>#N/A</v>
      </c>
    </row>
    <row r="27739" spans="1:1" x14ac:dyDescent="0.25">
      <c r="A27739" t="e">
        <v>#N/A</v>
      </c>
    </row>
    <row r="27740" spans="1:1" x14ac:dyDescent="0.25">
      <c r="A27740" t="e">
        <v>#N/A</v>
      </c>
    </row>
    <row r="27741" spans="1:1" x14ac:dyDescent="0.25">
      <c r="A27741" t="e">
        <v>#N/A</v>
      </c>
    </row>
    <row r="27742" spans="1:1" x14ac:dyDescent="0.25">
      <c r="A27742" t="e">
        <v>#N/A</v>
      </c>
    </row>
    <row r="27743" spans="1:1" x14ac:dyDescent="0.25">
      <c r="A27743" t="e">
        <v>#N/A</v>
      </c>
    </row>
    <row r="27744" spans="1:1" x14ac:dyDescent="0.25">
      <c r="A27744" t="e">
        <v>#N/A</v>
      </c>
    </row>
    <row r="27745" spans="1:1" x14ac:dyDescent="0.25">
      <c r="A27745" t="e">
        <v>#N/A</v>
      </c>
    </row>
    <row r="27746" spans="1:1" x14ac:dyDescent="0.25">
      <c r="A27746" t="e">
        <v>#N/A</v>
      </c>
    </row>
    <row r="27747" spans="1:1" x14ac:dyDescent="0.25">
      <c r="A27747" t="e">
        <v>#N/A</v>
      </c>
    </row>
    <row r="27748" spans="1:1" x14ac:dyDescent="0.25">
      <c r="A27748" t="e">
        <v>#N/A</v>
      </c>
    </row>
    <row r="27749" spans="1:1" x14ac:dyDescent="0.25">
      <c r="A27749" t="e">
        <v>#N/A</v>
      </c>
    </row>
    <row r="27750" spans="1:1" x14ac:dyDescent="0.25">
      <c r="A27750" t="e">
        <v>#N/A</v>
      </c>
    </row>
    <row r="27751" spans="1:1" x14ac:dyDescent="0.25">
      <c r="A27751" t="e">
        <v>#N/A</v>
      </c>
    </row>
    <row r="27752" spans="1:1" x14ac:dyDescent="0.25">
      <c r="A27752" t="e">
        <v>#N/A</v>
      </c>
    </row>
    <row r="27753" spans="1:1" x14ac:dyDescent="0.25">
      <c r="A27753" t="e">
        <v>#N/A</v>
      </c>
    </row>
    <row r="27754" spans="1:1" x14ac:dyDescent="0.25">
      <c r="A27754" t="e">
        <v>#N/A</v>
      </c>
    </row>
    <row r="27755" spans="1:1" x14ac:dyDescent="0.25">
      <c r="A27755" t="e">
        <v>#N/A</v>
      </c>
    </row>
    <row r="27756" spans="1:1" x14ac:dyDescent="0.25">
      <c r="A27756" t="e">
        <v>#N/A</v>
      </c>
    </row>
    <row r="27757" spans="1:1" x14ac:dyDescent="0.25">
      <c r="A27757" t="e">
        <v>#N/A</v>
      </c>
    </row>
    <row r="27758" spans="1:1" x14ac:dyDescent="0.25">
      <c r="A27758" t="e">
        <v>#N/A</v>
      </c>
    </row>
    <row r="27759" spans="1:1" x14ac:dyDescent="0.25">
      <c r="A27759" t="e">
        <v>#N/A</v>
      </c>
    </row>
    <row r="27760" spans="1:1" x14ac:dyDescent="0.25">
      <c r="A27760" t="e">
        <v>#N/A</v>
      </c>
    </row>
    <row r="27761" spans="1:1" x14ac:dyDescent="0.25">
      <c r="A27761" t="e">
        <v>#N/A</v>
      </c>
    </row>
    <row r="27762" spans="1:1" x14ac:dyDescent="0.25">
      <c r="A27762" t="e">
        <v>#N/A</v>
      </c>
    </row>
    <row r="27763" spans="1:1" x14ac:dyDescent="0.25">
      <c r="A27763" t="e">
        <v>#N/A</v>
      </c>
    </row>
    <row r="27764" spans="1:1" x14ac:dyDescent="0.25">
      <c r="A27764" t="e">
        <v>#N/A</v>
      </c>
    </row>
    <row r="27765" spans="1:1" x14ac:dyDescent="0.25">
      <c r="A27765" t="e">
        <v>#N/A</v>
      </c>
    </row>
    <row r="27766" spans="1:1" x14ac:dyDescent="0.25">
      <c r="A27766" t="e">
        <v>#N/A</v>
      </c>
    </row>
    <row r="27767" spans="1:1" x14ac:dyDescent="0.25">
      <c r="A27767" t="e">
        <v>#N/A</v>
      </c>
    </row>
    <row r="27768" spans="1:1" x14ac:dyDescent="0.25">
      <c r="A27768" t="e">
        <v>#N/A</v>
      </c>
    </row>
    <row r="27769" spans="1:1" x14ac:dyDescent="0.25">
      <c r="A27769" t="e">
        <v>#N/A</v>
      </c>
    </row>
    <row r="27770" spans="1:1" x14ac:dyDescent="0.25">
      <c r="A27770" t="e">
        <v>#N/A</v>
      </c>
    </row>
    <row r="27771" spans="1:1" x14ac:dyDescent="0.25">
      <c r="A27771" t="e">
        <v>#N/A</v>
      </c>
    </row>
    <row r="27772" spans="1:1" x14ac:dyDescent="0.25">
      <c r="A27772" t="e">
        <v>#N/A</v>
      </c>
    </row>
    <row r="27773" spans="1:1" x14ac:dyDescent="0.25">
      <c r="A27773" t="e">
        <v>#N/A</v>
      </c>
    </row>
    <row r="27774" spans="1:1" x14ac:dyDescent="0.25">
      <c r="A27774" t="e">
        <v>#N/A</v>
      </c>
    </row>
    <row r="27775" spans="1:1" x14ac:dyDescent="0.25">
      <c r="A27775" t="e">
        <v>#N/A</v>
      </c>
    </row>
    <row r="27776" spans="1:1" x14ac:dyDescent="0.25">
      <c r="A27776" t="e">
        <v>#N/A</v>
      </c>
    </row>
    <row r="27777" spans="1:1" x14ac:dyDescent="0.25">
      <c r="A27777" t="e">
        <v>#N/A</v>
      </c>
    </row>
    <row r="27778" spans="1:1" x14ac:dyDescent="0.25">
      <c r="A27778" t="e">
        <v>#N/A</v>
      </c>
    </row>
    <row r="27779" spans="1:1" x14ac:dyDescent="0.25">
      <c r="A27779" t="e">
        <v>#N/A</v>
      </c>
    </row>
    <row r="27780" spans="1:1" x14ac:dyDescent="0.25">
      <c r="A27780" t="e">
        <v>#N/A</v>
      </c>
    </row>
    <row r="27781" spans="1:1" x14ac:dyDescent="0.25">
      <c r="A27781" t="e">
        <v>#N/A</v>
      </c>
    </row>
    <row r="27782" spans="1:1" x14ac:dyDescent="0.25">
      <c r="A27782" t="e">
        <v>#N/A</v>
      </c>
    </row>
    <row r="27783" spans="1:1" x14ac:dyDescent="0.25">
      <c r="A27783" t="e">
        <v>#N/A</v>
      </c>
    </row>
    <row r="27784" spans="1:1" x14ac:dyDescent="0.25">
      <c r="A27784" t="e">
        <v>#N/A</v>
      </c>
    </row>
    <row r="27785" spans="1:1" x14ac:dyDescent="0.25">
      <c r="A27785" t="e">
        <v>#N/A</v>
      </c>
    </row>
    <row r="27786" spans="1:1" x14ac:dyDescent="0.25">
      <c r="A27786" t="e">
        <v>#N/A</v>
      </c>
    </row>
    <row r="27787" spans="1:1" x14ac:dyDescent="0.25">
      <c r="A27787" t="e">
        <v>#N/A</v>
      </c>
    </row>
    <row r="27788" spans="1:1" x14ac:dyDescent="0.25">
      <c r="A27788" t="e">
        <v>#N/A</v>
      </c>
    </row>
    <row r="27789" spans="1:1" x14ac:dyDescent="0.25">
      <c r="A27789" t="e">
        <v>#N/A</v>
      </c>
    </row>
    <row r="27790" spans="1:1" x14ac:dyDescent="0.25">
      <c r="A27790" t="e">
        <v>#N/A</v>
      </c>
    </row>
    <row r="27791" spans="1:1" x14ac:dyDescent="0.25">
      <c r="A27791" t="e">
        <v>#N/A</v>
      </c>
    </row>
    <row r="27792" spans="1:1" x14ac:dyDescent="0.25">
      <c r="A27792" t="e">
        <v>#N/A</v>
      </c>
    </row>
    <row r="27793" spans="1:1" x14ac:dyDescent="0.25">
      <c r="A27793" t="e">
        <v>#N/A</v>
      </c>
    </row>
    <row r="27794" spans="1:1" x14ac:dyDescent="0.25">
      <c r="A27794" t="e">
        <v>#N/A</v>
      </c>
    </row>
    <row r="27795" spans="1:1" x14ac:dyDescent="0.25">
      <c r="A27795" t="e">
        <v>#N/A</v>
      </c>
    </row>
    <row r="27796" spans="1:1" x14ac:dyDescent="0.25">
      <c r="A27796" t="e">
        <v>#N/A</v>
      </c>
    </row>
    <row r="27797" spans="1:1" x14ac:dyDescent="0.25">
      <c r="A27797" t="e">
        <v>#N/A</v>
      </c>
    </row>
    <row r="27798" spans="1:1" x14ac:dyDescent="0.25">
      <c r="A27798" t="e">
        <v>#N/A</v>
      </c>
    </row>
    <row r="27799" spans="1:1" x14ac:dyDescent="0.25">
      <c r="A27799" t="e">
        <v>#N/A</v>
      </c>
    </row>
    <row r="27800" spans="1:1" x14ac:dyDescent="0.25">
      <c r="A27800" t="e">
        <v>#N/A</v>
      </c>
    </row>
    <row r="27801" spans="1:1" x14ac:dyDescent="0.25">
      <c r="A27801" t="e">
        <v>#N/A</v>
      </c>
    </row>
    <row r="27802" spans="1:1" x14ac:dyDescent="0.25">
      <c r="A27802" t="e">
        <v>#N/A</v>
      </c>
    </row>
    <row r="27803" spans="1:1" x14ac:dyDescent="0.25">
      <c r="A27803" t="e">
        <v>#N/A</v>
      </c>
    </row>
    <row r="27804" spans="1:1" x14ac:dyDescent="0.25">
      <c r="A27804" t="e">
        <v>#N/A</v>
      </c>
    </row>
    <row r="27805" spans="1:1" x14ac:dyDescent="0.25">
      <c r="A27805" t="e">
        <v>#N/A</v>
      </c>
    </row>
    <row r="27806" spans="1:1" x14ac:dyDescent="0.25">
      <c r="A27806" t="e">
        <v>#N/A</v>
      </c>
    </row>
    <row r="27807" spans="1:1" x14ac:dyDescent="0.25">
      <c r="A27807" t="e">
        <v>#N/A</v>
      </c>
    </row>
    <row r="27808" spans="1:1" x14ac:dyDescent="0.25">
      <c r="A27808" t="e">
        <v>#N/A</v>
      </c>
    </row>
    <row r="27809" spans="1:1" x14ac:dyDescent="0.25">
      <c r="A27809" t="e">
        <v>#N/A</v>
      </c>
    </row>
    <row r="27810" spans="1:1" x14ac:dyDescent="0.25">
      <c r="A27810" t="e">
        <v>#N/A</v>
      </c>
    </row>
    <row r="27811" spans="1:1" x14ac:dyDescent="0.25">
      <c r="A27811" t="e">
        <v>#N/A</v>
      </c>
    </row>
    <row r="27812" spans="1:1" x14ac:dyDescent="0.25">
      <c r="A27812" t="e">
        <v>#N/A</v>
      </c>
    </row>
    <row r="27813" spans="1:1" x14ac:dyDescent="0.25">
      <c r="A27813" t="e">
        <v>#N/A</v>
      </c>
    </row>
    <row r="27814" spans="1:1" x14ac:dyDescent="0.25">
      <c r="A27814" t="e">
        <v>#N/A</v>
      </c>
    </row>
    <row r="27815" spans="1:1" x14ac:dyDescent="0.25">
      <c r="A27815" t="e">
        <v>#N/A</v>
      </c>
    </row>
    <row r="27816" spans="1:1" x14ac:dyDescent="0.25">
      <c r="A27816" t="e">
        <v>#N/A</v>
      </c>
    </row>
    <row r="27817" spans="1:1" x14ac:dyDescent="0.25">
      <c r="A27817" t="e">
        <v>#N/A</v>
      </c>
    </row>
    <row r="27818" spans="1:1" x14ac:dyDescent="0.25">
      <c r="A27818" t="e">
        <v>#N/A</v>
      </c>
    </row>
    <row r="27819" spans="1:1" x14ac:dyDescent="0.25">
      <c r="A27819" t="e">
        <v>#N/A</v>
      </c>
    </row>
    <row r="27820" spans="1:1" x14ac:dyDescent="0.25">
      <c r="A27820" t="e">
        <v>#N/A</v>
      </c>
    </row>
    <row r="27821" spans="1:1" x14ac:dyDescent="0.25">
      <c r="A27821" t="e">
        <v>#N/A</v>
      </c>
    </row>
    <row r="27822" spans="1:1" x14ac:dyDescent="0.25">
      <c r="A27822" t="e">
        <v>#N/A</v>
      </c>
    </row>
    <row r="27823" spans="1:1" x14ac:dyDescent="0.25">
      <c r="A27823" t="e">
        <v>#N/A</v>
      </c>
    </row>
    <row r="27824" spans="1:1" x14ac:dyDescent="0.25">
      <c r="A27824" t="e">
        <v>#N/A</v>
      </c>
    </row>
    <row r="27825" spans="1:1" x14ac:dyDescent="0.25">
      <c r="A27825" t="e">
        <v>#N/A</v>
      </c>
    </row>
    <row r="27826" spans="1:1" x14ac:dyDescent="0.25">
      <c r="A27826" t="e">
        <v>#N/A</v>
      </c>
    </row>
    <row r="27827" spans="1:1" x14ac:dyDescent="0.25">
      <c r="A27827" t="e">
        <v>#N/A</v>
      </c>
    </row>
    <row r="27828" spans="1:1" x14ac:dyDescent="0.25">
      <c r="A27828" t="e">
        <v>#N/A</v>
      </c>
    </row>
    <row r="27829" spans="1:1" x14ac:dyDescent="0.25">
      <c r="A27829" t="e">
        <v>#N/A</v>
      </c>
    </row>
    <row r="27830" spans="1:1" x14ac:dyDescent="0.25">
      <c r="A27830" t="e">
        <v>#N/A</v>
      </c>
    </row>
    <row r="27831" spans="1:1" x14ac:dyDescent="0.25">
      <c r="A27831" t="e">
        <v>#N/A</v>
      </c>
    </row>
    <row r="27832" spans="1:1" x14ac:dyDescent="0.25">
      <c r="A27832" t="e">
        <v>#N/A</v>
      </c>
    </row>
    <row r="27833" spans="1:1" x14ac:dyDescent="0.25">
      <c r="A27833" t="e">
        <v>#N/A</v>
      </c>
    </row>
    <row r="27834" spans="1:1" x14ac:dyDescent="0.25">
      <c r="A27834" t="e">
        <v>#N/A</v>
      </c>
    </row>
    <row r="27835" spans="1:1" x14ac:dyDescent="0.25">
      <c r="A27835" t="e">
        <v>#N/A</v>
      </c>
    </row>
    <row r="27836" spans="1:1" x14ac:dyDescent="0.25">
      <c r="A27836" t="e">
        <v>#N/A</v>
      </c>
    </row>
    <row r="27837" spans="1:1" x14ac:dyDescent="0.25">
      <c r="A27837" t="e">
        <v>#N/A</v>
      </c>
    </row>
    <row r="27838" spans="1:1" x14ac:dyDescent="0.25">
      <c r="A27838" t="e">
        <v>#N/A</v>
      </c>
    </row>
    <row r="27839" spans="1:1" x14ac:dyDescent="0.25">
      <c r="A27839" t="e">
        <v>#N/A</v>
      </c>
    </row>
    <row r="27840" spans="1:1" x14ac:dyDescent="0.25">
      <c r="A27840" t="e">
        <v>#N/A</v>
      </c>
    </row>
    <row r="27841" spans="1:1" x14ac:dyDescent="0.25">
      <c r="A27841" t="e">
        <v>#N/A</v>
      </c>
    </row>
    <row r="27842" spans="1:1" x14ac:dyDescent="0.25">
      <c r="A27842" t="e">
        <v>#N/A</v>
      </c>
    </row>
    <row r="27843" spans="1:1" x14ac:dyDescent="0.25">
      <c r="A27843" t="e">
        <v>#N/A</v>
      </c>
    </row>
    <row r="27844" spans="1:1" x14ac:dyDescent="0.25">
      <c r="A27844" t="e">
        <v>#N/A</v>
      </c>
    </row>
    <row r="27845" spans="1:1" x14ac:dyDescent="0.25">
      <c r="A27845" t="e">
        <v>#N/A</v>
      </c>
    </row>
    <row r="27846" spans="1:1" x14ac:dyDescent="0.25">
      <c r="A27846" t="e">
        <v>#N/A</v>
      </c>
    </row>
    <row r="27847" spans="1:1" x14ac:dyDescent="0.25">
      <c r="A27847" t="e">
        <v>#N/A</v>
      </c>
    </row>
    <row r="27848" spans="1:1" x14ac:dyDescent="0.25">
      <c r="A27848" t="e">
        <v>#N/A</v>
      </c>
    </row>
    <row r="27849" spans="1:1" x14ac:dyDescent="0.25">
      <c r="A27849" t="e">
        <v>#N/A</v>
      </c>
    </row>
    <row r="27850" spans="1:1" x14ac:dyDescent="0.25">
      <c r="A27850" t="e">
        <v>#N/A</v>
      </c>
    </row>
    <row r="27851" spans="1:1" x14ac:dyDescent="0.25">
      <c r="A27851" t="e">
        <v>#N/A</v>
      </c>
    </row>
    <row r="27852" spans="1:1" x14ac:dyDescent="0.25">
      <c r="A27852" t="e">
        <v>#N/A</v>
      </c>
    </row>
    <row r="27853" spans="1:1" x14ac:dyDescent="0.25">
      <c r="A27853" t="e">
        <v>#N/A</v>
      </c>
    </row>
    <row r="27854" spans="1:1" x14ac:dyDescent="0.25">
      <c r="A27854" t="e">
        <v>#N/A</v>
      </c>
    </row>
    <row r="27855" spans="1:1" x14ac:dyDescent="0.25">
      <c r="A27855" t="e">
        <v>#N/A</v>
      </c>
    </row>
    <row r="27856" spans="1:1" x14ac:dyDescent="0.25">
      <c r="A27856" t="e">
        <v>#N/A</v>
      </c>
    </row>
    <row r="27857" spans="1:1" x14ac:dyDescent="0.25">
      <c r="A27857" t="e">
        <v>#N/A</v>
      </c>
    </row>
    <row r="27858" spans="1:1" x14ac:dyDescent="0.25">
      <c r="A27858" t="e">
        <v>#N/A</v>
      </c>
    </row>
    <row r="27859" spans="1:1" x14ac:dyDescent="0.25">
      <c r="A27859" t="e">
        <v>#N/A</v>
      </c>
    </row>
    <row r="27860" spans="1:1" x14ac:dyDescent="0.25">
      <c r="A27860" t="e">
        <v>#N/A</v>
      </c>
    </row>
    <row r="27861" spans="1:1" x14ac:dyDescent="0.25">
      <c r="A27861" t="e">
        <v>#N/A</v>
      </c>
    </row>
    <row r="27862" spans="1:1" x14ac:dyDescent="0.25">
      <c r="A27862" t="e">
        <v>#N/A</v>
      </c>
    </row>
    <row r="27863" spans="1:1" x14ac:dyDescent="0.25">
      <c r="A27863" t="e">
        <v>#N/A</v>
      </c>
    </row>
    <row r="27864" spans="1:1" x14ac:dyDescent="0.25">
      <c r="A27864" t="e">
        <v>#N/A</v>
      </c>
    </row>
    <row r="27865" spans="1:1" x14ac:dyDescent="0.25">
      <c r="A27865" t="e">
        <v>#N/A</v>
      </c>
    </row>
    <row r="27866" spans="1:1" x14ac:dyDescent="0.25">
      <c r="A27866" t="e">
        <v>#N/A</v>
      </c>
    </row>
    <row r="27867" spans="1:1" x14ac:dyDescent="0.25">
      <c r="A27867" t="e">
        <v>#N/A</v>
      </c>
    </row>
    <row r="27868" spans="1:1" x14ac:dyDescent="0.25">
      <c r="A27868" t="e">
        <v>#N/A</v>
      </c>
    </row>
    <row r="27869" spans="1:1" x14ac:dyDescent="0.25">
      <c r="A27869" t="e">
        <v>#N/A</v>
      </c>
    </row>
    <row r="27870" spans="1:1" x14ac:dyDescent="0.25">
      <c r="A27870" t="e">
        <v>#N/A</v>
      </c>
    </row>
    <row r="27871" spans="1:1" x14ac:dyDescent="0.25">
      <c r="A27871" t="e">
        <v>#N/A</v>
      </c>
    </row>
    <row r="27872" spans="1:1" x14ac:dyDescent="0.25">
      <c r="A27872" t="e">
        <v>#N/A</v>
      </c>
    </row>
    <row r="27873" spans="1:1" x14ac:dyDescent="0.25">
      <c r="A27873" t="e">
        <v>#N/A</v>
      </c>
    </row>
    <row r="27874" spans="1:1" x14ac:dyDescent="0.25">
      <c r="A27874" t="e">
        <v>#N/A</v>
      </c>
    </row>
    <row r="27875" spans="1:1" x14ac:dyDescent="0.25">
      <c r="A27875" t="e">
        <v>#N/A</v>
      </c>
    </row>
    <row r="27876" spans="1:1" x14ac:dyDescent="0.25">
      <c r="A27876" t="e">
        <v>#N/A</v>
      </c>
    </row>
    <row r="27877" spans="1:1" x14ac:dyDescent="0.25">
      <c r="A27877" t="e">
        <v>#N/A</v>
      </c>
    </row>
    <row r="27878" spans="1:1" x14ac:dyDescent="0.25">
      <c r="A27878" t="e">
        <v>#N/A</v>
      </c>
    </row>
    <row r="27879" spans="1:1" x14ac:dyDescent="0.25">
      <c r="A27879" t="e">
        <v>#N/A</v>
      </c>
    </row>
    <row r="27880" spans="1:1" x14ac:dyDescent="0.25">
      <c r="A27880" t="e">
        <v>#N/A</v>
      </c>
    </row>
    <row r="27881" spans="1:1" x14ac:dyDescent="0.25">
      <c r="A27881" t="e">
        <v>#N/A</v>
      </c>
    </row>
    <row r="27882" spans="1:1" x14ac:dyDescent="0.25">
      <c r="A27882" t="e">
        <v>#N/A</v>
      </c>
    </row>
    <row r="27883" spans="1:1" x14ac:dyDescent="0.25">
      <c r="A27883" t="e">
        <v>#N/A</v>
      </c>
    </row>
    <row r="27884" spans="1:1" x14ac:dyDescent="0.25">
      <c r="A27884" t="e">
        <v>#N/A</v>
      </c>
    </row>
    <row r="27885" spans="1:1" x14ac:dyDescent="0.25">
      <c r="A27885" t="e">
        <v>#N/A</v>
      </c>
    </row>
    <row r="27886" spans="1:1" x14ac:dyDescent="0.25">
      <c r="A27886" t="e">
        <v>#N/A</v>
      </c>
    </row>
    <row r="27887" spans="1:1" x14ac:dyDescent="0.25">
      <c r="A27887" t="e">
        <v>#N/A</v>
      </c>
    </row>
    <row r="27888" spans="1:1" x14ac:dyDescent="0.25">
      <c r="A27888" t="e">
        <v>#N/A</v>
      </c>
    </row>
    <row r="27889" spans="1:1" x14ac:dyDescent="0.25">
      <c r="A27889" t="e">
        <v>#N/A</v>
      </c>
    </row>
    <row r="27890" spans="1:1" x14ac:dyDescent="0.25">
      <c r="A27890" t="e">
        <v>#N/A</v>
      </c>
    </row>
    <row r="27891" spans="1:1" x14ac:dyDescent="0.25">
      <c r="A27891" t="e">
        <v>#N/A</v>
      </c>
    </row>
    <row r="27892" spans="1:1" x14ac:dyDescent="0.25">
      <c r="A27892" t="e">
        <v>#N/A</v>
      </c>
    </row>
    <row r="27893" spans="1:1" x14ac:dyDescent="0.25">
      <c r="A27893" t="e">
        <v>#N/A</v>
      </c>
    </row>
    <row r="27894" spans="1:1" x14ac:dyDescent="0.25">
      <c r="A27894" t="e">
        <v>#N/A</v>
      </c>
    </row>
    <row r="27895" spans="1:1" x14ac:dyDescent="0.25">
      <c r="A27895" t="e">
        <v>#N/A</v>
      </c>
    </row>
    <row r="27896" spans="1:1" x14ac:dyDescent="0.25">
      <c r="A27896" t="e">
        <v>#N/A</v>
      </c>
    </row>
    <row r="27897" spans="1:1" x14ac:dyDescent="0.25">
      <c r="A27897" t="e">
        <v>#N/A</v>
      </c>
    </row>
    <row r="27898" spans="1:1" x14ac:dyDescent="0.25">
      <c r="A27898" t="e">
        <v>#N/A</v>
      </c>
    </row>
    <row r="27899" spans="1:1" x14ac:dyDescent="0.25">
      <c r="A27899" t="e">
        <v>#N/A</v>
      </c>
    </row>
    <row r="27900" spans="1:1" x14ac:dyDescent="0.25">
      <c r="A27900" t="e">
        <v>#N/A</v>
      </c>
    </row>
    <row r="27901" spans="1:1" x14ac:dyDescent="0.25">
      <c r="A27901" t="e">
        <v>#N/A</v>
      </c>
    </row>
    <row r="27902" spans="1:1" x14ac:dyDescent="0.25">
      <c r="A27902" t="e">
        <v>#N/A</v>
      </c>
    </row>
    <row r="27903" spans="1:1" x14ac:dyDescent="0.25">
      <c r="A27903" t="e">
        <v>#N/A</v>
      </c>
    </row>
    <row r="27904" spans="1:1" x14ac:dyDescent="0.25">
      <c r="A27904" t="e">
        <v>#N/A</v>
      </c>
    </row>
    <row r="27905" spans="1:1" x14ac:dyDescent="0.25">
      <c r="A27905" t="e">
        <v>#N/A</v>
      </c>
    </row>
    <row r="27906" spans="1:1" x14ac:dyDescent="0.25">
      <c r="A27906" t="e">
        <v>#N/A</v>
      </c>
    </row>
    <row r="27907" spans="1:1" x14ac:dyDescent="0.25">
      <c r="A27907" t="e">
        <v>#N/A</v>
      </c>
    </row>
    <row r="27908" spans="1:1" x14ac:dyDescent="0.25">
      <c r="A27908" t="e">
        <v>#N/A</v>
      </c>
    </row>
    <row r="27909" spans="1:1" x14ac:dyDescent="0.25">
      <c r="A27909" t="e">
        <v>#N/A</v>
      </c>
    </row>
    <row r="27910" spans="1:1" x14ac:dyDescent="0.25">
      <c r="A27910" t="e">
        <v>#N/A</v>
      </c>
    </row>
    <row r="27911" spans="1:1" x14ac:dyDescent="0.25">
      <c r="A27911" t="e">
        <v>#N/A</v>
      </c>
    </row>
    <row r="27912" spans="1:1" x14ac:dyDescent="0.25">
      <c r="A27912" t="e">
        <v>#N/A</v>
      </c>
    </row>
    <row r="27913" spans="1:1" x14ac:dyDescent="0.25">
      <c r="A27913" t="e">
        <v>#N/A</v>
      </c>
    </row>
    <row r="27914" spans="1:1" x14ac:dyDescent="0.25">
      <c r="A27914" t="e">
        <v>#N/A</v>
      </c>
    </row>
    <row r="27915" spans="1:1" x14ac:dyDescent="0.25">
      <c r="A27915" t="e">
        <v>#N/A</v>
      </c>
    </row>
    <row r="27916" spans="1:1" x14ac:dyDescent="0.25">
      <c r="A27916" t="e">
        <v>#N/A</v>
      </c>
    </row>
    <row r="27917" spans="1:1" x14ac:dyDescent="0.25">
      <c r="A27917" t="e">
        <v>#N/A</v>
      </c>
    </row>
    <row r="27918" spans="1:1" x14ac:dyDescent="0.25">
      <c r="A27918" t="e">
        <v>#N/A</v>
      </c>
    </row>
    <row r="27919" spans="1:1" x14ac:dyDescent="0.25">
      <c r="A27919" t="e">
        <v>#N/A</v>
      </c>
    </row>
    <row r="27920" spans="1:1" x14ac:dyDescent="0.25">
      <c r="A27920" t="e">
        <v>#N/A</v>
      </c>
    </row>
    <row r="27921" spans="1:1" x14ac:dyDescent="0.25">
      <c r="A27921" t="e">
        <v>#N/A</v>
      </c>
    </row>
    <row r="27922" spans="1:1" x14ac:dyDescent="0.25">
      <c r="A27922" t="e">
        <v>#N/A</v>
      </c>
    </row>
    <row r="27923" spans="1:1" x14ac:dyDescent="0.25">
      <c r="A27923" t="e">
        <v>#N/A</v>
      </c>
    </row>
    <row r="27924" spans="1:1" x14ac:dyDescent="0.25">
      <c r="A27924" t="e">
        <v>#N/A</v>
      </c>
    </row>
    <row r="27925" spans="1:1" x14ac:dyDescent="0.25">
      <c r="A27925" t="e">
        <v>#N/A</v>
      </c>
    </row>
    <row r="27926" spans="1:1" x14ac:dyDescent="0.25">
      <c r="A27926" t="e">
        <v>#N/A</v>
      </c>
    </row>
    <row r="27927" spans="1:1" x14ac:dyDescent="0.25">
      <c r="A27927" t="e">
        <v>#N/A</v>
      </c>
    </row>
    <row r="27928" spans="1:1" x14ac:dyDescent="0.25">
      <c r="A27928" t="e">
        <v>#N/A</v>
      </c>
    </row>
    <row r="27929" spans="1:1" x14ac:dyDescent="0.25">
      <c r="A27929" t="e">
        <v>#N/A</v>
      </c>
    </row>
    <row r="27930" spans="1:1" x14ac:dyDescent="0.25">
      <c r="A27930" t="e">
        <v>#N/A</v>
      </c>
    </row>
    <row r="27931" spans="1:1" x14ac:dyDescent="0.25">
      <c r="A27931" t="e">
        <v>#N/A</v>
      </c>
    </row>
    <row r="27932" spans="1:1" x14ac:dyDescent="0.25">
      <c r="A27932" t="e">
        <v>#N/A</v>
      </c>
    </row>
    <row r="27933" spans="1:1" x14ac:dyDescent="0.25">
      <c r="A27933" t="e">
        <v>#N/A</v>
      </c>
    </row>
    <row r="27934" spans="1:1" x14ac:dyDescent="0.25">
      <c r="A27934" t="e">
        <v>#N/A</v>
      </c>
    </row>
    <row r="27935" spans="1:1" x14ac:dyDescent="0.25">
      <c r="A27935" t="e">
        <v>#N/A</v>
      </c>
    </row>
    <row r="27936" spans="1:1" x14ac:dyDescent="0.25">
      <c r="A27936" t="e">
        <v>#N/A</v>
      </c>
    </row>
    <row r="27937" spans="1:1" x14ac:dyDescent="0.25">
      <c r="A27937" t="e">
        <v>#N/A</v>
      </c>
    </row>
    <row r="27938" spans="1:1" x14ac:dyDescent="0.25">
      <c r="A27938" t="e">
        <v>#N/A</v>
      </c>
    </row>
    <row r="27939" spans="1:1" x14ac:dyDescent="0.25">
      <c r="A27939" t="e">
        <v>#N/A</v>
      </c>
    </row>
    <row r="27940" spans="1:1" x14ac:dyDescent="0.25">
      <c r="A27940" t="e">
        <v>#N/A</v>
      </c>
    </row>
    <row r="27941" spans="1:1" x14ac:dyDescent="0.25">
      <c r="A27941" t="e">
        <v>#N/A</v>
      </c>
    </row>
    <row r="27942" spans="1:1" x14ac:dyDescent="0.25">
      <c r="A27942" t="e">
        <v>#N/A</v>
      </c>
    </row>
    <row r="27943" spans="1:1" x14ac:dyDescent="0.25">
      <c r="A27943" t="e">
        <v>#N/A</v>
      </c>
    </row>
    <row r="27944" spans="1:1" x14ac:dyDescent="0.25">
      <c r="A27944" t="e">
        <v>#N/A</v>
      </c>
    </row>
    <row r="27945" spans="1:1" x14ac:dyDescent="0.25">
      <c r="A27945" t="e">
        <v>#N/A</v>
      </c>
    </row>
    <row r="27946" spans="1:1" x14ac:dyDescent="0.25">
      <c r="A27946" t="e">
        <v>#N/A</v>
      </c>
    </row>
    <row r="27947" spans="1:1" x14ac:dyDescent="0.25">
      <c r="A27947" t="e">
        <v>#N/A</v>
      </c>
    </row>
    <row r="27948" spans="1:1" x14ac:dyDescent="0.25">
      <c r="A27948" t="e">
        <v>#N/A</v>
      </c>
    </row>
    <row r="27949" spans="1:1" x14ac:dyDescent="0.25">
      <c r="A27949" t="e">
        <v>#N/A</v>
      </c>
    </row>
    <row r="27950" spans="1:1" x14ac:dyDescent="0.25">
      <c r="A27950" t="e">
        <v>#N/A</v>
      </c>
    </row>
    <row r="27951" spans="1:1" x14ac:dyDescent="0.25">
      <c r="A27951" t="e">
        <v>#N/A</v>
      </c>
    </row>
    <row r="27952" spans="1:1" x14ac:dyDescent="0.25">
      <c r="A27952" t="e">
        <v>#N/A</v>
      </c>
    </row>
    <row r="27953" spans="1:1" x14ac:dyDescent="0.25">
      <c r="A27953" t="e">
        <v>#N/A</v>
      </c>
    </row>
    <row r="27954" spans="1:1" x14ac:dyDescent="0.25">
      <c r="A27954" t="e">
        <v>#N/A</v>
      </c>
    </row>
    <row r="27955" spans="1:1" x14ac:dyDescent="0.25">
      <c r="A27955" t="e">
        <v>#N/A</v>
      </c>
    </row>
    <row r="27956" spans="1:1" x14ac:dyDescent="0.25">
      <c r="A27956" t="e">
        <v>#N/A</v>
      </c>
    </row>
    <row r="27957" spans="1:1" x14ac:dyDescent="0.25">
      <c r="A27957" t="e">
        <v>#N/A</v>
      </c>
    </row>
    <row r="27958" spans="1:1" x14ac:dyDescent="0.25">
      <c r="A27958" t="e">
        <v>#N/A</v>
      </c>
    </row>
    <row r="27959" spans="1:1" x14ac:dyDescent="0.25">
      <c r="A27959" t="e">
        <v>#N/A</v>
      </c>
    </row>
    <row r="27960" spans="1:1" x14ac:dyDescent="0.25">
      <c r="A27960" t="e">
        <v>#N/A</v>
      </c>
    </row>
    <row r="27961" spans="1:1" x14ac:dyDescent="0.25">
      <c r="A27961" t="e">
        <v>#N/A</v>
      </c>
    </row>
    <row r="27962" spans="1:1" x14ac:dyDescent="0.25">
      <c r="A27962" t="e">
        <v>#N/A</v>
      </c>
    </row>
    <row r="27963" spans="1:1" x14ac:dyDescent="0.25">
      <c r="A27963" t="e">
        <v>#N/A</v>
      </c>
    </row>
    <row r="27964" spans="1:1" x14ac:dyDescent="0.25">
      <c r="A27964" t="e">
        <v>#N/A</v>
      </c>
    </row>
    <row r="27965" spans="1:1" x14ac:dyDescent="0.25">
      <c r="A27965" t="e">
        <v>#N/A</v>
      </c>
    </row>
    <row r="27966" spans="1:1" x14ac:dyDescent="0.25">
      <c r="A27966" t="e">
        <v>#N/A</v>
      </c>
    </row>
    <row r="27967" spans="1:1" x14ac:dyDescent="0.25">
      <c r="A27967" t="e">
        <v>#N/A</v>
      </c>
    </row>
    <row r="27968" spans="1:1" x14ac:dyDescent="0.25">
      <c r="A27968" t="e">
        <v>#N/A</v>
      </c>
    </row>
    <row r="27969" spans="1:1" x14ac:dyDescent="0.25">
      <c r="A27969" t="e">
        <v>#N/A</v>
      </c>
    </row>
    <row r="27970" spans="1:1" x14ac:dyDescent="0.25">
      <c r="A27970" t="e">
        <v>#N/A</v>
      </c>
    </row>
    <row r="27971" spans="1:1" x14ac:dyDescent="0.25">
      <c r="A27971" t="e">
        <v>#N/A</v>
      </c>
    </row>
    <row r="27972" spans="1:1" x14ac:dyDescent="0.25">
      <c r="A27972" t="e">
        <v>#N/A</v>
      </c>
    </row>
    <row r="27973" spans="1:1" x14ac:dyDescent="0.25">
      <c r="A27973" t="e">
        <v>#N/A</v>
      </c>
    </row>
    <row r="27974" spans="1:1" x14ac:dyDescent="0.25">
      <c r="A27974" t="e">
        <v>#N/A</v>
      </c>
    </row>
    <row r="27975" spans="1:1" x14ac:dyDescent="0.25">
      <c r="A27975" t="e">
        <v>#N/A</v>
      </c>
    </row>
    <row r="27976" spans="1:1" x14ac:dyDescent="0.25">
      <c r="A27976" t="e">
        <v>#N/A</v>
      </c>
    </row>
    <row r="27977" spans="1:1" x14ac:dyDescent="0.25">
      <c r="A27977" t="e">
        <v>#N/A</v>
      </c>
    </row>
    <row r="27978" spans="1:1" x14ac:dyDescent="0.25">
      <c r="A27978" t="e">
        <v>#N/A</v>
      </c>
    </row>
    <row r="27979" spans="1:1" x14ac:dyDescent="0.25">
      <c r="A27979" t="e">
        <v>#N/A</v>
      </c>
    </row>
    <row r="27980" spans="1:1" x14ac:dyDescent="0.25">
      <c r="A27980" t="e">
        <v>#N/A</v>
      </c>
    </row>
    <row r="27981" spans="1:1" x14ac:dyDescent="0.25">
      <c r="A27981" t="e">
        <v>#N/A</v>
      </c>
    </row>
    <row r="27982" spans="1:1" x14ac:dyDescent="0.25">
      <c r="A27982" t="e">
        <v>#N/A</v>
      </c>
    </row>
    <row r="27983" spans="1:1" x14ac:dyDescent="0.25">
      <c r="A27983" t="e">
        <v>#N/A</v>
      </c>
    </row>
    <row r="27984" spans="1:1" x14ac:dyDescent="0.25">
      <c r="A27984" t="e">
        <v>#N/A</v>
      </c>
    </row>
    <row r="27985" spans="1:1" x14ac:dyDescent="0.25">
      <c r="A27985" t="e">
        <v>#N/A</v>
      </c>
    </row>
    <row r="27986" spans="1:1" x14ac:dyDescent="0.25">
      <c r="A27986" t="e">
        <v>#N/A</v>
      </c>
    </row>
    <row r="27987" spans="1:1" x14ac:dyDescent="0.25">
      <c r="A27987" t="e">
        <v>#N/A</v>
      </c>
    </row>
    <row r="27988" spans="1:1" x14ac:dyDescent="0.25">
      <c r="A27988" t="e">
        <v>#N/A</v>
      </c>
    </row>
    <row r="27989" spans="1:1" x14ac:dyDescent="0.25">
      <c r="A27989" t="e">
        <v>#N/A</v>
      </c>
    </row>
    <row r="27990" spans="1:1" x14ac:dyDescent="0.25">
      <c r="A27990" t="e">
        <v>#N/A</v>
      </c>
    </row>
    <row r="27991" spans="1:1" x14ac:dyDescent="0.25">
      <c r="A27991" t="e">
        <v>#N/A</v>
      </c>
    </row>
    <row r="27992" spans="1:1" x14ac:dyDescent="0.25">
      <c r="A27992" t="e">
        <v>#N/A</v>
      </c>
    </row>
    <row r="27993" spans="1:1" x14ac:dyDescent="0.25">
      <c r="A27993" t="e">
        <v>#N/A</v>
      </c>
    </row>
    <row r="27994" spans="1:1" x14ac:dyDescent="0.25">
      <c r="A27994" t="e">
        <v>#N/A</v>
      </c>
    </row>
    <row r="27995" spans="1:1" x14ac:dyDescent="0.25">
      <c r="A27995" t="e">
        <v>#N/A</v>
      </c>
    </row>
    <row r="27996" spans="1:1" x14ac:dyDescent="0.25">
      <c r="A27996" t="e">
        <v>#N/A</v>
      </c>
    </row>
    <row r="27997" spans="1:1" x14ac:dyDescent="0.25">
      <c r="A27997" t="e">
        <v>#N/A</v>
      </c>
    </row>
    <row r="27998" spans="1:1" x14ac:dyDescent="0.25">
      <c r="A27998" t="e">
        <v>#N/A</v>
      </c>
    </row>
    <row r="27999" spans="1:1" x14ac:dyDescent="0.25">
      <c r="A27999" t="e">
        <v>#N/A</v>
      </c>
    </row>
    <row r="28000" spans="1:1" x14ac:dyDescent="0.25">
      <c r="A28000" t="e">
        <v>#N/A</v>
      </c>
    </row>
    <row r="28001" spans="1:1" x14ac:dyDescent="0.25">
      <c r="A28001" t="e">
        <v>#N/A</v>
      </c>
    </row>
    <row r="28002" spans="1:1" x14ac:dyDescent="0.25">
      <c r="A28002" t="e">
        <v>#N/A</v>
      </c>
    </row>
    <row r="28003" spans="1:1" x14ac:dyDescent="0.25">
      <c r="A28003" t="e">
        <v>#N/A</v>
      </c>
    </row>
    <row r="28004" spans="1:1" x14ac:dyDescent="0.25">
      <c r="A28004" t="e">
        <v>#N/A</v>
      </c>
    </row>
    <row r="28005" spans="1:1" x14ac:dyDescent="0.25">
      <c r="A28005" t="e">
        <v>#N/A</v>
      </c>
    </row>
    <row r="28006" spans="1:1" x14ac:dyDescent="0.25">
      <c r="A28006" t="e">
        <v>#N/A</v>
      </c>
    </row>
    <row r="28007" spans="1:1" x14ac:dyDescent="0.25">
      <c r="A28007" t="e">
        <v>#N/A</v>
      </c>
    </row>
    <row r="28008" spans="1:1" x14ac:dyDescent="0.25">
      <c r="A28008" t="e">
        <v>#N/A</v>
      </c>
    </row>
    <row r="28009" spans="1:1" x14ac:dyDescent="0.25">
      <c r="A28009" t="e">
        <v>#N/A</v>
      </c>
    </row>
    <row r="28010" spans="1:1" x14ac:dyDescent="0.25">
      <c r="A28010" t="e">
        <v>#N/A</v>
      </c>
    </row>
    <row r="28011" spans="1:1" x14ac:dyDescent="0.25">
      <c r="A28011" t="e">
        <v>#N/A</v>
      </c>
    </row>
    <row r="28012" spans="1:1" x14ac:dyDescent="0.25">
      <c r="A28012" t="e">
        <v>#N/A</v>
      </c>
    </row>
    <row r="28013" spans="1:1" x14ac:dyDescent="0.25">
      <c r="A28013" t="e">
        <v>#N/A</v>
      </c>
    </row>
    <row r="28014" spans="1:1" x14ac:dyDescent="0.25">
      <c r="A28014" t="e">
        <v>#N/A</v>
      </c>
    </row>
    <row r="28015" spans="1:1" x14ac:dyDescent="0.25">
      <c r="A28015" t="e">
        <v>#N/A</v>
      </c>
    </row>
    <row r="28016" spans="1:1" x14ac:dyDescent="0.25">
      <c r="A28016" t="e">
        <v>#N/A</v>
      </c>
    </row>
    <row r="28017" spans="1:1" x14ac:dyDescent="0.25">
      <c r="A28017" t="e">
        <v>#N/A</v>
      </c>
    </row>
    <row r="28018" spans="1:1" x14ac:dyDescent="0.25">
      <c r="A28018" t="e">
        <v>#N/A</v>
      </c>
    </row>
    <row r="28019" spans="1:1" x14ac:dyDescent="0.25">
      <c r="A28019" t="e">
        <v>#N/A</v>
      </c>
    </row>
    <row r="28020" spans="1:1" x14ac:dyDescent="0.25">
      <c r="A28020" t="e">
        <v>#N/A</v>
      </c>
    </row>
    <row r="28021" spans="1:1" x14ac:dyDescent="0.25">
      <c r="A28021" t="e">
        <v>#N/A</v>
      </c>
    </row>
    <row r="28022" spans="1:1" x14ac:dyDescent="0.25">
      <c r="A28022" t="e">
        <v>#N/A</v>
      </c>
    </row>
    <row r="28023" spans="1:1" x14ac:dyDescent="0.25">
      <c r="A28023" t="e">
        <v>#N/A</v>
      </c>
    </row>
    <row r="28024" spans="1:1" x14ac:dyDescent="0.25">
      <c r="A28024" t="e">
        <v>#N/A</v>
      </c>
    </row>
    <row r="28025" spans="1:1" x14ac:dyDescent="0.25">
      <c r="A28025" t="e">
        <v>#N/A</v>
      </c>
    </row>
    <row r="28026" spans="1:1" x14ac:dyDescent="0.25">
      <c r="A28026" t="e">
        <v>#N/A</v>
      </c>
    </row>
    <row r="28027" spans="1:1" x14ac:dyDescent="0.25">
      <c r="A28027" t="e">
        <v>#N/A</v>
      </c>
    </row>
    <row r="28028" spans="1:1" x14ac:dyDescent="0.25">
      <c r="A28028" t="e">
        <v>#N/A</v>
      </c>
    </row>
    <row r="28029" spans="1:1" x14ac:dyDescent="0.25">
      <c r="A28029" t="e">
        <v>#N/A</v>
      </c>
    </row>
    <row r="28030" spans="1:1" x14ac:dyDescent="0.25">
      <c r="A28030" t="e">
        <v>#N/A</v>
      </c>
    </row>
    <row r="28031" spans="1:1" x14ac:dyDescent="0.25">
      <c r="A28031" t="e">
        <v>#N/A</v>
      </c>
    </row>
    <row r="28032" spans="1:1" x14ac:dyDescent="0.25">
      <c r="A28032" t="e">
        <v>#N/A</v>
      </c>
    </row>
    <row r="28033" spans="1:1" x14ac:dyDescent="0.25">
      <c r="A28033" t="e">
        <v>#N/A</v>
      </c>
    </row>
    <row r="28034" spans="1:1" x14ac:dyDescent="0.25">
      <c r="A28034" t="e">
        <v>#N/A</v>
      </c>
    </row>
    <row r="28035" spans="1:1" x14ac:dyDescent="0.25">
      <c r="A28035" t="e">
        <v>#N/A</v>
      </c>
    </row>
    <row r="28036" spans="1:1" x14ac:dyDescent="0.25">
      <c r="A28036" t="e">
        <v>#N/A</v>
      </c>
    </row>
    <row r="28037" spans="1:1" x14ac:dyDescent="0.25">
      <c r="A28037" t="e">
        <v>#N/A</v>
      </c>
    </row>
    <row r="28038" spans="1:1" x14ac:dyDescent="0.25">
      <c r="A28038" t="e">
        <v>#N/A</v>
      </c>
    </row>
    <row r="28039" spans="1:1" x14ac:dyDescent="0.25">
      <c r="A28039" t="e">
        <v>#N/A</v>
      </c>
    </row>
    <row r="28040" spans="1:1" x14ac:dyDescent="0.25">
      <c r="A28040" t="e">
        <v>#N/A</v>
      </c>
    </row>
    <row r="28041" spans="1:1" x14ac:dyDescent="0.25">
      <c r="A28041" t="e">
        <v>#N/A</v>
      </c>
    </row>
    <row r="28042" spans="1:1" x14ac:dyDescent="0.25">
      <c r="A28042" t="e">
        <v>#N/A</v>
      </c>
    </row>
    <row r="28043" spans="1:1" x14ac:dyDescent="0.25">
      <c r="A28043" t="e">
        <v>#N/A</v>
      </c>
    </row>
    <row r="28044" spans="1:1" x14ac:dyDescent="0.25">
      <c r="A28044" t="e">
        <v>#N/A</v>
      </c>
    </row>
    <row r="28045" spans="1:1" x14ac:dyDescent="0.25">
      <c r="A28045" t="e">
        <v>#N/A</v>
      </c>
    </row>
    <row r="28046" spans="1:1" x14ac:dyDescent="0.25">
      <c r="A28046" t="e">
        <v>#N/A</v>
      </c>
    </row>
    <row r="28047" spans="1:1" x14ac:dyDescent="0.25">
      <c r="A28047" t="e">
        <v>#N/A</v>
      </c>
    </row>
    <row r="28048" spans="1:1" x14ac:dyDescent="0.25">
      <c r="A28048" t="e">
        <v>#N/A</v>
      </c>
    </row>
    <row r="28049" spans="1:1" x14ac:dyDescent="0.25">
      <c r="A28049" t="e">
        <v>#N/A</v>
      </c>
    </row>
    <row r="28050" spans="1:1" x14ac:dyDescent="0.25">
      <c r="A28050" t="e">
        <v>#N/A</v>
      </c>
    </row>
    <row r="28051" spans="1:1" x14ac:dyDescent="0.25">
      <c r="A28051" t="e">
        <v>#N/A</v>
      </c>
    </row>
    <row r="28052" spans="1:1" x14ac:dyDescent="0.25">
      <c r="A28052" t="e">
        <v>#N/A</v>
      </c>
    </row>
    <row r="28053" spans="1:1" x14ac:dyDescent="0.25">
      <c r="A28053" t="e">
        <v>#N/A</v>
      </c>
    </row>
    <row r="28054" spans="1:1" x14ac:dyDescent="0.25">
      <c r="A28054" t="e">
        <v>#N/A</v>
      </c>
    </row>
    <row r="28055" spans="1:1" x14ac:dyDescent="0.25">
      <c r="A28055" t="e">
        <v>#N/A</v>
      </c>
    </row>
    <row r="28056" spans="1:1" x14ac:dyDescent="0.25">
      <c r="A28056" t="e">
        <v>#N/A</v>
      </c>
    </row>
    <row r="28057" spans="1:1" x14ac:dyDescent="0.25">
      <c r="A28057" t="e">
        <v>#N/A</v>
      </c>
    </row>
    <row r="28058" spans="1:1" x14ac:dyDescent="0.25">
      <c r="A28058" t="e">
        <v>#N/A</v>
      </c>
    </row>
    <row r="28059" spans="1:1" x14ac:dyDescent="0.25">
      <c r="A28059" t="e">
        <v>#N/A</v>
      </c>
    </row>
    <row r="28060" spans="1:1" x14ac:dyDescent="0.25">
      <c r="A28060" t="e">
        <v>#N/A</v>
      </c>
    </row>
    <row r="28061" spans="1:1" x14ac:dyDescent="0.25">
      <c r="A28061" t="e">
        <v>#N/A</v>
      </c>
    </row>
    <row r="28062" spans="1:1" x14ac:dyDescent="0.25">
      <c r="A28062" t="e">
        <v>#N/A</v>
      </c>
    </row>
    <row r="28063" spans="1:1" x14ac:dyDescent="0.25">
      <c r="A28063" t="e">
        <v>#N/A</v>
      </c>
    </row>
    <row r="28064" spans="1:1" x14ac:dyDescent="0.25">
      <c r="A28064" t="e">
        <v>#N/A</v>
      </c>
    </row>
    <row r="28065" spans="1:1" x14ac:dyDescent="0.25">
      <c r="A28065" t="e">
        <v>#N/A</v>
      </c>
    </row>
    <row r="28066" spans="1:1" x14ac:dyDescent="0.25">
      <c r="A28066" t="e">
        <v>#N/A</v>
      </c>
    </row>
    <row r="28067" spans="1:1" x14ac:dyDescent="0.25">
      <c r="A28067" t="e">
        <v>#N/A</v>
      </c>
    </row>
    <row r="28068" spans="1:1" x14ac:dyDescent="0.25">
      <c r="A28068" t="e">
        <v>#N/A</v>
      </c>
    </row>
    <row r="28069" spans="1:1" x14ac:dyDescent="0.25">
      <c r="A28069" t="e">
        <v>#N/A</v>
      </c>
    </row>
    <row r="28070" spans="1:1" x14ac:dyDescent="0.25">
      <c r="A28070" t="e">
        <v>#N/A</v>
      </c>
    </row>
    <row r="28071" spans="1:1" x14ac:dyDescent="0.25">
      <c r="A28071" t="e">
        <v>#N/A</v>
      </c>
    </row>
    <row r="28072" spans="1:1" x14ac:dyDescent="0.25">
      <c r="A28072" t="e">
        <v>#N/A</v>
      </c>
    </row>
    <row r="28073" spans="1:1" x14ac:dyDescent="0.25">
      <c r="A28073" t="e">
        <v>#N/A</v>
      </c>
    </row>
    <row r="28074" spans="1:1" x14ac:dyDescent="0.25">
      <c r="A28074" t="e">
        <v>#N/A</v>
      </c>
    </row>
    <row r="28075" spans="1:1" x14ac:dyDescent="0.25">
      <c r="A28075" t="e">
        <v>#N/A</v>
      </c>
    </row>
    <row r="28076" spans="1:1" x14ac:dyDescent="0.25">
      <c r="A28076" t="e">
        <v>#N/A</v>
      </c>
    </row>
    <row r="28077" spans="1:1" x14ac:dyDescent="0.25">
      <c r="A28077" t="e">
        <v>#N/A</v>
      </c>
    </row>
    <row r="28078" spans="1:1" x14ac:dyDescent="0.25">
      <c r="A28078" t="e">
        <v>#N/A</v>
      </c>
    </row>
    <row r="28079" spans="1:1" x14ac:dyDescent="0.25">
      <c r="A28079" t="e">
        <v>#N/A</v>
      </c>
    </row>
    <row r="28080" spans="1:1" x14ac:dyDescent="0.25">
      <c r="A28080" t="e">
        <v>#N/A</v>
      </c>
    </row>
    <row r="28081" spans="1:1" x14ac:dyDescent="0.25">
      <c r="A28081" t="e">
        <v>#N/A</v>
      </c>
    </row>
    <row r="28082" spans="1:1" x14ac:dyDescent="0.25">
      <c r="A28082" t="e">
        <v>#N/A</v>
      </c>
    </row>
    <row r="28083" spans="1:1" x14ac:dyDescent="0.25">
      <c r="A28083" t="e">
        <v>#N/A</v>
      </c>
    </row>
    <row r="28084" spans="1:1" x14ac:dyDescent="0.25">
      <c r="A28084" t="e">
        <v>#N/A</v>
      </c>
    </row>
    <row r="28085" spans="1:1" x14ac:dyDescent="0.25">
      <c r="A28085" t="e">
        <v>#N/A</v>
      </c>
    </row>
    <row r="28086" spans="1:1" x14ac:dyDescent="0.25">
      <c r="A28086" t="e">
        <v>#N/A</v>
      </c>
    </row>
    <row r="28087" spans="1:1" x14ac:dyDescent="0.25">
      <c r="A28087" t="e">
        <v>#N/A</v>
      </c>
    </row>
    <row r="28088" spans="1:1" x14ac:dyDescent="0.25">
      <c r="A28088" t="e">
        <v>#N/A</v>
      </c>
    </row>
    <row r="28089" spans="1:1" x14ac:dyDescent="0.25">
      <c r="A28089" t="e">
        <v>#N/A</v>
      </c>
    </row>
    <row r="28090" spans="1:1" x14ac:dyDescent="0.25">
      <c r="A28090" t="e">
        <v>#N/A</v>
      </c>
    </row>
    <row r="28091" spans="1:1" x14ac:dyDescent="0.25">
      <c r="A28091" t="e">
        <v>#N/A</v>
      </c>
    </row>
    <row r="28092" spans="1:1" x14ac:dyDescent="0.25">
      <c r="A28092" t="e">
        <v>#N/A</v>
      </c>
    </row>
    <row r="28093" spans="1:1" x14ac:dyDescent="0.25">
      <c r="A28093" t="e">
        <v>#N/A</v>
      </c>
    </row>
    <row r="28094" spans="1:1" x14ac:dyDescent="0.25">
      <c r="A28094" t="e">
        <v>#N/A</v>
      </c>
    </row>
    <row r="28095" spans="1:1" x14ac:dyDescent="0.25">
      <c r="A28095" t="e">
        <v>#N/A</v>
      </c>
    </row>
    <row r="28096" spans="1:1" x14ac:dyDescent="0.25">
      <c r="A28096" t="e">
        <v>#N/A</v>
      </c>
    </row>
    <row r="28097" spans="1:1" x14ac:dyDescent="0.25">
      <c r="A28097" t="e">
        <v>#N/A</v>
      </c>
    </row>
    <row r="28098" spans="1:1" x14ac:dyDescent="0.25">
      <c r="A28098" t="e">
        <v>#N/A</v>
      </c>
    </row>
    <row r="28099" spans="1:1" x14ac:dyDescent="0.25">
      <c r="A28099" t="e">
        <v>#N/A</v>
      </c>
    </row>
    <row r="28100" spans="1:1" x14ac:dyDescent="0.25">
      <c r="A28100" t="e">
        <v>#N/A</v>
      </c>
    </row>
    <row r="28101" spans="1:1" x14ac:dyDescent="0.25">
      <c r="A28101" t="e">
        <v>#N/A</v>
      </c>
    </row>
    <row r="28102" spans="1:1" x14ac:dyDescent="0.25">
      <c r="A28102" t="e">
        <v>#N/A</v>
      </c>
    </row>
    <row r="28103" spans="1:1" x14ac:dyDescent="0.25">
      <c r="A28103" t="e">
        <v>#N/A</v>
      </c>
    </row>
    <row r="28104" spans="1:1" x14ac:dyDescent="0.25">
      <c r="A28104" t="e">
        <v>#N/A</v>
      </c>
    </row>
    <row r="28105" spans="1:1" x14ac:dyDescent="0.25">
      <c r="A28105" t="e">
        <v>#N/A</v>
      </c>
    </row>
    <row r="28106" spans="1:1" x14ac:dyDescent="0.25">
      <c r="A28106" t="e">
        <v>#N/A</v>
      </c>
    </row>
    <row r="28107" spans="1:1" x14ac:dyDescent="0.25">
      <c r="A28107" t="e">
        <v>#N/A</v>
      </c>
    </row>
    <row r="28108" spans="1:1" x14ac:dyDescent="0.25">
      <c r="A28108" t="e">
        <v>#N/A</v>
      </c>
    </row>
    <row r="28109" spans="1:1" x14ac:dyDescent="0.25">
      <c r="A28109" t="e">
        <v>#N/A</v>
      </c>
    </row>
    <row r="28110" spans="1:1" x14ac:dyDescent="0.25">
      <c r="A28110" t="e">
        <v>#N/A</v>
      </c>
    </row>
    <row r="28111" spans="1:1" x14ac:dyDescent="0.25">
      <c r="A28111" t="e">
        <v>#N/A</v>
      </c>
    </row>
    <row r="28112" spans="1:1" x14ac:dyDescent="0.25">
      <c r="A28112" t="e">
        <v>#N/A</v>
      </c>
    </row>
    <row r="28113" spans="1:1" x14ac:dyDescent="0.25">
      <c r="A28113" t="e">
        <v>#N/A</v>
      </c>
    </row>
    <row r="28114" spans="1:1" x14ac:dyDescent="0.25">
      <c r="A28114" t="e">
        <v>#N/A</v>
      </c>
    </row>
    <row r="28115" spans="1:1" x14ac:dyDescent="0.25">
      <c r="A28115" t="e">
        <v>#N/A</v>
      </c>
    </row>
    <row r="28116" spans="1:1" x14ac:dyDescent="0.25">
      <c r="A28116" t="e">
        <v>#N/A</v>
      </c>
    </row>
    <row r="28117" spans="1:1" x14ac:dyDescent="0.25">
      <c r="A28117" t="e">
        <v>#N/A</v>
      </c>
    </row>
    <row r="28118" spans="1:1" x14ac:dyDescent="0.25">
      <c r="A28118" t="e">
        <v>#N/A</v>
      </c>
    </row>
    <row r="28119" spans="1:1" x14ac:dyDescent="0.25">
      <c r="A28119" t="e">
        <v>#N/A</v>
      </c>
    </row>
    <row r="28120" spans="1:1" x14ac:dyDescent="0.25">
      <c r="A28120" t="e">
        <v>#N/A</v>
      </c>
    </row>
    <row r="28121" spans="1:1" x14ac:dyDescent="0.25">
      <c r="A28121" t="e">
        <v>#N/A</v>
      </c>
    </row>
    <row r="28122" spans="1:1" x14ac:dyDescent="0.25">
      <c r="A28122" t="e">
        <v>#N/A</v>
      </c>
    </row>
    <row r="28123" spans="1:1" x14ac:dyDescent="0.25">
      <c r="A28123" t="e">
        <v>#N/A</v>
      </c>
    </row>
    <row r="28124" spans="1:1" x14ac:dyDescent="0.25">
      <c r="A28124" t="e">
        <v>#N/A</v>
      </c>
    </row>
    <row r="28125" spans="1:1" x14ac:dyDescent="0.25">
      <c r="A28125" t="e">
        <v>#N/A</v>
      </c>
    </row>
    <row r="28126" spans="1:1" x14ac:dyDescent="0.25">
      <c r="A28126" t="e">
        <v>#N/A</v>
      </c>
    </row>
    <row r="28127" spans="1:1" x14ac:dyDescent="0.25">
      <c r="A28127" t="e">
        <v>#N/A</v>
      </c>
    </row>
    <row r="28128" spans="1:1" x14ac:dyDescent="0.25">
      <c r="A28128" t="e">
        <v>#N/A</v>
      </c>
    </row>
    <row r="28129" spans="1:1" x14ac:dyDescent="0.25">
      <c r="A28129" t="e">
        <v>#N/A</v>
      </c>
    </row>
    <row r="28130" spans="1:1" x14ac:dyDescent="0.25">
      <c r="A28130" t="e">
        <v>#N/A</v>
      </c>
    </row>
    <row r="28131" spans="1:1" x14ac:dyDescent="0.25">
      <c r="A28131" t="e">
        <v>#N/A</v>
      </c>
    </row>
    <row r="28132" spans="1:1" x14ac:dyDescent="0.25">
      <c r="A28132" t="e">
        <v>#N/A</v>
      </c>
    </row>
    <row r="28133" spans="1:1" x14ac:dyDescent="0.25">
      <c r="A28133" t="e">
        <v>#N/A</v>
      </c>
    </row>
    <row r="28134" spans="1:1" x14ac:dyDescent="0.25">
      <c r="A28134" t="e">
        <v>#N/A</v>
      </c>
    </row>
    <row r="28135" spans="1:1" x14ac:dyDescent="0.25">
      <c r="A28135" t="e">
        <v>#N/A</v>
      </c>
    </row>
    <row r="28136" spans="1:1" x14ac:dyDescent="0.25">
      <c r="A28136" t="e">
        <v>#N/A</v>
      </c>
    </row>
    <row r="28137" spans="1:1" x14ac:dyDescent="0.25">
      <c r="A28137" t="e">
        <v>#N/A</v>
      </c>
    </row>
    <row r="28138" spans="1:1" x14ac:dyDescent="0.25">
      <c r="A28138" t="e">
        <v>#N/A</v>
      </c>
    </row>
    <row r="28139" spans="1:1" x14ac:dyDescent="0.25">
      <c r="A28139" t="e">
        <v>#N/A</v>
      </c>
    </row>
    <row r="28140" spans="1:1" x14ac:dyDescent="0.25">
      <c r="A28140" t="e">
        <v>#N/A</v>
      </c>
    </row>
    <row r="28141" spans="1:1" x14ac:dyDescent="0.25">
      <c r="A28141" t="e">
        <v>#N/A</v>
      </c>
    </row>
    <row r="28142" spans="1:1" x14ac:dyDescent="0.25">
      <c r="A28142" t="e">
        <v>#N/A</v>
      </c>
    </row>
    <row r="28143" spans="1:1" x14ac:dyDescent="0.25">
      <c r="A28143" t="e">
        <v>#N/A</v>
      </c>
    </row>
    <row r="28144" spans="1:1" x14ac:dyDescent="0.25">
      <c r="A28144" t="e">
        <v>#N/A</v>
      </c>
    </row>
    <row r="28145" spans="1:1" x14ac:dyDescent="0.25">
      <c r="A28145" t="e">
        <v>#N/A</v>
      </c>
    </row>
    <row r="28146" spans="1:1" x14ac:dyDescent="0.25">
      <c r="A28146" t="e">
        <v>#N/A</v>
      </c>
    </row>
    <row r="28147" spans="1:1" x14ac:dyDescent="0.25">
      <c r="A28147" t="e">
        <v>#N/A</v>
      </c>
    </row>
    <row r="28148" spans="1:1" x14ac:dyDescent="0.25">
      <c r="A28148" t="e">
        <v>#N/A</v>
      </c>
    </row>
    <row r="28149" spans="1:1" x14ac:dyDescent="0.25">
      <c r="A28149" t="e">
        <v>#N/A</v>
      </c>
    </row>
    <row r="28150" spans="1:1" x14ac:dyDescent="0.25">
      <c r="A28150" t="e">
        <v>#N/A</v>
      </c>
    </row>
    <row r="28151" spans="1:1" x14ac:dyDescent="0.25">
      <c r="A28151" t="e">
        <v>#N/A</v>
      </c>
    </row>
    <row r="28152" spans="1:1" x14ac:dyDescent="0.25">
      <c r="A28152" t="e">
        <v>#N/A</v>
      </c>
    </row>
    <row r="28153" spans="1:1" x14ac:dyDescent="0.25">
      <c r="A28153" t="e">
        <v>#N/A</v>
      </c>
    </row>
    <row r="28154" spans="1:1" x14ac:dyDescent="0.25">
      <c r="A28154" t="e">
        <v>#N/A</v>
      </c>
    </row>
    <row r="28155" spans="1:1" x14ac:dyDescent="0.25">
      <c r="A28155" t="e">
        <v>#N/A</v>
      </c>
    </row>
    <row r="28156" spans="1:1" x14ac:dyDescent="0.25">
      <c r="A28156" t="e">
        <v>#N/A</v>
      </c>
    </row>
    <row r="28157" spans="1:1" x14ac:dyDescent="0.25">
      <c r="A28157" t="e">
        <v>#N/A</v>
      </c>
    </row>
    <row r="28158" spans="1:1" x14ac:dyDescent="0.25">
      <c r="A28158" t="e">
        <v>#N/A</v>
      </c>
    </row>
    <row r="28159" spans="1:1" x14ac:dyDescent="0.25">
      <c r="A28159" t="e">
        <v>#N/A</v>
      </c>
    </row>
    <row r="28160" spans="1:1" x14ac:dyDescent="0.25">
      <c r="A28160" t="e">
        <v>#N/A</v>
      </c>
    </row>
    <row r="28161" spans="1:1" x14ac:dyDescent="0.25">
      <c r="A28161" t="e">
        <v>#N/A</v>
      </c>
    </row>
    <row r="28162" spans="1:1" x14ac:dyDescent="0.25">
      <c r="A28162" t="e">
        <v>#N/A</v>
      </c>
    </row>
    <row r="28163" spans="1:1" x14ac:dyDescent="0.25">
      <c r="A28163" t="e">
        <v>#N/A</v>
      </c>
    </row>
    <row r="28164" spans="1:1" x14ac:dyDescent="0.25">
      <c r="A28164" t="e">
        <v>#N/A</v>
      </c>
    </row>
    <row r="28165" spans="1:1" x14ac:dyDescent="0.25">
      <c r="A28165" t="e">
        <v>#N/A</v>
      </c>
    </row>
    <row r="28166" spans="1:1" x14ac:dyDescent="0.25">
      <c r="A28166" t="e">
        <v>#N/A</v>
      </c>
    </row>
    <row r="28167" spans="1:1" x14ac:dyDescent="0.25">
      <c r="A28167" t="e">
        <v>#N/A</v>
      </c>
    </row>
    <row r="28168" spans="1:1" x14ac:dyDescent="0.25">
      <c r="A28168" t="e">
        <v>#N/A</v>
      </c>
    </row>
    <row r="28169" spans="1:1" x14ac:dyDescent="0.25">
      <c r="A28169" t="e">
        <v>#N/A</v>
      </c>
    </row>
    <row r="28170" spans="1:1" x14ac:dyDescent="0.25">
      <c r="A28170" t="e">
        <v>#N/A</v>
      </c>
    </row>
    <row r="28171" spans="1:1" x14ac:dyDescent="0.25">
      <c r="A28171" t="e">
        <v>#N/A</v>
      </c>
    </row>
    <row r="28172" spans="1:1" x14ac:dyDescent="0.25">
      <c r="A28172" t="e">
        <v>#N/A</v>
      </c>
    </row>
    <row r="28173" spans="1:1" x14ac:dyDescent="0.25">
      <c r="A28173" t="e">
        <v>#N/A</v>
      </c>
    </row>
    <row r="28174" spans="1:1" x14ac:dyDescent="0.25">
      <c r="A28174" t="e">
        <v>#N/A</v>
      </c>
    </row>
    <row r="28175" spans="1:1" x14ac:dyDescent="0.25">
      <c r="A28175" t="e">
        <v>#N/A</v>
      </c>
    </row>
    <row r="28176" spans="1:1" x14ac:dyDescent="0.25">
      <c r="A28176" t="e">
        <v>#N/A</v>
      </c>
    </row>
    <row r="28177" spans="1:1" x14ac:dyDescent="0.25">
      <c r="A28177" t="e">
        <v>#N/A</v>
      </c>
    </row>
    <row r="28178" spans="1:1" x14ac:dyDescent="0.25">
      <c r="A28178" t="e">
        <v>#N/A</v>
      </c>
    </row>
    <row r="28179" spans="1:1" x14ac:dyDescent="0.25">
      <c r="A28179" t="e">
        <v>#N/A</v>
      </c>
    </row>
    <row r="28180" spans="1:1" x14ac:dyDescent="0.25">
      <c r="A28180" t="e">
        <v>#N/A</v>
      </c>
    </row>
    <row r="28181" spans="1:1" x14ac:dyDescent="0.25">
      <c r="A28181" t="e">
        <v>#N/A</v>
      </c>
    </row>
    <row r="28182" spans="1:1" x14ac:dyDescent="0.25">
      <c r="A28182" t="e">
        <v>#N/A</v>
      </c>
    </row>
    <row r="28183" spans="1:1" x14ac:dyDescent="0.25">
      <c r="A28183" t="e">
        <v>#N/A</v>
      </c>
    </row>
    <row r="28184" spans="1:1" x14ac:dyDescent="0.25">
      <c r="A28184" t="e">
        <v>#N/A</v>
      </c>
    </row>
    <row r="28185" spans="1:1" x14ac:dyDescent="0.25">
      <c r="A28185" t="e">
        <v>#N/A</v>
      </c>
    </row>
    <row r="28186" spans="1:1" x14ac:dyDescent="0.25">
      <c r="A28186" t="e">
        <v>#N/A</v>
      </c>
    </row>
    <row r="28187" spans="1:1" x14ac:dyDescent="0.25">
      <c r="A28187" t="e">
        <v>#N/A</v>
      </c>
    </row>
    <row r="28188" spans="1:1" x14ac:dyDescent="0.25">
      <c r="A28188" t="e">
        <v>#N/A</v>
      </c>
    </row>
    <row r="28189" spans="1:1" x14ac:dyDescent="0.25">
      <c r="A28189" t="e">
        <v>#N/A</v>
      </c>
    </row>
    <row r="28190" spans="1:1" x14ac:dyDescent="0.25">
      <c r="A28190" t="e">
        <v>#N/A</v>
      </c>
    </row>
    <row r="28191" spans="1:1" x14ac:dyDescent="0.25">
      <c r="A28191" t="e">
        <v>#N/A</v>
      </c>
    </row>
    <row r="28192" spans="1:1" x14ac:dyDescent="0.25">
      <c r="A28192" t="e">
        <v>#N/A</v>
      </c>
    </row>
    <row r="28193" spans="1:1" x14ac:dyDescent="0.25">
      <c r="A28193" t="e">
        <v>#N/A</v>
      </c>
    </row>
    <row r="28194" spans="1:1" x14ac:dyDescent="0.25">
      <c r="A28194" t="e">
        <v>#N/A</v>
      </c>
    </row>
    <row r="28195" spans="1:1" x14ac:dyDescent="0.25">
      <c r="A28195" t="e">
        <v>#N/A</v>
      </c>
    </row>
    <row r="28196" spans="1:1" x14ac:dyDescent="0.25">
      <c r="A28196" t="e">
        <v>#N/A</v>
      </c>
    </row>
    <row r="28197" spans="1:1" x14ac:dyDescent="0.25">
      <c r="A28197" t="e">
        <v>#N/A</v>
      </c>
    </row>
    <row r="28198" spans="1:1" x14ac:dyDescent="0.25">
      <c r="A28198" t="e">
        <v>#N/A</v>
      </c>
    </row>
    <row r="28199" spans="1:1" x14ac:dyDescent="0.25">
      <c r="A28199" t="e">
        <v>#N/A</v>
      </c>
    </row>
    <row r="28200" spans="1:1" x14ac:dyDescent="0.25">
      <c r="A28200" t="e">
        <v>#N/A</v>
      </c>
    </row>
    <row r="28201" spans="1:1" x14ac:dyDescent="0.25">
      <c r="A28201" t="e">
        <v>#N/A</v>
      </c>
    </row>
    <row r="28202" spans="1:1" x14ac:dyDescent="0.25">
      <c r="A28202" t="e">
        <v>#N/A</v>
      </c>
    </row>
    <row r="28203" spans="1:1" x14ac:dyDescent="0.25">
      <c r="A28203" t="e">
        <v>#N/A</v>
      </c>
    </row>
    <row r="28204" spans="1:1" x14ac:dyDescent="0.25">
      <c r="A28204" t="e">
        <v>#N/A</v>
      </c>
    </row>
    <row r="28205" spans="1:1" x14ac:dyDescent="0.25">
      <c r="A28205" t="e">
        <v>#N/A</v>
      </c>
    </row>
    <row r="28206" spans="1:1" x14ac:dyDescent="0.25">
      <c r="A28206" t="e">
        <v>#N/A</v>
      </c>
    </row>
    <row r="28207" spans="1:1" x14ac:dyDescent="0.25">
      <c r="A28207" t="e">
        <v>#N/A</v>
      </c>
    </row>
    <row r="28208" spans="1:1" x14ac:dyDescent="0.25">
      <c r="A28208" t="e">
        <v>#N/A</v>
      </c>
    </row>
    <row r="28209" spans="1:1" x14ac:dyDescent="0.25">
      <c r="A28209" t="e">
        <v>#N/A</v>
      </c>
    </row>
    <row r="28210" spans="1:1" x14ac:dyDescent="0.25">
      <c r="A28210" t="e">
        <v>#N/A</v>
      </c>
    </row>
    <row r="28211" spans="1:1" x14ac:dyDescent="0.25">
      <c r="A28211" t="e">
        <v>#N/A</v>
      </c>
    </row>
    <row r="28212" spans="1:1" x14ac:dyDescent="0.25">
      <c r="A28212" t="e">
        <v>#N/A</v>
      </c>
    </row>
    <row r="28213" spans="1:1" x14ac:dyDescent="0.25">
      <c r="A28213" t="e">
        <v>#N/A</v>
      </c>
    </row>
    <row r="28214" spans="1:1" x14ac:dyDescent="0.25">
      <c r="A28214" t="e">
        <v>#N/A</v>
      </c>
    </row>
    <row r="28215" spans="1:1" x14ac:dyDescent="0.25">
      <c r="A28215" t="e">
        <v>#N/A</v>
      </c>
    </row>
    <row r="28216" spans="1:1" x14ac:dyDescent="0.25">
      <c r="A28216" t="e">
        <v>#N/A</v>
      </c>
    </row>
    <row r="28217" spans="1:1" x14ac:dyDescent="0.25">
      <c r="A28217" t="e">
        <v>#N/A</v>
      </c>
    </row>
    <row r="28218" spans="1:1" x14ac:dyDescent="0.25">
      <c r="A28218" t="e">
        <v>#N/A</v>
      </c>
    </row>
    <row r="28219" spans="1:1" x14ac:dyDescent="0.25">
      <c r="A28219" t="e">
        <v>#N/A</v>
      </c>
    </row>
    <row r="28220" spans="1:1" x14ac:dyDescent="0.25">
      <c r="A28220" t="e">
        <v>#N/A</v>
      </c>
    </row>
    <row r="28221" spans="1:1" x14ac:dyDescent="0.25">
      <c r="A28221" t="e">
        <v>#N/A</v>
      </c>
    </row>
    <row r="28222" spans="1:1" x14ac:dyDescent="0.25">
      <c r="A28222" t="e">
        <v>#N/A</v>
      </c>
    </row>
    <row r="28223" spans="1:1" x14ac:dyDescent="0.25">
      <c r="A28223" t="e">
        <v>#N/A</v>
      </c>
    </row>
    <row r="28224" spans="1:1" x14ac:dyDescent="0.25">
      <c r="A28224" t="e">
        <v>#N/A</v>
      </c>
    </row>
    <row r="28225" spans="1:1" x14ac:dyDescent="0.25">
      <c r="A28225" t="e">
        <v>#N/A</v>
      </c>
    </row>
    <row r="28226" spans="1:1" x14ac:dyDescent="0.25">
      <c r="A28226" t="e">
        <v>#N/A</v>
      </c>
    </row>
    <row r="28227" spans="1:1" x14ac:dyDescent="0.25">
      <c r="A28227" t="e">
        <v>#N/A</v>
      </c>
    </row>
    <row r="28228" spans="1:1" x14ac:dyDescent="0.25">
      <c r="A28228" t="e">
        <v>#N/A</v>
      </c>
    </row>
    <row r="28229" spans="1:1" x14ac:dyDescent="0.25">
      <c r="A28229" t="e">
        <v>#N/A</v>
      </c>
    </row>
    <row r="28230" spans="1:1" x14ac:dyDescent="0.25">
      <c r="A28230" t="e">
        <v>#N/A</v>
      </c>
    </row>
    <row r="28231" spans="1:1" x14ac:dyDescent="0.25">
      <c r="A28231" t="e">
        <v>#N/A</v>
      </c>
    </row>
    <row r="28232" spans="1:1" x14ac:dyDescent="0.25">
      <c r="A28232" t="e">
        <v>#N/A</v>
      </c>
    </row>
    <row r="28233" spans="1:1" x14ac:dyDescent="0.25">
      <c r="A28233" t="e">
        <v>#N/A</v>
      </c>
    </row>
    <row r="28234" spans="1:1" x14ac:dyDescent="0.25">
      <c r="A28234" t="e">
        <v>#N/A</v>
      </c>
    </row>
    <row r="28235" spans="1:1" x14ac:dyDescent="0.25">
      <c r="A28235" t="e">
        <v>#N/A</v>
      </c>
    </row>
    <row r="28236" spans="1:1" x14ac:dyDescent="0.25">
      <c r="A28236" t="e">
        <v>#N/A</v>
      </c>
    </row>
    <row r="28237" spans="1:1" x14ac:dyDescent="0.25">
      <c r="A28237" t="e">
        <v>#N/A</v>
      </c>
    </row>
    <row r="28238" spans="1:1" x14ac:dyDescent="0.25">
      <c r="A28238" t="e">
        <v>#N/A</v>
      </c>
    </row>
    <row r="28239" spans="1:1" x14ac:dyDescent="0.25">
      <c r="A28239" t="e">
        <v>#N/A</v>
      </c>
    </row>
    <row r="28240" spans="1:1" x14ac:dyDescent="0.25">
      <c r="A28240" t="e">
        <v>#N/A</v>
      </c>
    </row>
    <row r="28241" spans="1:1" x14ac:dyDescent="0.25">
      <c r="A28241" t="e">
        <v>#N/A</v>
      </c>
    </row>
    <row r="28242" spans="1:1" x14ac:dyDescent="0.25">
      <c r="A28242" t="e">
        <v>#N/A</v>
      </c>
    </row>
    <row r="28243" spans="1:1" x14ac:dyDescent="0.25">
      <c r="A28243" t="e">
        <v>#N/A</v>
      </c>
    </row>
    <row r="28244" spans="1:1" x14ac:dyDescent="0.25">
      <c r="A28244" t="e">
        <v>#N/A</v>
      </c>
    </row>
    <row r="28245" spans="1:1" x14ac:dyDescent="0.25">
      <c r="A28245" t="e">
        <v>#N/A</v>
      </c>
    </row>
    <row r="28246" spans="1:1" x14ac:dyDescent="0.25">
      <c r="A28246" t="e">
        <v>#N/A</v>
      </c>
    </row>
    <row r="28247" spans="1:1" x14ac:dyDescent="0.25">
      <c r="A28247" t="e">
        <v>#N/A</v>
      </c>
    </row>
    <row r="28248" spans="1:1" x14ac:dyDescent="0.25">
      <c r="A28248" t="e">
        <v>#N/A</v>
      </c>
    </row>
    <row r="28249" spans="1:1" x14ac:dyDescent="0.25">
      <c r="A28249" t="e">
        <v>#N/A</v>
      </c>
    </row>
    <row r="28250" spans="1:1" x14ac:dyDescent="0.25">
      <c r="A28250" t="e">
        <v>#N/A</v>
      </c>
    </row>
    <row r="28251" spans="1:1" x14ac:dyDescent="0.25">
      <c r="A28251" t="e">
        <v>#N/A</v>
      </c>
    </row>
    <row r="28252" spans="1:1" x14ac:dyDescent="0.25">
      <c r="A28252" t="e">
        <v>#N/A</v>
      </c>
    </row>
    <row r="28253" spans="1:1" x14ac:dyDescent="0.25">
      <c r="A28253" t="e">
        <v>#N/A</v>
      </c>
    </row>
    <row r="28254" spans="1:1" x14ac:dyDescent="0.25">
      <c r="A28254" t="e">
        <v>#N/A</v>
      </c>
    </row>
    <row r="28255" spans="1:1" x14ac:dyDescent="0.25">
      <c r="A28255" t="e">
        <v>#N/A</v>
      </c>
    </row>
    <row r="28256" spans="1:1" x14ac:dyDescent="0.25">
      <c r="A28256" t="e">
        <v>#N/A</v>
      </c>
    </row>
    <row r="28257" spans="1:1" x14ac:dyDescent="0.25">
      <c r="A28257" t="e">
        <v>#N/A</v>
      </c>
    </row>
    <row r="28258" spans="1:1" x14ac:dyDescent="0.25">
      <c r="A28258" t="e">
        <v>#N/A</v>
      </c>
    </row>
    <row r="28259" spans="1:1" x14ac:dyDescent="0.25">
      <c r="A28259" t="e">
        <v>#N/A</v>
      </c>
    </row>
    <row r="28260" spans="1:1" x14ac:dyDescent="0.25">
      <c r="A28260" t="e">
        <v>#N/A</v>
      </c>
    </row>
    <row r="28261" spans="1:1" x14ac:dyDescent="0.25">
      <c r="A28261" t="e">
        <v>#N/A</v>
      </c>
    </row>
    <row r="28262" spans="1:1" x14ac:dyDescent="0.25">
      <c r="A28262" t="e">
        <v>#N/A</v>
      </c>
    </row>
    <row r="28263" spans="1:1" x14ac:dyDescent="0.25">
      <c r="A28263" t="e">
        <v>#N/A</v>
      </c>
    </row>
    <row r="28264" spans="1:1" x14ac:dyDescent="0.25">
      <c r="A28264" t="e">
        <v>#N/A</v>
      </c>
    </row>
    <row r="28265" spans="1:1" x14ac:dyDescent="0.25">
      <c r="A28265" t="e">
        <v>#N/A</v>
      </c>
    </row>
    <row r="28266" spans="1:1" x14ac:dyDescent="0.25">
      <c r="A28266" t="e">
        <v>#N/A</v>
      </c>
    </row>
    <row r="28267" spans="1:1" x14ac:dyDescent="0.25">
      <c r="A28267" t="e">
        <v>#N/A</v>
      </c>
    </row>
    <row r="28268" spans="1:1" x14ac:dyDescent="0.25">
      <c r="A28268" t="e">
        <v>#N/A</v>
      </c>
    </row>
    <row r="28269" spans="1:1" x14ac:dyDescent="0.25">
      <c r="A28269" t="e">
        <v>#N/A</v>
      </c>
    </row>
    <row r="28270" spans="1:1" x14ac:dyDescent="0.25">
      <c r="A28270" t="e">
        <v>#N/A</v>
      </c>
    </row>
    <row r="28271" spans="1:1" x14ac:dyDescent="0.25">
      <c r="A28271" t="e">
        <v>#N/A</v>
      </c>
    </row>
    <row r="28272" spans="1:1" x14ac:dyDescent="0.25">
      <c r="A28272" t="e">
        <v>#N/A</v>
      </c>
    </row>
    <row r="28273" spans="1:1" x14ac:dyDescent="0.25">
      <c r="A28273" t="e">
        <v>#N/A</v>
      </c>
    </row>
    <row r="28274" spans="1:1" x14ac:dyDescent="0.25">
      <c r="A28274" t="e">
        <v>#N/A</v>
      </c>
    </row>
    <row r="28275" spans="1:1" x14ac:dyDescent="0.25">
      <c r="A28275" t="e">
        <v>#N/A</v>
      </c>
    </row>
    <row r="28276" spans="1:1" x14ac:dyDescent="0.25">
      <c r="A28276" t="e">
        <v>#N/A</v>
      </c>
    </row>
    <row r="28277" spans="1:1" x14ac:dyDescent="0.25">
      <c r="A28277" t="e">
        <v>#N/A</v>
      </c>
    </row>
    <row r="28278" spans="1:1" x14ac:dyDescent="0.25">
      <c r="A28278" t="e">
        <v>#N/A</v>
      </c>
    </row>
    <row r="28279" spans="1:1" x14ac:dyDescent="0.25">
      <c r="A28279" t="e">
        <v>#N/A</v>
      </c>
    </row>
    <row r="28280" spans="1:1" x14ac:dyDescent="0.25">
      <c r="A28280" t="e">
        <v>#N/A</v>
      </c>
    </row>
    <row r="28281" spans="1:1" x14ac:dyDescent="0.25">
      <c r="A28281" t="e">
        <v>#N/A</v>
      </c>
    </row>
    <row r="28282" spans="1:1" x14ac:dyDescent="0.25">
      <c r="A28282" t="e">
        <v>#N/A</v>
      </c>
    </row>
    <row r="28283" spans="1:1" x14ac:dyDescent="0.25">
      <c r="A28283" t="e">
        <v>#N/A</v>
      </c>
    </row>
    <row r="28284" spans="1:1" x14ac:dyDescent="0.25">
      <c r="A28284" t="e">
        <v>#N/A</v>
      </c>
    </row>
    <row r="28285" spans="1:1" x14ac:dyDescent="0.25">
      <c r="A28285" t="e">
        <v>#N/A</v>
      </c>
    </row>
    <row r="28286" spans="1:1" x14ac:dyDescent="0.25">
      <c r="A28286" t="e">
        <v>#N/A</v>
      </c>
    </row>
    <row r="28287" spans="1:1" x14ac:dyDescent="0.25">
      <c r="A28287" t="e">
        <v>#N/A</v>
      </c>
    </row>
    <row r="28288" spans="1:1" x14ac:dyDescent="0.25">
      <c r="A28288" t="e">
        <v>#N/A</v>
      </c>
    </row>
    <row r="28289" spans="1:1" x14ac:dyDescent="0.25">
      <c r="A28289" t="e">
        <v>#N/A</v>
      </c>
    </row>
    <row r="28290" spans="1:1" x14ac:dyDescent="0.25">
      <c r="A28290" t="e">
        <v>#N/A</v>
      </c>
    </row>
    <row r="28291" spans="1:1" x14ac:dyDescent="0.25">
      <c r="A28291" t="e">
        <v>#N/A</v>
      </c>
    </row>
    <row r="28292" spans="1:1" x14ac:dyDescent="0.25">
      <c r="A28292" t="e">
        <v>#N/A</v>
      </c>
    </row>
    <row r="28293" spans="1:1" x14ac:dyDescent="0.25">
      <c r="A28293" t="e">
        <v>#N/A</v>
      </c>
    </row>
    <row r="28294" spans="1:1" x14ac:dyDescent="0.25">
      <c r="A28294" t="e">
        <v>#N/A</v>
      </c>
    </row>
    <row r="28295" spans="1:1" x14ac:dyDescent="0.25">
      <c r="A28295" t="e">
        <v>#N/A</v>
      </c>
    </row>
    <row r="28296" spans="1:1" x14ac:dyDescent="0.25">
      <c r="A28296" t="e">
        <v>#N/A</v>
      </c>
    </row>
    <row r="28297" spans="1:1" x14ac:dyDescent="0.25">
      <c r="A28297" t="e">
        <v>#N/A</v>
      </c>
    </row>
    <row r="28298" spans="1:1" x14ac:dyDescent="0.25">
      <c r="A28298" t="e">
        <v>#N/A</v>
      </c>
    </row>
    <row r="28299" spans="1:1" x14ac:dyDescent="0.25">
      <c r="A28299" t="e">
        <v>#N/A</v>
      </c>
    </row>
    <row r="28300" spans="1:1" x14ac:dyDescent="0.25">
      <c r="A28300" t="e">
        <v>#N/A</v>
      </c>
    </row>
    <row r="28301" spans="1:1" x14ac:dyDescent="0.25">
      <c r="A28301" t="e">
        <v>#N/A</v>
      </c>
    </row>
    <row r="28302" spans="1:1" x14ac:dyDescent="0.25">
      <c r="A28302" t="e">
        <v>#N/A</v>
      </c>
    </row>
    <row r="28303" spans="1:1" x14ac:dyDescent="0.25">
      <c r="A28303" t="e">
        <v>#N/A</v>
      </c>
    </row>
    <row r="28304" spans="1:1" x14ac:dyDescent="0.25">
      <c r="A28304" t="e">
        <v>#N/A</v>
      </c>
    </row>
    <row r="28305" spans="1:1" x14ac:dyDescent="0.25">
      <c r="A28305" t="e">
        <v>#N/A</v>
      </c>
    </row>
    <row r="28306" spans="1:1" x14ac:dyDescent="0.25">
      <c r="A28306" t="e">
        <v>#N/A</v>
      </c>
    </row>
    <row r="28307" spans="1:1" x14ac:dyDescent="0.25">
      <c r="A28307" t="e">
        <v>#N/A</v>
      </c>
    </row>
    <row r="28308" spans="1:1" x14ac:dyDescent="0.25">
      <c r="A28308" t="e">
        <v>#N/A</v>
      </c>
    </row>
    <row r="28309" spans="1:1" x14ac:dyDescent="0.25">
      <c r="A28309" t="e">
        <v>#N/A</v>
      </c>
    </row>
    <row r="28310" spans="1:1" x14ac:dyDescent="0.25">
      <c r="A28310" t="e">
        <v>#N/A</v>
      </c>
    </row>
    <row r="28311" spans="1:1" x14ac:dyDescent="0.25">
      <c r="A28311" t="e">
        <v>#N/A</v>
      </c>
    </row>
    <row r="28312" spans="1:1" x14ac:dyDescent="0.25">
      <c r="A28312" t="e">
        <v>#N/A</v>
      </c>
    </row>
    <row r="28313" spans="1:1" x14ac:dyDescent="0.25">
      <c r="A28313" t="e">
        <v>#N/A</v>
      </c>
    </row>
    <row r="28314" spans="1:1" x14ac:dyDescent="0.25">
      <c r="A28314" t="e">
        <v>#N/A</v>
      </c>
    </row>
    <row r="28315" spans="1:1" x14ac:dyDescent="0.25">
      <c r="A28315" t="e">
        <v>#N/A</v>
      </c>
    </row>
    <row r="28316" spans="1:1" x14ac:dyDescent="0.25">
      <c r="A28316" t="e">
        <v>#N/A</v>
      </c>
    </row>
    <row r="28317" spans="1:1" x14ac:dyDescent="0.25">
      <c r="A28317" t="e">
        <v>#N/A</v>
      </c>
    </row>
    <row r="28318" spans="1:1" x14ac:dyDescent="0.25">
      <c r="A28318" t="e">
        <v>#N/A</v>
      </c>
    </row>
    <row r="28319" spans="1:1" x14ac:dyDescent="0.25">
      <c r="A28319" t="e">
        <v>#N/A</v>
      </c>
    </row>
    <row r="28320" spans="1:1" x14ac:dyDescent="0.25">
      <c r="A28320" t="e">
        <v>#N/A</v>
      </c>
    </row>
    <row r="28321" spans="1:1" x14ac:dyDescent="0.25">
      <c r="A28321" t="e">
        <v>#N/A</v>
      </c>
    </row>
    <row r="28322" spans="1:1" x14ac:dyDescent="0.25">
      <c r="A28322" t="e">
        <v>#N/A</v>
      </c>
    </row>
    <row r="28323" spans="1:1" x14ac:dyDescent="0.25">
      <c r="A28323" t="e">
        <v>#N/A</v>
      </c>
    </row>
    <row r="28324" spans="1:1" x14ac:dyDescent="0.25">
      <c r="A28324" t="e">
        <v>#N/A</v>
      </c>
    </row>
    <row r="28325" spans="1:1" x14ac:dyDescent="0.25">
      <c r="A28325" t="e">
        <v>#N/A</v>
      </c>
    </row>
    <row r="28326" spans="1:1" x14ac:dyDescent="0.25">
      <c r="A28326" t="e">
        <v>#N/A</v>
      </c>
    </row>
    <row r="28327" spans="1:1" x14ac:dyDescent="0.25">
      <c r="A28327" t="e">
        <v>#N/A</v>
      </c>
    </row>
    <row r="28328" spans="1:1" x14ac:dyDescent="0.25">
      <c r="A28328" t="e">
        <v>#N/A</v>
      </c>
    </row>
    <row r="28329" spans="1:1" x14ac:dyDescent="0.25">
      <c r="A28329" t="e">
        <v>#N/A</v>
      </c>
    </row>
    <row r="28330" spans="1:1" x14ac:dyDescent="0.25">
      <c r="A28330" t="e">
        <v>#N/A</v>
      </c>
    </row>
    <row r="28331" spans="1:1" x14ac:dyDescent="0.25">
      <c r="A28331" t="e">
        <v>#N/A</v>
      </c>
    </row>
    <row r="28332" spans="1:1" x14ac:dyDescent="0.25">
      <c r="A28332" t="e">
        <v>#N/A</v>
      </c>
    </row>
    <row r="28333" spans="1:1" x14ac:dyDescent="0.25">
      <c r="A28333" t="e">
        <v>#N/A</v>
      </c>
    </row>
    <row r="28334" spans="1:1" x14ac:dyDescent="0.25">
      <c r="A28334" t="e">
        <v>#N/A</v>
      </c>
    </row>
    <row r="28335" spans="1:1" x14ac:dyDescent="0.25">
      <c r="A28335" t="e">
        <v>#N/A</v>
      </c>
    </row>
    <row r="28336" spans="1:1" x14ac:dyDescent="0.25">
      <c r="A28336" t="e">
        <v>#N/A</v>
      </c>
    </row>
    <row r="28337" spans="1:1" x14ac:dyDescent="0.25">
      <c r="A28337" t="e">
        <v>#N/A</v>
      </c>
    </row>
    <row r="28338" spans="1:1" x14ac:dyDescent="0.25">
      <c r="A28338" t="e">
        <v>#N/A</v>
      </c>
    </row>
    <row r="28339" spans="1:1" x14ac:dyDescent="0.25">
      <c r="A28339" t="e">
        <v>#N/A</v>
      </c>
    </row>
    <row r="28340" spans="1:1" x14ac:dyDescent="0.25">
      <c r="A28340" t="e">
        <v>#N/A</v>
      </c>
    </row>
    <row r="28341" spans="1:1" x14ac:dyDescent="0.25">
      <c r="A28341" t="e">
        <v>#N/A</v>
      </c>
    </row>
    <row r="28342" spans="1:1" x14ac:dyDescent="0.25">
      <c r="A28342" t="e">
        <v>#N/A</v>
      </c>
    </row>
    <row r="28343" spans="1:1" x14ac:dyDescent="0.25">
      <c r="A28343" t="e">
        <v>#N/A</v>
      </c>
    </row>
    <row r="28344" spans="1:1" x14ac:dyDescent="0.25">
      <c r="A28344" t="e">
        <v>#N/A</v>
      </c>
    </row>
    <row r="28345" spans="1:1" x14ac:dyDescent="0.25">
      <c r="A28345" t="e">
        <v>#N/A</v>
      </c>
    </row>
    <row r="28346" spans="1:1" x14ac:dyDescent="0.25">
      <c r="A28346" t="e">
        <v>#N/A</v>
      </c>
    </row>
    <row r="28347" spans="1:1" x14ac:dyDescent="0.25">
      <c r="A28347" t="e">
        <v>#N/A</v>
      </c>
    </row>
    <row r="28348" spans="1:1" x14ac:dyDescent="0.25">
      <c r="A28348" t="e">
        <v>#N/A</v>
      </c>
    </row>
    <row r="28349" spans="1:1" x14ac:dyDescent="0.25">
      <c r="A28349" t="e">
        <v>#N/A</v>
      </c>
    </row>
    <row r="28350" spans="1:1" x14ac:dyDescent="0.25">
      <c r="A28350" t="e">
        <v>#N/A</v>
      </c>
    </row>
    <row r="28351" spans="1:1" x14ac:dyDescent="0.25">
      <c r="A28351" t="e">
        <v>#N/A</v>
      </c>
    </row>
    <row r="28352" spans="1:1" x14ac:dyDescent="0.25">
      <c r="A28352" t="e">
        <v>#N/A</v>
      </c>
    </row>
    <row r="28353" spans="1:1" x14ac:dyDescent="0.25">
      <c r="A28353" t="e">
        <v>#N/A</v>
      </c>
    </row>
    <row r="28354" spans="1:1" x14ac:dyDescent="0.25">
      <c r="A28354" t="e">
        <v>#N/A</v>
      </c>
    </row>
    <row r="28355" spans="1:1" x14ac:dyDescent="0.25">
      <c r="A28355" t="e">
        <v>#N/A</v>
      </c>
    </row>
    <row r="28356" spans="1:1" x14ac:dyDescent="0.25">
      <c r="A28356" t="e">
        <v>#N/A</v>
      </c>
    </row>
    <row r="28357" spans="1:1" x14ac:dyDescent="0.25">
      <c r="A28357" t="e">
        <v>#N/A</v>
      </c>
    </row>
    <row r="28358" spans="1:1" x14ac:dyDescent="0.25">
      <c r="A28358" t="e">
        <v>#N/A</v>
      </c>
    </row>
    <row r="28359" spans="1:1" x14ac:dyDescent="0.25">
      <c r="A28359" t="e">
        <v>#N/A</v>
      </c>
    </row>
    <row r="28360" spans="1:1" x14ac:dyDescent="0.25">
      <c r="A28360" t="e">
        <v>#N/A</v>
      </c>
    </row>
    <row r="28361" spans="1:1" x14ac:dyDescent="0.25">
      <c r="A28361" t="e">
        <v>#N/A</v>
      </c>
    </row>
    <row r="28362" spans="1:1" x14ac:dyDescent="0.25">
      <c r="A28362" t="e">
        <v>#N/A</v>
      </c>
    </row>
    <row r="28363" spans="1:1" x14ac:dyDescent="0.25">
      <c r="A28363" t="e">
        <v>#N/A</v>
      </c>
    </row>
    <row r="28364" spans="1:1" x14ac:dyDescent="0.25">
      <c r="A28364" t="e">
        <v>#N/A</v>
      </c>
    </row>
    <row r="28365" spans="1:1" x14ac:dyDescent="0.25">
      <c r="A28365" t="e">
        <v>#N/A</v>
      </c>
    </row>
    <row r="28366" spans="1:1" x14ac:dyDescent="0.25">
      <c r="A28366" t="e">
        <v>#N/A</v>
      </c>
    </row>
    <row r="28367" spans="1:1" x14ac:dyDescent="0.25">
      <c r="A28367" t="e">
        <v>#N/A</v>
      </c>
    </row>
    <row r="28368" spans="1:1" x14ac:dyDescent="0.25">
      <c r="A28368" t="e">
        <v>#N/A</v>
      </c>
    </row>
    <row r="28369" spans="1:1" x14ac:dyDescent="0.25">
      <c r="A28369" t="e">
        <v>#N/A</v>
      </c>
    </row>
    <row r="28370" spans="1:1" x14ac:dyDescent="0.25">
      <c r="A28370" t="e">
        <v>#N/A</v>
      </c>
    </row>
    <row r="28371" spans="1:1" x14ac:dyDescent="0.25">
      <c r="A28371" t="e">
        <v>#N/A</v>
      </c>
    </row>
    <row r="28372" spans="1:1" x14ac:dyDescent="0.25">
      <c r="A28372" t="e">
        <v>#N/A</v>
      </c>
    </row>
    <row r="28373" spans="1:1" x14ac:dyDescent="0.25">
      <c r="A28373" t="e">
        <v>#N/A</v>
      </c>
    </row>
    <row r="28374" spans="1:1" x14ac:dyDescent="0.25">
      <c r="A28374" t="e">
        <v>#N/A</v>
      </c>
    </row>
    <row r="28375" spans="1:1" x14ac:dyDescent="0.25">
      <c r="A28375" t="e">
        <v>#N/A</v>
      </c>
    </row>
    <row r="28376" spans="1:1" x14ac:dyDescent="0.25">
      <c r="A28376" t="e">
        <v>#N/A</v>
      </c>
    </row>
    <row r="28377" spans="1:1" x14ac:dyDescent="0.25">
      <c r="A28377" t="e">
        <v>#N/A</v>
      </c>
    </row>
    <row r="28378" spans="1:1" x14ac:dyDescent="0.25">
      <c r="A28378" t="e">
        <v>#N/A</v>
      </c>
    </row>
    <row r="28379" spans="1:1" x14ac:dyDescent="0.25">
      <c r="A28379" t="e">
        <v>#N/A</v>
      </c>
    </row>
    <row r="28380" spans="1:1" x14ac:dyDescent="0.25">
      <c r="A28380" t="e">
        <v>#N/A</v>
      </c>
    </row>
    <row r="28381" spans="1:1" x14ac:dyDescent="0.25">
      <c r="A28381" t="e">
        <v>#N/A</v>
      </c>
    </row>
    <row r="28382" spans="1:1" x14ac:dyDescent="0.25">
      <c r="A28382" t="e">
        <v>#N/A</v>
      </c>
    </row>
    <row r="28383" spans="1:1" x14ac:dyDescent="0.25">
      <c r="A28383" t="e">
        <v>#N/A</v>
      </c>
    </row>
    <row r="28384" spans="1:1" x14ac:dyDescent="0.25">
      <c r="A28384" t="e">
        <v>#N/A</v>
      </c>
    </row>
    <row r="28385" spans="1:1" x14ac:dyDescent="0.25">
      <c r="A28385" t="e">
        <v>#N/A</v>
      </c>
    </row>
    <row r="28386" spans="1:1" x14ac:dyDescent="0.25">
      <c r="A28386" t="e">
        <v>#N/A</v>
      </c>
    </row>
    <row r="28387" spans="1:1" x14ac:dyDescent="0.25">
      <c r="A28387" t="e">
        <v>#N/A</v>
      </c>
    </row>
    <row r="28388" spans="1:1" x14ac:dyDescent="0.25">
      <c r="A28388" t="e">
        <v>#N/A</v>
      </c>
    </row>
    <row r="28389" spans="1:1" x14ac:dyDescent="0.25">
      <c r="A28389" t="e">
        <v>#N/A</v>
      </c>
    </row>
    <row r="28390" spans="1:1" x14ac:dyDescent="0.25">
      <c r="A28390" t="e">
        <v>#N/A</v>
      </c>
    </row>
    <row r="28391" spans="1:1" x14ac:dyDescent="0.25">
      <c r="A28391" t="e">
        <v>#N/A</v>
      </c>
    </row>
    <row r="28392" spans="1:1" x14ac:dyDescent="0.25">
      <c r="A28392" t="e">
        <v>#N/A</v>
      </c>
    </row>
    <row r="28393" spans="1:1" x14ac:dyDescent="0.25">
      <c r="A28393" t="e">
        <v>#N/A</v>
      </c>
    </row>
    <row r="28394" spans="1:1" x14ac:dyDescent="0.25">
      <c r="A28394" t="e">
        <v>#N/A</v>
      </c>
    </row>
    <row r="28395" spans="1:1" x14ac:dyDescent="0.25">
      <c r="A28395" t="e">
        <v>#N/A</v>
      </c>
    </row>
    <row r="28396" spans="1:1" x14ac:dyDescent="0.25">
      <c r="A28396" t="e">
        <v>#N/A</v>
      </c>
    </row>
    <row r="28397" spans="1:1" x14ac:dyDescent="0.25">
      <c r="A28397" t="e">
        <v>#N/A</v>
      </c>
    </row>
    <row r="28398" spans="1:1" x14ac:dyDescent="0.25">
      <c r="A28398" t="e">
        <v>#N/A</v>
      </c>
    </row>
    <row r="28399" spans="1:1" x14ac:dyDescent="0.25">
      <c r="A28399" t="e">
        <v>#N/A</v>
      </c>
    </row>
    <row r="28400" spans="1:1" x14ac:dyDescent="0.25">
      <c r="A28400" t="e">
        <v>#N/A</v>
      </c>
    </row>
    <row r="28401" spans="1:1" x14ac:dyDescent="0.25">
      <c r="A28401" t="e">
        <v>#N/A</v>
      </c>
    </row>
    <row r="28402" spans="1:1" x14ac:dyDescent="0.25">
      <c r="A28402" t="e">
        <v>#N/A</v>
      </c>
    </row>
    <row r="28403" spans="1:1" x14ac:dyDescent="0.25">
      <c r="A28403" t="e">
        <v>#N/A</v>
      </c>
    </row>
    <row r="28404" spans="1:1" x14ac:dyDescent="0.25">
      <c r="A28404" t="e">
        <v>#N/A</v>
      </c>
    </row>
    <row r="28405" spans="1:1" x14ac:dyDescent="0.25">
      <c r="A28405" t="e">
        <v>#N/A</v>
      </c>
    </row>
    <row r="28406" spans="1:1" x14ac:dyDescent="0.25">
      <c r="A28406" t="e">
        <v>#N/A</v>
      </c>
    </row>
    <row r="28407" spans="1:1" x14ac:dyDescent="0.25">
      <c r="A28407" t="e">
        <v>#N/A</v>
      </c>
    </row>
    <row r="28408" spans="1:1" x14ac:dyDescent="0.25">
      <c r="A28408" t="e">
        <v>#N/A</v>
      </c>
    </row>
    <row r="28409" spans="1:1" x14ac:dyDescent="0.25">
      <c r="A28409" t="e">
        <v>#N/A</v>
      </c>
    </row>
    <row r="28410" spans="1:1" x14ac:dyDescent="0.25">
      <c r="A28410" t="e">
        <v>#N/A</v>
      </c>
    </row>
    <row r="28411" spans="1:1" x14ac:dyDescent="0.25">
      <c r="A28411" t="e">
        <v>#N/A</v>
      </c>
    </row>
    <row r="28412" spans="1:1" x14ac:dyDescent="0.25">
      <c r="A28412" t="e">
        <v>#N/A</v>
      </c>
    </row>
    <row r="28413" spans="1:1" x14ac:dyDescent="0.25">
      <c r="A28413" t="e">
        <v>#N/A</v>
      </c>
    </row>
    <row r="28414" spans="1:1" x14ac:dyDescent="0.25">
      <c r="A28414" t="e">
        <v>#N/A</v>
      </c>
    </row>
    <row r="28415" spans="1:1" x14ac:dyDescent="0.25">
      <c r="A28415" t="e">
        <v>#N/A</v>
      </c>
    </row>
    <row r="28416" spans="1:1" x14ac:dyDescent="0.25">
      <c r="A28416" t="e">
        <v>#N/A</v>
      </c>
    </row>
    <row r="28417" spans="1:1" x14ac:dyDescent="0.25">
      <c r="A28417" t="e">
        <v>#N/A</v>
      </c>
    </row>
    <row r="28418" spans="1:1" x14ac:dyDescent="0.25">
      <c r="A28418" t="e">
        <v>#N/A</v>
      </c>
    </row>
    <row r="28419" spans="1:1" x14ac:dyDescent="0.25">
      <c r="A28419" t="e">
        <v>#N/A</v>
      </c>
    </row>
    <row r="28420" spans="1:1" x14ac:dyDescent="0.25">
      <c r="A28420" t="e">
        <v>#N/A</v>
      </c>
    </row>
    <row r="28421" spans="1:1" x14ac:dyDescent="0.25">
      <c r="A28421" t="e">
        <v>#N/A</v>
      </c>
    </row>
    <row r="28422" spans="1:1" x14ac:dyDescent="0.25">
      <c r="A28422" t="e">
        <v>#N/A</v>
      </c>
    </row>
    <row r="28423" spans="1:1" x14ac:dyDescent="0.25">
      <c r="A28423" t="e">
        <v>#N/A</v>
      </c>
    </row>
    <row r="28424" spans="1:1" x14ac:dyDescent="0.25">
      <c r="A28424" t="e">
        <v>#N/A</v>
      </c>
    </row>
    <row r="28425" spans="1:1" x14ac:dyDescent="0.25">
      <c r="A28425" t="e">
        <v>#N/A</v>
      </c>
    </row>
    <row r="28426" spans="1:1" x14ac:dyDescent="0.25">
      <c r="A28426" t="e">
        <v>#N/A</v>
      </c>
    </row>
    <row r="28427" spans="1:1" x14ac:dyDescent="0.25">
      <c r="A28427" t="e">
        <v>#N/A</v>
      </c>
    </row>
    <row r="28428" spans="1:1" x14ac:dyDescent="0.25">
      <c r="A28428" t="e">
        <v>#N/A</v>
      </c>
    </row>
    <row r="28429" spans="1:1" x14ac:dyDescent="0.25">
      <c r="A28429" t="e">
        <v>#N/A</v>
      </c>
    </row>
    <row r="28430" spans="1:1" x14ac:dyDescent="0.25">
      <c r="A28430" t="e">
        <v>#N/A</v>
      </c>
    </row>
    <row r="28431" spans="1:1" x14ac:dyDescent="0.25">
      <c r="A28431" t="e">
        <v>#N/A</v>
      </c>
    </row>
    <row r="28432" spans="1:1" x14ac:dyDescent="0.25">
      <c r="A28432" t="e">
        <v>#N/A</v>
      </c>
    </row>
    <row r="28433" spans="1:1" x14ac:dyDescent="0.25">
      <c r="A28433" t="e">
        <v>#N/A</v>
      </c>
    </row>
    <row r="28434" spans="1:1" x14ac:dyDescent="0.25">
      <c r="A28434" t="e">
        <v>#N/A</v>
      </c>
    </row>
    <row r="28435" spans="1:1" x14ac:dyDescent="0.25">
      <c r="A28435" t="e">
        <v>#N/A</v>
      </c>
    </row>
    <row r="28436" spans="1:1" x14ac:dyDescent="0.25">
      <c r="A28436" t="e">
        <v>#N/A</v>
      </c>
    </row>
    <row r="28437" spans="1:1" x14ac:dyDescent="0.25">
      <c r="A28437" t="e">
        <v>#N/A</v>
      </c>
    </row>
    <row r="28438" spans="1:1" x14ac:dyDescent="0.25">
      <c r="A28438" t="e">
        <v>#N/A</v>
      </c>
    </row>
    <row r="28439" spans="1:1" x14ac:dyDescent="0.25">
      <c r="A28439" t="e">
        <v>#N/A</v>
      </c>
    </row>
    <row r="28440" spans="1:1" x14ac:dyDescent="0.25">
      <c r="A28440" t="e">
        <v>#N/A</v>
      </c>
    </row>
    <row r="28441" spans="1:1" x14ac:dyDescent="0.25">
      <c r="A28441" t="e">
        <v>#N/A</v>
      </c>
    </row>
    <row r="28442" spans="1:1" x14ac:dyDescent="0.25">
      <c r="A28442" t="e">
        <v>#N/A</v>
      </c>
    </row>
    <row r="28443" spans="1:1" x14ac:dyDescent="0.25">
      <c r="A28443" t="e">
        <v>#N/A</v>
      </c>
    </row>
    <row r="28444" spans="1:1" x14ac:dyDescent="0.25">
      <c r="A28444" t="e">
        <v>#N/A</v>
      </c>
    </row>
    <row r="28445" spans="1:1" x14ac:dyDescent="0.25">
      <c r="A28445" t="e">
        <v>#N/A</v>
      </c>
    </row>
    <row r="28446" spans="1:1" x14ac:dyDescent="0.25">
      <c r="A28446" t="e">
        <v>#N/A</v>
      </c>
    </row>
    <row r="28447" spans="1:1" x14ac:dyDescent="0.25">
      <c r="A28447" t="e">
        <v>#N/A</v>
      </c>
    </row>
    <row r="28448" spans="1:1" x14ac:dyDescent="0.25">
      <c r="A28448" t="e">
        <v>#N/A</v>
      </c>
    </row>
    <row r="28449" spans="1:1" x14ac:dyDescent="0.25">
      <c r="A28449" t="e">
        <v>#N/A</v>
      </c>
    </row>
    <row r="28450" spans="1:1" x14ac:dyDescent="0.25">
      <c r="A28450" t="e">
        <v>#N/A</v>
      </c>
    </row>
    <row r="28451" spans="1:1" x14ac:dyDescent="0.25">
      <c r="A28451" t="e">
        <v>#N/A</v>
      </c>
    </row>
    <row r="28452" spans="1:1" x14ac:dyDescent="0.25">
      <c r="A28452" t="e">
        <v>#N/A</v>
      </c>
    </row>
    <row r="28453" spans="1:1" x14ac:dyDescent="0.25">
      <c r="A28453" t="e">
        <v>#N/A</v>
      </c>
    </row>
    <row r="28454" spans="1:1" x14ac:dyDescent="0.25">
      <c r="A28454" t="e">
        <v>#N/A</v>
      </c>
    </row>
    <row r="28455" spans="1:1" x14ac:dyDescent="0.25">
      <c r="A28455" t="e">
        <v>#N/A</v>
      </c>
    </row>
    <row r="28456" spans="1:1" x14ac:dyDescent="0.25">
      <c r="A28456" t="e">
        <v>#N/A</v>
      </c>
    </row>
    <row r="28457" spans="1:1" x14ac:dyDescent="0.25">
      <c r="A28457" t="e">
        <v>#N/A</v>
      </c>
    </row>
    <row r="28458" spans="1:1" x14ac:dyDescent="0.25">
      <c r="A28458" t="e">
        <v>#N/A</v>
      </c>
    </row>
    <row r="28459" spans="1:1" x14ac:dyDescent="0.25">
      <c r="A28459" t="e">
        <v>#N/A</v>
      </c>
    </row>
    <row r="28460" spans="1:1" x14ac:dyDescent="0.25">
      <c r="A28460" t="e">
        <v>#N/A</v>
      </c>
    </row>
    <row r="28461" spans="1:1" x14ac:dyDescent="0.25">
      <c r="A28461" t="e">
        <v>#N/A</v>
      </c>
    </row>
    <row r="28462" spans="1:1" x14ac:dyDescent="0.25">
      <c r="A28462" t="e">
        <v>#N/A</v>
      </c>
    </row>
    <row r="28463" spans="1:1" x14ac:dyDescent="0.25">
      <c r="A28463" t="e">
        <v>#N/A</v>
      </c>
    </row>
    <row r="28464" spans="1:1" x14ac:dyDescent="0.25">
      <c r="A28464" t="e">
        <v>#N/A</v>
      </c>
    </row>
    <row r="28465" spans="1:1" x14ac:dyDescent="0.25">
      <c r="A28465" t="e">
        <v>#N/A</v>
      </c>
    </row>
    <row r="28466" spans="1:1" x14ac:dyDescent="0.25">
      <c r="A28466" t="e">
        <v>#N/A</v>
      </c>
    </row>
    <row r="28467" spans="1:1" x14ac:dyDescent="0.25">
      <c r="A28467" t="e">
        <v>#N/A</v>
      </c>
    </row>
    <row r="28468" spans="1:1" x14ac:dyDescent="0.25">
      <c r="A28468" t="e">
        <v>#N/A</v>
      </c>
    </row>
    <row r="28469" spans="1:1" x14ac:dyDescent="0.25">
      <c r="A28469" t="e">
        <v>#N/A</v>
      </c>
    </row>
    <row r="28470" spans="1:1" x14ac:dyDescent="0.25">
      <c r="A28470" t="e">
        <v>#N/A</v>
      </c>
    </row>
    <row r="28471" spans="1:1" x14ac:dyDescent="0.25">
      <c r="A28471" t="e">
        <v>#N/A</v>
      </c>
    </row>
    <row r="28472" spans="1:1" x14ac:dyDescent="0.25">
      <c r="A28472" t="e">
        <v>#N/A</v>
      </c>
    </row>
    <row r="28473" spans="1:1" x14ac:dyDescent="0.25">
      <c r="A28473" t="e">
        <v>#N/A</v>
      </c>
    </row>
    <row r="28474" spans="1:1" x14ac:dyDescent="0.25">
      <c r="A28474" t="e">
        <v>#N/A</v>
      </c>
    </row>
    <row r="28475" spans="1:1" x14ac:dyDescent="0.25">
      <c r="A28475" t="e">
        <v>#N/A</v>
      </c>
    </row>
    <row r="28476" spans="1:1" x14ac:dyDescent="0.25">
      <c r="A28476" t="e">
        <v>#N/A</v>
      </c>
    </row>
    <row r="28477" spans="1:1" x14ac:dyDescent="0.25">
      <c r="A28477" t="e">
        <v>#N/A</v>
      </c>
    </row>
    <row r="28478" spans="1:1" x14ac:dyDescent="0.25">
      <c r="A28478" t="e">
        <v>#N/A</v>
      </c>
    </row>
    <row r="28479" spans="1:1" x14ac:dyDescent="0.25">
      <c r="A28479" t="e">
        <v>#N/A</v>
      </c>
    </row>
    <row r="28480" spans="1:1" x14ac:dyDescent="0.25">
      <c r="A28480" t="e">
        <v>#N/A</v>
      </c>
    </row>
    <row r="28481" spans="1:1" x14ac:dyDescent="0.25">
      <c r="A28481" t="e">
        <v>#N/A</v>
      </c>
    </row>
    <row r="28482" spans="1:1" x14ac:dyDescent="0.25">
      <c r="A28482" t="e">
        <v>#N/A</v>
      </c>
    </row>
    <row r="28483" spans="1:1" x14ac:dyDescent="0.25">
      <c r="A28483" t="e">
        <v>#N/A</v>
      </c>
    </row>
    <row r="28484" spans="1:1" x14ac:dyDescent="0.25">
      <c r="A28484" t="e">
        <v>#N/A</v>
      </c>
    </row>
    <row r="28485" spans="1:1" x14ac:dyDescent="0.25">
      <c r="A28485" t="e">
        <v>#N/A</v>
      </c>
    </row>
    <row r="28486" spans="1:1" x14ac:dyDescent="0.25">
      <c r="A28486" t="e">
        <v>#N/A</v>
      </c>
    </row>
    <row r="28487" spans="1:1" x14ac:dyDescent="0.25">
      <c r="A28487" t="e">
        <v>#N/A</v>
      </c>
    </row>
    <row r="28488" spans="1:1" x14ac:dyDescent="0.25">
      <c r="A28488" t="e">
        <v>#N/A</v>
      </c>
    </row>
    <row r="28489" spans="1:1" x14ac:dyDescent="0.25">
      <c r="A28489" t="e">
        <v>#N/A</v>
      </c>
    </row>
    <row r="28490" spans="1:1" x14ac:dyDescent="0.25">
      <c r="A28490" t="e">
        <v>#N/A</v>
      </c>
    </row>
    <row r="28491" spans="1:1" x14ac:dyDescent="0.25">
      <c r="A28491" t="e">
        <v>#N/A</v>
      </c>
    </row>
    <row r="28492" spans="1:1" x14ac:dyDescent="0.25">
      <c r="A28492" t="e">
        <v>#N/A</v>
      </c>
    </row>
    <row r="28493" spans="1:1" x14ac:dyDescent="0.25">
      <c r="A28493" t="e">
        <v>#N/A</v>
      </c>
    </row>
    <row r="28494" spans="1:1" x14ac:dyDescent="0.25">
      <c r="A28494" t="e">
        <v>#N/A</v>
      </c>
    </row>
    <row r="28495" spans="1:1" x14ac:dyDescent="0.25">
      <c r="A28495" t="e">
        <v>#N/A</v>
      </c>
    </row>
    <row r="28496" spans="1:1" x14ac:dyDescent="0.25">
      <c r="A28496" t="e">
        <v>#N/A</v>
      </c>
    </row>
    <row r="28497" spans="1:1" x14ac:dyDescent="0.25">
      <c r="A28497" t="e">
        <v>#N/A</v>
      </c>
    </row>
    <row r="28498" spans="1:1" x14ac:dyDescent="0.25">
      <c r="A28498" t="e">
        <v>#N/A</v>
      </c>
    </row>
    <row r="28499" spans="1:1" x14ac:dyDescent="0.25">
      <c r="A28499" t="e">
        <v>#N/A</v>
      </c>
    </row>
    <row r="28500" spans="1:1" x14ac:dyDescent="0.25">
      <c r="A28500" t="e">
        <v>#N/A</v>
      </c>
    </row>
    <row r="28501" spans="1:1" x14ac:dyDescent="0.25">
      <c r="A28501" t="e">
        <v>#N/A</v>
      </c>
    </row>
    <row r="28502" spans="1:1" x14ac:dyDescent="0.25">
      <c r="A28502" t="e">
        <v>#N/A</v>
      </c>
    </row>
    <row r="28503" spans="1:1" x14ac:dyDescent="0.25">
      <c r="A28503" t="e">
        <v>#N/A</v>
      </c>
    </row>
    <row r="28504" spans="1:1" x14ac:dyDescent="0.25">
      <c r="A28504" t="e">
        <v>#N/A</v>
      </c>
    </row>
    <row r="28505" spans="1:1" x14ac:dyDescent="0.25">
      <c r="A28505" t="e">
        <v>#N/A</v>
      </c>
    </row>
    <row r="28506" spans="1:1" x14ac:dyDescent="0.25">
      <c r="A28506" t="e">
        <v>#N/A</v>
      </c>
    </row>
    <row r="28507" spans="1:1" x14ac:dyDescent="0.25">
      <c r="A28507" t="e">
        <v>#N/A</v>
      </c>
    </row>
    <row r="28508" spans="1:1" x14ac:dyDescent="0.25">
      <c r="A28508" t="e">
        <v>#N/A</v>
      </c>
    </row>
    <row r="28509" spans="1:1" x14ac:dyDescent="0.25">
      <c r="A28509" t="e">
        <v>#N/A</v>
      </c>
    </row>
    <row r="28510" spans="1:1" x14ac:dyDescent="0.25">
      <c r="A28510" t="e">
        <v>#N/A</v>
      </c>
    </row>
    <row r="28511" spans="1:1" x14ac:dyDescent="0.25">
      <c r="A28511" t="e">
        <v>#N/A</v>
      </c>
    </row>
    <row r="28512" spans="1:1" x14ac:dyDescent="0.25">
      <c r="A28512" t="e">
        <v>#N/A</v>
      </c>
    </row>
    <row r="28513" spans="1:1" x14ac:dyDescent="0.25">
      <c r="A28513" t="e">
        <v>#N/A</v>
      </c>
    </row>
    <row r="28514" spans="1:1" x14ac:dyDescent="0.25">
      <c r="A28514" t="e">
        <v>#N/A</v>
      </c>
    </row>
    <row r="28515" spans="1:1" x14ac:dyDescent="0.25">
      <c r="A28515" t="e">
        <v>#N/A</v>
      </c>
    </row>
    <row r="28516" spans="1:1" x14ac:dyDescent="0.25">
      <c r="A28516" t="e">
        <v>#N/A</v>
      </c>
    </row>
    <row r="28517" spans="1:1" x14ac:dyDescent="0.25">
      <c r="A28517" t="e">
        <v>#N/A</v>
      </c>
    </row>
    <row r="28518" spans="1:1" x14ac:dyDescent="0.25">
      <c r="A28518" t="e">
        <v>#N/A</v>
      </c>
    </row>
    <row r="28519" spans="1:1" x14ac:dyDescent="0.25">
      <c r="A28519" t="e">
        <v>#N/A</v>
      </c>
    </row>
    <row r="28520" spans="1:1" x14ac:dyDescent="0.25">
      <c r="A28520" t="e">
        <v>#N/A</v>
      </c>
    </row>
    <row r="28521" spans="1:1" x14ac:dyDescent="0.25">
      <c r="A28521" t="e">
        <v>#N/A</v>
      </c>
    </row>
    <row r="28522" spans="1:1" x14ac:dyDescent="0.25">
      <c r="A28522" t="e">
        <v>#N/A</v>
      </c>
    </row>
    <row r="28523" spans="1:1" x14ac:dyDescent="0.25">
      <c r="A28523" t="e">
        <v>#N/A</v>
      </c>
    </row>
    <row r="28524" spans="1:1" x14ac:dyDescent="0.25">
      <c r="A28524" t="e">
        <v>#N/A</v>
      </c>
    </row>
    <row r="28525" spans="1:1" x14ac:dyDescent="0.25">
      <c r="A28525" t="e">
        <v>#N/A</v>
      </c>
    </row>
    <row r="28526" spans="1:1" x14ac:dyDescent="0.25">
      <c r="A28526" t="e">
        <v>#N/A</v>
      </c>
    </row>
    <row r="28527" spans="1:1" x14ac:dyDescent="0.25">
      <c r="A28527" t="e">
        <v>#N/A</v>
      </c>
    </row>
    <row r="28528" spans="1:1" x14ac:dyDescent="0.25">
      <c r="A28528" t="e">
        <v>#N/A</v>
      </c>
    </row>
    <row r="28529" spans="1:1" x14ac:dyDescent="0.25">
      <c r="A28529" t="e">
        <v>#N/A</v>
      </c>
    </row>
    <row r="28530" spans="1:1" x14ac:dyDescent="0.25">
      <c r="A28530" t="e">
        <v>#N/A</v>
      </c>
    </row>
    <row r="28531" spans="1:1" x14ac:dyDescent="0.25">
      <c r="A28531" t="e">
        <v>#N/A</v>
      </c>
    </row>
    <row r="28532" spans="1:1" x14ac:dyDescent="0.25">
      <c r="A28532" t="e">
        <v>#N/A</v>
      </c>
    </row>
    <row r="28533" spans="1:1" x14ac:dyDescent="0.25">
      <c r="A28533" t="e">
        <v>#N/A</v>
      </c>
    </row>
    <row r="28534" spans="1:1" x14ac:dyDescent="0.25">
      <c r="A28534" t="e">
        <v>#N/A</v>
      </c>
    </row>
    <row r="28535" spans="1:1" x14ac:dyDescent="0.25">
      <c r="A28535" t="e">
        <v>#N/A</v>
      </c>
    </row>
    <row r="28536" spans="1:1" x14ac:dyDescent="0.25">
      <c r="A28536" t="e">
        <v>#N/A</v>
      </c>
    </row>
    <row r="28537" spans="1:1" x14ac:dyDescent="0.25">
      <c r="A28537" t="e">
        <v>#N/A</v>
      </c>
    </row>
    <row r="28538" spans="1:1" x14ac:dyDescent="0.25">
      <c r="A28538" t="e">
        <v>#N/A</v>
      </c>
    </row>
    <row r="28539" spans="1:1" x14ac:dyDescent="0.25">
      <c r="A28539" t="e">
        <v>#N/A</v>
      </c>
    </row>
    <row r="28540" spans="1:1" x14ac:dyDescent="0.25">
      <c r="A28540" t="e">
        <v>#N/A</v>
      </c>
    </row>
    <row r="28541" spans="1:1" x14ac:dyDescent="0.25">
      <c r="A28541" t="e">
        <v>#N/A</v>
      </c>
    </row>
    <row r="28542" spans="1:1" x14ac:dyDescent="0.25">
      <c r="A28542" t="e">
        <v>#N/A</v>
      </c>
    </row>
    <row r="28543" spans="1:1" x14ac:dyDescent="0.25">
      <c r="A28543" t="e">
        <v>#N/A</v>
      </c>
    </row>
    <row r="28544" spans="1:1" x14ac:dyDescent="0.25">
      <c r="A28544" t="e">
        <v>#N/A</v>
      </c>
    </row>
    <row r="28545" spans="1:1" x14ac:dyDescent="0.25">
      <c r="A28545" t="e">
        <v>#N/A</v>
      </c>
    </row>
    <row r="28546" spans="1:1" x14ac:dyDescent="0.25">
      <c r="A28546" t="e">
        <v>#N/A</v>
      </c>
    </row>
    <row r="28547" spans="1:1" x14ac:dyDescent="0.25">
      <c r="A28547" t="e">
        <v>#N/A</v>
      </c>
    </row>
    <row r="28548" spans="1:1" x14ac:dyDescent="0.25">
      <c r="A28548" t="e">
        <v>#N/A</v>
      </c>
    </row>
    <row r="28549" spans="1:1" x14ac:dyDescent="0.25">
      <c r="A28549" t="e">
        <v>#N/A</v>
      </c>
    </row>
    <row r="28550" spans="1:1" x14ac:dyDescent="0.25">
      <c r="A28550" t="e">
        <v>#N/A</v>
      </c>
    </row>
    <row r="28551" spans="1:1" x14ac:dyDescent="0.25">
      <c r="A28551" t="e">
        <v>#N/A</v>
      </c>
    </row>
    <row r="28552" spans="1:1" x14ac:dyDescent="0.25">
      <c r="A28552" t="e">
        <v>#N/A</v>
      </c>
    </row>
    <row r="28553" spans="1:1" x14ac:dyDescent="0.25">
      <c r="A28553" t="e">
        <v>#N/A</v>
      </c>
    </row>
    <row r="28554" spans="1:1" x14ac:dyDescent="0.25">
      <c r="A28554" t="e">
        <v>#N/A</v>
      </c>
    </row>
    <row r="28555" spans="1:1" x14ac:dyDescent="0.25">
      <c r="A28555" t="e">
        <v>#N/A</v>
      </c>
    </row>
    <row r="28556" spans="1:1" x14ac:dyDescent="0.25">
      <c r="A28556" t="e">
        <v>#N/A</v>
      </c>
    </row>
    <row r="28557" spans="1:1" x14ac:dyDescent="0.25">
      <c r="A28557" t="e">
        <v>#N/A</v>
      </c>
    </row>
    <row r="28558" spans="1:1" x14ac:dyDescent="0.25">
      <c r="A28558" t="e">
        <v>#N/A</v>
      </c>
    </row>
    <row r="28559" spans="1:1" x14ac:dyDescent="0.25">
      <c r="A28559" t="e">
        <v>#N/A</v>
      </c>
    </row>
    <row r="28560" spans="1:1" x14ac:dyDescent="0.25">
      <c r="A28560" t="e">
        <v>#N/A</v>
      </c>
    </row>
    <row r="28561" spans="1:1" x14ac:dyDescent="0.25">
      <c r="A28561" t="e">
        <v>#N/A</v>
      </c>
    </row>
    <row r="28562" spans="1:1" x14ac:dyDescent="0.25">
      <c r="A28562" t="e">
        <v>#N/A</v>
      </c>
    </row>
    <row r="28563" spans="1:1" x14ac:dyDescent="0.25">
      <c r="A28563" t="e">
        <v>#N/A</v>
      </c>
    </row>
    <row r="28564" spans="1:1" x14ac:dyDescent="0.25">
      <c r="A28564" t="e">
        <v>#N/A</v>
      </c>
    </row>
    <row r="28565" spans="1:1" x14ac:dyDescent="0.25">
      <c r="A28565" t="e">
        <v>#N/A</v>
      </c>
    </row>
    <row r="28566" spans="1:1" x14ac:dyDescent="0.25">
      <c r="A28566" t="e">
        <v>#N/A</v>
      </c>
    </row>
    <row r="28567" spans="1:1" x14ac:dyDescent="0.25">
      <c r="A28567" t="e">
        <v>#N/A</v>
      </c>
    </row>
    <row r="28568" spans="1:1" x14ac:dyDescent="0.25">
      <c r="A28568" t="e">
        <v>#N/A</v>
      </c>
    </row>
    <row r="28569" spans="1:1" x14ac:dyDescent="0.25">
      <c r="A28569" t="e">
        <v>#N/A</v>
      </c>
    </row>
    <row r="28570" spans="1:1" x14ac:dyDescent="0.25">
      <c r="A28570" t="e">
        <v>#N/A</v>
      </c>
    </row>
    <row r="28571" spans="1:1" x14ac:dyDescent="0.25">
      <c r="A28571" t="e">
        <v>#N/A</v>
      </c>
    </row>
    <row r="28572" spans="1:1" x14ac:dyDescent="0.25">
      <c r="A28572" t="e">
        <v>#N/A</v>
      </c>
    </row>
    <row r="28573" spans="1:1" x14ac:dyDescent="0.25">
      <c r="A28573" t="e">
        <v>#N/A</v>
      </c>
    </row>
    <row r="28574" spans="1:1" x14ac:dyDescent="0.25">
      <c r="A28574" t="e">
        <v>#N/A</v>
      </c>
    </row>
    <row r="28575" spans="1:1" x14ac:dyDescent="0.25">
      <c r="A28575" t="e">
        <v>#N/A</v>
      </c>
    </row>
    <row r="28576" spans="1:1" x14ac:dyDescent="0.25">
      <c r="A28576" t="e">
        <v>#N/A</v>
      </c>
    </row>
    <row r="28577" spans="1:1" x14ac:dyDescent="0.25">
      <c r="A28577" t="e">
        <v>#N/A</v>
      </c>
    </row>
    <row r="28578" spans="1:1" x14ac:dyDescent="0.25">
      <c r="A28578" t="e">
        <v>#N/A</v>
      </c>
    </row>
    <row r="28579" spans="1:1" x14ac:dyDescent="0.25">
      <c r="A28579" t="e">
        <v>#N/A</v>
      </c>
    </row>
    <row r="28580" spans="1:1" x14ac:dyDescent="0.25">
      <c r="A28580" t="e">
        <v>#N/A</v>
      </c>
    </row>
    <row r="28581" spans="1:1" x14ac:dyDescent="0.25">
      <c r="A28581" t="e">
        <v>#N/A</v>
      </c>
    </row>
    <row r="28582" spans="1:1" x14ac:dyDescent="0.25">
      <c r="A28582" t="e">
        <v>#N/A</v>
      </c>
    </row>
    <row r="28583" spans="1:1" x14ac:dyDescent="0.25">
      <c r="A28583" t="e">
        <v>#N/A</v>
      </c>
    </row>
    <row r="28584" spans="1:1" x14ac:dyDescent="0.25">
      <c r="A28584" t="e">
        <v>#N/A</v>
      </c>
    </row>
    <row r="28585" spans="1:1" x14ac:dyDescent="0.25">
      <c r="A28585" t="e">
        <v>#N/A</v>
      </c>
    </row>
    <row r="28586" spans="1:1" x14ac:dyDescent="0.25">
      <c r="A28586" t="e">
        <v>#N/A</v>
      </c>
    </row>
    <row r="28587" spans="1:1" x14ac:dyDescent="0.25">
      <c r="A28587" t="e">
        <v>#N/A</v>
      </c>
    </row>
    <row r="28588" spans="1:1" x14ac:dyDescent="0.25">
      <c r="A28588" t="e">
        <v>#N/A</v>
      </c>
    </row>
    <row r="28589" spans="1:1" x14ac:dyDescent="0.25">
      <c r="A28589" t="e">
        <v>#N/A</v>
      </c>
    </row>
    <row r="28590" spans="1:1" x14ac:dyDescent="0.25">
      <c r="A28590" t="e">
        <v>#N/A</v>
      </c>
    </row>
    <row r="28591" spans="1:1" x14ac:dyDescent="0.25">
      <c r="A28591" t="e">
        <v>#N/A</v>
      </c>
    </row>
    <row r="28592" spans="1:1" x14ac:dyDescent="0.25">
      <c r="A28592" t="e">
        <v>#N/A</v>
      </c>
    </row>
    <row r="28593" spans="1:1" x14ac:dyDescent="0.25">
      <c r="A28593" t="e">
        <v>#N/A</v>
      </c>
    </row>
    <row r="28594" spans="1:1" x14ac:dyDescent="0.25">
      <c r="A28594" t="e">
        <v>#N/A</v>
      </c>
    </row>
    <row r="28595" spans="1:1" x14ac:dyDescent="0.25">
      <c r="A28595" t="e">
        <v>#N/A</v>
      </c>
    </row>
    <row r="28596" spans="1:1" x14ac:dyDescent="0.25">
      <c r="A28596" t="e">
        <v>#N/A</v>
      </c>
    </row>
    <row r="28597" spans="1:1" x14ac:dyDescent="0.25">
      <c r="A28597" t="e">
        <v>#N/A</v>
      </c>
    </row>
    <row r="28598" spans="1:1" x14ac:dyDescent="0.25">
      <c r="A28598" t="e">
        <v>#N/A</v>
      </c>
    </row>
    <row r="28599" spans="1:1" x14ac:dyDescent="0.25">
      <c r="A28599" t="e">
        <v>#N/A</v>
      </c>
    </row>
    <row r="28600" spans="1:1" x14ac:dyDescent="0.25">
      <c r="A28600" t="e">
        <v>#N/A</v>
      </c>
    </row>
    <row r="28601" spans="1:1" x14ac:dyDescent="0.25">
      <c r="A28601" t="e">
        <v>#N/A</v>
      </c>
    </row>
    <row r="28602" spans="1:1" x14ac:dyDescent="0.25">
      <c r="A28602" t="e">
        <v>#N/A</v>
      </c>
    </row>
    <row r="28603" spans="1:1" x14ac:dyDescent="0.25">
      <c r="A28603" t="e">
        <v>#N/A</v>
      </c>
    </row>
    <row r="28604" spans="1:1" x14ac:dyDescent="0.25">
      <c r="A28604" t="e">
        <v>#N/A</v>
      </c>
    </row>
    <row r="28605" spans="1:1" x14ac:dyDescent="0.25">
      <c r="A28605" t="e">
        <v>#N/A</v>
      </c>
    </row>
    <row r="28606" spans="1:1" x14ac:dyDescent="0.25">
      <c r="A28606" t="e">
        <v>#N/A</v>
      </c>
    </row>
    <row r="28607" spans="1:1" x14ac:dyDescent="0.25">
      <c r="A28607" t="e">
        <v>#N/A</v>
      </c>
    </row>
    <row r="28608" spans="1:1" x14ac:dyDescent="0.25">
      <c r="A28608" t="e">
        <v>#N/A</v>
      </c>
    </row>
    <row r="28609" spans="1:1" x14ac:dyDescent="0.25">
      <c r="A28609" t="e">
        <v>#N/A</v>
      </c>
    </row>
    <row r="28610" spans="1:1" x14ac:dyDescent="0.25">
      <c r="A28610" t="e">
        <v>#N/A</v>
      </c>
    </row>
    <row r="28611" spans="1:1" x14ac:dyDescent="0.25">
      <c r="A28611" t="e">
        <v>#N/A</v>
      </c>
    </row>
    <row r="28612" spans="1:1" x14ac:dyDescent="0.25">
      <c r="A28612" t="e">
        <v>#N/A</v>
      </c>
    </row>
    <row r="28613" spans="1:1" x14ac:dyDescent="0.25">
      <c r="A28613" t="e">
        <v>#N/A</v>
      </c>
    </row>
    <row r="28614" spans="1:1" x14ac:dyDescent="0.25">
      <c r="A28614" t="e">
        <v>#N/A</v>
      </c>
    </row>
    <row r="28615" spans="1:1" x14ac:dyDescent="0.25">
      <c r="A28615" t="e">
        <v>#N/A</v>
      </c>
    </row>
    <row r="28616" spans="1:1" x14ac:dyDescent="0.25">
      <c r="A28616" t="e">
        <v>#N/A</v>
      </c>
    </row>
    <row r="28617" spans="1:1" x14ac:dyDescent="0.25">
      <c r="A28617" t="e">
        <v>#N/A</v>
      </c>
    </row>
    <row r="28618" spans="1:1" x14ac:dyDescent="0.25">
      <c r="A28618" t="e">
        <v>#N/A</v>
      </c>
    </row>
    <row r="28619" spans="1:1" x14ac:dyDescent="0.25">
      <c r="A28619" t="e">
        <v>#N/A</v>
      </c>
    </row>
    <row r="28620" spans="1:1" x14ac:dyDescent="0.25">
      <c r="A28620" t="e">
        <v>#N/A</v>
      </c>
    </row>
    <row r="28621" spans="1:1" x14ac:dyDescent="0.25">
      <c r="A28621" t="e">
        <v>#N/A</v>
      </c>
    </row>
    <row r="28622" spans="1:1" x14ac:dyDescent="0.25">
      <c r="A28622" t="e">
        <v>#N/A</v>
      </c>
    </row>
    <row r="28623" spans="1:1" x14ac:dyDescent="0.25">
      <c r="A28623" t="e">
        <v>#N/A</v>
      </c>
    </row>
    <row r="28624" spans="1:1" x14ac:dyDescent="0.25">
      <c r="A28624" t="e">
        <v>#N/A</v>
      </c>
    </row>
    <row r="28625" spans="1:1" x14ac:dyDescent="0.25">
      <c r="A28625" t="e">
        <v>#N/A</v>
      </c>
    </row>
    <row r="28626" spans="1:1" x14ac:dyDescent="0.25">
      <c r="A28626" t="e">
        <v>#N/A</v>
      </c>
    </row>
    <row r="28627" spans="1:1" x14ac:dyDescent="0.25">
      <c r="A28627" t="e">
        <v>#N/A</v>
      </c>
    </row>
    <row r="28628" spans="1:1" x14ac:dyDescent="0.25">
      <c r="A28628" t="e">
        <v>#N/A</v>
      </c>
    </row>
    <row r="28629" spans="1:1" x14ac:dyDescent="0.25">
      <c r="A28629" t="e">
        <v>#N/A</v>
      </c>
    </row>
    <row r="28630" spans="1:1" x14ac:dyDescent="0.25">
      <c r="A28630" t="e">
        <v>#N/A</v>
      </c>
    </row>
    <row r="28631" spans="1:1" x14ac:dyDescent="0.25">
      <c r="A28631" t="e">
        <v>#N/A</v>
      </c>
    </row>
    <row r="28632" spans="1:1" x14ac:dyDescent="0.25">
      <c r="A28632" t="e">
        <v>#N/A</v>
      </c>
    </row>
    <row r="28633" spans="1:1" x14ac:dyDescent="0.25">
      <c r="A28633" t="e">
        <v>#N/A</v>
      </c>
    </row>
    <row r="28634" spans="1:1" x14ac:dyDescent="0.25">
      <c r="A28634" t="e">
        <v>#N/A</v>
      </c>
    </row>
    <row r="28635" spans="1:1" x14ac:dyDescent="0.25">
      <c r="A28635" t="e">
        <v>#N/A</v>
      </c>
    </row>
    <row r="28636" spans="1:1" x14ac:dyDescent="0.25">
      <c r="A28636" t="e">
        <v>#N/A</v>
      </c>
    </row>
    <row r="28637" spans="1:1" x14ac:dyDescent="0.25">
      <c r="A28637" t="e">
        <v>#N/A</v>
      </c>
    </row>
    <row r="28638" spans="1:1" x14ac:dyDescent="0.25">
      <c r="A28638" t="e">
        <v>#N/A</v>
      </c>
    </row>
    <row r="28639" spans="1:1" x14ac:dyDescent="0.25">
      <c r="A28639" t="e">
        <v>#N/A</v>
      </c>
    </row>
    <row r="28640" spans="1:1" x14ac:dyDescent="0.25">
      <c r="A28640" t="e">
        <v>#N/A</v>
      </c>
    </row>
    <row r="28641" spans="1:1" x14ac:dyDescent="0.25">
      <c r="A28641" t="e">
        <v>#N/A</v>
      </c>
    </row>
    <row r="28642" spans="1:1" x14ac:dyDescent="0.25">
      <c r="A28642" t="e">
        <v>#N/A</v>
      </c>
    </row>
    <row r="28643" spans="1:1" x14ac:dyDescent="0.25">
      <c r="A28643" t="e">
        <v>#N/A</v>
      </c>
    </row>
    <row r="28644" spans="1:1" x14ac:dyDescent="0.25">
      <c r="A28644" t="e">
        <v>#N/A</v>
      </c>
    </row>
    <row r="28645" spans="1:1" x14ac:dyDescent="0.25">
      <c r="A28645" t="e">
        <v>#N/A</v>
      </c>
    </row>
    <row r="28646" spans="1:1" x14ac:dyDescent="0.25">
      <c r="A28646" t="e">
        <v>#N/A</v>
      </c>
    </row>
    <row r="28647" spans="1:1" x14ac:dyDescent="0.25">
      <c r="A28647" t="e">
        <v>#N/A</v>
      </c>
    </row>
    <row r="28648" spans="1:1" x14ac:dyDescent="0.25">
      <c r="A28648" t="e">
        <v>#N/A</v>
      </c>
    </row>
    <row r="28649" spans="1:1" x14ac:dyDescent="0.25">
      <c r="A28649" t="e">
        <v>#N/A</v>
      </c>
    </row>
    <row r="28650" spans="1:1" x14ac:dyDescent="0.25">
      <c r="A28650" t="e">
        <v>#N/A</v>
      </c>
    </row>
    <row r="28651" spans="1:1" x14ac:dyDescent="0.25">
      <c r="A28651" t="e">
        <v>#N/A</v>
      </c>
    </row>
    <row r="28652" spans="1:1" x14ac:dyDescent="0.25">
      <c r="A28652" t="e">
        <v>#N/A</v>
      </c>
    </row>
    <row r="28653" spans="1:1" x14ac:dyDescent="0.25">
      <c r="A28653" t="e">
        <v>#N/A</v>
      </c>
    </row>
    <row r="28654" spans="1:1" x14ac:dyDescent="0.25">
      <c r="A28654" t="e">
        <v>#N/A</v>
      </c>
    </row>
    <row r="28655" spans="1:1" x14ac:dyDescent="0.25">
      <c r="A28655" t="e">
        <v>#N/A</v>
      </c>
    </row>
    <row r="28656" spans="1:1" x14ac:dyDescent="0.25">
      <c r="A28656" t="e">
        <v>#N/A</v>
      </c>
    </row>
    <row r="28657" spans="1:1" x14ac:dyDescent="0.25">
      <c r="A28657" t="e">
        <v>#N/A</v>
      </c>
    </row>
    <row r="28658" spans="1:1" x14ac:dyDescent="0.25">
      <c r="A28658" t="e">
        <v>#N/A</v>
      </c>
    </row>
    <row r="28659" spans="1:1" x14ac:dyDescent="0.25">
      <c r="A28659" t="e">
        <v>#N/A</v>
      </c>
    </row>
    <row r="28660" spans="1:1" x14ac:dyDescent="0.25">
      <c r="A28660" t="e">
        <v>#N/A</v>
      </c>
    </row>
    <row r="28661" spans="1:1" x14ac:dyDescent="0.25">
      <c r="A28661" t="e">
        <v>#N/A</v>
      </c>
    </row>
    <row r="28662" spans="1:1" x14ac:dyDescent="0.25">
      <c r="A28662" t="e">
        <v>#N/A</v>
      </c>
    </row>
    <row r="28663" spans="1:1" x14ac:dyDescent="0.25">
      <c r="A28663" t="e">
        <v>#N/A</v>
      </c>
    </row>
    <row r="28664" spans="1:1" x14ac:dyDescent="0.25">
      <c r="A28664" t="e">
        <v>#N/A</v>
      </c>
    </row>
    <row r="28665" spans="1:1" x14ac:dyDescent="0.25">
      <c r="A28665" t="e">
        <v>#N/A</v>
      </c>
    </row>
    <row r="28666" spans="1:1" x14ac:dyDescent="0.25">
      <c r="A28666" t="e">
        <v>#N/A</v>
      </c>
    </row>
    <row r="28667" spans="1:1" x14ac:dyDescent="0.25">
      <c r="A28667" t="e">
        <v>#N/A</v>
      </c>
    </row>
    <row r="28668" spans="1:1" x14ac:dyDescent="0.25">
      <c r="A28668" t="e">
        <v>#N/A</v>
      </c>
    </row>
    <row r="28669" spans="1:1" x14ac:dyDescent="0.25">
      <c r="A28669" t="e">
        <v>#N/A</v>
      </c>
    </row>
    <row r="28670" spans="1:1" x14ac:dyDescent="0.25">
      <c r="A28670" t="e">
        <v>#N/A</v>
      </c>
    </row>
    <row r="28671" spans="1:1" x14ac:dyDescent="0.25">
      <c r="A28671" t="e">
        <v>#N/A</v>
      </c>
    </row>
    <row r="28672" spans="1:1" x14ac:dyDescent="0.25">
      <c r="A28672" t="e">
        <v>#N/A</v>
      </c>
    </row>
    <row r="28673" spans="1:1" x14ac:dyDescent="0.25">
      <c r="A28673" t="e">
        <v>#N/A</v>
      </c>
    </row>
    <row r="28674" spans="1:1" x14ac:dyDescent="0.25">
      <c r="A28674" t="e">
        <v>#N/A</v>
      </c>
    </row>
    <row r="28675" spans="1:1" x14ac:dyDescent="0.25">
      <c r="A28675" t="e">
        <v>#N/A</v>
      </c>
    </row>
    <row r="28676" spans="1:1" x14ac:dyDescent="0.25">
      <c r="A28676" t="e">
        <v>#N/A</v>
      </c>
    </row>
    <row r="28677" spans="1:1" x14ac:dyDescent="0.25">
      <c r="A28677" t="e">
        <v>#N/A</v>
      </c>
    </row>
    <row r="28678" spans="1:1" x14ac:dyDescent="0.25">
      <c r="A28678" t="e">
        <v>#N/A</v>
      </c>
    </row>
    <row r="28679" spans="1:1" x14ac:dyDescent="0.25">
      <c r="A28679" t="e">
        <v>#N/A</v>
      </c>
    </row>
    <row r="28680" spans="1:1" x14ac:dyDescent="0.25">
      <c r="A28680" t="e">
        <v>#N/A</v>
      </c>
    </row>
    <row r="28681" spans="1:1" x14ac:dyDescent="0.25">
      <c r="A28681" t="e">
        <v>#N/A</v>
      </c>
    </row>
    <row r="28682" spans="1:1" x14ac:dyDescent="0.25">
      <c r="A28682" t="e">
        <v>#N/A</v>
      </c>
    </row>
    <row r="28683" spans="1:1" x14ac:dyDescent="0.25">
      <c r="A28683" t="e">
        <v>#N/A</v>
      </c>
    </row>
    <row r="28684" spans="1:1" x14ac:dyDescent="0.25">
      <c r="A28684" t="e">
        <v>#N/A</v>
      </c>
    </row>
    <row r="28685" spans="1:1" x14ac:dyDescent="0.25">
      <c r="A28685" t="e">
        <v>#N/A</v>
      </c>
    </row>
    <row r="28686" spans="1:1" x14ac:dyDescent="0.25">
      <c r="A28686" t="e">
        <v>#N/A</v>
      </c>
    </row>
    <row r="28687" spans="1:1" x14ac:dyDescent="0.25">
      <c r="A28687" t="e">
        <v>#N/A</v>
      </c>
    </row>
    <row r="28688" spans="1:1" x14ac:dyDescent="0.25">
      <c r="A28688" t="e">
        <v>#N/A</v>
      </c>
    </row>
    <row r="28689" spans="1:1" x14ac:dyDescent="0.25">
      <c r="A28689" t="e">
        <v>#N/A</v>
      </c>
    </row>
    <row r="28690" spans="1:1" x14ac:dyDescent="0.25">
      <c r="A28690" t="e">
        <v>#N/A</v>
      </c>
    </row>
    <row r="28691" spans="1:1" x14ac:dyDescent="0.25">
      <c r="A28691" t="e">
        <v>#N/A</v>
      </c>
    </row>
    <row r="28692" spans="1:1" x14ac:dyDescent="0.25">
      <c r="A28692" t="e">
        <v>#N/A</v>
      </c>
    </row>
    <row r="28693" spans="1:1" x14ac:dyDescent="0.25">
      <c r="A28693" t="e">
        <v>#N/A</v>
      </c>
    </row>
    <row r="28694" spans="1:1" x14ac:dyDescent="0.25">
      <c r="A28694" t="e">
        <v>#N/A</v>
      </c>
    </row>
    <row r="28695" spans="1:1" x14ac:dyDescent="0.25">
      <c r="A28695" t="e">
        <v>#N/A</v>
      </c>
    </row>
    <row r="28696" spans="1:1" x14ac:dyDescent="0.25">
      <c r="A28696" t="e">
        <v>#N/A</v>
      </c>
    </row>
    <row r="28697" spans="1:1" x14ac:dyDescent="0.25">
      <c r="A28697" t="e">
        <v>#N/A</v>
      </c>
    </row>
    <row r="28698" spans="1:1" x14ac:dyDescent="0.25">
      <c r="A28698" t="e">
        <v>#N/A</v>
      </c>
    </row>
    <row r="28699" spans="1:1" x14ac:dyDescent="0.25">
      <c r="A28699" t="e">
        <v>#N/A</v>
      </c>
    </row>
    <row r="28700" spans="1:1" x14ac:dyDescent="0.25">
      <c r="A28700" t="e">
        <v>#N/A</v>
      </c>
    </row>
    <row r="28701" spans="1:1" x14ac:dyDescent="0.25">
      <c r="A28701" t="e">
        <v>#N/A</v>
      </c>
    </row>
    <row r="28702" spans="1:1" x14ac:dyDescent="0.25">
      <c r="A28702" t="e">
        <v>#N/A</v>
      </c>
    </row>
    <row r="28703" spans="1:1" x14ac:dyDescent="0.25">
      <c r="A28703" t="e">
        <v>#N/A</v>
      </c>
    </row>
    <row r="28704" spans="1:1" x14ac:dyDescent="0.25">
      <c r="A28704" t="e">
        <v>#N/A</v>
      </c>
    </row>
    <row r="28705" spans="1:1" x14ac:dyDescent="0.25">
      <c r="A28705" t="e">
        <v>#N/A</v>
      </c>
    </row>
    <row r="28706" spans="1:1" x14ac:dyDescent="0.25">
      <c r="A28706" t="e">
        <v>#N/A</v>
      </c>
    </row>
    <row r="28707" spans="1:1" x14ac:dyDescent="0.25">
      <c r="A28707" t="e">
        <v>#N/A</v>
      </c>
    </row>
    <row r="28708" spans="1:1" x14ac:dyDescent="0.25">
      <c r="A28708" t="e">
        <v>#N/A</v>
      </c>
    </row>
    <row r="28709" spans="1:1" x14ac:dyDescent="0.25">
      <c r="A28709" t="e">
        <v>#N/A</v>
      </c>
    </row>
    <row r="28710" spans="1:1" x14ac:dyDescent="0.25">
      <c r="A28710" t="e">
        <v>#N/A</v>
      </c>
    </row>
    <row r="28711" spans="1:1" x14ac:dyDescent="0.25">
      <c r="A28711" t="e">
        <v>#N/A</v>
      </c>
    </row>
    <row r="28712" spans="1:1" x14ac:dyDescent="0.25">
      <c r="A28712" t="e">
        <v>#N/A</v>
      </c>
    </row>
    <row r="28713" spans="1:1" x14ac:dyDescent="0.25">
      <c r="A28713" t="e">
        <v>#N/A</v>
      </c>
    </row>
    <row r="28714" spans="1:1" x14ac:dyDescent="0.25">
      <c r="A28714" t="e">
        <v>#N/A</v>
      </c>
    </row>
    <row r="28715" spans="1:1" x14ac:dyDescent="0.25">
      <c r="A28715" t="e">
        <v>#N/A</v>
      </c>
    </row>
    <row r="28716" spans="1:1" x14ac:dyDescent="0.25">
      <c r="A28716" t="e">
        <v>#N/A</v>
      </c>
    </row>
    <row r="28717" spans="1:1" x14ac:dyDescent="0.25">
      <c r="A28717" t="e">
        <v>#N/A</v>
      </c>
    </row>
    <row r="28718" spans="1:1" x14ac:dyDescent="0.25">
      <c r="A28718" t="e">
        <v>#N/A</v>
      </c>
    </row>
    <row r="28719" spans="1:1" x14ac:dyDescent="0.25">
      <c r="A28719" t="e">
        <v>#N/A</v>
      </c>
    </row>
    <row r="28720" spans="1:1" x14ac:dyDescent="0.25">
      <c r="A28720" t="e">
        <v>#N/A</v>
      </c>
    </row>
    <row r="28721" spans="1:1" x14ac:dyDescent="0.25">
      <c r="A28721" t="e">
        <v>#N/A</v>
      </c>
    </row>
    <row r="28722" spans="1:1" x14ac:dyDescent="0.25">
      <c r="A28722" t="e">
        <v>#N/A</v>
      </c>
    </row>
    <row r="28723" spans="1:1" x14ac:dyDescent="0.25">
      <c r="A28723" t="e">
        <v>#N/A</v>
      </c>
    </row>
    <row r="28724" spans="1:1" x14ac:dyDescent="0.25">
      <c r="A28724" t="e">
        <v>#N/A</v>
      </c>
    </row>
    <row r="28725" spans="1:1" x14ac:dyDescent="0.25">
      <c r="A28725" t="e">
        <v>#N/A</v>
      </c>
    </row>
    <row r="28726" spans="1:1" x14ac:dyDescent="0.25">
      <c r="A28726" t="e">
        <v>#N/A</v>
      </c>
    </row>
    <row r="28727" spans="1:1" x14ac:dyDescent="0.25">
      <c r="A28727" t="e">
        <v>#N/A</v>
      </c>
    </row>
    <row r="28728" spans="1:1" x14ac:dyDescent="0.25">
      <c r="A28728" t="e">
        <v>#N/A</v>
      </c>
    </row>
    <row r="28729" spans="1:1" x14ac:dyDescent="0.25">
      <c r="A28729" t="e">
        <v>#N/A</v>
      </c>
    </row>
    <row r="28730" spans="1:1" x14ac:dyDescent="0.25">
      <c r="A28730" t="e">
        <v>#N/A</v>
      </c>
    </row>
    <row r="28731" spans="1:1" x14ac:dyDescent="0.25">
      <c r="A28731" t="e">
        <v>#N/A</v>
      </c>
    </row>
    <row r="28732" spans="1:1" x14ac:dyDescent="0.25">
      <c r="A28732" t="e">
        <v>#N/A</v>
      </c>
    </row>
    <row r="28733" spans="1:1" x14ac:dyDescent="0.25">
      <c r="A28733" t="e">
        <v>#N/A</v>
      </c>
    </row>
    <row r="28734" spans="1:1" x14ac:dyDescent="0.25">
      <c r="A28734" t="e">
        <v>#N/A</v>
      </c>
    </row>
    <row r="28735" spans="1:1" x14ac:dyDescent="0.25">
      <c r="A28735" t="e">
        <v>#N/A</v>
      </c>
    </row>
    <row r="28736" spans="1:1" x14ac:dyDescent="0.25">
      <c r="A28736" t="e">
        <v>#N/A</v>
      </c>
    </row>
    <row r="28737" spans="1:1" x14ac:dyDescent="0.25">
      <c r="A28737" t="e">
        <v>#N/A</v>
      </c>
    </row>
    <row r="28738" spans="1:1" x14ac:dyDescent="0.25">
      <c r="A28738" t="e">
        <v>#N/A</v>
      </c>
    </row>
    <row r="28739" spans="1:1" x14ac:dyDescent="0.25">
      <c r="A28739" t="e">
        <v>#N/A</v>
      </c>
    </row>
    <row r="28740" spans="1:1" x14ac:dyDescent="0.25">
      <c r="A28740" t="e">
        <v>#N/A</v>
      </c>
    </row>
    <row r="28741" spans="1:1" x14ac:dyDescent="0.25">
      <c r="A28741" t="e">
        <v>#N/A</v>
      </c>
    </row>
    <row r="28742" spans="1:1" x14ac:dyDescent="0.25">
      <c r="A28742" t="e">
        <v>#N/A</v>
      </c>
    </row>
    <row r="28743" spans="1:1" x14ac:dyDescent="0.25">
      <c r="A28743" t="e">
        <v>#N/A</v>
      </c>
    </row>
    <row r="28744" spans="1:1" x14ac:dyDescent="0.25">
      <c r="A28744" t="e">
        <v>#N/A</v>
      </c>
    </row>
    <row r="28745" spans="1:1" x14ac:dyDescent="0.25">
      <c r="A28745" t="e">
        <v>#N/A</v>
      </c>
    </row>
    <row r="28746" spans="1:1" x14ac:dyDescent="0.25">
      <c r="A28746" t="e">
        <v>#N/A</v>
      </c>
    </row>
    <row r="28747" spans="1:1" x14ac:dyDescent="0.25">
      <c r="A28747" t="e">
        <v>#N/A</v>
      </c>
    </row>
    <row r="28748" spans="1:1" x14ac:dyDescent="0.25">
      <c r="A28748" t="e">
        <v>#N/A</v>
      </c>
    </row>
    <row r="28749" spans="1:1" x14ac:dyDescent="0.25">
      <c r="A28749" t="e">
        <v>#N/A</v>
      </c>
    </row>
    <row r="28750" spans="1:1" x14ac:dyDescent="0.25">
      <c r="A28750" t="e">
        <v>#N/A</v>
      </c>
    </row>
    <row r="28751" spans="1:1" x14ac:dyDescent="0.25">
      <c r="A28751" t="e">
        <v>#N/A</v>
      </c>
    </row>
    <row r="28752" spans="1:1" x14ac:dyDescent="0.25">
      <c r="A28752" t="e">
        <v>#N/A</v>
      </c>
    </row>
    <row r="28753" spans="1:1" x14ac:dyDescent="0.25">
      <c r="A28753" t="e">
        <v>#N/A</v>
      </c>
    </row>
    <row r="28754" spans="1:1" x14ac:dyDescent="0.25">
      <c r="A28754" t="e">
        <v>#N/A</v>
      </c>
    </row>
    <row r="28755" spans="1:1" x14ac:dyDescent="0.25">
      <c r="A28755" t="e">
        <v>#N/A</v>
      </c>
    </row>
    <row r="28756" spans="1:1" x14ac:dyDescent="0.25">
      <c r="A28756" t="e">
        <v>#N/A</v>
      </c>
    </row>
    <row r="28757" spans="1:1" x14ac:dyDescent="0.25">
      <c r="A28757" t="e">
        <v>#N/A</v>
      </c>
    </row>
    <row r="28758" spans="1:1" x14ac:dyDescent="0.25">
      <c r="A28758" t="e">
        <v>#N/A</v>
      </c>
    </row>
    <row r="28759" spans="1:1" x14ac:dyDescent="0.25">
      <c r="A28759" t="e">
        <v>#N/A</v>
      </c>
    </row>
    <row r="28760" spans="1:1" x14ac:dyDescent="0.25">
      <c r="A28760" t="e">
        <v>#N/A</v>
      </c>
    </row>
    <row r="28761" spans="1:1" x14ac:dyDescent="0.25">
      <c r="A28761" t="e">
        <v>#N/A</v>
      </c>
    </row>
    <row r="28762" spans="1:1" x14ac:dyDescent="0.25">
      <c r="A28762" t="e">
        <v>#N/A</v>
      </c>
    </row>
    <row r="28763" spans="1:1" x14ac:dyDescent="0.25">
      <c r="A28763" t="e">
        <v>#N/A</v>
      </c>
    </row>
    <row r="28764" spans="1:1" x14ac:dyDescent="0.25">
      <c r="A28764" t="e">
        <v>#N/A</v>
      </c>
    </row>
    <row r="28765" spans="1:1" x14ac:dyDescent="0.25">
      <c r="A28765" t="e">
        <v>#N/A</v>
      </c>
    </row>
    <row r="28766" spans="1:1" x14ac:dyDescent="0.25">
      <c r="A28766" t="e">
        <v>#N/A</v>
      </c>
    </row>
    <row r="28767" spans="1:1" x14ac:dyDescent="0.25">
      <c r="A28767" t="e">
        <v>#N/A</v>
      </c>
    </row>
    <row r="28768" spans="1:1" x14ac:dyDescent="0.25">
      <c r="A28768" t="e">
        <v>#N/A</v>
      </c>
    </row>
    <row r="28769" spans="1:1" x14ac:dyDescent="0.25">
      <c r="A28769" t="e">
        <v>#N/A</v>
      </c>
    </row>
    <row r="28770" spans="1:1" x14ac:dyDescent="0.25">
      <c r="A28770" t="e">
        <v>#N/A</v>
      </c>
    </row>
    <row r="28771" spans="1:1" x14ac:dyDescent="0.25">
      <c r="A28771" t="e">
        <v>#N/A</v>
      </c>
    </row>
    <row r="28772" spans="1:1" x14ac:dyDescent="0.25">
      <c r="A28772" t="e">
        <v>#N/A</v>
      </c>
    </row>
    <row r="28773" spans="1:1" x14ac:dyDescent="0.25">
      <c r="A28773" t="e">
        <v>#N/A</v>
      </c>
    </row>
    <row r="28774" spans="1:1" x14ac:dyDescent="0.25">
      <c r="A28774" t="e">
        <v>#N/A</v>
      </c>
    </row>
    <row r="28775" spans="1:1" x14ac:dyDescent="0.25">
      <c r="A28775" t="e">
        <v>#N/A</v>
      </c>
    </row>
    <row r="28776" spans="1:1" x14ac:dyDescent="0.25">
      <c r="A28776" t="e">
        <v>#N/A</v>
      </c>
    </row>
    <row r="28777" spans="1:1" x14ac:dyDescent="0.25">
      <c r="A28777" t="e">
        <v>#N/A</v>
      </c>
    </row>
    <row r="28778" spans="1:1" x14ac:dyDescent="0.25">
      <c r="A28778" t="e">
        <v>#N/A</v>
      </c>
    </row>
    <row r="28779" spans="1:1" x14ac:dyDescent="0.25">
      <c r="A28779" t="e">
        <v>#N/A</v>
      </c>
    </row>
    <row r="28780" spans="1:1" x14ac:dyDescent="0.25">
      <c r="A28780" t="e">
        <v>#N/A</v>
      </c>
    </row>
    <row r="28781" spans="1:1" x14ac:dyDescent="0.25">
      <c r="A28781" t="e">
        <v>#N/A</v>
      </c>
    </row>
    <row r="28782" spans="1:1" x14ac:dyDescent="0.25">
      <c r="A28782" t="e">
        <v>#N/A</v>
      </c>
    </row>
    <row r="28783" spans="1:1" x14ac:dyDescent="0.25">
      <c r="A28783" t="e">
        <v>#N/A</v>
      </c>
    </row>
    <row r="28784" spans="1:1" x14ac:dyDescent="0.25">
      <c r="A28784" t="e">
        <v>#N/A</v>
      </c>
    </row>
    <row r="28785" spans="1:1" x14ac:dyDescent="0.25">
      <c r="A28785" t="e">
        <v>#N/A</v>
      </c>
    </row>
    <row r="28786" spans="1:1" x14ac:dyDescent="0.25">
      <c r="A28786" t="e">
        <v>#N/A</v>
      </c>
    </row>
    <row r="28787" spans="1:1" x14ac:dyDescent="0.25">
      <c r="A28787" t="e">
        <v>#N/A</v>
      </c>
    </row>
    <row r="28788" spans="1:1" x14ac:dyDescent="0.25">
      <c r="A28788" t="e">
        <v>#N/A</v>
      </c>
    </row>
    <row r="28789" spans="1:1" x14ac:dyDescent="0.25">
      <c r="A28789" t="e">
        <v>#N/A</v>
      </c>
    </row>
    <row r="28790" spans="1:1" x14ac:dyDescent="0.25">
      <c r="A28790" t="e">
        <v>#N/A</v>
      </c>
    </row>
    <row r="28791" spans="1:1" x14ac:dyDescent="0.25">
      <c r="A28791" t="e">
        <v>#N/A</v>
      </c>
    </row>
    <row r="28792" spans="1:1" x14ac:dyDescent="0.25">
      <c r="A28792" t="e">
        <v>#N/A</v>
      </c>
    </row>
    <row r="28793" spans="1:1" x14ac:dyDescent="0.25">
      <c r="A28793" t="e">
        <v>#N/A</v>
      </c>
    </row>
    <row r="28794" spans="1:1" x14ac:dyDescent="0.25">
      <c r="A28794" t="e">
        <v>#N/A</v>
      </c>
    </row>
    <row r="28795" spans="1:1" x14ac:dyDescent="0.25">
      <c r="A28795" t="e">
        <v>#N/A</v>
      </c>
    </row>
    <row r="28796" spans="1:1" x14ac:dyDescent="0.25">
      <c r="A28796" t="e">
        <v>#N/A</v>
      </c>
    </row>
    <row r="28797" spans="1:1" x14ac:dyDescent="0.25">
      <c r="A28797" t="e">
        <v>#N/A</v>
      </c>
    </row>
    <row r="28798" spans="1:1" x14ac:dyDescent="0.25">
      <c r="A28798" t="e">
        <v>#N/A</v>
      </c>
    </row>
    <row r="28799" spans="1:1" x14ac:dyDescent="0.25">
      <c r="A28799" t="e">
        <v>#N/A</v>
      </c>
    </row>
    <row r="28800" spans="1:1" x14ac:dyDescent="0.25">
      <c r="A28800" t="e">
        <v>#N/A</v>
      </c>
    </row>
    <row r="28801" spans="1:1" x14ac:dyDescent="0.25">
      <c r="A28801" t="e">
        <v>#N/A</v>
      </c>
    </row>
    <row r="28802" spans="1:1" x14ac:dyDescent="0.25">
      <c r="A28802" t="e">
        <v>#N/A</v>
      </c>
    </row>
    <row r="28803" spans="1:1" x14ac:dyDescent="0.25">
      <c r="A28803" t="e">
        <v>#N/A</v>
      </c>
    </row>
    <row r="28804" spans="1:1" x14ac:dyDescent="0.25">
      <c r="A28804" t="e">
        <v>#N/A</v>
      </c>
    </row>
    <row r="28805" spans="1:1" x14ac:dyDescent="0.25">
      <c r="A28805" t="e">
        <v>#N/A</v>
      </c>
    </row>
    <row r="28806" spans="1:1" x14ac:dyDescent="0.25">
      <c r="A28806" t="e">
        <v>#N/A</v>
      </c>
    </row>
    <row r="28807" spans="1:1" x14ac:dyDescent="0.25">
      <c r="A28807" t="e">
        <v>#N/A</v>
      </c>
    </row>
    <row r="28808" spans="1:1" x14ac:dyDescent="0.25">
      <c r="A28808" t="e">
        <v>#N/A</v>
      </c>
    </row>
    <row r="28809" spans="1:1" x14ac:dyDescent="0.25">
      <c r="A28809" t="e">
        <v>#N/A</v>
      </c>
    </row>
    <row r="28810" spans="1:1" x14ac:dyDescent="0.25">
      <c r="A28810" t="e">
        <v>#N/A</v>
      </c>
    </row>
    <row r="28811" spans="1:1" x14ac:dyDescent="0.25">
      <c r="A28811" t="e">
        <v>#N/A</v>
      </c>
    </row>
    <row r="28812" spans="1:1" x14ac:dyDescent="0.25">
      <c r="A28812" t="e">
        <v>#N/A</v>
      </c>
    </row>
    <row r="28813" spans="1:1" x14ac:dyDescent="0.25">
      <c r="A28813" t="e">
        <v>#N/A</v>
      </c>
    </row>
    <row r="28814" spans="1:1" x14ac:dyDescent="0.25">
      <c r="A28814" t="e">
        <v>#N/A</v>
      </c>
    </row>
    <row r="28815" spans="1:1" x14ac:dyDescent="0.25">
      <c r="A28815" t="e">
        <v>#N/A</v>
      </c>
    </row>
    <row r="28816" spans="1:1" x14ac:dyDescent="0.25">
      <c r="A28816" t="e">
        <v>#N/A</v>
      </c>
    </row>
    <row r="28817" spans="1:1" x14ac:dyDescent="0.25">
      <c r="A28817" t="e">
        <v>#N/A</v>
      </c>
    </row>
    <row r="28818" spans="1:1" x14ac:dyDescent="0.25">
      <c r="A28818" t="e">
        <v>#N/A</v>
      </c>
    </row>
    <row r="28819" spans="1:1" x14ac:dyDescent="0.25">
      <c r="A28819" t="e">
        <v>#N/A</v>
      </c>
    </row>
    <row r="28820" spans="1:1" x14ac:dyDescent="0.25">
      <c r="A28820" t="e">
        <v>#N/A</v>
      </c>
    </row>
    <row r="28821" spans="1:1" x14ac:dyDescent="0.25">
      <c r="A28821" t="e">
        <v>#N/A</v>
      </c>
    </row>
    <row r="28822" spans="1:1" x14ac:dyDescent="0.25">
      <c r="A28822" t="e">
        <v>#N/A</v>
      </c>
    </row>
    <row r="28823" spans="1:1" x14ac:dyDescent="0.25">
      <c r="A28823" t="e">
        <v>#N/A</v>
      </c>
    </row>
    <row r="28824" spans="1:1" x14ac:dyDescent="0.25">
      <c r="A28824" t="e">
        <v>#N/A</v>
      </c>
    </row>
    <row r="28825" spans="1:1" x14ac:dyDescent="0.25">
      <c r="A28825" t="e">
        <v>#N/A</v>
      </c>
    </row>
    <row r="28826" spans="1:1" x14ac:dyDescent="0.25">
      <c r="A28826" t="e">
        <v>#N/A</v>
      </c>
    </row>
    <row r="28827" spans="1:1" x14ac:dyDescent="0.25">
      <c r="A28827" t="e">
        <v>#N/A</v>
      </c>
    </row>
    <row r="28828" spans="1:1" x14ac:dyDescent="0.25">
      <c r="A28828" t="e">
        <v>#N/A</v>
      </c>
    </row>
    <row r="28829" spans="1:1" x14ac:dyDescent="0.25">
      <c r="A28829" t="e">
        <v>#N/A</v>
      </c>
    </row>
    <row r="28830" spans="1:1" x14ac:dyDescent="0.25">
      <c r="A28830" t="e">
        <v>#N/A</v>
      </c>
    </row>
    <row r="28831" spans="1:1" x14ac:dyDescent="0.25">
      <c r="A28831" t="e">
        <v>#N/A</v>
      </c>
    </row>
    <row r="28832" spans="1:1" x14ac:dyDescent="0.25">
      <c r="A28832" t="e">
        <v>#N/A</v>
      </c>
    </row>
    <row r="28833" spans="1:1" x14ac:dyDescent="0.25">
      <c r="A28833" t="e">
        <v>#N/A</v>
      </c>
    </row>
    <row r="28834" spans="1:1" x14ac:dyDescent="0.25">
      <c r="A28834" t="e">
        <v>#N/A</v>
      </c>
    </row>
    <row r="28835" spans="1:1" x14ac:dyDescent="0.25">
      <c r="A28835" t="e">
        <v>#N/A</v>
      </c>
    </row>
    <row r="28836" spans="1:1" x14ac:dyDescent="0.25">
      <c r="A28836" t="e">
        <v>#N/A</v>
      </c>
    </row>
    <row r="28837" spans="1:1" x14ac:dyDescent="0.25">
      <c r="A28837" t="e">
        <v>#N/A</v>
      </c>
    </row>
    <row r="28838" spans="1:1" x14ac:dyDescent="0.25">
      <c r="A28838" t="e">
        <v>#N/A</v>
      </c>
    </row>
    <row r="28839" spans="1:1" x14ac:dyDescent="0.25">
      <c r="A28839" t="e">
        <v>#N/A</v>
      </c>
    </row>
    <row r="28840" spans="1:1" x14ac:dyDescent="0.25">
      <c r="A28840" t="e">
        <v>#N/A</v>
      </c>
    </row>
    <row r="28841" spans="1:1" x14ac:dyDescent="0.25">
      <c r="A28841" t="e">
        <v>#N/A</v>
      </c>
    </row>
    <row r="28842" spans="1:1" x14ac:dyDescent="0.25">
      <c r="A28842" t="e">
        <v>#N/A</v>
      </c>
    </row>
    <row r="28843" spans="1:1" x14ac:dyDescent="0.25">
      <c r="A28843" t="e">
        <v>#N/A</v>
      </c>
    </row>
    <row r="28844" spans="1:1" x14ac:dyDescent="0.25">
      <c r="A28844" t="e">
        <v>#N/A</v>
      </c>
    </row>
    <row r="28845" spans="1:1" x14ac:dyDescent="0.25">
      <c r="A28845" t="e">
        <v>#N/A</v>
      </c>
    </row>
    <row r="28846" spans="1:1" x14ac:dyDescent="0.25">
      <c r="A28846" t="e">
        <v>#N/A</v>
      </c>
    </row>
    <row r="28847" spans="1:1" x14ac:dyDescent="0.25">
      <c r="A28847" t="e">
        <v>#N/A</v>
      </c>
    </row>
    <row r="28848" spans="1:1" x14ac:dyDescent="0.25">
      <c r="A28848" t="e">
        <v>#N/A</v>
      </c>
    </row>
    <row r="28849" spans="1:1" x14ac:dyDescent="0.25">
      <c r="A28849" t="e">
        <v>#N/A</v>
      </c>
    </row>
    <row r="28850" spans="1:1" x14ac:dyDescent="0.25">
      <c r="A28850" t="e">
        <v>#N/A</v>
      </c>
    </row>
    <row r="28851" spans="1:1" x14ac:dyDescent="0.25">
      <c r="A28851" t="e">
        <v>#N/A</v>
      </c>
    </row>
    <row r="28852" spans="1:1" x14ac:dyDescent="0.25">
      <c r="A28852" t="e">
        <v>#N/A</v>
      </c>
    </row>
    <row r="28853" spans="1:1" x14ac:dyDescent="0.25">
      <c r="A28853" t="e">
        <v>#N/A</v>
      </c>
    </row>
    <row r="28854" spans="1:1" x14ac:dyDescent="0.25">
      <c r="A28854" t="e">
        <v>#N/A</v>
      </c>
    </row>
    <row r="28855" spans="1:1" x14ac:dyDescent="0.25">
      <c r="A28855" t="e">
        <v>#N/A</v>
      </c>
    </row>
    <row r="28856" spans="1:1" x14ac:dyDescent="0.25">
      <c r="A28856" t="e">
        <v>#N/A</v>
      </c>
    </row>
    <row r="28857" spans="1:1" x14ac:dyDescent="0.25">
      <c r="A28857" t="e">
        <v>#N/A</v>
      </c>
    </row>
    <row r="28858" spans="1:1" x14ac:dyDescent="0.25">
      <c r="A28858" t="e">
        <v>#N/A</v>
      </c>
    </row>
    <row r="28859" spans="1:1" x14ac:dyDescent="0.25">
      <c r="A28859" t="e">
        <v>#N/A</v>
      </c>
    </row>
    <row r="28860" spans="1:1" x14ac:dyDescent="0.25">
      <c r="A28860" t="e">
        <v>#N/A</v>
      </c>
    </row>
    <row r="28861" spans="1:1" x14ac:dyDescent="0.25">
      <c r="A28861" t="e">
        <v>#N/A</v>
      </c>
    </row>
    <row r="28862" spans="1:1" x14ac:dyDescent="0.25">
      <c r="A28862" t="e">
        <v>#N/A</v>
      </c>
    </row>
    <row r="28863" spans="1:1" x14ac:dyDescent="0.25">
      <c r="A28863" t="e">
        <v>#N/A</v>
      </c>
    </row>
    <row r="28864" spans="1:1" x14ac:dyDescent="0.25">
      <c r="A28864" t="e">
        <v>#N/A</v>
      </c>
    </row>
    <row r="28865" spans="1:1" x14ac:dyDescent="0.25">
      <c r="A28865" t="e">
        <v>#N/A</v>
      </c>
    </row>
    <row r="28866" spans="1:1" x14ac:dyDescent="0.25">
      <c r="A28866" t="e">
        <v>#N/A</v>
      </c>
    </row>
    <row r="28867" spans="1:1" x14ac:dyDescent="0.25">
      <c r="A28867" t="e">
        <v>#N/A</v>
      </c>
    </row>
    <row r="28868" spans="1:1" x14ac:dyDescent="0.25">
      <c r="A28868" t="e">
        <v>#N/A</v>
      </c>
    </row>
    <row r="28869" spans="1:1" x14ac:dyDescent="0.25">
      <c r="A28869" t="e">
        <v>#N/A</v>
      </c>
    </row>
    <row r="28870" spans="1:1" x14ac:dyDescent="0.25">
      <c r="A28870" t="e">
        <v>#N/A</v>
      </c>
    </row>
    <row r="28871" spans="1:1" x14ac:dyDescent="0.25">
      <c r="A28871" t="e">
        <v>#N/A</v>
      </c>
    </row>
    <row r="28872" spans="1:1" x14ac:dyDescent="0.25">
      <c r="A28872" t="e">
        <v>#N/A</v>
      </c>
    </row>
    <row r="28873" spans="1:1" x14ac:dyDescent="0.25">
      <c r="A28873" t="e">
        <v>#N/A</v>
      </c>
    </row>
    <row r="28874" spans="1:1" x14ac:dyDescent="0.25">
      <c r="A28874" t="e">
        <v>#N/A</v>
      </c>
    </row>
    <row r="28875" spans="1:1" x14ac:dyDescent="0.25">
      <c r="A28875" t="e">
        <v>#N/A</v>
      </c>
    </row>
    <row r="28876" spans="1:1" x14ac:dyDescent="0.25">
      <c r="A28876" t="e">
        <v>#N/A</v>
      </c>
    </row>
    <row r="28877" spans="1:1" x14ac:dyDescent="0.25">
      <c r="A28877" t="e">
        <v>#N/A</v>
      </c>
    </row>
    <row r="28878" spans="1:1" x14ac:dyDescent="0.25">
      <c r="A28878" t="e">
        <v>#N/A</v>
      </c>
    </row>
    <row r="28879" spans="1:1" x14ac:dyDescent="0.25">
      <c r="A28879" t="e">
        <v>#N/A</v>
      </c>
    </row>
    <row r="28880" spans="1:1" x14ac:dyDescent="0.25">
      <c r="A28880" t="e">
        <v>#N/A</v>
      </c>
    </row>
    <row r="28881" spans="1:1" x14ac:dyDescent="0.25">
      <c r="A28881" t="e">
        <v>#N/A</v>
      </c>
    </row>
    <row r="28882" spans="1:1" x14ac:dyDescent="0.25">
      <c r="A28882" t="e">
        <v>#N/A</v>
      </c>
    </row>
    <row r="28883" spans="1:1" x14ac:dyDescent="0.25">
      <c r="A28883" t="e">
        <v>#N/A</v>
      </c>
    </row>
    <row r="28884" spans="1:1" x14ac:dyDescent="0.25">
      <c r="A28884" t="e">
        <v>#N/A</v>
      </c>
    </row>
    <row r="28885" spans="1:1" x14ac:dyDescent="0.25">
      <c r="A28885" t="e">
        <v>#N/A</v>
      </c>
    </row>
    <row r="28886" spans="1:1" x14ac:dyDescent="0.25">
      <c r="A28886" t="e">
        <v>#N/A</v>
      </c>
    </row>
    <row r="28887" spans="1:1" x14ac:dyDescent="0.25">
      <c r="A28887" t="e">
        <v>#N/A</v>
      </c>
    </row>
    <row r="28888" spans="1:1" x14ac:dyDescent="0.25">
      <c r="A28888" t="e">
        <v>#N/A</v>
      </c>
    </row>
    <row r="28889" spans="1:1" x14ac:dyDescent="0.25">
      <c r="A28889" t="e">
        <v>#N/A</v>
      </c>
    </row>
    <row r="28890" spans="1:1" x14ac:dyDescent="0.25">
      <c r="A28890" t="e">
        <v>#N/A</v>
      </c>
    </row>
    <row r="28891" spans="1:1" x14ac:dyDescent="0.25">
      <c r="A28891" t="e">
        <v>#N/A</v>
      </c>
    </row>
    <row r="28892" spans="1:1" x14ac:dyDescent="0.25">
      <c r="A28892" t="e">
        <v>#N/A</v>
      </c>
    </row>
    <row r="28893" spans="1:1" x14ac:dyDescent="0.25">
      <c r="A28893" t="e">
        <v>#N/A</v>
      </c>
    </row>
    <row r="28894" spans="1:1" x14ac:dyDescent="0.25">
      <c r="A28894" t="e">
        <v>#N/A</v>
      </c>
    </row>
    <row r="28895" spans="1:1" x14ac:dyDescent="0.25">
      <c r="A28895" t="e">
        <v>#N/A</v>
      </c>
    </row>
    <row r="28896" spans="1:1" x14ac:dyDescent="0.25">
      <c r="A28896" t="e">
        <v>#N/A</v>
      </c>
    </row>
    <row r="28897" spans="1:1" x14ac:dyDescent="0.25">
      <c r="A28897" t="e">
        <v>#N/A</v>
      </c>
    </row>
    <row r="28898" spans="1:1" x14ac:dyDescent="0.25">
      <c r="A28898" t="e">
        <v>#N/A</v>
      </c>
    </row>
    <row r="28899" spans="1:1" x14ac:dyDescent="0.25">
      <c r="A28899" t="e">
        <v>#N/A</v>
      </c>
    </row>
    <row r="28900" spans="1:1" x14ac:dyDescent="0.25">
      <c r="A28900" t="e">
        <v>#N/A</v>
      </c>
    </row>
    <row r="28901" spans="1:1" x14ac:dyDescent="0.25">
      <c r="A28901" t="e">
        <v>#N/A</v>
      </c>
    </row>
    <row r="28902" spans="1:1" x14ac:dyDescent="0.25">
      <c r="A28902" t="e">
        <v>#N/A</v>
      </c>
    </row>
    <row r="28903" spans="1:1" x14ac:dyDescent="0.25">
      <c r="A28903" t="e">
        <v>#N/A</v>
      </c>
    </row>
    <row r="28904" spans="1:1" x14ac:dyDescent="0.25">
      <c r="A28904" t="e">
        <v>#N/A</v>
      </c>
    </row>
    <row r="28905" spans="1:1" x14ac:dyDescent="0.25">
      <c r="A28905" t="e">
        <v>#N/A</v>
      </c>
    </row>
    <row r="28906" spans="1:1" x14ac:dyDescent="0.25">
      <c r="A28906" t="e">
        <v>#N/A</v>
      </c>
    </row>
    <row r="28907" spans="1:1" x14ac:dyDescent="0.25">
      <c r="A28907" t="e">
        <v>#N/A</v>
      </c>
    </row>
    <row r="28908" spans="1:1" x14ac:dyDescent="0.25">
      <c r="A28908" t="e">
        <v>#N/A</v>
      </c>
    </row>
    <row r="28909" spans="1:1" x14ac:dyDescent="0.25">
      <c r="A28909" t="e">
        <v>#N/A</v>
      </c>
    </row>
    <row r="28910" spans="1:1" x14ac:dyDescent="0.25">
      <c r="A28910" t="e">
        <v>#N/A</v>
      </c>
    </row>
    <row r="28911" spans="1:1" x14ac:dyDescent="0.25">
      <c r="A28911" t="e">
        <v>#N/A</v>
      </c>
    </row>
    <row r="28912" spans="1:1" x14ac:dyDescent="0.25">
      <c r="A28912" t="e">
        <v>#N/A</v>
      </c>
    </row>
    <row r="28913" spans="1:1" x14ac:dyDescent="0.25">
      <c r="A28913" t="e">
        <v>#N/A</v>
      </c>
    </row>
    <row r="28914" spans="1:1" x14ac:dyDescent="0.25">
      <c r="A28914" t="e">
        <v>#N/A</v>
      </c>
    </row>
    <row r="28915" spans="1:1" x14ac:dyDescent="0.25">
      <c r="A28915" t="e">
        <v>#N/A</v>
      </c>
    </row>
    <row r="28916" spans="1:1" x14ac:dyDescent="0.25">
      <c r="A28916" t="e">
        <v>#N/A</v>
      </c>
    </row>
    <row r="28917" spans="1:1" x14ac:dyDescent="0.25">
      <c r="A28917" t="e">
        <v>#N/A</v>
      </c>
    </row>
    <row r="28918" spans="1:1" x14ac:dyDescent="0.25">
      <c r="A28918" t="e">
        <v>#N/A</v>
      </c>
    </row>
    <row r="28919" spans="1:1" x14ac:dyDescent="0.25">
      <c r="A28919" t="e">
        <v>#N/A</v>
      </c>
    </row>
    <row r="28920" spans="1:1" x14ac:dyDescent="0.25">
      <c r="A28920" t="e">
        <v>#N/A</v>
      </c>
    </row>
    <row r="28921" spans="1:1" x14ac:dyDescent="0.25">
      <c r="A28921" t="e">
        <v>#N/A</v>
      </c>
    </row>
    <row r="28922" spans="1:1" x14ac:dyDescent="0.25">
      <c r="A28922" t="e">
        <v>#N/A</v>
      </c>
    </row>
    <row r="28923" spans="1:1" x14ac:dyDescent="0.25">
      <c r="A28923" t="e">
        <v>#N/A</v>
      </c>
    </row>
    <row r="28924" spans="1:1" x14ac:dyDescent="0.25">
      <c r="A28924" t="e">
        <v>#N/A</v>
      </c>
    </row>
    <row r="28925" spans="1:1" x14ac:dyDescent="0.25">
      <c r="A28925" t="e">
        <v>#N/A</v>
      </c>
    </row>
    <row r="28926" spans="1:1" x14ac:dyDescent="0.25">
      <c r="A28926" t="e">
        <v>#N/A</v>
      </c>
    </row>
    <row r="28927" spans="1:1" x14ac:dyDescent="0.25">
      <c r="A28927" t="e">
        <v>#N/A</v>
      </c>
    </row>
    <row r="28928" spans="1:1" x14ac:dyDescent="0.25">
      <c r="A28928" t="e">
        <v>#N/A</v>
      </c>
    </row>
    <row r="28929" spans="1:1" x14ac:dyDescent="0.25">
      <c r="A28929" t="e">
        <v>#N/A</v>
      </c>
    </row>
    <row r="28930" spans="1:1" x14ac:dyDescent="0.25">
      <c r="A28930" t="e">
        <v>#N/A</v>
      </c>
    </row>
    <row r="28931" spans="1:1" x14ac:dyDescent="0.25">
      <c r="A28931" t="e">
        <v>#N/A</v>
      </c>
    </row>
    <row r="28932" spans="1:1" x14ac:dyDescent="0.25">
      <c r="A28932" t="e">
        <v>#N/A</v>
      </c>
    </row>
    <row r="28933" spans="1:1" x14ac:dyDescent="0.25">
      <c r="A28933" t="e">
        <v>#N/A</v>
      </c>
    </row>
    <row r="28934" spans="1:1" x14ac:dyDescent="0.25">
      <c r="A28934" t="e">
        <v>#N/A</v>
      </c>
    </row>
    <row r="28935" spans="1:1" x14ac:dyDescent="0.25">
      <c r="A28935" t="e">
        <v>#N/A</v>
      </c>
    </row>
    <row r="28936" spans="1:1" x14ac:dyDescent="0.25">
      <c r="A28936" t="e">
        <v>#N/A</v>
      </c>
    </row>
    <row r="28937" spans="1:1" x14ac:dyDescent="0.25">
      <c r="A28937" t="e">
        <v>#N/A</v>
      </c>
    </row>
    <row r="28938" spans="1:1" x14ac:dyDescent="0.25">
      <c r="A28938" t="e">
        <v>#N/A</v>
      </c>
    </row>
    <row r="28939" spans="1:1" x14ac:dyDescent="0.25">
      <c r="A28939" t="e">
        <v>#N/A</v>
      </c>
    </row>
    <row r="28940" spans="1:1" x14ac:dyDescent="0.25">
      <c r="A28940" t="e">
        <v>#N/A</v>
      </c>
    </row>
    <row r="28941" spans="1:1" x14ac:dyDescent="0.25">
      <c r="A28941" t="e">
        <v>#N/A</v>
      </c>
    </row>
    <row r="28942" spans="1:1" x14ac:dyDescent="0.25">
      <c r="A28942" t="e">
        <v>#N/A</v>
      </c>
    </row>
    <row r="28943" spans="1:1" x14ac:dyDescent="0.25">
      <c r="A28943" t="e">
        <v>#N/A</v>
      </c>
    </row>
    <row r="28944" spans="1:1" x14ac:dyDescent="0.25">
      <c r="A28944" t="e">
        <v>#N/A</v>
      </c>
    </row>
    <row r="28945" spans="1:1" x14ac:dyDescent="0.25">
      <c r="A28945" t="e">
        <v>#N/A</v>
      </c>
    </row>
    <row r="28946" spans="1:1" x14ac:dyDescent="0.25">
      <c r="A28946" t="e">
        <v>#N/A</v>
      </c>
    </row>
    <row r="28947" spans="1:1" x14ac:dyDescent="0.25">
      <c r="A28947" t="e">
        <v>#N/A</v>
      </c>
    </row>
    <row r="28948" spans="1:1" x14ac:dyDescent="0.25">
      <c r="A28948" t="e">
        <v>#N/A</v>
      </c>
    </row>
    <row r="28949" spans="1:1" x14ac:dyDescent="0.25">
      <c r="A28949" t="e">
        <v>#N/A</v>
      </c>
    </row>
    <row r="28950" spans="1:1" x14ac:dyDescent="0.25">
      <c r="A28950" t="e">
        <v>#N/A</v>
      </c>
    </row>
    <row r="28951" spans="1:1" x14ac:dyDescent="0.25">
      <c r="A28951" t="e">
        <v>#N/A</v>
      </c>
    </row>
    <row r="28952" spans="1:1" x14ac:dyDescent="0.25">
      <c r="A28952" t="e">
        <v>#N/A</v>
      </c>
    </row>
    <row r="28953" spans="1:1" x14ac:dyDescent="0.25">
      <c r="A28953" t="e">
        <v>#N/A</v>
      </c>
    </row>
    <row r="28954" spans="1:1" x14ac:dyDescent="0.25">
      <c r="A28954" t="e">
        <v>#N/A</v>
      </c>
    </row>
    <row r="28955" spans="1:1" x14ac:dyDescent="0.25">
      <c r="A28955" t="e">
        <v>#N/A</v>
      </c>
    </row>
    <row r="28956" spans="1:1" x14ac:dyDescent="0.25">
      <c r="A28956" t="e">
        <v>#N/A</v>
      </c>
    </row>
    <row r="28957" spans="1:1" x14ac:dyDescent="0.25">
      <c r="A28957" t="e">
        <v>#N/A</v>
      </c>
    </row>
    <row r="28958" spans="1:1" x14ac:dyDescent="0.25">
      <c r="A28958" t="e">
        <v>#N/A</v>
      </c>
    </row>
    <row r="28959" spans="1:1" x14ac:dyDescent="0.25">
      <c r="A28959" t="e">
        <v>#N/A</v>
      </c>
    </row>
    <row r="28960" spans="1:1" x14ac:dyDescent="0.25">
      <c r="A28960" t="e">
        <v>#N/A</v>
      </c>
    </row>
    <row r="28961" spans="1:1" x14ac:dyDescent="0.25">
      <c r="A28961" t="e">
        <v>#N/A</v>
      </c>
    </row>
    <row r="28962" spans="1:1" x14ac:dyDescent="0.25">
      <c r="A28962" t="e">
        <v>#N/A</v>
      </c>
    </row>
    <row r="28963" spans="1:1" x14ac:dyDescent="0.25">
      <c r="A28963" t="e">
        <v>#N/A</v>
      </c>
    </row>
    <row r="28964" spans="1:1" x14ac:dyDescent="0.25">
      <c r="A28964" t="e">
        <v>#N/A</v>
      </c>
    </row>
    <row r="28965" spans="1:1" x14ac:dyDescent="0.25">
      <c r="A28965" t="e">
        <v>#N/A</v>
      </c>
    </row>
    <row r="28966" spans="1:1" x14ac:dyDescent="0.25">
      <c r="A28966" t="e">
        <v>#N/A</v>
      </c>
    </row>
    <row r="28967" spans="1:1" x14ac:dyDescent="0.25">
      <c r="A28967" t="e">
        <v>#N/A</v>
      </c>
    </row>
    <row r="28968" spans="1:1" x14ac:dyDescent="0.25">
      <c r="A28968" t="e">
        <v>#N/A</v>
      </c>
    </row>
    <row r="28969" spans="1:1" x14ac:dyDescent="0.25">
      <c r="A28969" t="e">
        <v>#N/A</v>
      </c>
    </row>
    <row r="28970" spans="1:1" x14ac:dyDescent="0.25">
      <c r="A28970" t="e">
        <v>#N/A</v>
      </c>
    </row>
    <row r="28971" spans="1:1" x14ac:dyDescent="0.25">
      <c r="A28971" t="e">
        <v>#N/A</v>
      </c>
    </row>
    <row r="28972" spans="1:1" x14ac:dyDescent="0.25">
      <c r="A28972" t="e">
        <v>#N/A</v>
      </c>
    </row>
    <row r="28973" spans="1:1" x14ac:dyDescent="0.25">
      <c r="A28973" t="e">
        <v>#N/A</v>
      </c>
    </row>
    <row r="28974" spans="1:1" x14ac:dyDescent="0.25">
      <c r="A28974" t="e">
        <v>#N/A</v>
      </c>
    </row>
    <row r="28975" spans="1:1" x14ac:dyDescent="0.25">
      <c r="A28975" t="e">
        <v>#N/A</v>
      </c>
    </row>
    <row r="28976" spans="1:1" x14ac:dyDescent="0.25">
      <c r="A28976" t="e">
        <v>#N/A</v>
      </c>
    </row>
    <row r="28977" spans="1:1" x14ac:dyDescent="0.25">
      <c r="A28977" t="e">
        <v>#N/A</v>
      </c>
    </row>
    <row r="28978" spans="1:1" x14ac:dyDescent="0.25">
      <c r="A28978" t="e">
        <v>#N/A</v>
      </c>
    </row>
    <row r="28979" spans="1:1" x14ac:dyDescent="0.25">
      <c r="A28979" t="e">
        <v>#N/A</v>
      </c>
    </row>
    <row r="28980" spans="1:1" x14ac:dyDescent="0.25">
      <c r="A28980" t="e">
        <v>#N/A</v>
      </c>
    </row>
    <row r="28981" spans="1:1" x14ac:dyDescent="0.25">
      <c r="A28981" t="e">
        <v>#N/A</v>
      </c>
    </row>
    <row r="28982" spans="1:1" x14ac:dyDescent="0.25">
      <c r="A28982" t="e">
        <v>#N/A</v>
      </c>
    </row>
    <row r="28983" spans="1:1" x14ac:dyDescent="0.25">
      <c r="A28983" t="e">
        <v>#N/A</v>
      </c>
    </row>
    <row r="28984" spans="1:1" x14ac:dyDescent="0.25">
      <c r="A28984" t="e">
        <v>#N/A</v>
      </c>
    </row>
    <row r="28985" spans="1:1" x14ac:dyDescent="0.25">
      <c r="A28985" t="e">
        <v>#N/A</v>
      </c>
    </row>
    <row r="28986" spans="1:1" x14ac:dyDescent="0.25">
      <c r="A28986" t="e">
        <v>#N/A</v>
      </c>
    </row>
    <row r="28987" spans="1:1" x14ac:dyDescent="0.25">
      <c r="A28987" t="e">
        <v>#N/A</v>
      </c>
    </row>
    <row r="28988" spans="1:1" x14ac:dyDescent="0.25">
      <c r="A28988" t="e">
        <v>#N/A</v>
      </c>
    </row>
    <row r="28989" spans="1:1" x14ac:dyDescent="0.25">
      <c r="A28989" t="e">
        <v>#N/A</v>
      </c>
    </row>
    <row r="28990" spans="1:1" x14ac:dyDescent="0.25">
      <c r="A28990" t="e">
        <v>#N/A</v>
      </c>
    </row>
    <row r="28991" spans="1:1" x14ac:dyDescent="0.25">
      <c r="A28991" t="e">
        <v>#N/A</v>
      </c>
    </row>
    <row r="28992" spans="1:1" x14ac:dyDescent="0.25">
      <c r="A28992" t="e">
        <v>#N/A</v>
      </c>
    </row>
    <row r="28993" spans="1:1" x14ac:dyDescent="0.25">
      <c r="A28993" t="e">
        <v>#N/A</v>
      </c>
    </row>
    <row r="28994" spans="1:1" x14ac:dyDescent="0.25">
      <c r="A28994" t="e">
        <v>#N/A</v>
      </c>
    </row>
    <row r="28995" spans="1:1" x14ac:dyDescent="0.25">
      <c r="A28995" t="e">
        <v>#N/A</v>
      </c>
    </row>
    <row r="28996" spans="1:1" x14ac:dyDescent="0.25">
      <c r="A28996" t="e">
        <v>#N/A</v>
      </c>
    </row>
    <row r="28997" spans="1:1" x14ac:dyDescent="0.25">
      <c r="A28997" t="e">
        <v>#N/A</v>
      </c>
    </row>
    <row r="28998" spans="1:1" x14ac:dyDescent="0.25">
      <c r="A28998" t="e">
        <v>#N/A</v>
      </c>
    </row>
    <row r="28999" spans="1:1" x14ac:dyDescent="0.25">
      <c r="A28999" t="e">
        <v>#N/A</v>
      </c>
    </row>
    <row r="29000" spans="1:1" x14ac:dyDescent="0.25">
      <c r="A29000" t="e">
        <v>#N/A</v>
      </c>
    </row>
    <row r="29001" spans="1:1" x14ac:dyDescent="0.25">
      <c r="A29001" t="e">
        <v>#N/A</v>
      </c>
    </row>
    <row r="29002" spans="1:1" x14ac:dyDescent="0.25">
      <c r="A29002" t="e">
        <v>#N/A</v>
      </c>
    </row>
    <row r="29003" spans="1:1" x14ac:dyDescent="0.25">
      <c r="A29003" t="e">
        <v>#N/A</v>
      </c>
    </row>
    <row r="29004" spans="1:1" x14ac:dyDescent="0.25">
      <c r="A29004" t="e">
        <v>#N/A</v>
      </c>
    </row>
    <row r="29005" spans="1:1" x14ac:dyDescent="0.25">
      <c r="A29005" t="e">
        <v>#N/A</v>
      </c>
    </row>
    <row r="29006" spans="1:1" x14ac:dyDescent="0.25">
      <c r="A29006" t="e">
        <v>#N/A</v>
      </c>
    </row>
    <row r="29007" spans="1:1" x14ac:dyDescent="0.25">
      <c r="A29007" t="e">
        <v>#N/A</v>
      </c>
    </row>
    <row r="29008" spans="1:1" x14ac:dyDescent="0.25">
      <c r="A29008" t="e">
        <v>#N/A</v>
      </c>
    </row>
    <row r="29009" spans="1:1" x14ac:dyDescent="0.25">
      <c r="A29009" t="e">
        <v>#N/A</v>
      </c>
    </row>
    <row r="29010" spans="1:1" x14ac:dyDescent="0.25">
      <c r="A29010" t="e">
        <v>#N/A</v>
      </c>
    </row>
    <row r="29011" spans="1:1" x14ac:dyDescent="0.25">
      <c r="A29011" t="e">
        <v>#N/A</v>
      </c>
    </row>
    <row r="29012" spans="1:1" x14ac:dyDescent="0.25">
      <c r="A29012" t="e">
        <v>#N/A</v>
      </c>
    </row>
    <row r="29013" spans="1:1" x14ac:dyDescent="0.25">
      <c r="A29013" t="e">
        <v>#N/A</v>
      </c>
    </row>
    <row r="29014" spans="1:1" x14ac:dyDescent="0.25">
      <c r="A29014" t="e">
        <v>#N/A</v>
      </c>
    </row>
    <row r="29015" spans="1:1" x14ac:dyDescent="0.25">
      <c r="A29015" t="e">
        <v>#N/A</v>
      </c>
    </row>
    <row r="29016" spans="1:1" x14ac:dyDescent="0.25">
      <c r="A29016" t="e">
        <v>#N/A</v>
      </c>
    </row>
    <row r="29017" spans="1:1" x14ac:dyDescent="0.25">
      <c r="A29017" t="e">
        <v>#N/A</v>
      </c>
    </row>
    <row r="29018" spans="1:1" x14ac:dyDescent="0.25">
      <c r="A29018" t="e">
        <v>#N/A</v>
      </c>
    </row>
    <row r="29019" spans="1:1" x14ac:dyDescent="0.25">
      <c r="A29019" t="e">
        <v>#N/A</v>
      </c>
    </row>
    <row r="29020" spans="1:1" x14ac:dyDescent="0.25">
      <c r="A29020" t="e">
        <v>#N/A</v>
      </c>
    </row>
    <row r="29021" spans="1:1" x14ac:dyDescent="0.25">
      <c r="A29021" t="e">
        <v>#N/A</v>
      </c>
    </row>
    <row r="29022" spans="1:1" x14ac:dyDescent="0.25">
      <c r="A29022" t="e">
        <v>#N/A</v>
      </c>
    </row>
    <row r="29023" spans="1:1" x14ac:dyDescent="0.25">
      <c r="A29023" t="e">
        <v>#N/A</v>
      </c>
    </row>
    <row r="29024" spans="1:1" x14ac:dyDescent="0.25">
      <c r="A29024" t="e">
        <v>#N/A</v>
      </c>
    </row>
    <row r="29025" spans="1:1" x14ac:dyDescent="0.25">
      <c r="A29025" t="e">
        <v>#N/A</v>
      </c>
    </row>
    <row r="29026" spans="1:1" x14ac:dyDescent="0.25">
      <c r="A29026" t="e">
        <v>#N/A</v>
      </c>
    </row>
    <row r="29027" spans="1:1" x14ac:dyDescent="0.25">
      <c r="A29027" t="e">
        <v>#N/A</v>
      </c>
    </row>
    <row r="29028" spans="1:1" x14ac:dyDescent="0.25">
      <c r="A29028" t="e">
        <v>#N/A</v>
      </c>
    </row>
    <row r="29029" spans="1:1" x14ac:dyDescent="0.25">
      <c r="A29029" t="e">
        <v>#N/A</v>
      </c>
    </row>
    <row r="29030" spans="1:1" x14ac:dyDescent="0.25">
      <c r="A29030" t="e">
        <v>#N/A</v>
      </c>
    </row>
    <row r="29031" spans="1:1" x14ac:dyDescent="0.25">
      <c r="A29031" t="e">
        <v>#N/A</v>
      </c>
    </row>
    <row r="29032" spans="1:1" x14ac:dyDescent="0.25">
      <c r="A29032" t="e">
        <v>#N/A</v>
      </c>
    </row>
    <row r="29033" spans="1:1" x14ac:dyDescent="0.25">
      <c r="A29033" t="e">
        <v>#N/A</v>
      </c>
    </row>
    <row r="29034" spans="1:1" x14ac:dyDescent="0.25">
      <c r="A29034" t="e">
        <v>#N/A</v>
      </c>
    </row>
    <row r="29035" spans="1:1" x14ac:dyDescent="0.25">
      <c r="A29035" t="e">
        <v>#N/A</v>
      </c>
    </row>
    <row r="29036" spans="1:1" x14ac:dyDescent="0.25">
      <c r="A29036" t="e">
        <v>#N/A</v>
      </c>
    </row>
    <row r="29037" spans="1:1" x14ac:dyDescent="0.25">
      <c r="A29037" t="e">
        <v>#N/A</v>
      </c>
    </row>
    <row r="29038" spans="1:1" x14ac:dyDescent="0.25">
      <c r="A29038" t="e">
        <v>#N/A</v>
      </c>
    </row>
    <row r="29039" spans="1:1" x14ac:dyDescent="0.25">
      <c r="A29039" t="e">
        <v>#N/A</v>
      </c>
    </row>
    <row r="29040" spans="1:1" x14ac:dyDescent="0.25">
      <c r="A29040" t="e">
        <v>#N/A</v>
      </c>
    </row>
    <row r="29041" spans="1:1" x14ac:dyDescent="0.25">
      <c r="A29041" t="e">
        <v>#N/A</v>
      </c>
    </row>
    <row r="29042" spans="1:1" x14ac:dyDescent="0.25">
      <c r="A29042" t="e">
        <v>#N/A</v>
      </c>
    </row>
    <row r="29043" spans="1:1" x14ac:dyDescent="0.25">
      <c r="A29043" t="e">
        <v>#N/A</v>
      </c>
    </row>
    <row r="29044" spans="1:1" x14ac:dyDescent="0.25">
      <c r="A29044" t="e">
        <v>#N/A</v>
      </c>
    </row>
    <row r="29045" spans="1:1" x14ac:dyDescent="0.25">
      <c r="A29045" t="e">
        <v>#N/A</v>
      </c>
    </row>
    <row r="29046" spans="1:1" x14ac:dyDescent="0.25">
      <c r="A29046" t="e">
        <v>#N/A</v>
      </c>
    </row>
    <row r="29047" spans="1:1" x14ac:dyDescent="0.25">
      <c r="A29047" t="e">
        <v>#N/A</v>
      </c>
    </row>
    <row r="29048" spans="1:1" x14ac:dyDescent="0.25">
      <c r="A29048" t="e">
        <v>#N/A</v>
      </c>
    </row>
    <row r="29049" spans="1:1" x14ac:dyDescent="0.25">
      <c r="A29049" t="e">
        <v>#N/A</v>
      </c>
    </row>
    <row r="29050" spans="1:1" x14ac:dyDescent="0.25">
      <c r="A29050" t="e">
        <v>#N/A</v>
      </c>
    </row>
    <row r="29051" spans="1:1" x14ac:dyDescent="0.25">
      <c r="A29051" t="e">
        <v>#N/A</v>
      </c>
    </row>
    <row r="29052" spans="1:1" x14ac:dyDescent="0.25">
      <c r="A29052" t="e">
        <v>#N/A</v>
      </c>
    </row>
    <row r="29053" spans="1:1" x14ac:dyDescent="0.25">
      <c r="A29053" t="e">
        <v>#N/A</v>
      </c>
    </row>
    <row r="29054" spans="1:1" x14ac:dyDescent="0.25">
      <c r="A29054" t="e">
        <v>#N/A</v>
      </c>
    </row>
    <row r="29055" spans="1:1" x14ac:dyDescent="0.25">
      <c r="A29055" t="e">
        <v>#N/A</v>
      </c>
    </row>
    <row r="29056" spans="1:1" x14ac:dyDescent="0.25">
      <c r="A29056" t="e">
        <v>#N/A</v>
      </c>
    </row>
    <row r="29057" spans="1:1" x14ac:dyDescent="0.25">
      <c r="A29057" t="e">
        <v>#N/A</v>
      </c>
    </row>
    <row r="29058" spans="1:1" x14ac:dyDescent="0.25">
      <c r="A29058" t="e">
        <v>#N/A</v>
      </c>
    </row>
    <row r="29059" spans="1:1" x14ac:dyDescent="0.25">
      <c r="A29059" t="e">
        <v>#N/A</v>
      </c>
    </row>
    <row r="29060" spans="1:1" x14ac:dyDescent="0.25">
      <c r="A29060" t="e">
        <v>#N/A</v>
      </c>
    </row>
    <row r="29061" spans="1:1" x14ac:dyDescent="0.25">
      <c r="A29061" t="e">
        <v>#N/A</v>
      </c>
    </row>
    <row r="29062" spans="1:1" x14ac:dyDescent="0.25">
      <c r="A29062" t="e">
        <v>#N/A</v>
      </c>
    </row>
    <row r="29063" spans="1:1" x14ac:dyDescent="0.25">
      <c r="A29063" t="e">
        <v>#N/A</v>
      </c>
    </row>
    <row r="29064" spans="1:1" x14ac:dyDescent="0.25">
      <c r="A29064" t="e">
        <v>#N/A</v>
      </c>
    </row>
    <row r="29065" spans="1:1" x14ac:dyDescent="0.25">
      <c r="A29065" t="e">
        <v>#N/A</v>
      </c>
    </row>
    <row r="29066" spans="1:1" x14ac:dyDescent="0.25">
      <c r="A29066" t="e">
        <v>#N/A</v>
      </c>
    </row>
    <row r="29067" spans="1:1" x14ac:dyDescent="0.25">
      <c r="A29067" t="e">
        <v>#N/A</v>
      </c>
    </row>
    <row r="29068" spans="1:1" x14ac:dyDescent="0.25">
      <c r="A29068" t="e">
        <v>#N/A</v>
      </c>
    </row>
    <row r="29069" spans="1:1" x14ac:dyDescent="0.25">
      <c r="A29069" t="e">
        <v>#N/A</v>
      </c>
    </row>
    <row r="29070" spans="1:1" x14ac:dyDescent="0.25">
      <c r="A29070" t="e">
        <v>#N/A</v>
      </c>
    </row>
    <row r="29071" spans="1:1" x14ac:dyDescent="0.25">
      <c r="A29071" t="e">
        <v>#N/A</v>
      </c>
    </row>
    <row r="29072" spans="1:1" x14ac:dyDescent="0.25">
      <c r="A29072" t="e">
        <v>#N/A</v>
      </c>
    </row>
    <row r="29073" spans="1:1" x14ac:dyDescent="0.25">
      <c r="A29073" t="e">
        <v>#N/A</v>
      </c>
    </row>
    <row r="29074" spans="1:1" x14ac:dyDescent="0.25">
      <c r="A29074" t="e">
        <v>#N/A</v>
      </c>
    </row>
    <row r="29075" spans="1:1" x14ac:dyDescent="0.25">
      <c r="A29075" t="e">
        <v>#N/A</v>
      </c>
    </row>
    <row r="29076" spans="1:1" x14ac:dyDescent="0.25">
      <c r="A29076" t="e">
        <v>#N/A</v>
      </c>
    </row>
    <row r="29077" spans="1:1" x14ac:dyDescent="0.25">
      <c r="A29077" t="e">
        <v>#N/A</v>
      </c>
    </row>
    <row r="29078" spans="1:1" x14ac:dyDescent="0.25">
      <c r="A29078" t="e">
        <v>#N/A</v>
      </c>
    </row>
    <row r="29079" spans="1:1" x14ac:dyDescent="0.25">
      <c r="A29079" t="e">
        <v>#N/A</v>
      </c>
    </row>
    <row r="29080" spans="1:1" x14ac:dyDescent="0.25">
      <c r="A29080" t="e">
        <v>#N/A</v>
      </c>
    </row>
    <row r="29081" spans="1:1" x14ac:dyDescent="0.25">
      <c r="A29081" t="e">
        <v>#N/A</v>
      </c>
    </row>
    <row r="29082" spans="1:1" x14ac:dyDescent="0.25">
      <c r="A29082" t="e">
        <v>#N/A</v>
      </c>
    </row>
    <row r="29083" spans="1:1" x14ac:dyDescent="0.25">
      <c r="A29083" t="e">
        <v>#N/A</v>
      </c>
    </row>
    <row r="29084" spans="1:1" x14ac:dyDescent="0.25">
      <c r="A29084" t="e">
        <v>#N/A</v>
      </c>
    </row>
    <row r="29085" spans="1:1" x14ac:dyDescent="0.25">
      <c r="A29085" t="e">
        <v>#N/A</v>
      </c>
    </row>
    <row r="29086" spans="1:1" x14ac:dyDescent="0.25">
      <c r="A29086" t="e">
        <v>#N/A</v>
      </c>
    </row>
    <row r="29087" spans="1:1" x14ac:dyDescent="0.25">
      <c r="A29087" t="e">
        <v>#N/A</v>
      </c>
    </row>
    <row r="29088" spans="1:1" x14ac:dyDescent="0.25">
      <c r="A29088" t="e">
        <v>#N/A</v>
      </c>
    </row>
    <row r="29089" spans="1:1" x14ac:dyDescent="0.25">
      <c r="A29089" t="e">
        <v>#N/A</v>
      </c>
    </row>
    <row r="29090" spans="1:1" x14ac:dyDescent="0.25">
      <c r="A29090" t="e">
        <v>#N/A</v>
      </c>
    </row>
    <row r="29091" spans="1:1" x14ac:dyDescent="0.25">
      <c r="A29091" t="e">
        <v>#N/A</v>
      </c>
    </row>
    <row r="29092" spans="1:1" x14ac:dyDescent="0.25">
      <c r="A29092" t="e">
        <v>#N/A</v>
      </c>
    </row>
    <row r="29093" spans="1:1" x14ac:dyDescent="0.25">
      <c r="A29093" t="e">
        <v>#N/A</v>
      </c>
    </row>
    <row r="29094" spans="1:1" x14ac:dyDescent="0.25">
      <c r="A29094" t="e">
        <v>#N/A</v>
      </c>
    </row>
    <row r="29095" spans="1:1" x14ac:dyDescent="0.25">
      <c r="A29095" t="e">
        <v>#N/A</v>
      </c>
    </row>
    <row r="29096" spans="1:1" x14ac:dyDescent="0.25">
      <c r="A29096" t="e">
        <v>#N/A</v>
      </c>
    </row>
    <row r="29097" spans="1:1" x14ac:dyDescent="0.25">
      <c r="A29097" t="e">
        <v>#N/A</v>
      </c>
    </row>
    <row r="29098" spans="1:1" x14ac:dyDescent="0.25">
      <c r="A29098" t="e">
        <v>#N/A</v>
      </c>
    </row>
    <row r="29099" spans="1:1" x14ac:dyDescent="0.25">
      <c r="A29099" t="e">
        <v>#N/A</v>
      </c>
    </row>
    <row r="29100" spans="1:1" x14ac:dyDescent="0.25">
      <c r="A29100" t="e">
        <v>#N/A</v>
      </c>
    </row>
    <row r="29101" spans="1:1" x14ac:dyDescent="0.25">
      <c r="A29101" t="e">
        <v>#N/A</v>
      </c>
    </row>
    <row r="29102" spans="1:1" x14ac:dyDescent="0.25">
      <c r="A29102" t="e">
        <v>#N/A</v>
      </c>
    </row>
    <row r="29103" spans="1:1" x14ac:dyDescent="0.25">
      <c r="A29103" t="e">
        <v>#N/A</v>
      </c>
    </row>
    <row r="29104" spans="1:1" x14ac:dyDescent="0.25">
      <c r="A29104" t="e">
        <v>#N/A</v>
      </c>
    </row>
    <row r="29105" spans="1:1" x14ac:dyDescent="0.25">
      <c r="A29105" t="e">
        <v>#N/A</v>
      </c>
    </row>
    <row r="29106" spans="1:1" x14ac:dyDescent="0.25">
      <c r="A29106" t="e">
        <v>#N/A</v>
      </c>
    </row>
    <row r="29107" spans="1:1" x14ac:dyDescent="0.25">
      <c r="A29107" t="e">
        <v>#N/A</v>
      </c>
    </row>
    <row r="29108" spans="1:1" x14ac:dyDescent="0.25">
      <c r="A29108" t="e">
        <v>#N/A</v>
      </c>
    </row>
    <row r="29109" spans="1:1" x14ac:dyDescent="0.25">
      <c r="A29109" t="e">
        <v>#N/A</v>
      </c>
    </row>
    <row r="29110" spans="1:1" x14ac:dyDescent="0.25">
      <c r="A29110" t="e">
        <v>#N/A</v>
      </c>
    </row>
    <row r="29111" spans="1:1" x14ac:dyDescent="0.25">
      <c r="A29111" t="e">
        <v>#N/A</v>
      </c>
    </row>
    <row r="29112" spans="1:1" x14ac:dyDescent="0.25">
      <c r="A29112" t="e">
        <v>#N/A</v>
      </c>
    </row>
    <row r="29113" spans="1:1" x14ac:dyDescent="0.25">
      <c r="A29113" t="e">
        <v>#N/A</v>
      </c>
    </row>
    <row r="29114" spans="1:1" x14ac:dyDescent="0.25">
      <c r="A29114" t="e">
        <v>#N/A</v>
      </c>
    </row>
    <row r="29115" spans="1:1" x14ac:dyDescent="0.25">
      <c r="A29115" t="e">
        <v>#N/A</v>
      </c>
    </row>
    <row r="29116" spans="1:1" x14ac:dyDescent="0.25">
      <c r="A29116" t="e">
        <v>#N/A</v>
      </c>
    </row>
    <row r="29117" spans="1:1" x14ac:dyDescent="0.25">
      <c r="A29117" t="e">
        <v>#N/A</v>
      </c>
    </row>
    <row r="29118" spans="1:1" x14ac:dyDescent="0.25">
      <c r="A29118" t="e">
        <v>#N/A</v>
      </c>
    </row>
    <row r="29119" spans="1:1" x14ac:dyDescent="0.25">
      <c r="A29119" t="e">
        <v>#N/A</v>
      </c>
    </row>
    <row r="29120" spans="1:1" x14ac:dyDescent="0.25">
      <c r="A29120" t="e">
        <v>#N/A</v>
      </c>
    </row>
    <row r="29121" spans="1:1" x14ac:dyDescent="0.25">
      <c r="A29121" t="e">
        <v>#N/A</v>
      </c>
    </row>
    <row r="29122" spans="1:1" x14ac:dyDescent="0.25">
      <c r="A29122" t="e">
        <v>#N/A</v>
      </c>
    </row>
    <row r="29123" spans="1:1" x14ac:dyDescent="0.25">
      <c r="A29123" t="e">
        <v>#N/A</v>
      </c>
    </row>
    <row r="29124" spans="1:1" x14ac:dyDescent="0.25">
      <c r="A29124" t="e">
        <v>#N/A</v>
      </c>
    </row>
    <row r="29125" spans="1:1" x14ac:dyDescent="0.25">
      <c r="A29125" t="e">
        <v>#N/A</v>
      </c>
    </row>
    <row r="29126" spans="1:1" x14ac:dyDescent="0.25">
      <c r="A29126" t="e">
        <v>#N/A</v>
      </c>
    </row>
    <row r="29127" spans="1:1" x14ac:dyDescent="0.25">
      <c r="A29127" t="e">
        <v>#N/A</v>
      </c>
    </row>
    <row r="29128" spans="1:1" x14ac:dyDescent="0.25">
      <c r="A29128" t="e">
        <v>#N/A</v>
      </c>
    </row>
    <row r="29129" spans="1:1" x14ac:dyDescent="0.25">
      <c r="A29129" t="e">
        <v>#N/A</v>
      </c>
    </row>
    <row r="29130" spans="1:1" x14ac:dyDescent="0.25">
      <c r="A29130" t="e">
        <v>#N/A</v>
      </c>
    </row>
    <row r="29131" spans="1:1" x14ac:dyDescent="0.25">
      <c r="A29131" t="e">
        <v>#N/A</v>
      </c>
    </row>
    <row r="29132" spans="1:1" x14ac:dyDescent="0.25">
      <c r="A29132" t="e">
        <v>#N/A</v>
      </c>
    </row>
    <row r="29133" spans="1:1" x14ac:dyDescent="0.25">
      <c r="A29133" t="e">
        <v>#N/A</v>
      </c>
    </row>
    <row r="29134" spans="1:1" x14ac:dyDescent="0.25">
      <c r="A29134" t="e">
        <v>#N/A</v>
      </c>
    </row>
    <row r="29135" spans="1:1" x14ac:dyDescent="0.25">
      <c r="A29135" t="e">
        <v>#N/A</v>
      </c>
    </row>
    <row r="29136" spans="1:1" x14ac:dyDescent="0.25">
      <c r="A29136" t="e">
        <v>#N/A</v>
      </c>
    </row>
    <row r="29137" spans="1:1" x14ac:dyDescent="0.25">
      <c r="A29137" t="e">
        <v>#N/A</v>
      </c>
    </row>
    <row r="29138" spans="1:1" x14ac:dyDescent="0.25">
      <c r="A29138" t="e">
        <v>#N/A</v>
      </c>
    </row>
    <row r="29139" spans="1:1" x14ac:dyDescent="0.25">
      <c r="A29139" t="e">
        <v>#N/A</v>
      </c>
    </row>
    <row r="29140" spans="1:1" x14ac:dyDescent="0.25">
      <c r="A29140" t="e">
        <v>#N/A</v>
      </c>
    </row>
    <row r="29141" spans="1:1" x14ac:dyDescent="0.25">
      <c r="A29141" t="e">
        <v>#N/A</v>
      </c>
    </row>
    <row r="29142" spans="1:1" x14ac:dyDescent="0.25">
      <c r="A29142" t="e">
        <v>#N/A</v>
      </c>
    </row>
    <row r="29143" spans="1:1" x14ac:dyDescent="0.25">
      <c r="A29143" t="e">
        <v>#N/A</v>
      </c>
    </row>
    <row r="29144" spans="1:1" x14ac:dyDescent="0.25">
      <c r="A29144" t="e">
        <v>#N/A</v>
      </c>
    </row>
    <row r="29145" spans="1:1" x14ac:dyDescent="0.25">
      <c r="A29145" t="e">
        <v>#N/A</v>
      </c>
    </row>
    <row r="29146" spans="1:1" x14ac:dyDescent="0.25">
      <c r="A29146" t="e">
        <v>#N/A</v>
      </c>
    </row>
    <row r="29147" spans="1:1" x14ac:dyDescent="0.25">
      <c r="A29147" t="e">
        <v>#N/A</v>
      </c>
    </row>
    <row r="29148" spans="1:1" x14ac:dyDescent="0.25">
      <c r="A29148" t="e">
        <v>#N/A</v>
      </c>
    </row>
    <row r="29149" spans="1:1" x14ac:dyDescent="0.25">
      <c r="A29149" t="e">
        <v>#N/A</v>
      </c>
    </row>
    <row r="29150" spans="1:1" x14ac:dyDescent="0.25">
      <c r="A29150" t="e">
        <v>#N/A</v>
      </c>
    </row>
    <row r="29151" spans="1:1" x14ac:dyDescent="0.25">
      <c r="A29151" t="e">
        <v>#N/A</v>
      </c>
    </row>
    <row r="29152" spans="1:1" x14ac:dyDescent="0.25">
      <c r="A29152" t="e">
        <v>#N/A</v>
      </c>
    </row>
    <row r="29153" spans="1:1" x14ac:dyDescent="0.25">
      <c r="A29153" t="e">
        <v>#N/A</v>
      </c>
    </row>
    <row r="29154" spans="1:1" x14ac:dyDescent="0.25">
      <c r="A29154" t="e">
        <v>#N/A</v>
      </c>
    </row>
    <row r="29155" spans="1:1" x14ac:dyDescent="0.25">
      <c r="A29155" t="e">
        <v>#N/A</v>
      </c>
    </row>
    <row r="29156" spans="1:1" x14ac:dyDescent="0.25">
      <c r="A29156" t="e">
        <v>#N/A</v>
      </c>
    </row>
    <row r="29157" spans="1:1" x14ac:dyDescent="0.25">
      <c r="A29157" t="e">
        <v>#N/A</v>
      </c>
    </row>
    <row r="29158" spans="1:1" x14ac:dyDescent="0.25">
      <c r="A29158" t="e">
        <v>#N/A</v>
      </c>
    </row>
    <row r="29159" spans="1:1" x14ac:dyDescent="0.25">
      <c r="A29159" t="e">
        <v>#N/A</v>
      </c>
    </row>
    <row r="29160" spans="1:1" x14ac:dyDescent="0.25">
      <c r="A29160" t="e">
        <v>#N/A</v>
      </c>
    </row>
    <row r="29161" spans="1:1" x14ac:dyDescent="0.25">
      <c r="A29161" t="e">
        <v>#N/A</v>
      </c>
    </row>
    <row r="29162" spans="1:1" x14ac:dyDescent="0.25">
      <c r="A29162" t="e">
        <v>#N/A</v>
      </c>
    </row>
    <row r="29163" spans="1:1" x14ac:dyDescent="0.25">
      <c r="A29163" t="e">
        <v>#N/A</v>
      </c>
    </row>
    <row r="29164" spans="1:1" x14ac:dyDescent="0.25">
      <c r="A29164" t="e">
        <v>#N/A</v>
      </c>
    </row>
    <row r="29165" spans="1:1" x14ac:dyDescent="0.25">
      <c r="A29165" t="e">
        <v>#N/A</v>
      </c>
    </row>
    <row r="29166" spans="1:1" x14ac:dyDescent="0.25">
      <c r="A29166" t="e">
        <v>#N/A</v>
      </c>
    </row>
    <row r="29167" spans="1:1" x14ac:dyDescent="0.25">
      <c r="A29167" t="e">
        <v>#N/A</v>
      </c>
    </row>
    <row r="29168" spans="1:1" x14ac:dyDescent="0.25">
      <c r="A29168" t="e">
        <v>#N/A</v>
      </c>
    </row>
    <row r="29169" spans="1:1" x14ac:dyDescent="0.25">
      <c r="A29169" t="e">
        <v>#N/A</v>
      </c>
    </row>
    <row r="29170" spans="1:1" x14ac:dyDescent="0.25">
      <c r="A29170" t="e">
        <v>#N/A</v>
      </c>
    </row>
    <row r="29171" spans="1:1" x14ac:dyDescent="0.25">
      <c r="A29171" t="e">
        <v>#N/A</v>
      </c>
    </row>
    <row r="29172" spans="1:1" x14ac:dyDescent="0.25">
      <c r="A29172" t="e">
        <v>#N/A</v>
      </c>
    </row>
    <row r="29173" spans="1:1" x14ac:dyDescent="0.25">
      <c r="A29173" t="e">
        <v>#N/A</v>
      </c>
    </row>
    <row r="29174" spans="1:1" x14ac:dyDescent="0.25">
      <c r="A29174" t="e">
        <v>#N/A</v>
      </c>
    </row>
    <row r="29175" spans="1:1" x14ac:dyDescent="0.25">
      <c r="A29175" t="e">
        <v>#N/A</v>
      </c>
    </row>
    <row r="29176" spans="1:1" x14ac:dyDescent="0.25">
      <c r="A29176" t="e">
        <v>#N/A</v>
      </c>
    </row>
    <row r="29177" spans="1:1" x14ac:dyDescent="0.25">
      <c r="A29177" t="e">
        <v>#N/A</v>
      </c>
    </row>
    <row r="29178" spans="1:1" x14ac:dyDescent="0.25">
      <c r="A29178" t="e">
        <v>#N/A</v>
      </c>
    </row>
    <row r="29179" spans="1:1" x14ac:dyDescent="0.25">
      <c r="A29179" t="e">
        <v>#N/A</v>
      </c>
    </row>
    <row r="29180" spans="1:1" x14ac:dyDescent="0.25">
      <c r="A29180" t="e">
        <v>#N/A</v>
      </c>
    </row>
    <row r="29181" spans="1:1" x14ac:dyDescent="0.25">
      <c r="A29181" t="e">
        <v>#N/A</v>
      </c>
    </row>
    <row r="29182" spans="1:1" x14ac:dyDescent="0.25">
      <c r="A29182" t="e">
        <v>#N/A</v>
      </c>
    </row>
    <row r="29183" spans="1:1" x14ac:dyDescent="0.25">
      <c r="A29183" t="e">
        <v>#N/A</v>
      </c>
    </row>
    <row r="29184" spans="1:1" x14ac:dyDescent="0.25">
      <c r="A29184" t="e">
        <v>#N/A</v>
      </c>
    </row>
    <row r="29185" spans="1:1" x14ac:dyDescent="0.25">
      <c r="A29185" t="e">
        <v>#N/A</v>
      </c>
    </row>
    <row r="29186" spans="1:1" x14ac:dyDescent="0.25">
      <c r="A29186" t="e">
        <v>#N/A</v>
      </c>
    </row>
    <row r="29187" spans="1:1" x14ac:dyDescent="0.25">
      <c r="A29187" t="e">
        <v>#N/A</v>
      </c>
    </row>
    <row r="29188" spans="1:1" x14ac:dyDescent="0.25">
      <c r="A29188" t="e">
        <v>#N/A</v>
      </c>
    </row>
    <row r="29189" spans="1:1" x14ac:dyDescent="0.25">
      <c r="A29189" t="e">
        <v>#N/A</v>
      </c>
    </row>
    <row r="29190" spans="1:1" x14ac:dyDescent="0.25">
      <c r="A29190" t="e">
        <v>#N/A</v>
      </c>
    </row>
    <row r="29191" spans="1:1" x14ac:dyDescent="0.25">
      <c r="A29191" t="e">
        <v>#N/A</v>
      </c>
    </row>
    <row r="29192" spans="1:1" x14ac:dyDescent="0.25">
      <c r="A29192" t="e">
        <v>#N/A</v>
      </c>
    </row>
    <row r="29193" spans="1:1" x14ac:dyDescent="0.25">
      <c r="A29193" t="e">
        <v>#N/A</v>
      </c>
    </row>
    <row r="29194" spans="1:1" x14ac:dyDescent="0.25">
      <c r="A29194" t="e">
        <v>#N/A</v>
      </c>
    </row>
    <row r="29195" spans="1:1" x14ac:dyDescent="0.25">
      <c r="A29195" t="e">
        <v>#N/A</v>
      </c>
    </row>
    <row r="29196" spans="1:1" x14ac:dyDescent="0.25">
      <c r="A29196" t="e">
        <v>#N/A</v>
      </c>
    </row>
    <row r="29197" spans="1:1" x14ac:dyDescent="0.25">
      <c r="A29197" t="e">
        <v>#N/A</v>
      </c>
    </row>
    <row r="29198" spans="1:1" x14ac:dyDescent="0.25">
      <c r="A29198" t="e">
        <v>#N/A</v>
      </c>
    </row>
    <row r="29199" spans="1:1" x14ac:dyDescent="0.25">
      <c r="A29199" t="e">
        <v>#N/A</v>
      </c>
    </row>
    <row r="29200" spans="1:1" x14ac:dyDescent="0.25">
      <c r="A29200" t="e">
        <v>#N/A</v>
      </c>
    </row>
    <row r="29201" spans="1:1" x14ac:dyDescent="0.25">
      <c r="A29201" t="e">
        <v>#N/A</v>
      </c>
    </row>
    <row r="29202" spans="1:1" x14ac:dyDescent="0.25">
      <c r="A29202" t="e">
        <v>#N/A</v>
      </c>
    </row>
    <row r="29203" spans="1:1" x14ac:dyDescent="0.25">
      <c r="A29203" t="e">
        <v>#N/A</v>
      </c>
    </row>
    <row r="29204" spans="1:1" x14ac:dyDescent="0.25">
      <c r="A29204" t="e">
        <v>#N/A</v>
      </c>
    </row>
    <row r="29205" spans="1:1" x14ac:dyDescent="0.25">
      <c r="A29205" t="e">
        <v>#N/A</v>
      </c>
    </row>
    <row r="29206" spans="1:1" x14ac:dyDescent="0.25">
      <c r="A29206" t="e">
        <v>#N/A</v>
      </c>
    </row>
    <row r="29207" spans="1:1" x14ac:dyDescent="0.25">
      <c r="A29207" t="e">
        <v>#N/A</v>
      </c>
    </row>
    <row r="29208" spans="1:1" x14ac:dyDescent="0.25">
      <c r="A29208" t="e">
        <v>#N/A</v>
      </c>
    </row>
    <row r="29209" spans="1:1" x14ac:dyDescent="0.25">
      <c r="A29209" t="e">
        <v>#N/A</v>
      </c>
    </row>
    <row r="29210" spans="1:1" x14ac:dyDescent="0.25">
      <c r="A29210" t="e">
        <v>#N/A</v>
      </c>
    </row>
    <row r="29211" spans="1:1" x14ac:dyDescent="0.25">
      <c r="A29211" t="e">
        <v>#N/A</v>
      </c>
    </row>
    <row r="29212" spans="1:1" x14ac:dyDescent="0.25">
      <c r="A29212" t="e">
        <v>#N/A</v>
      </c>
    </row>
    <row r="29213" spans="1:1" x14ac:dyDescent="0.25">
      <c r="A29213" t="e">
        <v>#N/A</v>
      </c>
    </row>
    <row r="29214" spans="1:1" x14ac:dyDescent="0.25">
      <c r="A29214" t="e">
        <v>#N/A</v>
      </c>
    </row>
    <row r="29215" spans="1:1" x14ac:dyDescent="0.25">
      <c r="A29215" t="e">
        <v>#N/A</v>
      </c>
    </row>
    <row r="29216" spans="1:1" x14ac:dyDescent="0.25">
      <c r="A29216" t="e">
        <v>#N/A</v>
      </c>
    </row>
    <row r="29217" spans="1:1" x14ac:dyDescent="0.25">
      <c r="A29217" t="e">
        <v>#N/A</v>
      </c>
    </row>
    <row r="29218" spans="1:1" x14ac:dyDescent="0.25">
      <c r="A29218" t="e">
        <v>#N/A</v>
      </c>
    </row>
    <row r="29219" spans="1:1" x14ac:dyDescent="0.25">
      <c r="A29219" t="e">
        <v>#N/A</v>
      </c>
    </row>
    <row r="29220" spans="1:1" x14ac:dyDescent="0.25">
      <c r="A29220" t="e">
        <v>#N/A</v>
      </c>
    </row>
    <row r="29221" spans="1:1" x14ac:dyDescent="0.25">
      <c r="A29221" t="e">
        <v>#N/A</v>
      </c>
    </row>
    <row r="29222" spans="1:1" x14ac:dyDescent="0.25">
      <c r="A29222" t="e">
        <v>#N/A</v>
      </c>
    </row>
    <row r="29223" spans="1:1" x14ac:dyDescent="0.25">
      <c r="A29223" t="e">
        <v>#N/A</v>
      </c>
    </row>
    <row r="29224" spans="1:1" x14ac:dyDescent="0.25">
      <c r="A29224" t="e">
        <v>#N/A</v>
      </c>
    </row>
    <row r="29225" spans="1:1" x14ac:dyDescent="0.25">
      <c r="A29225" t="e">
        <v>#N/A</v>
      </c>
    </row>
    <row r="29226" spans="1:1" x14ac:dyDescent="0.25">
      <c r="A29226" t="e">
        <v>#N/A</v>
      </c>
    </row>
    <row r="29227" spans="1:1" x14ac:dyDescent="0.25">
      <c r="A29227" t="e">
        <v>#N/A</v>
      </c>
    </row>
    <row r="29228" spans="1:1" x14ac:dyDescent="0.25">
      <c r="A29228" t="e">
        <v>#N/A</v>
      </c>
    </row>
    <row r="29229" spans="1:1" x14ac:dyDescent="0.25">
      <c r="A29229" t="e">
        <v>#N/A</v>
      </c>
    </row>
    <row r="29230" spans="1:1" x14ac:dyDescent="0.25">
      <c r="A29230" t="e">
        <v>#N/A</v>
      </c>
    </row>
    <row r="29231" spans="1:1" x14ac:dyDescent="0.25">
      <c r="A29231" t="e">
        <v>#N/A</v>
      </c>
    </row>
    <row r="29232" spans="1:1" x14ac:dyDescent="0.25">
      <c r="A29232" t="e">
        <v>#N/A</v>
      </c>
    </row>
    <row r="29233" spans="1:1" x14ac:dyDescent="0.25">
      <c r="A29233" t="e">
        <v>#N/A</v>
      </c>
    </row>
    <row r="29234" spans="1:1" x14ac:dyDescent="0.25">
      <c r="A29234" t="e">
        <v>#N/A</v>
      </c>
    </row>
    <row r="29235" spans="1:1" x14ac:dyDescent="0.25">
      <c r="A29235" t="e">
        <v>#N/A</v>
      </c>
    </row>
    <row r="29236" spans="1:1" x14ac:dyDescent="0.25">
      <c r="A29236" t="e">
        <v>#N/A</v>
      </c>
    </row>
    <row r="29237" spans="1:1" x14ac:dyDescent="0.25">
      <c r="A29237" t="e">
        <v>#N/A</v>
      </c>
    </row>
    <row r="29238" spans="1:1" x14ac:dyDescent="0.25">
      <c r="A29238" t="e">
        <v>#N/A</v>
      </c>
    </row>
    <row r="29239" spans="1:1" x14ac:dyDescent="0.25">
      <c r="A29239" t="e">
        <v>#N/A</v>
      </c>
    </row>
    <row r="29240" spans="1:1" x14ac:dyDescent="0.25">
      <c r="A29240" t="e">
        <v>#N/A</v>
      </c>
    </row>
    <row r="29241" spans="1:1" x14ac:dyDescent="0.25">
      <c r="A29241" t="e">
        <v>#N/A</v>
      </c>
    </row>
    <row r="29242" spans="1:1" x14ac:dyDescent="0.25">
      <c r="A29242" t="e">
        <v>#N/A</v>
      </c>
    </row>
    <row r="29243" spans="1:1" x14ac:dyDescent="0.25">
      <c r="A29243" t="e">
        <v>#N/A</v>
      </c>
    </row>
    <row r="29244" spans="1:1" x14ac:dyDescent="0.25">
      <c r="A29244" t="e">
        <v>#N/A</v>
      </c>
    </row>
    <row r="29245" spans="1:1" x14ac:dyDescent="0.25">
      <c r="A29245" t="e">
        <v>#N/A</v>
      </c>
    </row>
    <row r="29246" spans="1:1" x14ac:dyDescent="0.25">
      <c r="A29246" t="e">
        <v>#N/A</v>
      </c>
    </row>
    <row r="29247" spans="1:1" x14ac:dyDescent="0.25">
      <c r="A29247" t="e">
        <v>#N/A</v>
      </c>
    </row>
    <row r="29248" spans="1:1" x14ac:dyDescent="0.25">
      <c r="A29248" t="e">
        <v>#N/A</v>
      </c>
    </row>
    <row r="29249" spans="1:1" x14ac:dyDescent="0.25">
      <c r="A29249" t="e">
        <v>#N/A</v>
      </c>
    </row>
    <row r="29250" spans="1:1" x14ac:dyDescent="0.25">
      <c r="A29250" t="e">
        <v>#N/A</v>
      </c>
    </row>
    <row r="29251" spans="1:1" x14ac:dyDescent="0.25">
      <c r="A29251" t="e">
        <v>#N/A</v>
      </c>
    </row>
    <row r="29252" spans="1:1" x14ac:dyDescent="0.25">
      <c r="A29252" t="e">
        <v>#N/A</v>
      </c>
    </row>
    <row r="29253" spans="1:1" x14ac:dyDescent="0.25">
      <c r="A29253" t="e">
        <v>#N/A</v>
      </c>
    </row>
    <row r="29254" spans="1:1" x14ac:dyDescent="0.25">
      <c r="A29254" t="e">
        <v>#N/A</v>
      </c>
    </row>
    <row r="29255" spans="1:1" x14ac:dyDescent="0.25">
      <c r="A29255" t="e">
        <v>#N/A</v>
      </c>
    </row>
    <row r="29256" spans="1:1" x14ac:dyDescent="0.25">
      <c r="A29256" t="e">
        <v>#N/A</v>
      </c>
    </row>
    <row r="29257" spans="1:1" x14ac:dyDescent="0.25">
      <c r="A29257" t="e">
        <v>#N/A</v>
      </c>
    </row>
    <row r="29258" spans="1:1" x14ac:dyDescent="0.25">
      <c r="A29258" t="e">
        <v>#N/A</v>
      </c>
    </row>
    <row r="29259" spans="1:1" x14ac:dyDescent="0.25">
      <c r="A29259" t="e">
        <v>#N/A</v>
      </c>
    </row>
    <row r="29260" spans="1:1" x14ac:dyDescent="0.25">
      <c r="A29260" t="e">
        <v>#N/A</v>
      </c>
    </row>
    <row r="29261" spans="1:1" x14ac:dyDescent="0.25">
      <c r="A29261" t="e">
        <v>#N/A</v>
      </c>
    </row>
    <row r="29262" spans="1:1" x14ac:dyDescent="0.25">
      <c r="A29262" t="e">
        <v>#N/A</v>
      </c>
    </row>
    <row r="29263" spans="1:1" x14ac:dyDescent="0.25">
      <c r="A29263" t="e">
        <v>#N/A</v>
      </c>
    </row>
    <row r="29264" spans="1:1" x14ac:dyDescent="0.25">
      <c r="A29264" t="e">
        <v>#N/A</v>
      </c>
    </row>
    <row r="29265" spans="1:1" x14ac:dyDescent="0.25">
      <c r="A29265" t="e">
        <v>#N/A</v>
      </c>
    </row>
    <row r="29266" spans="1:1" x14ac:dyDescent="0.25">
      <c r="A29266" t="e">
        <v>#N/A</v>
      </c>
    </row>
    <row r="29267" spans="1:1" x14ac:dyDescent="0.25">
      <c r="A29267" t="e">
        <v>#N/A</v>
      </c>
    </row>
    <row r="29268" spans="1:1" x14ac:dyDescent="0.25">
      <c r="A29268" t="e">
        <v>#N/A</v>
      </c>
    </row>
    <row r="29269" spans="1:1" x14ac:dyDescent="0.25">
      <c r="A29269" t="e">
        <v>#N/A</v>
      </c>
    </row>
    <row r="29270" spans="1:1" x14ac:dyDescent="0.25">
      <c r="A29270" t="e">
        <v>#N/A</v>
      </c>
    </row>
    <row r="29271" spans="1:1" x14ac:dyDescent="0.25">
      <c r="A29271" t="e">
        <v>#N/A</v>
      </c>
    </row>
    <row r="29272" spans="1:1" x14ac:dyDescent="0.25">
      <c r="A29272" t="e">
        <v>#N/A</v>
      </c>
    </row>
    <row r="29273" spans="1:1" x14ac:dyDescent="0.25">
      <c r="A29273" t="e">
        <v>#N/A</v>
      </c>
    </row>
    <row r="29274" spans="1:1" x14ac:dyDescent="0.25">
      <c r="A29274" t="e">
        <v>#N/A</v>
      </c>
    </row>
    <row r="29275" spans="1:1" x14ac:dyDescent="0.25">
      <c r="A29275" t="e">
        <v>#N/A</v>
      </c>
    </row>
    <row r="29276" spans="1:1" x14ac:dyDescent="0.25">
      <c r="A29276" t="e">
        <v>#N/A</v>
      </c>
    </row>
    <row r="29277" spans="1:1" x14ac:dyDescent="0.25">
      <c r="A29277" t="e">
        <v>#N/A</v>
      </c>
    </row>
    <row r="29278" spans="1:1" x14ac:dyDescent="0.25">
      <c r="A29278" t="e">
        <v>#N/A</v>
      </c>
    </row>
    <row r="29279" spans="1:1" x14ac:dyDescent="0.25">
      <c r="A29279" t="e">
        <v>#N/A</v>
      </c>
    </row>
    <row r="29280" spans="1:1" x14ac:dyDescent="0.25">
      <c r="A29280" t="e">
        <v>#N/A</v>
      </c>
    </row>
    <row r="29281" spans="1:1" x14ac:dyDescent="0.25">
      <c r="A29281" t="e">
        <v>#N/A</v>
      </c>
    </row>
    <row r="29282" spans="1:1" x14ac:dyDescent="0.25">
      <c r="A29282" t="e">
        <v>#N/A</v>
      </c>
    </row>
    <row r="29283" spans="1:1" x14ac:dyDescent="0.25">
      <c r="A29283" t="e">
        <v>#N/A</v>
      </c>
    </row>
    <row r="29284" spans="1:1" x14ac:dyDescent="0.25">
      <c r="A29284" t="e">
        <v>#N/A</v>
      </c>
    </row>
    <row r="29285" spans="1:1" x14ac:dyDescent="0.25">
      <c r="A29285" t="e">
        <v>#N/A</v>
      </c>
    </row>
    <row r="29286" spans="1:1" x14ac:dyDescent="0.25">
      <c r="A29286" t="e">
        <v>#N/A</v>
      </c>
    </row>
    <row r="29287" spans="1:1" x14ac:dyDescent="0.25">
      <c r="A29287" t="e">
        <v>#N/A</v>
      </c>
    </row>
    <row r="29288" spans="1:1" x14ac:dyDescent="0.25">
      <c r="A29288" t="e">
        <v>#N/A</v>
      </c>
    </row>
    <row r="29289" spans="1:1" x14ac:dyDescent="0.25">
      <c r="A29289" t="e">
        <v>#N/A</v>
      </c>
    </row>
    <row r="29290" spans="1:1" x14ac:dyDescent="0.25">
      <c r="A29290" t="e">
        <v>#N/A</v>
      </c>
    </row>
    <row r="29291" spans="1:1" x14ac:dyDescent="0.25">
      <c r="A29291" t="e">
        <v>#N/A</v>
      </c>
    </row>
    <row r="29292" spans="1:1" x14ac:dyDescent="0.25">
      <c r="A29292" t="e">
        <v>#N/A</v>
      </c>
    </row>
    <row r="29293" spans="1:1" x14ac:dyDescent="0.25">
      <c r="A29293" t="e">
        <v>#N/A</v>
      </c>
    </row>
    <row r="29294" spans="1:1" x14ac:dyDescent="0.25">
      <c r="A29294" t="e">
        <v>#N/A</v>
      </c>
    </row>
    <row r="29295" spans="1:1" x14ac:dyDescent="0.25">
      <c r="A29295" t="e">
        <v>#N/A</v>
      </c>
    </row>
    <row r="29296" spans="1:1" x14ac:dyDescent="0.25">
      <c r="A29296" t="e">
        <v>#N/A</v>
      </c>
    </row>
    <row r="29297" spans="1:1" x14ac:dyDescent="0.25">
      <c r="A29297" t="e">
        <v>#N/A</v>
      </c>
    </row>
    <row r="29298" spans="1:1" x14ac:dyDescent="0.25">
      <c r="A29298" t="e">
        <v>#N/A</v>
      </c>
    </row>
    <row r="29299" spans="1:1" x14ac:dyDescent="0.25">
      <c r="A29299" t="e">
        <v>#N/A</v>
      </c>
    </row>
    <row r="29300" spans="1:1" x14ac:dyDescent="0.25">
      <c r="A29300" t="e">
        <v>#N/A</v>
      </c>
    </row>
    <row r="29301" spans="1:1" x14ac:dyDescent="0.25">
      <c r="A29301" t="e">
        <v>#N/A</v>
      </c>
    </row>
    <row r="29302" spans="1:1" x14ac:dyDescent="0.25">
      <c r="A29302" t="e">
        <v>#N/A</v>
      </c>
    </row>
    <row r="29303" spans="1:1" x14ac:dyDescent="0.25">
      <c r="A29303" t="e">
        <v>#N/A</v>
      </c>
    </row>
    <row r="29304" spans="1:1" x14ac:dyDescent="0.25">
      <c r="A29304" t="e">
        <v>#N/A</v>
      </c>
    </row>
    <row r="29305" spans="1:1" x14ac:dyDescent="0.25">
      <c r="A29305" t="e">
        <v>#N/A</v>
      </c>
    </row>
    <row r="29306" spans="1:1" x14ac:dyDescent="0.25">
      <c r="A29306" t="e">
        <v>#N/A</v>
      </c>
    </row>
    <row r="29307" spans="1:1" x14ac:dyDescent="0.25">
      <c r="A29307" t="e">
        <v>#N/A</v>
      </c>
    </row>
    <row r="29308" spans="1:1" x14ac:dyDescent="0.25">
      <c r="A29308" t="e">
        <v>#N/A</v>
      </c>
    </row>
    <row r="29309" spans="1:1" x14ac:dyDescent="0.25">
      <c r="A29309" t="e">
        <v>#N/A</v>
      </c>
    </row>
    <row r="29310" spans="1:1" x14ac:dyDescent="0.25">
      <c r="A29310" t="e">
        <v>#N/A</v>
      </c>
    </row>
    <row r="29311" spans="1:1" x14ac:dyDescent="0.25">
      <c r="A29311" t="e">
        <v>#N/A</v>
      </c>
    </row>
    <row r="29312" spans="1:1" x14ac:dyDescent="0.25">
      <c r="A29312" t="e">
        <v>#N/A</v>
      </c>
    </row>
    <row r="29313" spans="1:1" x14ac:dyDescent="0.25">
      <c r="A29313" t="e">
        <v>#N/A</v>
      </c>
    </row>
    <row r="29314" spans="1:1" x14ac:dyDescent="0.25">
      <c r="A29314" t="e">
        <v>#N/A</v>
      </c>
    </row>
    <row r="29315" spans="1:1" x14ac:dyDescent="0.25">
      <c r="A29315" t="e">
        <v>#N/A</v>
      </c>
    </row>
    <row r="29316" spans="1:1" x14ac:dyDescent="0.25">
      <c r="A29316" t="e">
        <v>#N/A</v>
      </c>
    </row>
    <row r="29317" spans="1:1" x14ac:dyDescent="0.25">
      <c r="A29317" t="e">
        <v>#N/A</v>
      </c>
    </row>
    <row r="29318" spans="1:1" x14ac:dyDescent="0.25">
      <c r="A29318" t="e">
        <v>#N/A</v>
      </c>
    </row>
    <row r="29319" spans="1:1" x14ac:dyDescent="0.25">
      <c r="A29319" t="e">
        <v>#N/A</v>
      </c>
    </row>
    <row r="29320" spans="1:1" x14ac:dyDescent="0.25">
      <c r="A29320" t="e">
        <v>#N/A</v>
      </c>
    </row>
    <row r="29321" spans="1:1" x14ac:dyDescent="0.25">
      <c r="A29321" t="e">
        <v>#N/A</v>
      </c>
    </row>
    <row r="29322" spans="1:1" x14ac:dyDescent="0.25">
      <c r="A29322" t="e">
        <v>#N/A</v>
      </c>
    </row>
    <row r="29323" spans="1:1" x14ac:dyDescent="0.25">
      <c r="A29323" t="e">
        <v>#N/A</v>
      </c>
    </row>
    <row r="29324" spans="1:1" x14ac:dyDescent="0.25">
      <c r="A29324" t="e">
        <v>#N/A</v>
      </c>
    </row>
    <row r="29325" spans="1:1" x14ac:dyDescent="0.25">
      <c r="A29325" t="e">
        <v>#N/A</v>
      </c>
    </row>
    <row r="29326" spans="1:1" x14ac:dyDescent="0.25">
      <c r="A29326" t="e">
        <v>#N/A</v>
      </c>
    </row>
    <row r="29327" spans="1:1" x14ac:dyDescent="0.25">
      <c r="A29327" t="e">
        <v>#N/A</v>
      </c>
    </row>
    <row r="29328" spans="1:1" x14ac:dyDescent="0.25">
      <c r="A29328" t="e">
        <v>#N/A</v>
      </c>
    </row>
    <row r="29329" spans="1:1" x14ac:dyDescent="0.25">
      <c r="A29329" t="e">
        <v>#N/A</v>
      </c>
    </row>
    <row r="29330" spans="1:1" x14ac:dyDescent="0.25">
      <c r="A29330" t="e">
        <v>#N/A</v>
      </c>
    </row>
    <row r="29331" spans="1:1" x14ac:dyDescent="0.25">
      <c r="A29331" t="e">
        <v>#N/A</v>
      </c>
    </row>
    <row r="29332" spans="1:1" x14ac:dyDescent="0.25">
      <c r="A29332" t="e">
        <v>#N/A</v>
      </c>
    </row>
    <row r="29333" spans="1:1" x14ac:dyDescent="0.25">
      <c r="A29333" t="e">
        <v>#N/A</v>
      </c>
    </row>
    <row r="29334" spans="1:1" x14ac:dyDescent="0.25">
      <c r="A29334" t="e">
        <v>#N/A</v>
      </c>
    </row>
    <row r="29335" spans="1:1" x14ac:dyDescent="0.25">
      <c r="A29335" t="e">
        <v>#N/A</v>
      </c>
    </row>
    <row r="29336" spans="1:1" x14ac:dyDescent="0.25">
      <c r="A29336" t="e">
        <v>#N/A</v>
      </c>
    </row>
    <row r="29337" spans="1:1" x14ac:dyDescent="0.25">
      <c r="A29337" t="e">
        <v>#N/A</v>
      </c>
    </row>
    <row r="29338" spans="1:1" x14ac:dyDescent="0.25">
      <c r="A29338" t="e">
        <v>#N/A</v>
      </c>
    </row>
    <row r="29339" spans="1:1" x14ac:dyDescent="0.25">
      <c r="A29339" t="e">
        <v>#N/A</v>
      </c>
    </row>
    <row r="29340" spans="1:1" x14ac:dyDescent="0.25">
      <c r="A29340" t="e">
        <v>#N/A</v>
      </c>
    </row>
    <row r="29341" spans="1:1" x14ac:dyDescent="0.25">
      <c r="A29341" t="e">
        <v>#N/A</v>
      </c>
    </row>
    <row r="29342" spans="1:1" x14ac:dyDescent="0.25">
      <c r="A29342" t="e">
        <v>#N/A</v>
      </c>
    </row>
    <row r="29343" spans="1:1" x14ac:dyDescent="0.25">
      <c r="A29343" t="e">
        <v>#N/A</v>
      </c>
    </row>
    <row r="29344" spans="1:1" x14ac:dyDescent="0.25">
      <c r="A29344" t="e">
        <v>#N/A</v>
      </c>
    </row>
    <row r="29345" spans="1:1" x14ac:dyDescent="0.25">
      <c r="A29345" t="e">
        <v>#N/A</v>
      </c>
    </row>
    <row r="29346" spans="1:1" x14ac:dyDescent="0.25">
      <c r="A29346" t="e">
        <v>#N/A</v>
      </c>
    </row>
    <row r="29347" spans="1:1" x14ac:dyDescent="0.25">
      <c r="A29347" t="e">
        <v>#N/A</v>
      </c>
    </row>
    <row r="29348" spans="1:1" x14ac:dyDescent="0.25">
      <c r="A29348" t="e">
        <v>#N/A</v>
      </c>
    </row>
    <row r="29349" spans="1:1" x14ac:dyDescent="0.25">
      <c r="A29349" t="e">
        <v>#N/A</v>
      </c>
    </row>
    <row r="29350" spans="1:1" x14ac:dyDescent="0.25">
      <c r="A29350" t="e">
        <v>#N/A</v>
      </c>
    </row>
    <row r="29351" spans="1:1" x14ac:dyDescent="0.25">
      <c r="A29351" t="e">
        <v>#N/A</v>
      </c>
    </row>
    <row r="29352" spans="1:1" x14ac:dyDescent="0.25">
      <c r="A29352" t="e">
        <v>#N/A</v>
      </c>
    </row>
    <row r="29353" spans="1:1" x14ac:dyDescent="0.25">
      <c r="A29353" t="e">
        <v>#N/A</v>
      </c>
    </row>
    <row r="29354" spans="1:1" x14ac:dyDescent="0.25">
      <c r="A29354" t="e">
        <v>#N/A</v>
      </c>
    </row>
    <row r="29355" spans="1:1" x14ac:dyDescent="0.25">
      <c r="A29355" t="e">
        <v>#N/A</v>
      </c>
    </row>
    <row r="29356" spans="1:1" x14ac:dyDescent="0.25">
      <c r="A29356" t="e">
        <v>#N/A</v>
      </c>
    </row>
    <row r="29357" spans="1:1" x14ac:dyDescent="0.25">
      <c r="A29357" t="e">
        <v>#N/A</v>
      </c>
    </row>
    <row r="29358" spans="1:1" x14ac:dyDescent="0.25">
      <c r="A29358" t="e">
        <v>#N/A</v>
      </c>
    </row>
    <row r="29359" spans="1:1" x14ac:dyDescent="0.25">
      <c r="A29359" t="e">
        <v>#N/A</v>
      </c>
    </row>
    <row r="29360" spans="1:1" x14ac:dyDescent="0.25">
      <c r="A29360" t="e">
        <v>#N/A</v>
      </c>
    </row>
    <row r="29361" spans="1:1" x14ac:dyDescent="0.25">
      <c r="A29361" t="e">
        <v>#N/A</v>
      </c>
    </row>
    <row r="29362" spans="1:1" x14ac:dyDescent="0.25">
      <c r="A29362" t="e">
        <v>#N/A</v>
      </c>
    </row>
    <row r="29363" spans="1:1" x14ac:dyDescent="0.25">
      <c r="A29363" t="e">
        <v>#N/A</v>
      </c>
    </row>
    <row r="29364" spans="1:1" x14ac:dyDescent="0.25">
      <c r="A29364" t="e">
        <v>#N/A</v>
      </c>
    </row>
    <row r="29365" spans="1:1" x14ac:dyDescent="0.25">
      <c r="A29365" t="e">
        <v>#N/A</v>
      </c>
    </row>
    <row r="29366" spans="1:1" x14ac:dyDescent="0.25">
      <c r="A29366" t="e">
        <v>#N/A</v>
      </c>
    </row>
    <row r="29367" spans="1:1" x14ac:dyDescent="0.25">
      <c r="A29367" t="e">
        <v>#N/A</v>
      </c>
    </row>
    <row r="29368" spans="1:1" x14ac:dyDescent="0.25">
      <c r="A29368" t="e">
        <v>#N/A</v>
      </c>
    </row>
    <row r="29369" spans="1:1" x14ac:dyDescent="0.25">
      <c r="A29369" t="e">
        <v>#N/A</v>
      </c>
    </row>
    <row r="29370" spans="1:1" x14ac:dyDescent="0.25">
      <c r="A29370" t="e">
        <v>#N/A</v>
      </c>
    </row>
    <row r="29371" spans="1:1" x14ac:dyDescent="0.25">
      <c r="A29371" t="e">
        <v>#N/A</v>
      </c>
    </row>
    <row r="29372" spans="1:1" x14ac:dyDescent="0.25">
      <c r="A29372" t="e">
        <v>#N/A</v>
      </c>
    </row>
    <row r="29373" spans="1:1" x14ac:dyDescent="0.25">
      <c r="A29373" t="e">
        <v>#N/A</v>
      </c>
    </row>
    <row r="29374" spans="1:1" x14ac:dyDescent="0.25">
      <c r="A29374" t="e">
        <v>#N/A</v>
      </c>
    </row>
    <row r="29375" spans="1:1" x14ac:dyDescent="0.25">
      <c r="A29375" t="e">
        <v>#N/A</v>
      </c>
    </row>
    <row r="29376" spans="1:1" x14ac:dyDescent="0.25">
      <c r="A29376" t="e">
        <v>#N/A</v>
      </c>
    </row>
    <row r="29377" spans="1:1" x14ac:dyDescent="0.25">
      <c r="A29377" t="e">
        <v>#N/A</v>
      </c>
    </row>
    <row r="29378" spans="1:1" x14ac:dyDescent="0.25">
      <c r="A29378" t="e">
        <v>#N/A</v>
      </c>
    </row>
    <row r="29379" spans="1:1" x14ac:dyDescent="0.25">
      <c r="A29379" t="e">
        <v>#N/A</v>
      </c>
    </row>
    <row r="29380" spans="1:1" x14ac:dyDescent="0.25">
      <c r="A29380" t="e">
        <v>#N/A</v>
      </c>
    </row>
    <row r="29381" spans="1:1" x14ac:dyDescent="0.25">
      <c r="A29381" t="e">
        <v>#N/A</v>
      </c>
    </row>
    <row r="29382" spans="1:1" x14ac:dyDescent="0.25">
      <c r="A29382" t="e">
        <v>#N/A</v>
      </c>
    </row>
    <row r="29383" spans="1:1" x14ac:dyDescent="0.25">
      <c r="A29383" t="e">
        <v>#N/A</v>
      </c>
    </row>
    <row r="29384" spans="1:1" x14ac:dyDescent="0.25">
      <c r="A29384" t="e">
        <v>#N/A</v>
      </c>
    </row>
    <row r="29385" spans="1:1" x14ac:dyDescent="0.25">
      <c r="A29385" t="e">
        <v>#N/A</v>
      </c>
    </row>
    <row r="29386" spans="1:1" x14ac:dyDescent="0.25">
      <c r="A29386" t="e">
        <v>#N/A</v>
      </c>
    </row>
    <row r="29387" spans="1:1" x14ac:dyDescent="0.25">
      <c r="A29387" t="e">
        <v>#N/A</v>
      </c>
    </row>
    <row r="29388" spans="1:1" x14ac:dyDescent="0.25">
      <c r="A29388" t="e">
        <v>#N/A</v>
      </c>
    </row>
    <row r="29389" spans="1:1" x14ac:dyDescent="0.25">
      <c r="A29389" t="e">
        <v>#N/A</v>
      </c>
    </row>
    <row r="29390" spans="1:1" x14ac:dyDescent="0.25">
      <c r="A29390" t="e">
        <v>#N/A</v>
      </c>
    </row>
    <row r="29391" spans="1:1" x14ac:dyDescent="0.25">
      <c r="A29391" t="e">
        <v>#N/A</v>
      </c>
    </row>
    <row r="29392" spans="1:1" x14ac:dyDescent="0.25">
      <c r="A29392" t="e">
        <v>#N/A</v>
      </c>
    </row>
    <row r="29393" spans="1:1" x14ac:dyDescent="0.25">
      <c r="A29393" t="e">
        <v>#N/A</v>
      </c>
    </row>
    <row r="29394" spans="1:1" x14ac:dyDescent="0.25">
      <c r="A29394" t="e">
        <v>#N/A</v>
      </c>
    </row>
    <row r="29395" spans="1:1" x14ac:dyDescent="0.25">
      <c r="A29395" t="e">
        <v>#N/A</v>
      </c>
    </row>
    <row r="29396" spans="1:1" x14ac:dyDescent="0.25">
      <c r="A29396" t="e">
        <v>#N/A</v>
      </c>
    </row>
    <row r="29397" spans="1:1" x14ac:dyDescent="0.25">
      <c r="A29397" t="e">
        <v>#N/A</v>
      </c>
    </row>
    <row r="29398" spans="1:1" x14ac:dyDescent="0.25">
      <c r="A29398" t="e">
        <v>#N/A</v>
      </c>
    </row>
    <row r="29399" spans="1:1" x14ac:dyDescent="0.25">
      <c r="A29399" t="e">
        <v>#N/A</v>
      </c>
    </row>
    <row r="29400" spans="1:1" x14ac:dyDescent="0.25">
      <c r="A29400" t="e">
        <v>#N/A</v>
      </c>
    </row>
    <row r="29401" spans="1:1" x14ac:dyDescent="0.25">
      <c r="A29401" t="e">
        <v>#N/A</v>
      </c>
    </row>
    <row r="29402" spans="1:1" x14ac:dyDescent="0.25">
      <c r="A29402" t="e">
        <v>#N/A</v>
      </c>
    </row>
    <row r="29403" spans="1:1" x14ac:dyDescent="0.25">
      <c r="A29403" t="e">
        <v>#N/A</v>
      </c>
    </row>
    <row r="29404" spans="1:1" x14ac:dyDescent="0.25">
      <c r="A29404" t="e">
        <v>#N/A</v>
      </c>
    </row>
    <row r="29405" spans="1:1" x14ac:dyDescent="0.25">
      <c r="A29405" t="e">
        <v>#N/A</v>
      </c>
    </row>
    <row r="29406" spans="1:1" x14ac:dyDescent="0.25">
      <c r="A29406" t="e">
        <v>#N/A</v>
      </c>
    </row>
    <row r="29407" spans="1:1" x14ac:dyDescent="0.25">
      <c r="A29407" t="e">
        <v>#N/A</v>
      </c>
    </row>
    <row r="29408" spans="1:1" x14ac:dyDescent="0.25">
      <c r="A29408" t="e">
        <v>#N/A</v>
      </c>
    </row>
    <row r="29409" spans="1:1" x14ac:dyDescent="0.25">
      <c r="A29409" t="e">
        <v>#N/A</v>
      </c>
    </row>
    <row r="29410" spans="1:1" x14ac:dyDescent="0.25">
      <c r="A29410" t="e">
        <v>#N/A</v>
      </c>
    </row>
    <row r="29411" spans="1:1" x14ac:dyDescent="0.25">
      <c r="A29411" t="e">
        <v>#N/A</v>
      </c>
    </row>
    <row r="29412" spans="1:1" x14ac:dyDescent="0.25">
      <c r="A29412" t="e">
        <v>#N/A</v>
      </c>
    </row>
    <row r="29413" spans="1:1" x14ac:dyDescent="0.25">
      <c r="A29413" t="e">
        <v>#N/A</v>
      </c>
    </row>
    <row r="29414" spans="1:1" x14ac:dyDescent="0.25">
      <c r="A29414" t="e">
        <v>#N/A</v>
      </c>
    </row>
    <row r="29415" spans="1:1" x14ac:dyDescent="0.25">
      <c r="A29415" t="e">
        <v>#N/A</v>
      </c>
    </row>
    <row r="29416" spans="1:1" x14ac:dyDescent="0.25">
      <c r="A29416" t="e">
        <v>#N/A</v>
      </c>
    </row>
    <row r="29417" spans="1:1" x14ac:dyDescent="0.25">
      <c r="A29417" t="e">
        <v>#N/A</v>
      </c>
    </row>
    <row r="29418" spans="1:1" x14ac:dyDescent="0.25">
      <c r="A29418" t="e">
        <v>#N/A</v>
      </c>
    </row>
    <row r="29419" spans="1:1" x14ac:dyDescent="0.25">
      <c r="A29419" t="e">
        <v>#N/A</v>
      </c>
    </row>
    <row r="29420" spans="1:1" x14ac:dyDescent="0.25">
      <c r="A29420" t="e">
        <v>#N/A</v>
      </c>
    </row>
    <row r="29421" spans="1:1" x14ac:dyDescent="0.25">
      <c r="A29421" t="e">
        <v>#N/A</v>
      </c>
    </row>
    <row r="29422" spans="1:1" x14ac:dyDescent="0.25">
      <c r="A29422" t="e">
        <v>#N/A</v>
      </c>
    </row>
    <row r="29423" spans="1:1" x14ac:dyDescent="0.25">
      <c r="A29423" t="e">
        <v>#N/A</v>
      </c>
    </row>
    <row r="29424" spans="1:1" x14ac:dyDescent="0.25">
      <c r="A29424" t="e">
        <v>#N/A</v>
      </c>
    </row>
    <row r="29425" spans="1:1" x14ac:dyDescent="0.25">
      <c r="A29425" t="e">
        <v>#N/A</v>
      </c>
    </row>
    <row r="29426" spans="1:1" x14ac:dyDescent="0.25">
      <c r="A29426" t="e">
        <v>#N/A</v>
      </c>
    </row>
    <row r="29427" spans="1:1" x14ac:dyDescent="0.25">
      <c r="A29427" t="e">
        <v>#N/A</v>
      </c>
    </row>
    <row r="29428" spans="1:1" x14ac:dyDescent="0.25">
      <c r="A29428" t="e">
        <v>#N/A</v>
      </c>
    </row>
    <row r="29429" spans="1:1" x14ac:dyDescent="0.25">
      <c r="A29429" t="e">
        <v>#N/A</v>
      </c>
    </row>
    <row r="29430" spans="1:1" x14ac:dyDescent="0.25">
      <c r="A29430" t="e">
        <v>#N/A</v>
      </c>
    </row>
    <row r="29431" spans="1:1" x14ac:dyDescent="0.25">
      <c r="A29431" t="e">
        <v>#N/A</v>
      </c>
    </row>
    <row r="29432" spans="1:1" x14ac:dyDescent="0.25">
      <c r="A29432" t="e">
        <v>#N/A</v>
      </c>
    </row>
    <row r="29433" spans="1:1" x14ac:dyDescent="0.25">
      <c r="A29433" t="e">
        <v>#N/A</v>
      </c>
    </row>
    <row r="29434" spans="1:1" x14ac:dyDescent="0.25">
      <c r="A29434" t="e">
        <v>#N/A</v>
      </c>
    </row>
    <row r="29435" spans="1:1" x14ac:dyDescent="0.25">
      <c r="A29435" t="e">
        <v>#N/A</v>
      </c>
    </row>
    <row r="29436" spans="1:1" x14ac:dyDescent="0.25">
      <c r="A29436" t="e">
        <v>#N/A</v>
      </c>
    </row>
    <row r="29437" spans="1:1" x14ac:dyDescent="0.25">
      <c r="A29437" t="e">
        <v>#N/A</v>
      </c>
    </row>
    <row r="29438" spans="1:1" x14ac:dyDescent="0.25">
      <c r="A29438" t="e">
        <v>#N/A</v>
      </c>
    </row>
    <row r="29439" spans="1:1" x14ac:dyDescent="0.25">
      <c r="A29439" t="e">
        <v>#N/A</v>
      </c>
    </row>
    <row r="29440" spans="1:1" x14ac:dyDescent="0.25">
      <c r="A29440" t="e">
        <v>#N/A</v>
      </c>
    </row>
    <row r="29441" spans="1:1" x14ac:dyDescent="0.25">
      <c r="A29441" t="e">
        <v>#N/A</v>
      </c>
    </row>
    <row r="29442" spans="1:1" x14ac:dyDescent="0.25">
      <c r="A29442" t="e">
        <v>#N/A</v>
      </c>
    </row>
    <row r="29443" spans="1:1" x14ac:dyDescent="0.25">
      <c r="A29443" t="e">
        <v>#N/A</v>
      </c>
    </row>
    <row r="29444" spans="1:1" x14ac:dyDescent="0.25">
      <c r="A29444" t="e">
        <v>#N/A</v>
      </c>
    </row>
    <row r="29445" spans="1:1" x14ac:dyDescent="0.25">
      <c r="A29445" t="e">
        <v>#N/A</v>
      </c>
    </row>
    <row r="29446" spans="1:1" x14ac:dyDescent="0.25">
      <c r="A29446" t="e">
        <v>#N/A</v>
      </c>
    </row>
    <row r="29447" spans="1:1" x14ac:dyDescent="0.25">
      <c r="A29447" t="e">
        <v>#N/A</v>
      </c>
    </row>
    <row r="29448" spans="1:1" x14ac:dyDescent="0.25">
      <c r="A29448" t="e">
        <v>#N/A</v>
      </c>
    </row>
    <row r="29449" spans="1:1" x14ac:dyDescent="0.25">
      <c r="A29449" t="e">
        <v>#N/A</v>
      </c>
    </row>
    <row r="29450" spans="1:1" x14ac:dyDescent="0.25">
      <c r="A29450" t="e">
        <v>#N/A</v>
      </c>
    </row>
    <row r="29451" spans="1:1" x14ac:dyDescent="0.25">
      <c r="A29451" t="e">
        <v>#N/A</v>
      </c>
    </row>
    <row r="29452" spans="1:1" x14ac:dyDescent="0.25">
      <c r="A29452" t="e">
        <v>#N/A</v>
      </c>
    </row>
    <row r="29453" spans="1:1" x14ac:dyDescent="0.25">
      <c r="A29453" t="e">
        <v>#N/A</v>
      </c>
    </row>
    <row r="29454" spans="1:1" x14ac:dyDescent="0.25">
      <c r="A29454" t="e">
        <v>#N/A</v>
      </c>
    </row>
    <row r="29455" spans="1:1" x14ac:dyDescent="0.25">
      <c r="A29455" t="e">
        <v>#N/A</v>
      </c>
    </row>
    <row r="29456" spans="1:1" x14ac:dyDescent="0.25">
      <c r="A29456" t="e">
        <v>#N/A</v>
      </c>
    </row>
    <row r="29457" spans="1:1" x14ac:dyDescent="0.25">
      <c r="A29457" t="e">
        <v>#N/A</v>
      </c>
    </row>
    <row r="29458" spans="1:1" x14ac:dyDescent="0.25">
      <c r="A29458" t="e">
        <v>#N/A</v>
      </c>
    </row>
    <row r="29459" spans="1:1" x14ac:dyDescent="0.25">
      <c r="A29459" t="e">
        <v>#N/A</v>
      </c>
    </row>
    <row r="29460" spans="1:1" x14ac:dyDescent="0.25">
      <c r="A29460" t="e">
        <v>#N/A</v>
      </c>
    </row>
    <row r="29461" spans="1:1" x14ac:dyDescent="0.25">
      <c r="A29461" t="e">
        <v>#N/A</v>
      </c>
    </row>
    <row r="29462" spans="1:1" x14ac:dyDescent="0.25">
      <c r="A29462" t="e">
        <v>#N/A</v>
      </c>
    </row>
    <row r="29463" spans="1:1" x14ac:dyDescent="0.25">
      <c r="A29463" t="e">
        <v>#N/A</v>
      </c>
    </row>
    <row r="29464" spans="1:1" x14ac:dyDescent="0.25">
      <c r="A29464" t="e">
        <v>#N/A</v>
      </c>
    </row>
    <row r="29465" spans="1:1" x14ac:dyDescent="0.25">
      <c r="A29465" t="e">
        <v>#N/A</v>
      </c>
    </row>
    <row r="29466" spans="1:1" x14ac:dyDescent="0.25">
      <c r="A29466" t="e">
        <v>#N/A</v>
      </c>
    </row>
    <row r="29467" spans="1:1" x14ac:dyDescent="0.25">
      <c r="A29467" t="e">
        <v>#N/A</v>
      </c>
    </row>
    <row r="29468" spans="1:1" x14ac:dyDescent="0.25">
      <c r="A29468" t="e">
        <v>#N/A</v>
      </c>
    </row>
    <row r="29469" spans="1:1" x14ac:dyDescent="0.25">
      <c r="A29469" t="e">
        <v>#N/A</v>
      </c>
    </row>
    <row r="29470" spans="1:1" x14ac:dyDescent="0.25">
      <c r="A29470" t="e">
        <v>#N/A</v>
      </c>
    </row>
    <row r="29471" spans="1:1" x14ac:dyDescent="0.25">
      <c r="A29471" t="e">
        <v>#N/A</v>
      </c>
    </row>
    <row r="29472" spans="1:1" x14ac:dyDescent="0.25">
      <c r="A29472" t="e">
        <v>#N/A</v>
      </c>
    </row>
    <row r="29473" spans="1:1" x14ac:dyDescent="0.25">
      <c r="A29473" t="e">
        <v>#N/A</v>
      </c>
    </row>
    <row r="29474" spans="1:1" x14ac:dyDescent="0.25">
      <c r="A29474" t="e">
        <v>#N/A</v>
      </c>
    </row>
    <row r="29475" spans="1:1" x14ac:dyDescent="0.25">
      <c r="A29475" t="e">
        <v>#N/A</v>
      </c>
    </row>
    <row r="29476" spans="1:1" x14ac:dyDescent="0.25">
      <c r="A29476" t="e">
        <v>#N/A</v>
      </c>
    </row>
    <row r="29477" spans="1:1" x14ac:dyDescent="0.25">
      <c r="A29477" t="e">
        <v>#N/A</v>
      </c>
    </row>
    <row r="29478" spans="1:1" x14ac:dyDescent="0.25">
      <c r="A29478" t="e">
        <v>#N/A</v>
      </c>
    </row>
    <row r="29479" spans="1:1" x14ac:dyDescent="0.25">
      <c r="A29479" t="e">
        <v>#N/A</v>
      </c>
    </row>
    <row r="29480" spans="1:1" x14ac:dyDescent="0.25">
      <c r="A29480" t="e">
        <v>#N/A</v>
      </c>
    </row>
    <row r="29481" spans="1:1" x14ac:dyDescent="0.25">
      <c r="A29481" t="e">
        <v>#N/A</v>
      </c>
    </row>
    <row r="29482" spans="1:1" x14ac:dyDescent="0.25">
      <c r="A29482" t="e">
        <v>#N/A</v>
      </c>
    </row>
    <row r="29483" spans="1:1" x14ac:dyDescent="0.25">
      <c r="A29483" t="e">
        <v>#N/A</v>
      </c>
    </row>
    <row r="29484" spans="1:1" x14ac:dyDescent="0.25">
      <c r="A29484" t="e">
        <v>#N/A</v>
      </c>
    </row>
    <row r="29485" spans="1:1" x14ac:dyDescent="0.25">
      <c r="A29485" t="e">
        <v>#N/A</v>
      </c>
    </row>
    <row r="29486" spans="1:1" x14ac:dyDescent="0.25">
      <c r="A29486" t="e">
        <v>#N/A</v>
      </c>
    </row>
    <row r="29487" spans="1:1" x14ac:dyDescent="0.25">
      <c r="A29487" t="e">
        <v>#N/A</v>
      </c>
    </row>
    <row r="29488" spans="1:1" x14ac:dyDescent="0.25">
      <c r="A29488" t="e">
        <v>#N/A</v>
      </c>
    </row>
    <row r="29489" spans="1:1" x14ac:dyDescent="0.25">
      <c r="A29489" t="e">
        <v>#N/A</v>
      </c>
    </row>
    <row r="29490" spans="1:1" x14ac:dyDescent="0.25">
      <c r="A29490" t="e">
        <v>#N/A</v>
      </c>
    </row>
    <row r="29491" spans="1:1" x14ac:dyDescent="0.25">
      <c r="A29491" t="e">
        <v>#N/A</v>
      </c>
    </row>
    <row r="29492" spans="1:1" x14ac:dyDescent="0.25">
      <c r="A29492" t="e">
        <v>#N/A</v>
      </c>
    </row>
    <row r="29493" spans="1:1" x14ac:dyDescent="0.25">
      <c r="A29493" t="e">
        <v>#N/A</v>
      </c>
    </row>
    <row r="29494" spans="1:1" x14ac:dyDescent="0.25">
      <c r="A29494" t="e">
        <v>#N/A</v>
      </c>
    </row>
    <row r="29495" spans="1:1" x14ac:dyDescent="0.25">
      <c r="A29495" t="e">
        <v>#N/A</v>
      </c>
    </row>
    <row r="29496" spans="1:1" x14ac:dyDescent="0.25">
      <c r="A29496" t="e">
        <v>#N/A</v>
      </c>
    </row>
    <row r="29497" spans="1:1" x14ac:dyDescent="0.25">
      <c r="A29497" t="e">
        <v>#N/A</v>
      </c>
    </row>
    <row r="29498" spans="1:1" x14ac:dyDescent="0.25">
      <c r="A29498" t="e">
        <v>#N/A</v>
      </c>
    </row>
    <row r="29499" spans="1:1" x14ac:dyDescent="0.25">
      <c r="A29499" t="e">
        <v>#N/A</v>
      </c>
    </row>
    <row r="29500" spans="1:1" x14ac:dyDescent="0.25">
      <c r="A29500" t="e">
        <v>#N/A</v>
      </c>
    </row>
    <row r="29501" spans="1:1" x14ac:dyDescent="0.25">
      <c r="A29501" t="e">
        <v>#N/A</v>
      </c>
    </row>
    <row r="29502" spans="1:1" x14ac:dyDescent="0.25">
      <c r="A29502" t="e">
        <v>#N/A</v>
      </c>
    </row>
    <row r="29503" spans="1:1" x14ac:dyDescent="0.25">
      <c r="A29503" t="e">
        <v>#N/A</v>
      </c>
    </row>
    <row r="29504" spans="1:1" x14ac:dyDescent="0.25">
      <c r="A29504" t="e">
        <v>#N/A</v>
      </c>
    </row>
    <row r="29505" spans="1:1" x14ac:dyDescent="0.25">
      <c r="A29505" t="e">
        <v>#N/A</v>
      </c>
    </row>
    <row r="29506" spans="1:1" x14ac:dyDescent="0.25">
      <c r="A29506" t="e">
        <v>#N/A</v>
      </c>
    </row>
    <row r="29507" spans="1:1" x14ac:dyDescent="0.25">
      <c r="A29507" t="e">
        <v>#N/A</v>
      </c>
    </row>
    <row r="29508" spans="1:1" x14ac:dyDescent="0.25">
      <c r="A29508" t="e">
        <v>#N/A</v>
      </c>
    </row>
    <row r="29509" spans="1:1" x14ac:dyDescent="0.25">
      <c r="A29509" t="e">
        <v>#N/A</v>
      </c>
    </row>
    <row r="29510" spans="1:1" x14ac:dyDescent="0.25">
      <c r="A29510" t="e">
        <v>#N/A</v>
      </c>
    </row>
    <row r="29511" spans="1:1" x14ac:dyDescent="0.25">
      <c r="A29511" t="e">
        <v>#N/A</v>
      </c>
    </row>
    <row r="29512" spans="1:1" x14ac:dyDescent="0.25">
      <c r="A29512" t="e">
        <v>#N/A</v>
      </c>
    </row>
    <row r="29513" spans="1:1" x14ac:dyDescent="0.25">
      <c r="A29513" t="e">
        <v>#N/A</v>
      </c>
    </row>
    <row r="29514" spans="1:1" x14ac:dyDescent="0.25">
      <c r="A29514" t="e">
        <v>#N/A</v>
      </c>
    </row>
    <row r="29515" spans="1:1" x14ac:dyDescent="0.25">
      <c r="A29515" t="e">
        <v>#N/A</v>
      </c>
    </row>
    <row r="29516" spans="1:1" x14ac:dyDescent="0.25">
      <c r="A29516" t="e">
        <v>#N/A</v>
      </c>
    </row>
    <row r="29517" spans="1:1" x14ac:dyDescent="0.25">
      <c r="A29517" t="e">
        <v>#N/A</v>
      </c>
    </row>
    <row r="29518" spans="1:1" x14ac:dyDescent="0.25">
      <c r="A29518" t="e">
        <v>#N/A</v>
      </c>
    </row>
    <row r="29519" spans="1:1" x14ac:dyDescent="0.25">
      <c r="A29519" t="e">
        <v>#N/A</v>
      </c>
    </row>
    <row r="29520" spans="1:1" x14ac:dyDescent="0.25">
      <c r="A29520" t="e">
        <v>#N/A</v>
      </c>
    </row>
    <row r="29521" spans="1:1" x14ac:dyDescent="0.25">
      <c r="A29521" t="e">
        <v>#N/A</v>
      </c>
    </row>
    <row r="29522" spans="1:1" x14ac:dyDescent="0.25">
      <c r="A29522" t="e">
        <v>#N/A</v>
      </c>
    </row>
    <row r="29523" spans="1:1" x14ac:dyDescent="0.25">
      <c r="A29523" t="e">
        <v>#N/A</v>
      </c>
    </row>
    <row r="29524" spans="1:1" x14ac:dyDescent="0.25">
      <c r="A29524" t="e">
        <v>#N/A</v>
      </c>
    </row>
    <row r="29525" spans="1:1" x14ac:dyDescent="0.25">
      <c r="A29525" t="e">
        <v>#N/A</v>
      </c>
    </row>
    <row r="29526" spans="1:1" x14ac:dyDescent="0.25">
      <c r="A29526" t="e">
        <v>#N/A</v>
      </c>
    </row>
    <row r="29527" spans="1:1" x14ac:dyDescent="0.25">
      <c r="A29527" t="e">
        <v>#N/A</v>
      </c>
    </row>
    <row r="29528" spans="1:1" x14ac:dyDescent="0.25">
      <c r="A29528" t="e">
        <v>#N/A</v>
      </c>
    </row>
    <row r="29529" spans="1:1" x14ac:dyDescent="0.25">
      <c r="A29529" t="e">
        <v>#N/A</v>
      </c>
    </row>
    <row r="29530" spans="1:1" x14ac:dyDescent="0.25">
      <c r="A29530" t="e">
        <v>#N/A</v>
      </c>
    </row>
    <row r="29531" spans="1:1" x14ac:dyDescent="0.25">
      <c r="A29531" t="e">
        <v>#N/A</v>
      </c>
    </row>
    <row r="29532" spans="1:1" x14ac:dyDescent="0.25">
      <c r="A29532" t="e">
        <v>#N/A</v>
      </c>
    </row>
    <row r="29533" spans="1:1" x14ac:dyDescent="0.25">
      <c r="A29533" t="e">
        <v>#N/A</v>
      </c>
    </row>
    <row r="29534" spans="1:1" x14ac:dyDescent="0.25">
      <c r="A29534" t="e">
        <v>#N/A</v>
      </c>
    </row>
    <row r="29535" spans="1:1" x14ac:dyDescent="0.25">
      <c r="A29535" t="e">
        <v>#N/A</v>
      </c>
    </row>
    <row r="29536" spans="1:1" x14ac:dyDescent="0.25">
      <c r="A29536" t="e">
        <v>#N/A</v>
      </c>
    </row>
    <row r="29537" spans="1:1" x14ac:dyDescent="0.25">
      <c r="A29537" t="e">
        <v>#N/A</v>
      </c>
    </row>
    <row r="29538" spans="1:1" x14ac:dyDescent="0.25">
      <c r="A29538" t="e">
        <v>#N/A</v>
      </c>
    </row>
    <row r="29539" spans="1:1" x14ac:dyDescent="0.25">
      <c r="A29539" t="e">
        <v>#N/A</v>
      </c>
    </row>
    <row r="29540" spans="1:1" x14ac:dyDescent="0.25">
      <c r="A29540" t="e">
        <v>#N/A</v>
      </c>
    </row>
    <row r="29541" spans="1:1" x14ac:dyDescent="0.25">
      <c r="A29541" t="e">
        <v>#N/A</v>
      </c>
    </row>
    <row r="29542" spans="1:1" x14ac:dyDescent="0.25">
      <c r="A29542" t="e">
        <v>#N/A</v>
      </c>
    </row>
    <row r="29543" spans="1:1" x14ac:dyDescent="0.25">
      <c r="A29543" t="e">
        <v>#N/A</v>
      </c>
    </row>
    <row r="29544" spans="1:1" x14ac:dyDescent="0.25">
      <c r="A29544" t="e">
        <v>#N/A</v>
      </c>
    </row>
    <row r="29545" spans="1:1" x14ac:dyDescent="0.25">
      <c r="A29545" t="e">
        <v>#N/A</v>
      </c>
    </row>
    <row r="29546" spans="1:1" x14ac:dyDescent="0.25">
      <c r="A29546" t="e">
        <v>#N/A</v>
      </c>
    </row>
    <row r="29547" spans="1:1" x14ac:dyDescent="0.25">
      <c r="A29547" t="e">
        <v>#N/A</v>
      </c>
    </row>
    <row r="29548" spans="1:1" x14ac:dyDescent="0.25">
      <c r="A29548" t="e">
        <v>#N/A</v>
      </c>
    </row>
    <row r="29549" spans="1:1" x14ac:dyDescent="0.25">
      <c r="A29549" t="e">
        <v>#N/A</v>
      </c>
    </row>
    <row r="29550" spans="1:1" x14ac:dyDescent="0.25">
      <c r="A29550" t="e">
        <v>#N/A</v>
      </c>
    </row>
    <row r="29551" spans="1:1" x14ac:dyDescent="0.25">
      <c r="A29551" t="e">
        <v>#N/A</v>
      </c>
    </row>
    <row r="29552" spans="1:1" x14ac:dyDescent="0.25">
      <c r="A29552" t="e">
        <v>#N/A</v>
      </c>
    </row>
    <row r="29553" spans="1:1" x14ac:dyDescent="0.25">
      <c r="A29553" t="e">
        <v>#N/A</v>
      </c>
    </row>
    <row r="29554" spans="1:1" x14ac:dyDescent="0.25">
      <c r="A29554" t="e">
        <v>#N/A</v>
      </c>
    </row>
    <row r="29555" spans="1:1" x14ac:dyDescent="0.25">
      <c r="A29555" t="e">
        <v>#N/A</v>
      </c>
    </row>
    <row r="29556" spans="1:1" x14ac:dyDescent="0.25">
      <c r="A29556" t="e">
        <v>#N/A</v>
      </c>
    </row>
    <row r="29557" spans="1:1" x14ac:dyDescent="0.25">
      <c r="A29557" t="e">
        <v>#N/A</v>
      </c>
    </row>
    <row r="29558" spans="1:1" x14ac:dyDescent="0.25">
      <c r="A29558" t="e">
        <v>#N/A</v>
      </c>
    </row>
    <row r="29559" spans="1:1" x14ac:dyDescent="0.25">
      <c r="A29559" t="e">
        <v>#N/A</v>
      </c>
    </row>
    <row r="29560" spans="1:1" x14ac:dyDescent="0.25">
      <c r="A29560" t="e">
        <v>#N/A</v>
      </c>
    </row>
    <row r="29561" spans="1:1" x14ac:dyDescent="0.25">
      <c r="A29561" t="e">
        <v>#N/A</v>
      </c>
    </row>
    <row r="29562" spans="1:1" x14ac:dyDescent="0.25">
      <c r="A29562" t="e">
        <v>#N/A</v>
      </c>
    </row>
    <row r="29563" spans="1:1" x14ac:dyDescent="0.25">
      <c r="A29563" t="e">
        <v>#N/A</v>
      </c>
    </row>
    <row r="29564" spans="1:1" x14ac:dyDescent="0.25">
      <c r="A29564" t="e">
        <v>#N/A</v>
      </c>
    </row>
    <row r="29565" spans="1:1" x14ac:dyDescent="0.25">
      <c r="A29565" t="e">
        <v>#N/A</v>
      </c>
    </row>
    <row r="29566" spans="1:1" x14ac:dyDescent="0.25">
      <c r="A29566" t="e">
        <v>#N/A</v>
      </c>
    </row>
    <row r="29567" spans="1:1" x14ac:dyDescent="0.25">
      <c r="A29567" t="e">
        <v>#N/A</v>
      </c>
    </row>
    <row r="29568" spans="1:1" x14ac:dyDescent="0.25">
      <c r="A29568" t="e">
        <v>#N/A</v>
      </c>
    </row>
    <row r="29569" spans="1:1" x14ac:dyDescent="0.25">
      <c r="A29569" t="e">
        <v>#N/A</v>
      </c>
    </row>
    <row r="29570" spans="1:1" x14ac:dyDescent="0.25">
      <c r="A29570" t="e">
        <v>#N/A</v>
      </c>
    </row>
    <row r="29571" spans="1:1" x14ac:dyDescent="0.25">
      <c r="A29571" t="e">
        <v>#N/A</v>
      </c>
    </row>
    <row r="29572" spans="1:1" x14ac:dyDescent="0.25">
      <c r="A29572" t="e">
        <v>#N/A</v>
      </c>
    </row>
    <row r="29573" spans="1:1" x14ac:dyDescent="0.25">
      <c r="A29573" t="e">
        <v>#N/A</v>
      </c>
    </row>
    <row r="29574" spans="1:1" x14ac:dyDescent="0.25">
      <c r="A29574" t="e">
        <v>#N/A</v>
      </c>
    </row>
    <row r="29575" spans="1:1" x14ac:dyDescent="0.25">
      <c r="A29575" t="e">
        <v>#N/A</v>
      </c>
    </row>
    <row r="29576" spans="1:1" x14ac:dyDescent="0.25">
      <c r="A29576" t="e">
        <v>#N/A</v>
      </c>
    </row>
    <row r="29577" spans="1:1" x14ac:dyDescent="0.25">
      <c r="A29577" t="e">
        <v>#N/A</v>
      </c>
    </row>
    <row r="29578" spans="1:1" x14ac:dyDescent="0.25">
      <c r="A29578" t="e">
        <v>#N/A</v>
      </c>
    </row>
    <row r="29579" spans="1:1" x14ac:dyDescent="0.25">
      <c r="A29579" t="e">
        <v>#N/A</v>
      </c>
    </row>
    <row r="29580" spans="1:1" x14ac:dyDescent="0.25">
      <c r="A29580" t="e">
        <v>#N/A</v>
      </c>
    </row>
    <row r="29581" spans="1:1" x14ac:dyDescent="0.25">
      <c r="A29581" t="e">
        <v>#N/A</v>
      </c>
    </row>
    <row r="29582" spans="1:1" x14ac:dyDescent="0.25">
      <c r="A29582" t="e">
        <v>#N/A</v>
      </c>
    </row>
    <row r="29583" spans="1:1" x14ac:dyDescent="0.25">
      <c r="A29583" t="e">
        <v>#N/A</v>
      </c>
    </row>
    <row r="29584" spans="1:1" x14ac:dyDescent="0.25">
      <c r="A29584" t="e">
        <v>#N/A</v>
      </c>
    </row>
    <row r="29585" spans="1:1" x14ac:dyDescent="0.25">
      <c r="A29585" t="e">
        <v>#N/A</v>
      </c>
    </row>
    <row r="29586" spans="1:1" x14ac:dyDescent="0.25">
      <c r="A29586" t="e">
        <v>#N/A</v>
      </c>
    </row>
    <row r="29587" spans="1:1" x14ac:dyDescent="0.25">
      <c r="A29587" t="e">
        <v>#N/A</v>
      </c>
    </row>
    <row r="29588" spans="1:1" x14ac:dyDescent="0.25">
      <c r="A29588" t="e">
        <v>#N/A</v>
      </c>
    </row>
    <row r="29589" spans="1:1" x14ac:dyDescent="0.25">
      <c r="A29589" t="e">
        <v>#N/A</v>
      </c>
    </row>
    <row r="29590" spans="1:1" x14ac:dyDescent="0.25">
      <c r="A29590" t="e">
        <v>#N/A</v>
      </c>
    </row>
    <row r="29591" spans="1:1" x14ac:dyDescent="0.25">
      <c r="A29591" t="e">
        <v>#N/A</v>
      </c>
    </row>
    <row r="29592" spans="1:1" x14ac:dyDescent="0.25">
      <c r="A29592" t="e">
        <v>#N/A</v>
      </c>
    </row>
    <row r="29593" spans="1:1" x14ac:dyDescent="0.25">
      <c r="A29593" t="e">
        <v>#N/A</v>
      </c>
    </row>
    <row r="29594" spans="1:1" x14ac:dyDescent="0.25">
      <c r="A29594" t="e">
        <v>#N/A</v>
      </c>
    </row>
    <row r="29595" spans="1:1" x14ac:dyDescent="0.25">
      <c r="A29595" t="e">
        <v>#N/A</v>
      </c>
    </row>
    <row r="29596" spans="1:1" x14ac:dyDescent="0.25">
      <c r="A29596" t="e">
        <v>#N/A</v>
      </c>
    </row>
    <row r="29597" spans="1:1" x14ac:dyDescent="0.25">
      <c r="A29597" t="e">
        <v>#N/A</v>
      </c>
    </row>
    <row r="29598" spans="1:1" x14ac:dyDescent="0.25">
      <c r="A29598" t="e">
        <v>#N/A</v>
      </c>
    </row>
    <row r="29599" spans="1:1" x14ac:dyDescent="0.25">
      <c r="A29599" t="e">
        <v>#N/A</v>
      </c>
    </row>
    <row r="29600" spans="1:1" x14ac:dyDescent="0.25">
      <c r="A29600" t="e">
        <v>#N/A</v>
      </c>
    </row>
    <row r="29601" spans="1:1" x14ac:dyDescent="0.25">
      <c r="A29601" t="e">
        <v>#N/A</v>
      </c>
    </row>
    <row r="29602" spans="1:1" x14ac:dyDescent="0.25">
      <c r="A29602" t="e">
        <v>#N/A</v>
      </c>
    </row>
    <row r="29603" spans="1:1" x14ac:dyDescent="0.25">
      <c r="A29603" t="e">
        <v>#N/A</v>
      </c>
    </row>
    <row r="29604" spans="1:1" x14ac:dyDescent="0.25">
      <c r="A29604" t="e">
        <v>#N/A</v>
      </c>
    </row>
    <row r="29605" spans="1:1" x14ac:dyDescent="0.25">
      <c r="A29605" t="e">
        <v>#N/A</v>
      </c>
    </row>
    <row r="29606" spans="1:1" x14ac:dyDescent="0.25">
      <c r="A29606" t="e">
        <v>#N/A</v>
      </c>
    </row>
    <row r="29607" spans="1:1" x14ac:dyDescent="0.25">
      <c r="A29607" t="e">
        <v>#N/A</v>
      </c>
    </row>
    <row r="29608" spans="1:1" x14ac:dyDescent="0.25">
      <c r="A29608" t="e">
        <v>#N/A</v>
      </c>
    </row>
    <row r="29609" spans="1:1" x14ac:dyDescent="0.25">
      <c r="A29609" t="e">
        <v>#N/A</v>
      </c>
    </row>
    <row r="29610" spans="1:1" x14ac:dyDescent="0.25">
      <c r="A29610" t="e">
        <v>#N/A</v>
      </c>
    </row>
    <row r="29611" spans="1:1" x14ac:dyDescent="0.25">
      <c r="A29611" t="e">
        <v>#N/A</v>
      </c>
    </row>
    <row r="29612" spans="1:1" x14ac:dyDescent="0.25">
      <c r="A29612" t="e">
        <v>#N/A</v>
      </c>
    </row>
    <row r="29613" spans="1:1" x14ac:dyDescent="0.25">
      <c r="A29613" t="e">
        <v>#N/A</v>
      </c>
    </row>
    <row r="29614" spans="1:1" x14ac:dyDescent="0.25">
      <c r="A29614" t="e">
        <v>#N/A</v>
      </c>
    </row>
    <row r="29615" spans="1:1" x14ac:dyDescent="0.25">
      <c r="A29615" t="e">
        <v>#N/A</v>
      </c>
    </row>
    <row r="29616" spans="1:1" x14ac:dyDescent="0.25">
      <c r="A29616" t="e">
        <v>#N/A</v>
      </c>
    </row>
    <row r="29617" spans="1:1" x14ac:dyDescent="0.25">
      <c r="A29617" t="e">
        <v>#N/A</v>
      </c>
    </row>
    <row r="29618" spans="1:1" x14ac:dyDescent="0.25">
      <c r="A29618" t="e">
        <v>#N/A</v>
      </c>
    </row>
    <row r="29619" spans="1:1" x14ac:dyDescent="0.25">
      <c r="A29619" t="e">
        <v>#N/A</v>
      </c>
    </row>
    <row r="29620" spans="1:1" x14ac:dyDescent="0.25">
      <c r="A29620" t="e">
        <v>#N/A</v>
      </c>
    </row>
    <row r="29621" spans="1:1" x14ac:dyDescent="0.25">
      <c r="A29621" t="e">
        <v>#N/A</v>
      </c>
    </row>
    <row r="29622" spans="1:1" x14ac:dyDescent="0.25">
      <c r="A29622" t="e">
        <v>#N/A</v>
      </c>
    </row>
    <row r="29623" spans="1:1" x14ac:dyDescent="0.25">
      <c r="A29623" t="e">
        <v>#N/A</v>
      </c>
    </row>
    <row r="29624" spans="1:1" x14ac:dyDescent="0.25">
      <c r="A29624" t="e">
        <v>#N/A</v>
      </c>
    </row>
    <row r="29625" spans="1:1" x14ac:dyDescent="0.25">
      <c r="A29625" t="e">
        <v>#N/A</v>
      </c>
    </row>
    <row r="29626" spans="1:1" x14ac:dyDescent="0.25">
      <c r="A29626" t="e">
        <v>#N/A</v>
      </c>
    </row>
    <row r="29627" spans="1:1" x14ac:dyDescent="0.25">
      <c r="A29627" t="e">
        <v>#N/A</v>
      </c>
    </row>
    <row r="29628" spans="1:1" x14ac:dyDescent="0.25">
      <c r="A29628" t="e">
        <v>#N/A</v>
      </c>
    </row>
    <row r="29629" spans="1:1" x14ac:dyDescent="0.25">
      <c r="A29629" t="e">
        <v>#N/A</v>
      </c>
    </row>
    <row r="29630" spans="1:1" x14ac:dyDescent="0.25">
      <c r="A29630" t="e">
        <v>#N/A</v>
      </c>
    </row>
    <row r="29631" spans="1:1" x14ac:dyDescent="0.25">
      <c r="A29631" t="e">
        <v>#N/A</v>
      </c>
    </row>
    <row r="29632" spans="1:1" x14ac:dyDescent="0.25">
      <c r="A29632" t="e">
        <v>#N/A</v>
      </c>
    </row>
    <row r="29633" spans="1:1" x14ac:dyDescent="0.25">
      <c r="A29633" t="e">
        <v>#N/A</v>
      </c>
    </row>
    <row r="29634" spans="1:1" x14ac:dyDescent="0.25">
      <c r="A29634" t="e">
        <v>#N/A</v>
      </c>
    </row>
    <row r="29635" spans="1:1" x14ac:dyDescent="0.25">
      <c r="A29635" t="e">
        <v>#N/A</v>
      </c>
    </row>
    <row r="29636" spans="1:1" x14ac:dyDescent="0.25">
      <c r="A29636" t="e">
        <v>#N/A</v>
      </c>
    </row>
    <row r="29637" spans="1:1" x14ac:dyDescent="0.25">
      <c r="A29637" t="e">
        <v>#N/A</v>
      </c>
    </row>
    <row r="29638" spans="1:1" x14ac:dyDescent="0.25">
      <c r="A29638" t="e">
        <v>#N/A</v>
      </c>
    </row>
    <row r="29639" spans="1:1" x14ac:dyDescent="0.25">
      <c r="A29639" t="e">
        <v>#N/A</v>
      </c>
    </row>
    <row r="29640" spans="1:1" x14ac:dyDescent="0.25">
      <c r="A29640" t="e">
        <v>#N/A</v>
      </c>
    </row>
    <row r="29641" spans="1:1" x14ac:dyDescent="0.25">
      <c r="A29641" t="e">
        <v>#N/A</v>
      </c>
    </row>
    <row r="29642" spans="1:1" x14ac:dyDescent="0.25">
      <c r="A29642" t="e">
        <v>#N/A</v>
      </c>
    </row>
    <row r="29643" spans="1:1" x14ac:dyDescent="0.25">
      <c r="A29643" t="e">
        <v>#N/A</v>
      </c>
    </row>
    <row r="29644" spans="1:1" x14ac:dyDescent="0.25">
      <c r="A29644" t="e">
        <v>#N/A</v>
      </c>
    </row>
    <row r="29645" spans="1:1" x14ac:dyDescent="0.25">
      <c r="A29645" t="e">
        <v>#N/A</v>
      </c>
    </row>
    <row r="29646" spans="1:1" x14ac:dyDescent="0.25">
      <c r="A29646" t="e">
        <v>#N/A</v>
      </c>
    </row>
    <row r="29647" spans="1:1" x14ac:dyDescent="0.25">
      <c r="A29647" t="e">
        <v>#N/A</v>
      </c>
    </row>
    <row r="29648" spans="1:1" x14ac:dyDescent="0.25">
      <c r="A29648" t="e">
        <v>#N/A</v>
      </c>
    </row>
    <row r="29649" spans="1:1" x14ac:dyDescent="0.25">
      <c r="A29649" t="e">
        <v>#N/A</v>
      </c>
    </row>
    <row r="29650" spans="1:1" x14ac:dyDescent="0.25">
      <c r="A29650" t="e">
        <v>#N/A</v>
      </c>
    </row>
    <row r="29651" spans="1:1" x14ac:dyDescent="0.25">
      <c r="A29651" t="e">
        <v>#N/A</v>
      </c>
    </row>
    <row r="29652" spans="1:1" x14ac:dyDescent="0.25">
      <c r="A29652" t="e">
        <v>#N/A</v>
      </c>
    </row>
    <row r="29653" spans="1:1" x14ac:dyDescent="0.25">
      <c r="A29653" t="e">
        <v>#N/A</v>
      </c>
    </row>
    <row r="29654" spans="1:1" x14ac:dyDescent="0.25">
      <c r="A29654" t="e">
        <v>#N/A</v>
      </c>
    </row>
    <row r="29655" spans="1:1" x14ac:dyDescent="0.25">
      <c r="A29655" t="e">
        <v>#N/A</v>
      </c>
    </row>
    <row r="29656" spans="1:1" x14ac:dyDescent="0.25">
      <c r="A29656" t="e">
        <v>#N/A</v>
      </c>
    </row>
    <row r="29657" spans="1:1" x14ac:dyDescent="0.25">
      <c r="A29657" t="e">
        <v>#N/A</v>
      </c>
    </row>
    <row r="29658" spans="1:1" x14ac:dyDescent="0.25">
      <c r="A29658" t="e">
        <v>#N/A</v>
      </c>
    </row>
    <row r="29659" spans="1:1" x14ac:dyDescent="0.25">
      <c r="A29659" t="e">
        <v>#N/A</v>
      </c>
    </row>
    <row r="29660" spans="1:1" x14ac:dyDescent="0.25">
      <c r="A29660" t="e">
        <v>#N/A</v>
      </c>
    </row>
    <row r="29661" spans="1:1" x14ac:dyDescent="0.25">
      <c r="A29661" t="e">
        <v>#N/A</v>
      </c>
    </row>
    <row r="29662" spans="1:1" x14ac:dyDescent="0.25">
      <c r="A29662" t="e">
        <v>#N/A</v>
      </c>
    </row>
    <row r="29663" spans="1:1" x14ac:dyDescent="0.25">
      <c r="A29663" t="e">
        <v>#N/A</v>
      </c>
    </row>
    <row r="29664" spans="1:1" x14ac:dyDescent="0.25">
      <c r="A29664" t="e">
        <v>#N/A</v>
      </c>
    </row>
    <row r="29665" spans="1:1" x14ac:dyDescent="0.25">
      <c r="A29665" t="e">
        <v>#N/A</v>
      </c>
    </row>
    <row r="29666" spans="1:1" x14ac:dyDescent="0.25">
      <c r="A29666" t="e">
        <v>#N/A</v>
      </c>
    </row>
    <row r="29667" spans="1:1" x14ac:dyDescent="0.25">
      <c r="A29667" t="e">
        <v>#N/A</v>
      </c>
    </row>
    <row r="29668" spans="1:1" x14ac:dyDescent="0.25">
      <c r="A29668" t="e">
        <v>#N/A</v>
      </c>
    </row>
    <row r="29669" spans="1:1" x14ac:dyDescent="0.25">
      <c r="A29669" t="e">
        <v>#N/A</v>
      </c>
    </row>
    <row r="29670" spans="1:1" x14ac:dyDescent="0.25">
      <c r="A29670" t="e">
        <v>#N/A</v>
      </c>
    </row>
    <row r="29671" spans="1:1" x14ac:dyDescent="0.25">
      <c r="A29671" t="e">
        <v>#N/A</v>
      </c>
    </row>
    <row r="29672" spans="1:1" x14ac:dyDescent="0.25">
      <c r="A29672" t="e">
        <v>#N/A</v>
      </c>
    </row>
    <row r="29673" spans="1:1" x14ac:dyDescent="0.25">
      <c r="A29673" t="e">
        <v>#N/A</v>
      </c>
    </row>
    <row r="29674" spans="1:1" x14ac:dyDescent="0.25">
      <c r="A29674" t="e">
        <v>#N/A</v>
      </c>
    </row>
    <row r="29675" spans="1:1" x14ac:dyDescent="0.25">
      <c r="A29675" t="e">
        <v>#N/A</v>
      </c>
    </row>
    <row r="29676" spans="1:1" x14ac:dyDescent="0.25">
      <c r="A29676" t="e">
        <v>#N/A</v>
      </c>
    </row>
    <row r="29677" spans="1:1" x14ac:dyDescent="0.25">
      <c r="A29677" t="e">
        <v>#N/A</v>
      </c>
    </row>
    <row r="29678" spans="1:1" x14ac:dyDescent="0.25">
      <c r="A29678" t="e">
        <v>#N/A</v>
      </c>
    </row>
    <row r="29679" spans="1:1" x14ac:dyDescent="0.25">
      <c r="A29679" t="e">
        <v>#N/A</v>
      </c>
    </row>
    <row r="29680" spans="1:1" x14ac:dyDescent="0.25">
      <c r="A29680" t="e">
        <v>#N/A</v>
      </c>
    </row>
    <row r="29681" spans="1:1" x14ac:dyDescent="0.25">
      <c r="A29681" t="e">
        <v>#N/A</v>
      </c>
    </row>
    <row r="29682" spans="1:1" x14ac:dyDescent="0.25">
      <c r="A29682" t="e">
        <v>#N/A</v>
      </c>
    </row>
    <row r="29683" spans="1:1" x14ac:dyDescent="0.25">
      <c r="A29683" t="e">
        <v>#N/A</v>
      </c>
    </row>
    <row r="29684" spans="1:1" x14ac:dyDescent="0.25">
      <c r="A29684" t="e">
        <v>#N/A</v>
      </c>
    </row>
    <row r="29685" spans="1:1" x14ac:dyDescent="0.25">
      <c r="A29685" t="e">
        <v>#N/A</v>
      </c>
    </row>
    <row r="29686" spans="1:1" x14ac:dyDescent="0.25">
      <c r="A29686" t="e">
        <v>#N/A</v>
      </c>
    </row>
    <row r="29687" spans="1:1" x14ac:dyDescent="0.25">
      <c r="A29687" t="e">
        <v>#N/A</v>
      </c>
    </row>
    <row r="29688" spans="1:1" x14ac:dyDescent="0.25">
      <c r="A29688" t="e">
        <v>#N/A</v>
      </c>
    </row>
    <row r="29689" spans="1:1" x14ac:dyDescent="0.25">
      <c r="A29689" t="e">
        <v>#N/A</v>
      </c>
    </row>
    <row r="29690" spans="1:1" x14ac:dyDescent="0.25">
      <c r="A29690" t="e">
        <v>#N/A</v>
      </c>
    </row>
    <row r="29691" spans="1:1" x14ac:dyDescent="0.25">
      <c r="A29691" t="e">
        <v>#N/A</v>
      </c>
    </row>
    <row r="29692" spans="1:1" x14ac:dyDescent="0.25">
      <c r="A29692" t="e">
        <v>#N/A</v>
      </c>
    </row>
    <row r="29693" spans="1:1" x14ac:dyDescent="0.25">
      <c r="A29693" t="e">
        <v>#N/A</v>
      </c>
    </row>
    <row r="29694" spans="1:1" x14ac:dyDescent="0.25">
      <c r="A29694" t="e">
        <v>#N/A</v>
      </c>
    </row>
    <row r="29695" spans="1:1" x14ac:dyDescent="0.25">
      <c r="A29695" t="e">
        <v>#N/A</v>
      </c>
    </row>
    <row r="29696" spans="1:1" x14ac:dyDescent="0.25">
      <c r="A29696" t="e">
        <v>#N/A</v>
      </c>
    </row>
    <row r="29697" spans="1:1" x14ac:dyDescent="0.25">
      <c r="A29697" t="e">
        <v>#N/A</v>
      </c>
    </row>
    <row r="29698" spans="1:1" x14ac:dyDescent="0.25">
      <c r="A29698" t="e">
        <v>#N/A</v>
      </c>
    </row>
    <row r="29699" spans="1:1" x14ac:dyDescent="0.25">
      <c r="A29699" t="e">
        <v>#N/A</v>
      </c>
    </row>
    <row r="29700" spans="1:1" x14ac:dyDescent="0.25">
      <c r="A29700" t="e">
        <v>#N/A</v>
      </c>
    </row>
    <row r="29701" spans="1:1" x14ac:dyDescent="0.25">
      <c r="A29701" t="e">
        <v>#N/A</v>
      </c>
    </row>
    <row r="29702" spans="1:1" x14ac:dyDescent="0.25">
      <c r="A29702" t="e">
        <v>#N/A</v>
      </c>
    </row>
    <row r="29703" spans="1:1" x14ac:dyDescent="0.25">
      <c r="A29703" t="e">
        <v>#N/A</v>
      </c>
    </row>
    <row r="29704" spans="1:1" x14ac:dyDescent="0.25">
      <c r="A29704" t="e">
        <v>#N/A</v>
      </c>
    </row>
    <row r="29705" spans="1:1" x14ac:dyDescent="0.25">
      <c r="A29705" t="e">
        <v>#N/A</v>
      </c>
    </row>
    <row r="29706" spans="1:1" x14ac:dyDescent="0.25">
      <c r="A29706" t="e">
        <v>#N/A</v>
      </c>
    </row>
    <row r="29707" spans="1:1" x14ac:dyDescent="0.25">
      <c r="A29707" t="e">
        <v>#N/A</v>
      </c>
    </row>
    <row r="29708" spans="1:1" x14ac:dyDescent="0.25">
      <c r="A29708" t="e">
        <v>#N/A</v>
      </c>
    </row>
    <row r="29709" spans="1:1" x14ac:dyDescent="0.25">
      <c r="A29709" t="e">
        <v>#N/A</v>
      </c>
    </row>
    <row r="29710" spans="1:1" x14ac:dyDescent="0.25">
      <c r="A29710" t="e">
        <v>#N/A</v>
      </c>
    </row>
    <row r="29711" spans="1:1" x14ac:dyDescent="0.25">
      <c r="A29711" t="e">
        <v>#N/A</v>
      </c>
    </row>
    <row r="29712" spans="1:1" x14ac:dyDescent="0.25">
      <c r="A29712" t="e">
        <v>#N/A</v>
      </c>
    </row>
    <row r="29713" spans="1:1" x14ac:dyDescent="0.25">
      <c r="A29713" t="e">
        <v>#N/A</v>
      </c>
    </row>
    <row r="29714" spans="1:1" x14ac:dyDescent="0.25">
      <c r="A29714" t="e">
        <v>#N/A</v>
      </c>
    </row>
    <row r="29715" spans="1:1" x14ac:dyDescent="0.25">
      <c r="A29715" t="e">
        <v>#N/A</v>
      </c>
    </row>
    <row r="29716" spans="1:1" x14ac:dyDescent="0.25">
      <c r="A29716" t="e">
        <v>#N/A</v>
      </c>
    </row>
    <row r="29717" spans="1:1" x14ac:dyDescent="0.25">
      <c r="A29717" t="e">
        <v>#N/A</v>
      </c>
    </row>
    <row r="29718" spans="1:1" x14ac:dyDescent="0.25">
      <c r="A29718" t="e">
        <v>#N/A</v>
      </c>
    </row>
    <row r="29719" spans="1:1" x14ac:dyDescent="0.25">
      <c r="A29719" t="e">
        <v>#N/A</v>
      </c>
    </row>
    <row r="29720" spans="1:1" x14ac:dyDescent="0.25">
      <c r="A29720" t="e">
        <v>#N/A</v>
      </c>
    </row>
    <row r="29721" spans="1:1" x14ac:dyDescent="0.25">
      <c r="A29721" t="e">
        <v>#N/A</v>
      </c>
    </row>
    <row r="29722" spans="1:1" x14ac:dyDescent="0.25">
      <c r="A29722" t="e">
        <v>#N/A</v>
      </c>
    </row>
    <row r="29723" spans="1:1" x14ac:dyDescent="0.25">
      <c r="A29723" t="e">
        <v>#N/A</v>
      </c>
    </row>
    <row r="29724" spans="1:1" x14ac:dyDescent="0.25">
      <c r="A29724" t="e">
        <v>#N/A</v>
      </c>
    </row>
    <row r="29725" spans="1:1" x14ac:dyDescent="0.25">
      <c r="A29725" t="e">
        <v>#N/A</v>
      </c>
    </row>
    <row r="29726" spans="1:1" x14ac:dyDescent="0.25">
      <c r="A29726" t="e">
        <v>#N/A</v>
      </c>
    </row>
    <row r="29727" spans="1:1" x14ac:dyDescent="0.25">
      <c r="A29727" t="e">
        <v>#N/A</v>
      </c>
    </row>
    <row r="29728" spans="1:1" x14ac:dyDescent="0.25">
      <c r="A29728" t="e">
        <v>#N/A</v>
      </c>
    </row>
    <row r="29729" spans="1:1" x14ac:dyDescent="0.25">
      <c r="A29729" t="e">
        <v>#N/A</v>
      </c>
    </row>
    <row r="29730" spans="1:1" x14ac:dyDescent="0.25">
      <c r="A29730" t="e">
        <v>#N/A</v>
      </c>
    </row>
    <row r="29731" spans="1:1" x14ac:dyDescent="0.25">
      <c r="A29731" t="e">
        <v>#N/A</v>
      </c>
    </row>
    <row r="29732" spans="1:1" x14ac:dyDescent="0.25">
      <c r="A29732" t="e">
        <v>#N/A</v>
      </c>
    </row>
    <row r="29733" spans="1:1" x14ac:dyDescent="0.25">
      <c r="A29733" t="e">
        <v>#N/A</v>
      </c>
    </row>
    <row r="29734" spans="1:1" x14ac:dyDescent="0.25">
      <c r="A29734" t="e">
        <v>#N/A</v>
      </c>
    </row>
    <row r="29735" spans="1:1" x14ac:dyDescent="0.25">
      <c r="A29735" t="e">
        <v>#N/A</v>
      </c>
    </row>
    <row r="29736" spans="1:1" x14ac:dyDescent="0.25">
      <c r="A29736" t="e">
        <v>#N/A</v>
      </c>
    </row>
    <row r="29737" spans="1:1" x14ac:dyDescent="0.25">
      <c r="A29737" t="e">
        <v>#N/A</v>
      </c>
    </row>
    <row r="29738" spans="1:1" x14ac:dyDescent="0.25">
      <c r="A29738" t="e">
        <v>#N/A</v>
      </c>
    </row>
    <row r="29739" spans="1:1" x14ac:dyDescent="0.25">
      <c r="A29739" t="e">
        <v>#N/A</v>
      </c>
    </row>
    <row r="29740" spans="1:1" x14ac:dyDescent="0.25">
      <c r="A29740" t="e">
        <v>#N/A</v>
      </c>
    </row>
    <row r="29741" spans="1:1" x14ac:dyDescent="0.25">
      <c r="A29741" t="e">
        <v>#N/A</v>
      </c>
    </row>
    <row r="29742" spans="1:1" x14ac:dyDescent="0.25">
      <c r="A29742" t="e">
        <v>#N/A</v>
      </c>
    </row>
    <row r="29743" spans="1:1" x14ac:dyDescent="0.25">
      <c r="A29743" t="e">
        <v>#N/A</v>
      </c>
    </row>
    <row r="29744" spans="1:1" x14ac:dyDescent="0.25">
      <c r="A29744" t="e">
        <v>#N/A</v>
      </c>
    </row>
    <row r="29745" spans="1:1" x14ac:dyDescent="0.25">
      <c r="A29745" t="e">
        <v>#N/A</v>
      </c>
    </row>
    <row r="29746" spans="1:1" x14ac:dyDescent="0.25">
      <c r="A29746" t="e">
        <v>#N/A</v>
      </c>
    </row>
    <row r="29747" spans="1:1" x14ac:dyDescent="0.25">
      <c r="A29747" t="e">
        <v>#N/A</v>
      </c>
    </row>
    <row r="29748" spans="1:1" x14ac:dyDescent="0.25">
      <c r="A29748" t="e">
        <v>#N/A</v>
      </c>
    </row>
    <row r="29749" spans="1:1" x14ac:dyDescent="0.25">
      <c r="A29749" t="e">
        <v>#N/A</v>
      </c>
    </row>
    <row r="29750" spans="1:1" x14ac:dyDescent="0.25">
      <c r="A29750" t="e">
        <v>#N/A</v>
      </c>
    </row>
    <row r="29751" spans="1:1" x14ac:dyDescent="0.25">
      <c r="A29751" t="e">
        <v>#N/A</v>
      </c>
    </row>
    <row r="29752" spans="1:1" x14ac:dyDescent="0.25">
      <c r="A29752" t="e">
        <v>#N/A</v>
      </c>
    </row>
    <row r="29753" spans="1:1" x14ac:dyDescent="0.25">
      <c r="A29753" t="e">
        <v>#N/A</v>
      </c>
    </row>
    <row r="29754" spans="1:1" x14ac:dyDescent="0.25">
      <c r="A29754" t="e">
        <v>#N/A</v>
      </c>
    </row>
    <row r="29755" spans="1:1" x14ac:dyDescent="0.25">
      <c r="A29755" t="e">
        <v>#N/A</v>
      </c>
    </row>
    <row r="29756" spans="1:1" x14ac:dyDescent="0.25">
      <c r="A29756" t="e">
        <v>#N/A</v>
      </c>
    </row>
    <row r="29757" spans="1:1" x14ac:dyDescent="0.25">
      <c r="A29757" t="e">
        <v>#N/A</v>
      </c>
    </row>
    <row r="29758" spans="1:1" x14ac:dyDescent="0.25">
      <c r="A29758" t="e">
        <v>#N/A</v>
      </c>
    </row>
    <row r="29759" spans="1:1" x14ac:dyDescent="0.25">
      <c r="A29759" t="e">
        <v>#N/A</v>
      </c>
    </row>
    <row r="29760" spans="1:1" x14ac:dyDescent="0.25">
      <c r="A29760" t="e">
        <v>#N/A</v>
      </c>
    </row>
    <row r="29761" spans="1:1" x14ac:dyDescent="0.25">
      <c r="A29761" t="e">
        <v>#N/A</v>
      </c>
    </row>
    <row r="29762" spans="1:1" x14ac:dyDescent="0.25">
      <c r="A29762" t="e">
        <v>#N/A</v>
      </c>
    </row>
    <row r="29763" spans="1:1" x14ac:dyDescent="0.25">
      <c r="A29763" t="e">
        <v>#N/A</v>
      </c>
    </row>
    <row r="29764" spans="1:1" x14ac:dyDescent="0.25">
      <c r="A29764" t="e">
        <v>#N/A</v>
      </c>
    </row>
    <row r="29765" spans="1:1" x14ac:dyDescent="0.25">
      <c r="A29765" t="e">
        <v>#N/A</v>
      </c>
    </row>
    <row r="29766" spans="1:1" x14ac:dyDescent="0.25">
      <c r="A29766" t="e">
        <v>#N/A</v>
      </c>
    </row>
    <row r="29767" spans="1:1" x14ac:dyDescent="0.25">
      <c r="A29767" t="e">
        <v>#N/A</v>
      </c>
    </row>
    <row r="29768" spans="1:1" x14ac:dyDescent="0.25">
      <c r="A29768" t="e">
        <v>#N/A</v>
      </c>
    </row>
    <row r="29769" spans="1:1" x14ac:dyDescent="0.25">
      <c r="A29769" t="e">
        <v>#N/A</v>
      </c>
    </row>
    <row r="29770" spans="1:1" x14ac:dyDescent="0.25">
      <c r="A29770" t="e">
        <v>#N/A</v>
      </c>
    </row>
    <row r="29771" spans="1:1" x14ac:dyDescent="0.25">
      <c r="A29771" t="e">
        <v>#N/A</v>
      </c>
    </row>
    <row r="29772" spans="1:1" x14ac:dyDescent="0.25">
      <c r="A29772" t="e">
        <v>#N/A</v>
      </c>
    </row>
    <row r="29773" spans="1:1" x14ac:dyDescent="0.25">
      <c r="A29773" t="e">
        <v>#N/A</v>
      </c>
    </row>
    <row r="29774" spans="1:1" x14ac:dyDescent="0.25">
      <c r="A29774" t="e">
        <v>#N/A</v>
      </c>
    </row>
    <row r="29775" spans="1:1" x14ac:dyDescent="0.25">
      <c r="A29775" t="e">
        <v>#N/A</v>
      </c>
    </row>
    <row r="29776" spans="1:1" x14ac:dyDescent="0.25">
      <c r="A29776" t="e">
        <v>#N/A</v>
      </c>
    </row>
    <row r="29777" spans="1:1" x14ac:dyDescent="0.25">
      <c r="A29777" t="e">
        <v>#N/A</v>
      </c>
    </row>
    <row r="29778" spans="1:1" x14ac:dyDescent="0.25">
      <c r="A29778" t="e">
        <v>#N/A</v>
      </c>
    </row>
    <row r="29779" spans="1:1" x14ac:dyDescent="0.25">
      <c r="A29779" t="e">
        <v>#N/A</v>
      </c>
    </row>
    <row r="29780" spans="1:1" x14ac:dyDescent="0.25">
      <c r="A29780" t="e">
        <v>#N/A</v>
      </c>
    </row>
    <row r="29781" spans="1:1" x14ac:dyDescent="0.25">
      <c r="A29781" t="e">
        <v>#N/A</v>
      </c>
    </row>
    <row r="29782" spans="1:1" x14ac:dyDescent="0.25">
      <c r="A29782" t="e">
        <v>#N/A</v>
      </c>
    </row>
    <row r="29783" spans="1:1" x14ac:dyDescent="0.25">
      <c r="A29783" t="e">
        <v>#N/A</v>
      </c>
    </row>
    <row r="29784" spans="1:1" x14ac:dyDescent="0.25">
      <c r="A29784" t="e">
        <v>#N/A</v>
      </c>
    </row>
    <row r="29785" spans="1:1" x14ac:dyDescent="0.25">
      <c r="A29785" t="e">
        <v>#N/A</v>
      </c>
    </row>
    <row r="29786" spans="1:1" x14ac:dyDescent="0.25">
      <c r="A29786" t="e">
        <v>#N/A</v>
      </c>
    </row>
    <row r="29787" spans="1:1" x14ac:dyDescent="0.25">
      <c r="A29787" t="e">
        <v>#N/A</v>
      </c>
    </row>
    <row r="29788" spans="1:1" x14ac:dyDescent="0.25">
      <c r="A29788" t="e">
        <v>#N/A</v>
      </c>
    </row>
    <row r="29789" spans="1:1" x14ac:dyDescent="0.25">
      <c r="A29789" t="e">
        <v>#N/A</v>
      </c>
    </row>
    <row r="29790" spans="1:1" x14ac:dyDescent="0.25">
      <c r="A29790" t="e">
        <v>#N/A</v>
      </c>
    </row>
    <row r="29791" spans="1:1" x14ac:dyDescent="0.25">
      <c r="A29791" t="e">
        <v>#N/A</v>
      </c>
    </row>
    <row r="29792" spans="1:1" x14ac:dyDescent="0.25">
      <c r="A29792" t="e">
        <v>#N/A</v>
      </c>
    </row>
    <row r="29793" spans="1:1" x14ac:dyDescent="0.25">
      <c r="A29793" t="e">
        <v>#N/A</v>
      </c>
    </row>
    <row r="29794" spans="1:1" x14ac:dyDescent="0.25">
      <c r="A29794" t="e">
        <v>#N/A</v>
      </c>
    </row>
    <row r="29795" spans="1:1" x14ac:dyDescent="0.25">
      <c r="A29795" t="e">
        <v>#N/A</v>
      </c>
    </row>
    <row r="29796" spans="1:1" x14ac:dyDescent="0.25">
      <c r="A29796" t="e">
        <v>#N/A</v>
      </c>
    </row>
    <row r="29797" spans="1:1" x14ac:dyDescent="0.25">
      <c r="A29797" t="e">
        <v>#N/A</v>
      </c>
    </row>
    <row r="29798" spans="1:1" x14ac:dyDescent="0.25">
      <c r="A29798" t="e">
        <v>#N/A</v>
      </c>
    </row>
    <row r="29799" spans="1:1" x14ac:dyDescent="0.25">
      <c r="A29799" t="e">
        <v>#N/A</v>
      </c>
    </row>
    <row r="29800" spans="1:1" x14ac:dyDescent="0.25">
      <c r="A29800" t="e">
        <v>#N/A</v>
      </c>
    </row>
    <row r="29801" spans="1:1" x14ac:dyDescent="0.25">
      <c r="A29801" t="e">
        <v>#N/A</v>
      </c>
    </row>
    <row r="29802" spans="1:1" x14ac:dyDescent="0.25">
      <c r="A29802" t="e">
        <v>#N/A</v>
      </c>
    </row>
    <row r="29803" spans="1:1" x14ac:dyDescent="0.25">
      <c r="A29803" t="e">
        <v>#N/A</v>
      </c>
    </row>
    <row r="29804" spans="1:1" x14ac:dyDescent="0.25">
      <c r="A29804" t="e">
        <v>#N/A</v>
      </c>
    </row>
    <row r="29805" spans="1:1" x14ac:dyDescent="0.25">
      <c r="A29805" t="e">
        <v>#N/A</v>
      </c>
    </row>
    <row r="29806" spans="1:1" x14ac:dyDescent="0.25">
      <c r="A29806" t="e">
        <v>#N/A</v>
      </c>
    </row>
    <row r="29807" spans="1:1" x14ac:dyDescent="0.25">
      <c r="A29807" t="e">
        <v>#N/A</v>
      </c>
    </row>
    <row r="29808" spans="1:1" x14ac:dyDescent="0.25">
      <c r="A29808" t="e">
        <v>#N/A</v>
      </c>
    </row>
    <row r="29809" spans="1:1" x14ac:dyDescent="0.25">
      <c r="A29809" t="e">
        <v>#N/A</v>
      </c>
    </row>
    <row r="29810" spans="1:1" x14ac:dyDescent="0.25">
      <c r="A29810" t="e">
        <v>#N/A</v>
      </c>
    </row>
    <row r="29811" spans="1:1" x14ac:dyDescent="0.25">
      <c r="A29811" t="e">
        <v>#N/A</v>
      </c>
    </row>
    <row r="29812" spans="1:1" x14ac:dyDescent="0.25">
      <c r="A29812" t="e">
        <v>#N/A</v>
      </c>
    </row>
    <row r="29813" spans="1:1" x14ac:dyDescent="0.25">
      <c r="A29813" t="e">
        <v>#N/A</v>
      </c>
    </row>
    <row r="29814" spans="1:1" x14ac:dyDescent="0.25">
      <c r="A29814" t="e">
        <v>#N/A</v>
      </c>
    </row>
    <row r="29815" spans="1:1" x14ac:dyDescent="0.25">
      <c r="A29815" t="e">
        <v>#N/A</v>
      </c>
    </row>
    <row r="29816" spans="1:1" x14ac:dyDescent="0.25">
      <c r="A29816" t="e">
        <v>#N/A</v>
      </c>
    </row>
    <row r="29817" spans="1:1" x14ac:dyDescent="0.25">
      <c r="A29817" t="e">
        <v>#N/A</v>
      </c>
    </row>
    <row r="29818" spans="1:1" x14ac:dyDescent="0.25">
      <c r="A29818" t="e">
        <v>#N/A</v>
      </c>
    </row>
    <row r="29819" spans="1:1" x14ac:dyDescent="0.25">
      <c r="A29819" t="e">
        <v>#N/A</v>
      </c>
    </row>
    <row r="29820" spans="1:1" x14ac:dyDescent="0.25">
      <c r="A29820" t="e">
        <v>#N/A</v>
      </c>
    </row>
    <row r="29821" spans="1:1" x14ac:dyDescent="0.25">
      <c r="A29821" t="e">
        <v>#N/A</v>
      </c>
    </row>
    <row r="29822" spans="1:1" x14ac:dyDescent="0.25">
      <c r="A29822" t="e">
        <v>#N/A</v>
      </c>
    </row>
    <row r="29823" spans="1:1" x14ac:dyDescent="0.25">
      <c r="A29823" t="e">
        <v>#N/A</v>
      </c>
    </row>
    <row r="29824" spans="1:1" x14ac:dyDescent="0.25">
      <c r="A29824" t="e">
        <v>#N/A</v>
      </c>
    </row>
    <row r="29825" spans="1:1" x14ac:dyDescent="0.25">
      <c r="A29825" t="e">
        <v>#N/A</v>
      </c>
    </row>
    <row r="29826" spans="1:1" x14ac:dyDescent="0.25">
      <c r="A29826" t="e">
        <v>#N/A</v>
      </c>
    </row>
    <row r="29827" spans="1:1" x14ac:dyDescent="0.25">
      <c r="A29827" t="e">
        <v>#N/A</v>
      </c>
    </row>
    <row r="29828" spans="1:1" x14ac:dyDescent="0.25">
      <c r="A29828" t="e">
        <v>#N/A</v>
      </c>
    </row>
    <row r="29829" spans="1:1" x14ac:dyDescent="0.25">
      <c r="A29829" t="e">
        <v>#N/A</v>
      </c>
    </row>
    <row r="29830" spans="1:1" x14ac:dyDescent="0.25">
      <c r="A29830" t="e">
        <v>#N/A</v>
      </c>
    </row>
    <row r="29831" spans="1:1" x14ac:dyDescent="0.25">
      <c r="A29831" t="e">
        <v>#N/A</v>
      </c>
    </row>
    <row r="29832" spans="1:1" x14ac:dyDescent="0.25">
      <c r="A29832" t="e">
        <v>#N/A</v>
      </c>
    </row>
    <row r="29833" spans="1:1" x14ac:dyDescent="0.25">
      <c r="A29833" t="e">
        <v>#N/A</v>
      </c>
    </row>
    <row r="29834" spans="1:1" x14ac:dyDescent="0.25">
      <c r="A29834" t="e">
        <v>#N/A</v>
      </c>
    </row>
    <row r="29835" spans="1:1" x14ac:dyDescent="0.25">
      <c r="A29835" t="e">
        <v>#N/A</v>
      </c>
    </row>
    <row r="29836" spans="1:1" x14ac:dyDescent="0.25">
      <c r="A29836" t="e">
        <v>#N/A</v>
      </c>
    </row>
    <row r="29837" spans="1:1" x14ac:dyDescent="0.25">
      <c r="A29837" t="e">
        <v>#N/A</v>
      </c>
    </row>
    <row r="29838" spans="1:1" x14ac:dyDescent="0.25">
      <c r="A29838" t="e">
        <v>#N/A</v>
      </c>
    </row>
    <row r="29839" spans="1:1" x14ac:dyDescent="0.25">
      <c r="A29839" t="e">
        <v>#N/A</v>
      </c>
    </row>
    <row r="29840" spans="1:1" x14ac:dyDescent="0.25">
      <c r="A29840" t="e">
        <v>#N/A</v>
      </c>
    </row>
    <row r="29841" spans="1:1" x14ac:dyDescent="0.25">
      <c r="A29841" t="e">
        <v>#N/A</v>
      </c>
    </row>
    <row r="29842" spans="1:1" x14ac:dyDescent="0.25">
      <c r="A29842" t="e">
        <v>#N/A</v>
      </c>
    </row>
    <row r="29843" spans="1:1" x14ac:dyDescent="0.25">
      <c r="A29843" t="e">
        <v>#N/A</v>
      </c>
    </row>
    <row r="29844" spans="1:1" x14ac:dyDescent="0.25">
      <c r="A29844" t="e">
        <v>#N/A</v>
      </c>
    </row>
    <row r="29845" spans="1:1" x14ac:dyDescent="0.25">
      <c r="A29845" t="e">
        <v>#N/A</v>
      </c>
    </row>
    <row r="29846" spans="1:1" x14ac:dyDescent="0.25">
      <c r="A29846" t="e">
        <v>#N/A</v>
      </c>
    </row>
    <row r="29847" spans="1:1" x14ac:dyDescent="0.25">
      <c r="A29847" t="e">
        <v>#N/A</v>
      </c>
    </row>
    <row r="29848" spans="1:1" x14ac:dyDescent="0.25">
      <c r="A29848" t="e">
        <v>#N/A</v>
      </c>
    </row>
    <row r="29849" spans="1:1" x14ac:dyDescent="0.25">
      <c r="A29849" t="e">
        <v>#N/A</v>
      </c>
    </row>
    <row r="29850" spans="1:1" x14ac:dyDescent="0.25">
      <c r="A29850" t="e">
        <v>#N/A</v>
      </c>
    </row>
    <row r="29851" spans="1:1" x14ac:dyDescent="0.25">
      <c r="A29851" t="e">
        <v>#N/A</v>
      </c>
    </row>
    <row r="29852" spans="1:1" x14ac:dyDescent="0.25">
      <c r="A29852" t="e">
        <v>#N/A</v>
      </c>
    </row>
    <row r="29853" spans="1:1" x14ac:dyDescent="0.25">
      <c r="A29853" t="e">
        <v>#N/A</v>
      </c>
    </row>
    <row r="29854" spans="1:1" x14ac:dyDescent="0.25">
      <c r="A29854" t="e">
        <v>#N/A</v>
      </c>
    </row>
    <row r="29855" spans="1:1" x14ac:dyDescent="0.25">
      <c r="A29855" t="e">
        <v>#N/A</v>
      </c>
    </row>
    <row r="29856" spans="1:1" x14ac:dyDescent="0.25">
      <c r="A29856" t="e">
        <v>#N/A</v>
      </c>
    </row>
    <row r="29857" spans="1:1" x14ac:dyDescent="0.25">
      <c r="A29857" t="e">
        <v>#N/A</v>
      </c>
    </row>
    <row r="29858" spans="1:1" x14ac:dyDescent="0.25">
      <c r="A29858" t="e">
        <v>#N/A</v>
      </c>
    </row>
    <row r="29859" spans="1:1" x14ac:dyDescent="0.25">
      <c r="A29859" t="e">
        <v>#N/A</v>
      </c>
    </row>
    <row r="29860" spans="1:1" x14ac:dyDescent="0.25">
      <c r="A29860" t="e">
        <v>#N/A</v>
      </c>
    </row>
    <row r="29861" spans="1:1" x14ac:dyDescent="0.25">
      <c r="A29861" t="e">
        <v>#N/A</v>
      </c>
    </row>
    <row r="29862" spans="1:1" x14ac:dyDescent="0.25">
      <c r="A29862" t="e">
        <v>#N/A</v>
      </c>
    </row>
    <row r="29863" spans="1:1" x14ac:dyDescent="0.25">
      <c r="A29863" t="e">
        <v>#N/A</v>
      </c>
    </row>
    <row r="29864" spans="1:1" x14ac:dyDescent="0.25">
      <c r="A29864" t="e">
        <v>#N/A</v>
      </c>
    </row>
    <row r="29865" spans="1:1" x14ac:dyDescent="0.25">
      <c r="A29865" t="e">
        <v>#N/A</v>
      </c>
    </row>
    <row r="29866" spans="1:1" x14ac:dyDescent="0.25">
      <c r="A29866" t="e">
        <v>#N/A</v>
      </c>
    </row>
    <row r="29867" spans="1:1" x14ac:dyDescent="0.25">
      <c r="A29867" t="e">
        <v>#N/A</v>
      </c>
    </row>
    <row r="29868" spans="1:1" x14ac:dyDescent="0.25">
      <c r="A29868" t="e">
        <v>#N/A</v>
      </c>
    </row>
    <row r="29869" spans="1:1" x14ac:dyDescent="0.25">
      <c r="A29869" t="e">
        <v>#N/A</v>
      </c>
    </row>
    <row r="29870" spans="1:1" x14ac:dyDescent="0.25">
      <c r="A29870" t="e">
        <v>#N/A</v>
      </c>
    </row>
    <row r="29871" spans="1:1" x14ac:dyDescent="0.25">
      <c r="A29871" t="e">
        <v>#N/A</v>
      </c>
    </row>
    <row r="29872" spans="1:1" x14ac:dyDescent="0.25">
      <c r="A29872" t="e">
        <v>#N/A</v>
      </c>
    </row>
    <row r="29873" spans="1:1" x14ac:dyDescent="0.25">
      <c r="A29873" t="e">
        <v>#N/A</v>
      </c>
    </row>
    <row r="29874" spans="1:1" x14ac:dyDescent="0.25">
      <c r="A29874" t="e">
        <v>#N/A</v>
      </c>
    </row>
    <row r="29875" spans="1:1" x14ac:dyDescent="0.25">
      <c r="A29875" t="e">
        <v>#N/A</v>
      </c>
    </row>
    <row r="29876" spans="1:1" x14ac:dyDescent="0.25">
      <c r="A29876" t="e">
        <v>#N/A</v>
      </c>
    </row>
    <row r="29877" spans="1:1" x14ac:dyDescent="0.25">
      <c r="A29877" t="e">
        <v>#N/A</v>
      </c>
    </row>
    <row r="29878" spans="1:1" x14ac:dyDescent="0.25">
      <c r="A29878" t="e">
        <v>#N/A</v>
      </c>
    </row>
    <row r="29879" spans="1:1" x14ac:dyDescent="0.25">
      <c r="A29879" t="e">
        <v>#N/A</v>
      </c>
    </row>
    <row r="29880" spans="1:1" x14ac:dyDescent="0.25">
      <c r="A29880" t="e">
        <v>#N/A</v>
      </c>
    </row>
    <row r="29881" spans="1:1" x14ac:dyDescent="0.25">
      <c r="A29881" t="e">
        <v>#N/A</v>
      </c>
    </row>
    <row r="29882" spans="1:1" x14ac:dyDescent="0.25">
      <c r="A29882" t="e">
        <v>#N/A</v>
      </c>
    </row>
    <row r="29883" spans="1:1" x14ac:dyDescent="0.25">
      <c r="A29883" t="e">
        <v>#N/A</v>
      </c>
    </row>
    <row r="29884" spans="1:1" x14ac:dyDescent="0.25">
      <c r="A29884" t="e">
        <v>#N/A</v>
      </c>
    </row>
    <row r="29885" spans="1:1" x14ac:dyDescent="0.25">
      <c r="A29885" t="e">
        <v>#N/A</v>
      </c>
    </row>
    <row r="29886" spans="1:1" x14ac:dyDescent="0.25">
      <c r="A29886" t="e">
        <v>#N/A</v>
      </c>
    </row>
    <row r="29887" spans="1:1" x14ac:dyDescent="0.25">
      <c r="A29887" t="e">
        <v>#N/A</v>
      </c>
    </row>
    <row r="29888" spans="1:1" x14ac:dyDescent="0.25">
      <c r="A29888" t="e">
        <v>#N/A</v>
      </c>
    </row>
    <row r="29889" spans="1:1" x14ac:dyDescent="0.25">
      <c r="A29889" t="e">
        <v>#N/A</v>
      </c>
    </row>
    <row r="29890" spans="1:1" x14ac:dyDescent="0.25">
      <c r="A29890" t="e">
        <v>#N/A</v>
      </c>
    </row>
    <row r="29891" spans="1:1" x14ac:dyDescent="0.25">
      <c r="A29891" t="e">
        <v>#N/A</v>
      </c>
    </row>
    <row r="29892" spans="1:1" x14ac:dyDescent="0.25">
      <c r="A29892" t="e">
        <v>#N/A</v>
      </c>
    </row>
    <row r="29893" spans="1:1" x14ac:dyDescent="0.25">
      <c r="A29893" t="e">
        <v>#N/A</v>
      </c>
    </row>
    <row r="29894" spans="1:1" x14ac:dyDescent="0.25">
      <c r="A29894" t="e">
        <v>#N/A</v>
      </c>
    </row>
    <row r="29895" spans="1:1" x14ac:dyDescent="0.25">
      <c r="A29895" t="e">
        <v>#N/A</v>
      </c>
    </row>
    <row r="29896" spans="1:1" x14ac:dyDescent="0.25">
      <c r="A29896" t="e">
        <v>#N/A</v>
      </c>
    </row>
    <row r="29897" spans="1:1" x14ac:dyDescent="0.25">
      <c r="A29897" t="e">
        <v>#N/A</v>
      </c>
    </row>
    <row r="29898" spans="1:1" x14ac:dyDescent="0.25">
      <c r="A29898" t="e">
        <v>#N/A</v>
      </c>
    </row>
    <row r="29899" spans="1:1" x14ac:dyDescent="0.25">
      <c r="A29899" t="e">
        <v>#N/A</v>
      </c>
    </row>
    <row r="29900" spans="1:1" x14ac:dyDescent="0.25">
      <c r="A29900" t="e">
        <v>#N/A</v>
      </c>
    </row>
    <row r="29901" spans="1:1" x14ac:dyDescent="0.25">
      <c r="A29901" t="e">
        <v>#N/A</v>
      </c>
    </row>
    <row r="29902" spans="1:1" x14ac:dyDescent="0.25">
      <c r="A29902" t="e">
        <v>#N/A</v>
      </c>
    </row>
    <row r="29903" spans="1:1" x14ac:dyDescent="0.25">
      <c r="A29903" t="e">
        <v>#N/A</v>
      </c>
    </row>
    <row r="29904" spans="1:1" x14ac:dyDescent="0.25">
      <c r="A29904" t="e">
        <v>#N/A</v>
      </c>
    </row>
    <row r="29905" spans="1:1" x14ac:dyDescent="0.25">
      <c r="A29905" t="e">
        <v>#N/A</v>
      </c>
    </row>
    <row r="29906" spans="1:1" x14ac:dyDescent="0.25">
      <c r="A29906" t="e">
        <v>#N/A</v>
      </c>
    </row>
    <row r="29907" spans="1:1" x14ac:dyDescent="0.25">
      <c r="A29907" t="e">
        <v>#N/A</v>
      </c>
    </row>
    <row r="29908" spans="1:1" x14ac:dyDescent="0.25">
      <c r="A29908" t="e">
        <v>#N/A</v>
      </c>
    </row>
    <row r="29909" spans="1:1" x14ac:dyDescent="0.25">
      <c r="A29909" t="e">
        <v>#N/A</v>
      </c>
    </row>
    <row r="29910" spans="1:1" x14ac:dyDescent="0.25">
      <c r="A29910" t="e">
        <v>#N/A</v>
      </c>
    </row>
    <row r="29911" spans="1:1" x14ac:dyDescent="0.25">
      <c r="A29911" t="e">
        <v>#N/A</v>
      </c>
    </row>
    <row r="29912" spans="1:1" x14ac:dyDescent="0.25">
      <c r="A29912" t="e">
        <v>#N/A</v>
      </c>
    </row>
    <row r="29913" spans="1:1" x14ac:dyDescent="0.25">
      <c r="A29913" t="e">
        <v>#N/A</v>
      </c>
    </row>
    <row r="29914" spans="1:1" x14ac:dyDescent="0.25">
      <c r="A29914" t="e">
        <v>#N/A</v>
      </c>
    </row>
    <row r="29915" spans="1:1" x14ac:dyDescent="0.25">
      <c r="A29915" t="e">
        <v>#N/A</v>
      </c>
    </row>
    <row r="29916" spans="1:1" x14ac:dyDescent="0.25">
      <c r="A29916" t="e">
        <v>#N/A</v>
      </c>
    </row>
    <row r="29917" spans="1:1" x14ac:dyDescent="0.25">
      <c r="A29917" t="e">
        <v>#N/A</v>
      </c>
    </row>
    <row r="29918" spans="1:1" x14ac:dyDescent="0.25">
      <c r="A29918" t="e">
        <v>#N/A</v>
      </c>
    </row>
    <row r="29919" spans="1:1" x14ac:dyDescent="0.25">
      <c r="A29919" t="e">
        <v>#N/A</v>
      </c>
    </row>
    <row r="29920" spans="1:1" x14ac:dyDescent="0.25">
      <c r="A29920" t="e">
        <v>#N/A</v>
      </c>
    </row>
    <row r="29921" spans="1:1" x14ac:dyDescent="0.25">
      <c r="A29921" t="e">
        <v>#N/A</v>
      </c>
    </row>
    <row r="29922" spans="1:1" x14ac:dyDescent="0.25">
      <c r="A29922" t="e">
        <v>#N/A</v>
      </c>
    </row>
    <row r="29923" spans="1:1" x14ac:dyDescent="0.25">
      <c r="A29923" t="e">
        <v>#N/A</v>
      </c>
    </row>
    <row r="29924" spans="1:1" x14ac:dyDescent="0.25">
      <c r="A29924" t="e">
        <v>#N/A</v>
      </c>
    </row>
    <row r="29925" spans="1:1" x14ac:dyDescent="0.25">
      <c r="A29925" t="e">
        <v>#N/A</v>
      </c>
    </row>
    <row r="29926" spans="1:1" x14ac:dyDescent="0.25">
      <c r="A29926" t="e">
        <v>#N/A</v>
      </c>
    </row>
    <row r="29927" spans="1:1" x14ac:dyDescent="0.25">
      <c r="A29927" t="e">
        <v>#N/A</v>
      </c>
    </row>
    <row r="29928" spans="1:1" x14ac:dyDescent="0.25">
      <c r="A29928" t="e">
        <v>#N/A</v>
      </c>
    </row>
    <row r="29929" spans="1:1" x14ac:dyDescent="0.25">
      <c r="A29929" t="e">
        <v>#N/A</v>
      </c>
    </row>
    <row r="29930" spans="1:1" x14ac:dyDescent="0.25">
      <c r="A29930" t="e">
        <v>#N/A</v>
      </c>
    </row>
    <row r="29931" spans="1:1" x14ac:dyDescent="0.25">
      <c r="A29931" t="e">
        <v>#N/A</v>
      </c>
    </row>
    <row r="29932" spans="1:1" x14ac:dyDescent="0.25">
      <c r="A29932" t="e">
        <v>#N/A</v>
      </c>
    </row>
    <row r="29933" spans="1:1" x14ac:dyDescent="0.25">
      <c r="A29933" t="e">
        <v>#N/A</v>
      </c>
    </row>
    <row r="29934" spans="1:1" x14ac:dyDescent="0.25">
      <c r="A29934" t="e">
        <v>#N/A</v>
      </c>
    </row>
    <row r="29935" spans="1:1" x14ac:dyDescent="0.25">
      <c r="A29935" t="e">
        <v>#N/A</v>
      </c>
    </row>
    <row r="29936" spans="1:1" x14ac:dyDescent="0.25">
      <c r="A29936" t="e">
        <v>#N/A</v>
      </c>
    </row>
    <row r="29937" spans="1:1" x14ac:dyDescent="0.25">
      <c r="A29937" t="e">
        <v>#N/A</v>
      </c>
    </row>
    <row r="29938" spans="1:1" x14ac:dyDescent="0.25">
      <c r="A29938" t="e">
        <v>#N/A</v>
      </c>
    </row>
    <row r="29939" spans="1:1" x14ac:dyDescent="0.25">
      <c r="A29939" t="e">
        <v>#N/A</v>
      </c>
    </row>
    <row r="29940" spans="1:1" x14ac:dyDescent="0.25">
      <c r="A29940" t="e">
        <v>#N/A</v>
      </c>
    </row>
    <row r="29941" spans="1:1" x14ac:dyDescent="0.25">
      <c r="A29941" t="e">
        <v>#N/A</v>
      </c>
    </row>
    <row r="29942" spans="1:1" x14ac:dyDescent="0.25">
      <c r="A29942" t="e">
        <v>#N/A</v>
      </c>
    </row>
    <row r="29943" spans="1:1" x14ac:dyDescent="0.25">
      <c r="A29943" t="e">
        <v>#N/A</v>
      </c>
    </row>
    <row r="29944" spans="1:1" x14ac:dyDescent="0.25">
      <c r="A29944" t="e">
        <v>#N/A</v>
      </c>
    </row>
    <row r="29945" spans="1:1" x14ac:dyDescent="0.25">
      <c r="A29945" t="e">
        <v>#N/A</v>
      </c>
    </row>
    <row r="29946" spans="1:1" x14ac:dyDescent="0.25">
      <c r="A29946" t="e">
        <v>#N/A</v>
      </c>
    </row>
    <row r="29947" spans="1:1" x14ac:dyDescent="0.25">
      <c r="A29947" t="e">
        <v>#N/A</v>
      </c>
    </row>
    <row r="29948" spans="1:1" x14ac:dyDescent="0.25">
      <c r="A29948" t="e">
        <v>#N/A</v>
      </c>
    </row>
    <row r="29949" spans="1:1" x14ac:dyDescent="0.25">
      <c r="A29949" t="e">
        <v>#N/A</v>
      </c>
    </row>
    <row r="29950" spans="1:1" x14ac:dyDescent="0.25">
      <c r="A29950" t="e">
        <v>#N/A</v>
      </c>
    </row>
    <row r="29951" spans="1:1" x14ac:dyDescent="0.25">
      <c r="A29951" t="e">
        <v>#N/A</v>
      </c>
    </row>
    <row r="29952" spans="1:1" x14ac:dyDescent="0.25">
      <c r="A29952" t="e">
        <v>#N/A</v>
      </c>
    </row>
    <row r="29953" spans="1:1" x14ac:dyDescent="0.25">
      <c r="A29953" t="e">
        <v>#N/A</v>
      </c>
    </row>
    <row r="29954" spans="1:1" x14ac:dyDescent="0.25">
      <c r="A29954" t="e">
        <v>#N/A</v>
      </c>
    </row>
    <row r="29955" spans="1:1" x14ac:dyDescent="0.25">
      <c r="A29955" t="e">
        <v>#N/A</v>
      </c>
    </row>
    <row r="29956" spans="1:1" x14ac:dyDescent="0.25">
      <c r="A29956" t="e">
        <v>#N/A</v>
      </c>
    </row>
    <row r="29957" spans="1:1" x14ac:dyDescent="0.25">
      <c r="A29957" t="e">
        <v>#N/A</v>
      </c>
    </row>
    <row r="29958" spans="1:1" x14ac:dyDescent="0.25">
      <c r="A29958" t="e">
        <v>#N/A</v>
      </c>
    </row>
    <row r="29959" spans="1:1" x14ac:dyDescent="0.25">
      <c r="A29959" t="e">
        <v>#N/A</v>
      </c>
    </row>
    <row r="29960" spans="1:1" x14ac:dyDescent="0.25">
      <c r="A29960" t="e">
        <v>#N/A</v>
      </c>
    </row>
    <row r="29961" spans="1:1" x14ac:dyDescent="0.25">
      <c r="A29961" t="e">
        <v>#N/A</v>
      </c>
    </row>
    <row r="29962" spans="1:1" x14ac:dyDescent="0.25">
      <c r="A29962" t="e">
        <v>#N/A</v>
      </c>
    </row>
    <row r="29963" spans="1:1" x14ac:dyDescent="0.25">
      <c r="A29963" t="e">
        <v>#N/A</v>
      </c>
    </row>
    <row r="29964" spans="1:1" x14ac:dyDescent="0.25">
      <c r="A29964" t="e">
        <v>#N/A</v>
      </c>
    </row>
    <row r="29965" spans="1:1" x14ac:dyDescent="0.25">
      <c r="A29965" t="e">
        <v>#N/A</v>
      </c>
    </row>
    <row r="29966" spans="1:1" x14ac:dyDescent="0.25">
      <c r="A29966" t="e">
        <v>#N/A</v>
      </c>
    </row>
    <row r="29967" spans="1:1" x14ac:dyDescent="0.25">
      <c r="A29967" t="e">
        <v>#N/A</v>
      </c>
    </row>
    <row r="29968" spans="1:1" x14ac:dyDescent="0.25">
      <c r="A29968" t="e">
        <v>#N/A</v>
      </c>
    </row>
    <row r="29969" spans="1:1" x14ac:dyDescent="0.25">
      <c r="A29969" t="e">
        <v>#N/A</v>
      </c>
    </row>
    <row r="29970" spans="1:1" x14ac:dyDescent="0.25">
      <c r="A29970" t="e">
        <v>#N/A</v>
      </c>
    </row>
    <row r="29971" spans="1:1" x14ac:dyDescent="0.25">
      <c r="A29971" t="e">
        <v>#N/A</v>
      </c>
    </row>
    <row r="29972" spans="1:1" x14ac:dyDescent="0.25">
      <c r="A29972" t="e">
        <v>#N/A</v>
      </c>
    </row>
    <row r="29973" spans="1:1" x14ac:dyDescent="0.25">
      <c r="A29973" t="e">
        <v>#N/A</v>
      </c>
    </row>
    <row r="29974" spans="1:1" x14ac:dyDescent="0.25">
      <c r="A29974" t="e">
        <v>#N/A</v>
      </c>
    </row>
    <row r="29975" spans="1:1" x14ac:dyDescent="0.25">
      <c r="A29975" t="e">
        <v>#N/A</v>
      </c>
    </row>
    <row r="29976" spans="1:1" x14ac:dyDescent="0.25">
      <c r="A29976" t="e">
        <v>#N/A</v>
      </c>
    </row>
    <row r="29977" spans="1:1" x14ac:dyDescent="0.25">
      <c r="A29977" t="e">
        <v>#N/A</v>
      </c>
    </row>
    <row r="29978" spans="1:1" x14ac:dyDescent="0.25">
      <c r="A29978" t="e">
        <v>#N/A</v>
      </c>
    </row>
    <row r="29979" spans="1:1" x14ac:dyDescent="0.25">
      <c r="A29979" t="e">
        <v>#N/A</v>
      </c>
    </row>
    <row r="29980" spans="1:1" x14ac:dyDescent="0.25">
      <c r="A29980" t="e">
        <v>#N/A</v>
      </c>
    </row>
    <row r="29981" spans="1:1" x14ac:dyDescent="0.25">
      <c r="A29981" t="e">
        <v>#N/A</v>
      </c>
    </row>
    <row r="29982" spans="1:1" x14ac:dyDescent="0.25">
      <c r="A29982" t="e">
        <v>#N/A</v>
      </c>
    </row>
    <row r="29983" spans="1:1" x14ac:dyDescent="0.25">
      <c r="A29983" t="e">
        <v>#N/A</v>
      </c>
    </row>
    <row r="29984" spans="1:1" x14ac:dyDescent="0.25">
      <c r="A29984" t="e">
        <v>#N/A</v>
      </c>
    </row>
    <row r="29985" spans="1:1" x14ac:dyDescent="0.25">
      <c r="A29985" t="e">
        <v>#N/A</v>
      </c>
    </row>
    <row r="29986" spans="1:1" x14ac:dyDescent="0.25">
      <c r="A29986" t="e">
        <v>#N/A</v>
      </c>
    </row>
    <row r="29987" spans="1:1" x14ac:dyDescent="0.25">
      <c r="A29987" t="e">
        <v>#N/A</v>
      </c>
    </row>
    <row r="29988" spans="1:1" x14ac:dyDescent="0.25">
      <c r="A29988" t="e">
        <v>#N/A</v>
      </c>
    </row>
    <row r="29989" spans="1:1" x14ac:dyDescent="0.25">
      <c r="A29989" t="e">
        <v>#N/A</v>
      </c>
    </row>
    <row r="29990" spans="1:1" x14ac:dyDescent="0.25">
      <c r="A29990" t="e">
        <v>#N/A</v>
      </c>
    </row>
    <row r="29991" spans="1:1" x14ac:dyDescent="0.25">
      <c r="A29991" t="e">
        <v>#N/A</v>
      </c>
    </row>
    <row r="29992" spans="1:1" x14ac:dyDescent="0.25">
      <c r="A29992" t="e">
        <v>#N/A</v>
      </c>
    </row>
    <row r="29993" spans="1:1" x14ac:dyDescent="0.25">
      <c r="A29993" t="e">
        <v>#N/A</v>
      </c>
    </row>
    <row r="29994" spans="1:1" x14ac:dyDescent="0.25">
      <c r="A29994" t="e">
        <v>#N/A</v>
      </c>
    </row>
    <row r="29995" spans="1:1" x14ac:dyDescent="0.25">
      <c r="A29995" t="e">
        <v>#N/A</v>
      </c>
    </row>
    <row r="29996" spans="1:1" x14ac:dyDescent="0.25">
      <c r="A29996" t="e">
        <v>#N/A</v>
      </c>
    </row>
    <row r="29997" spans="1:1" x14ac:dyDescent="0.25">
      <c r="A29997" t="e">
        <v>#N/A</v>
      </c>
    </row>
    <row r="29998" spans="1:1" x14ac:dyDescent="0.25">
      <c r="A29998" t="e">
        <v>#N/A</v>
      </c>
    </row>
    <row r="29999" spans="1:1" x14ac:dyDescent="0.25">
      <c r="A29999" t="e">
        <v>#N/A</v>
      </c>
    </row>
    <row r="30000" spans="1:1" x14ac:dyDescent="0.25">
      <c r="A30000" t="e">
        <v>#N/A</v>
      </c>
    </row>
    <row r="30001" spans="1:1" x14ac:dyDescent="0.25">
      <c r="A30001" t="e">
        <v>#N/A</v>
      </c>
    </row>
    <row r="30002" spans="1:1" x14ac:dyDescent="0.25">
      <c r="A30002" t="e">
        <v>#N/A</v>
      </c>
    </row>
    <row r="30003" spans="1:1" x14ac:dyDescent="0.25">
      <c r="A30003" t="e">
        <v>#N/A</v>
      </c>
    </row>
    <row r="30004" spans="1:1" x14ac:dyDescent="0.25">
      <c r="A30004" t="e">
        <v>#N/A</v>
      </c>
    </row>
    <row r="30005" spans="1:1" x14ac:dyDescent="0.25">
      <c r="A30005" t="e">
        <v>#N/A</v>
      </c>
    </row>
    <row r="30006" spans="1:1" x14ac:dyDescent="0.25">
      <c r="A30006" t="e">
        <v>#N/A</v>
      </c>
    </row>
    <row r="30007" spans="1:1" x14ac:dyDescent="0.25">
      <c r="A30007" t="e">
        <v>#N/A</v>
      </c>
    </row>
    <row r="30008" spans="1:1" x14ac:dyDescent="0.25">
      <c r="A30008" t="e">
        <v>#N/A</v>
      </c>
    </row>
    <row r="30009" spans="1:1" x14ac:dyDescent="0.25">
      <c r="A30009" t="e">
        <v>#N/A</v>
      </c>
    </row>
    <row r="30010" spans="1:1" x14ac:dyDescent="0.25">
      <c r="A30010" t="e">
        <v>#N/A</v>
      </c>
    </row>
    <row r="30011" spans="1:1" x14ac:dyDescent="0.25">
      <c r="A30011" t="e">
        <v>#N/A</v>
      </c>
    </row>
    <row r="30012" spans="1:1" x14ac:dyDescent="0.25">
      <c r="A30012" t="e">
        <v>#N/A</v>
      </c>
    </row>
    <row r="30013" spans="1:1" x14ac:dyDescent="0.25">
      <c r="A30013" t="e">
        <v>#N/A</v>
      </c>
    </row>
    <row r="30014" spans="1:1" x14ac:dyDescent="0.25">
      <c r="A30014" t="e">
        <v>#N/A</v>
      </c>
    </row>
    <row r="30015" spans="1:1" x14ac:dyDescent="0.25">
      <c r="A30015" t="e">
        <v>#N/A</v>
      </c>
    </row>
    <row r="30016" spans="1:1" x14ac:dyDescent="0.25">
      <c r="A30016" t="e">
        <v>#N/A</v>
      </c>
    </row>
    <row r="30017" spans="1:1" x14ac:dyDescent="0.25">
      <c r="A30017" t="e">
        <v>#N/A</v>
      </c>
    </row>
    <row r="30018" spans="1:1" x14ac:dyDescent="0.25">
      <c r="A30018" t="e">
        <v>#N/A</v>
      </c>
    </row>
    <row r="30019" spans="1:1" x14ac:dyDescent="0.25">
      <c r="A30019" t="e">
        <v>#N/A</v>
      </c>
    </row>
    <row r="30020" spans="1:1" x14ac:dyDescent="0.25">
      <c r="A30020" t="e">
        <v>#N/A</v>
      </c>
    </row>
    <row r="30021" spans="1:1" x14ac:dyDescent="0.25">
      <c r="A30021" t="e">
        <v>#N/A</v>
      </c>
    </row>
    <row r="30022" spans="1:1" x14ac:dyDescent="0.25">
      <c r="A30022" t="e">
        <v>#N/A</v>
      </c>
    </row>
    <row r="30023" spans="1:1" x14ac:dyDescent="0.25">
      <c r="A30023" t="e">
        <v>#N/A</v>
      </c>
    </row>
    <row r="30024" spans="1:1" x14ac:dyDescent="0.25">
      <c r="A30024" t="e">
        <v>#N/A</v>
      </c>
    </row>
    <row r="30025" spans="1:1" x14ac:dyDescent="0.25">
      <c r="A30025" t="e">
        <v>#N/A</v>
      </c>
    </row>
    <row r="30026" spans="1:1" x14ac:dyDescent="0.25">
      <c r="A30026" t="e">
        <v>#N/A</v>
      </c>
    </row>
    <row r="30027" spans="1:1" x14ac:dyDescent="0.25">
      <c r="A30027" t="e">
        <v>#N/A</v>
      </c>
    </row>
    <row r="30028" spans="1:1" x14ac:dyDescent="0.25">
      <c r="A30028" t="e">
        <v>#N/A</v>
      </c>
    </row>
    <row r="30029" spans="1:1" x14ac:dyDescent="0.25">
      <c r="A30029" t="e">
        <v>#N/A</v>
      </c>
    </row>
    <row r="30030" spans="1:1" x14ac:dyDescent="0.25">
      <c r="A30030" t="e">
        <v>#N/A</v>
      </c>
    </row>
    <row r="30031" spans="1:1" x14ac:dyDescent="0.25">
      <c r="A30031" t="e">
        <v>#N/A</v>
      </c>
    </row>
    <row r="30032" spans="1:1" x14ac:dyDescent="0.25">
      <c r="A30032" t="e">
        <v>#N/A</v>
      </c>
    </row>
    <row r="30033" spans="1:1" x14ac:dyDescent="0.25">
      <c r="A30033" t="e">
        <v>#N/A</v>
      </c>
    </row>
    <row r="30034" spans="1:1" x14ac:dyDescent="0.25">
      <c r="A30034" t="e">
        <v>#N/A</v>
      </c>
    </row>
    <row r="30035" spans="1:1" x14ac:dyDescent="0.25">
      <c r="A30035" t="e">
        <v>#N/A</v>
      </c>
    </row>
    <row r="30036" spans="1:1" x14ac:dyDescent="0.25">
      <c r="A30036" t="e">
        <v>#N/A</v>
      </c>
    </row>
    <row r="30037" spans="1:1" x14ac:dyDescent="0.25">
      <c r="A30037" t="e">
        <v>#N/A</v>
      </c>
    </row>
    <row r="30038" spans="1:1" x14ac:dyDescent="0.25">
      <c r="A30038" t="e">
        <v>#N/A</v>
      </c>
    </row>
    <row r="30039" spans="1:1" x14ac:dyDescent="0.25">
      <c r="A30039" t="e">
        <v>#N/A</v>
      </c>
    </row>
    <row r="30040" spans="1:1" x14ac:dyDescent="0.25">
      <c r="A30040" t="e">
        <v>#N/A</v>
      </c>
    </row>
    <row r="30041" spans="1:1" x14ac:dyDescent="0.25">
      <c r="A30041" t="e">
        <v>#N/A</v>
      </c>
    </row>
    <row r="30042" spans="1:1" x14ac:dyDescent="0.25">
      <c r="A30042" t="e">
        <v>#N/A</v>
      </c>
    </row>
    <row r="30043" spans="1:1" x14ac:dyDescent="0.25">
      <c r="A30043" t="e">
        <v>#N/A</v>
      </c>
    </row>
    <row r="30044" spans="1:1" x14ac:dyDescent="0.25">
      <c r="A30044" t="e">
        <v>#N/A</v>
      </c>
    </row>
    <row r="30045" spans="1:1" x14ac:dyDescent="0.25">
      <c r="A30045" t="e">
        <v>#N/A</v>
      </c>
    </row>
    <row r="30046" spans="1:1" x14ac:dyDescent="0.25">
      <c r="A30046" t="e">
        <v>#N/A</v>
      </c>
    </row>
    <row r="30047" spans="1:1" x14ac:dyDescent="0.25">
      <c r="A30047" t="e">
        <v>#N/A</v>
      </c>
    </row>
    <row r="30048" spans="1:1" x14ac:dyDescent="0.25">
      <c r="A30048" t="e">
        <v>#N/A</v>
      </c>
    </row>
    <row r="30049" spans="1:1" x14ac:dyDescent="0.25">
      <c r="A30049" t="e">
        <v>#N/A</v>
      </c>
    </row>
    <row r="30050" spans="1:1" x14ac:dyDescent="0.25">
      <c r="A30050" t="e">
        <v>#N/A</v>
      </c>
    </row>
    <row r="30051" spans="1:1" x14ac:dyDescent="0.25">
      <c r="A30051" t="e">
        <v>#N/A</v>
      </c>
    </row>
    <row r="30052" spans="1:1" x14ac:dyDescent="0.25">
      <c r="A30052" t="e">
        <v>#N/A</v>
      </c>
    </row>
    <row r="30053" spans="1:1" x14ac:dyDescent="0.25">
      <c r="A30053" t="e">
        <v>#N/A</v>
      </c>
    </row>
    <row r="30054" spans="1:1" x14ac:dyDescent="0.25">
      <c r="A30054" t="e">
        <v>#N/A</v>
      </c>
    </row>
    <row r="30055" spans="1:1" x14ac:dyDescent="0.25">
      <c r="A30055" t="e">
        <v>#N/A</v>
      </c>
    </row>
    <row r="30056" spans="1:1" x14ac:dyDescent="0.25">
      <c r="A30056" t="e">
        <v>#N/A</v>
      </c>
    </row>
    <row r="30057" spans="1:1" x14ac:dyDescent="0.25">
      <c r="A30057" t="e">
        <v>#N/A</v>
      </c>
    </row>
    <row r="30058" spans="1:1" x14ac:dyDescent="0.25">
      <c r="A30058" t="e">
        <v>#N/A</v>
      </c>
    </row>
    <row r="30059" spans="1:1" x14ac:dyDescent="0.25">
      <c r="A30059" t="e">
        <v>#N/A</v>
      </c>
    </row>
    <row r="30060" spans="1:1" x14ac:dyDescent="0.25">
      <c r="A30060" t="e">
        <v>#N/A</v>
      </c>
    </row>
    <row r="30061" spans="1:1" x14ac:dyDescent="0.25">
      <c r="A30061" t="e">
        <v>#N/A</v>
      </c>
    </row>
    <row r="30062" spans="1:1" x14ac:dyDescent="0.25">
      <c r="A30062" t="e">
        <v>#N/A</v>
      </c>
    </row>
    <row r="30063" spans="1:1" x14ac:dyDescent="0.25">
      <c r="A30063" t="e">
        <v>#N/A</v>
      </c>
    </row>
    <row r="30064" spans="1:1" x14ac:dyDescent="0.25">
      <c r="A30064" t="e">
        <v>#N/A</v>
      </c>
    </row>
    <row r="30065" spans="1:1" x14ac:dyDescent="0.25">
      <c r="A30065" t="e">
        <v>#N/A</v>
      </c>
    </row>
    <row r="30066" spans="1:1" x14ac:dyDescent="0.25">
      <c r="A30066" t="e">
        <v>#N/A</v>
      </c>
    </row>
    <row r="30067" spans="1:1" x14ac:dyDescent="0.25">
      <c r="A30067" t="e">
        <v>#N/A</v>
      </c>
    </row>
    <row r="30068" spans="1:1" x14ac:dyDescent="0.25">
      <c r="A30068" t="e">
        <v>#N/A</v>
      </c>
    </row>
    <row r="30069" spans="1:1" x14ac:dyDescent="0.25">
      <c r="A30069" t="e">
        <v>#N/A</v>
      </c>
    </row>
    <row r="30070" spans="1:1" x14ac:dyDescent="0.25">
      <c r="A30070" t="e">
        <v>#N/A</v>
      </c>
    </row>
    <row r="30071" spans="1:1" x14ac:dyDescent="0.25">
      <c r="A30071" t="e">
        <v>#N/A</v>
      </c>
    </row>
    <row r="30072" spans="1:1" x14ac:dyDescent="0.25">
      <c r="A30072" t="e">
        <v>#N/A</v>
      </c>
    </row>
    <row r="30073" spans="1:1" x14ac:dyDescent="0.25">
      <c r="A30073" t="e">
        <v>#N/A</v>
      </c>
    </row>
    <row r="30074" spans="1:1" x14ac:dyDescent="0.25">
      <c r="A30074" t="e">
        <v>#N/A</v>
      </c>
    </row>
    <row r="30075" spans="1:1" x14ac:dyDescent="0.25">
      <c r="A30075" t="e">
        <v>#N/A</v>
      </c>
    </row>
    <row r="30076" spans="1:1" x14ac:dyDescent="0.25">
      <c r="A30076" t="e">
        <v>#N/A</v>
      </c>
    </row>
    <row r="30077" spans="1:1" x14ac:dyDescent="0.25">
      <c r="A30077" t="e">
        <v>#N/A</v>
      </c>
    </row>
    <row r="30078" spans="1:1" x14ac:dyDescent="0.25">
      <c r="A30078" t="e">
        <v>#N/A</v>
      </c>
    </row>
    <row r="30079" spans="1:1" x14ac:dyDescent="0.25">
      <c r="A30079" t="e">
        <v>#N/A</v>
      </c>
    </row>
    <row r="30080" spans="1:1" x14ac:dyDescent="0.25">
      <c r="A30080" t="e">
        <v>#N/A</v>
      </c>
    </row>
    <row r="30081" spans="1:1" x14ac:dyDescent="0.25">
      <c r="A30081" t="e">
        <v>#N/A</v>
      </c>
    </row>
    <row r="30082" spans="1:1" x14ac:dyDescent="0.25">
      <c r="A30082" t="e">
        <v>#N/A</v>
      </c>
    </row>
    <row r="30083" spans="1:1" x14ac:dyDescent="0.25">
      <c r="A30083" t="e">
        <v>#N/A</v>
      </c>
    </row>
    <row r="30084" spans="1:1" x14ac:dyDescent="0.25">
      <c r="A30084" t="e">
        <v>#N/A</v>
      </c>
    </row>
    <row r="30085" spans="1:1" x14ac:dyDescent="0.25">
      <c r="A30085" t="e">
        <v>#N/A</v>
      </c>
    </row>
    <row r="30086" spans="1:1" x14ac:dyDescent="0.25">
      <c r="A30086" t="e">
        <v>#N/A</v>
      </c>
    </row>
    <row r="30087" spans="1:1" x14ac:dyDescent="0.25">
      <c r="A30087" t="e">
        <v>#N/A</v>
      </c>
    </row>
    <row r="30088" spans="1:1" x14ac:dyDescent="0.25">
      <c r="A30088" t="e">
        <v>#N/A</v>
      </c>
    </row>
    <row r="30089" spans="1:1" x14ac:dyDescent="0.25">
      <c r="A30089" t="e">
        <v>#N/A</v>
      </c>
    </row>
    <row r="30090" spans="1:1" x14ac:dyDescent="0.25">
      <c r="A30090" t="e">
        <v>#N/A</v>
      </c>
    </row>
    <row r="30091" spans="1:1" x14ac:dyDescent="0.25">
      <c r="A30091" t="e">
        <v>#N/A</v>
      </c>
    </row>
    <row r="30092" spans="1:1" x14ac:dyDescent="0.25">
      <c r="A30092" t="e">
        <v>#N/A</v>
      </c>
    </row>
    <row r="30093" spans="1:1" x14ac:dyDescent="0.25">
      <c r="A30093" t="e">
        <v>#N/A</v>
      </c>
    </row>
    <row r="30094" spans="1:1" x14ac:dyDescent="0.25">
      <c r="A30094" t="e">
        <v>#N/A</v>
      </c>
    </row>
    <row r="30095" spans="1:1" x14ac:dyDescent="0.25">
      <c r="A30095" t="e">
        <v>#N/A</v>
      </c>
    </row>
    <row r="30096" spans="1:1" x14ac:dyDescent="0.25">
      <c r="A30096" t="e">
        <v>#N/A</v>
      </c>
    </row>
    <row r="30097" spans="1:1" x14ac:dyDescent="0.25">
      <c r="A30097" t="e">
        <v>#N/A</v>
      </c>
    </row>
    <row r="30098" spans="1:1" x14ac:dyDescent="0.25">
      <c r="A30098" t="e">
        <v>#N/A</v>
      </c>
    </row>
    <row r="30099" spans="1:1" x14ac:dyDescent="0.25">
      <c r="A30099" t="e">
        <v>#N/A</v>
      </c>
    </row>
    <row r="30100" spans="1:1" x14ac:dyDescent="0.25">
      <c r="A30100" t="e">
        <v>#N/A</v>
      </c>
    </row>
    <row r="30101" spans="1:1" x14ac:dyDescent="0.25">
      <c r="A30101" t="e">
        <v>#N/A</v>
      </c>
    </row>
    <row r="30102" spans="1:1" x14ac:dyDescent="0.25">
      <c r="A30102" t="e">
        <v>#N/A</v>
      </c>
    </row>
    <row r="30103" spans="1:1" x14ac:dyDescent="0.25">
      <c r="A30103" t="e">
        <v>#N/A</v>
      </c>
    </row>
    <row r="30104" spans="1:1" x14ac:dyDescent="0.25">
      <c r="A30104" t="e">
        <v>#N/A</v>
      </c>
    </row>
    <row r="30105" spans="1:1" x14ac:dyDescent="0.25">
      <c r="A30105" t="e">
        <v>#N/A</v>
      </c>
    </row>
    <row r="30106" spans="1:1" x14ac:dyDescent="0.25">
      <c r="A30106" t="e">
        <v>#N/A</v>
      </c>
    </row>
    <row r="30107" spans="1:1" x14ac:dyDescent="0.25">
      <c r="A30107" t="e">
        <v>#N/A</v>
      </c>
    </row>
    <row r="30108" spans="1:1" x14ac:dyDescent="0.25">
      <c r="A30108" t="e">
        <v>#N/A</v>
      </c>
    </row>
    <row r="30109" spans="1:1" x14ac:dyDescent="0.25">
      <c r="A30109" t="e">
        <v>#N/A</v>
      </c>
    </row>
    <row r="30110" spans="1:1" x14ac:dyDescent="0.25">
      <c r="A30110" t="e">
        <v>#N/A</v>
      </c>
    </row>
    <row r="30111" spans="1:1" x14ac:dyDescent="0.25">
      <c r="A30111" t="e">
        <v>#N/A</v>
      </c>
    </row>
    <row r="30112" spans="1:1" x14ac:dyDescent="0.25">
      <c r="A30112" t="e">
        <v>#N/A</v>
      </c>
    </row>
    <row r="30113" spans="1:1" x14ac:dyDescent="0.25">
      <c r="A30113" t="e">
        <v>#N/A</v>
      </c>
    </row>
    <row r="30114" spans="1:1" x14ac:dyDescent="0.25">
      <c r="A30114" t="e">
        <v>#N/A</v>
      </c>
    </row>
    <row r="30115" spans="1:1" x14ac:dyDescent="0.25">
      <c r="A30115" t="e">
        <v>#N/A</v>
      </c>
    </row>
    <row r="30116" spans="1:1" x14ac:dyDescent="0.25">
      <c r="A30116" t="e">
        <v>#N/A</v>
      </c>
    </row>
    <row r="30117" spans="1:1" x14ac:dyDescent="0.25">
      <c r="A30117" t="e">
        <v>#N/A</v>
      </c>
    </row>
    <row r="30118" spans="1:1" x14ac:dyDescent="0.25">
      <c r="A30118" t="e">
        <v>#N/A</v>
      </c>
    </row>
    <row r="30119" spans="1:1" x14ac:dyDescent="0.25">
      <c r="A30119" t="e">
        <v>#N/A</v>
      </c>
    </row>
    <row r="30120" spans="1:1" x14ac:dyDescent="0.25">
      <c r="A30120" t="e">
        <v>#N/A</v>
      </c>
    </row>
    <row r="30121" spans="1:1" x14ac:dyDescent="0.25">
      <c r="A30121" t="e">
        <v>#N/A</v>
      </c>
    </row>
    <row r="30122" spans="1:1" x14ac:dyDescent="0.25">
      <c r="A30122" t="e">
        <v>#N/A</v>
      </c>
    </row>
    <row r="30123" spans="1:1" x14ac:dyDescent="0.25">
      <c r="A30123" t="e">
        <v>#N/A</v>
      </c>
    </row>
    <row r="30124" spans="1:1" x14ac:dyDescent="0.25">
      <c r="A30124" t="e">
        <v>#N/A</v>
      </c>
    </row>
    <row r="30125" spans="1:1" x14ac:dyDescent="0.25">
      <c r="A30125" t="e">
        <v>#N/A</v>
      </c>
    </row>
    <row r="30126" spans="1:1" x14ac:dyDescent="0.25">
      <c r="A30126" t="e">
        <v>#N/A</v>
      </c>
    </row>
    <row r="30127" spans="1:1" x14ac:dyDescent="0.25">
      <c r="A30127" t="e">
        <v>#N/A</v>
      </c>
    </row>
    <row r="30128" spans="1:1" x14ac:dyDescent="0.25">
      <c r="A30128" t="e">
        <v>#N/A</v>
      </c>
    </row>
    <row r="30129" spans="1:1" x14ac:dyDescent="0.25">
      <c r="A30129" t="e">
        <v>#N/A</v>
      </c>
    </row>
    <row r="30130" spans="1:1" x14ac:dyDescent="0.25">
      <c r="A30130" t="e">
        <v>#N/A</v>
      </c>
    </row>
    <row r="30131" spans="1:1" x14ac:dyDescent="0.25">
      <c r="A30131" t="e">
        <v>#N/A</v>
      </c>
    </row>
    <row r="30132" spans="1:1" x14ac:dyDescent="0.25">
      <c r="A30132" t="e">
        <v>#N/A</v>
      </c>
    </row>
    <row r="30133" spans="1:1" x14ac:dyDescent="0.25">
      <c r="A30133" t="e">
        <v>#N/A</v>
      </c>
    </row>
    <row r="30134" spans="1:1" x14ac:dyDescent="0.25">
      <c r="A30134" t="e">
        <v>#N/A</v>
      </c>
    </row>
    <row r="30135" spans="1:1" x14ac:dyDescent="0.25">
      <c r="A30135" t="e">
        <v>#N/A</v>
      </c>
    </row>
    <row r="30136" spans="1:1" x14ac:dyDescent="0.25">
      <c r="A30136" t="e">
        <v>#N/A</v>
      </c>
    </row>
    <row r="30137" spans="1:1" x14ac:dyDescent="0.25">
      <c r="A30137" t="e">
        <v>#N/A</v>
      </c>
    </row>
    <row r="30138" spans="1:1" x14ac:dyDescent="0.25">
      <c r="A30138" t="e">
        <v>#N/A</v>
      </c>
    </row>
    <row r="30139" spans="1:1" x14ac:dyDescent="0.25">
      <c r="A30139" t="e">
        <v>#N/A</v>
      </c>
    </row>
    <row r="30140" spans="1:1" x14ac:dyDescent="0.25">
      <c r="A30140" t="e">
        <v>#N/A</v>
      </c>
    </row>
    <row r="30141" spans="1:1" x14ac:dyDescent="0.25">
      <c r="A30141" t="e">
        <v>#N/A</v>
      </c>
    </row>
    <row r="30142" spans="1:1" x14ac:dyDescent="0.25">
      <c r="A30142" t="e">
        <v>#N/A</v>
      </c>
    </row>
    <row r="30143" spans="1:1" x14ac:dyDescent="0.25">
      <c r="A30143" t="e">
        <v>#N/A</v>
      </c>
    </row>
    <row r="30144" spans="1:1" x14ac:dyDescent="0.25">
      <c r="A30144" t="e">
        <v>#N/A</v>
      </c>
    </row>
    <row r="30145" spans="1:1" x14ac:dyDescent="0.25">
      <c r="A30145" t="e">
        <v>#N/A</v>
      </c>
    </row>
    <row r="30146" spans="1:1" x14ac:dyDescent="0.25">
      <c r="A30146" t="e">
        <v>#N/A</v>
      </c>
    </row>
    <row r="30147" spans="1:1" x14ac:dyDescent="0.25">
      <c r="A30147" t="e">
        <v>#N/A</v>
      </c>
    </row>
    <row r="30148" spans="1:1" x14ac:dyDescent="0.25">
      <c r="A30148" t="e">
        <v>#N/A</v>
      </c>
    </row>
    <row r="30149" spans="1:1" x14ac:dyDescent="0.25">
      <c r="A30149" t="e">
        <v>#N/A</v>
      </c>
    </row>
    <row r="30150" spans="1:1" x14ac:dyDescent="0.25">
      <c r="A30150" t="e">
        <v>#N/A</v>
      </c>
    </row>
    <row r="30151" spans="1:1" x14ac:dyDescent="0.25">
      <c r="A30151" t="e">
        <v>#N/A</v>
      </c>
    </row>
    <row r="30152" spans="1:1" x14ac:dyDescent="0.25">
      <c r="A30152" t="e">
        <v>#N/A</v>
      </c>
    </row>
    <row r="30153" spans="1:1" x14ac:dyDescent="0.25">
      <c r="A30153" t="e">
        <v>#N/A</v>
      </c>
    </row>
    <row r="30154" spans="1:1" x14ac:dyDescent="0.25">
      <c r="A30154" t="e">
        <v>#N/A</v>
      </c>
    </row>
    <row r="30155" spans="1:1" x14ac:dyDescent="0.25">
      <c r="A30155" t="e">
        <v>#N/A</v>
      </c>
    </row>
    <row r="30156" spans="1:1" x14ac:dyDescent="0.25">
      <c r="A30156" t="e">
        <v>#N/A</v>
      </c>
    </row>
    <row r="30157" spans="1:1" x14ac:dyDescent="0.25">
      <c r="A30157" t="e">
        <v>#N/A</v>
      </c>
    </row>
    <row r="30158" spans="1:1" x14ac:dyDescent="0.25">
      <c r="A30158" t="e">
        <v>#N/A</v>
      </c>
    </row>
    <row r="30159" spans="1:1" x14ac:dyDescent="0.25">
      <c r="A30159" t="e">
        <v>#N/A</v>
      </c>
    </row>
    <row r="30160" spans="1:1" x14ac:dyDescent="0.25">
      <c r="A30160" t="e">
        <v>#N/A</v>
      </c>
    </row>
    <row r="30161" spans="1:1" x14ac:dyDescent="0.25">
      <c r="A30161" t="e">
        <v>#N/A</v>
      </c>
    </row>
    <row r="30162" spans="1:1" x14ac:dyDescent="0.25">
      <c r="A30162" t="e">
        <v>#N/A</v>
      </c>
    </row>
    <row r="30163" spans="1:1" x14ac:dyDescent="0.25">
      <c r="A30163" t="e">
        <v>#N/A</v>
      </c>
    </row>
    <row r="30164" spans="1:1" x14ac:dyDescent="0.25">
      <c r="A30164" t="e">
        <v>#N/A</v>
      </c>
    </row>
    <row r="30165" spans="1:1" x14ac:dyDescent="0.25">
      <c r="A30165" t="e">
        <v>#N/A</v>
      </c>
    </row>
    <row r="30166" spans="1:1" x14ac:dyDescent="0.25">
      <c r="A30166" t="e">
        <v>#N/A</v>
      </c>
    </row>
    <row r="30167" spans="1:1" x14ac:dyDescent="0.25">
      <c r="A30167" t="e">
        <v>#N/A</v>
      </c>
    </row>
    <row r="30168" spans="1:1" x14ac:dyDescent="0.25">
      <c r="A30168" t="e">
        <v>#N/A</v>
      </c>
    </row>
    <row r="30169" spans="1:1" x14ac:dyDescent="0.25">
      <c r="A30169" t="e">
        <v>#N/A</v>
      </c>
    </row>
    <row r="30170" spans="1:1" x14ac:dyDescent="0.25">
      <c r="A30170" t="e">
        <v>#N/A</v>
      </c>
    </row>
    <row r="30171" spans="1:1" x14ac:dyDescent="0.25">
      <c r="A30171" t="e">
        <v>#N/A</v>
      </c>
    </row>
    <row r="30172" spans="1:1" x14ac:dyDescent="0.25">
      <c r="A30172" t="e">
        <v>#N/A</v>
      </c>
    </row>
    <row r="30173" spans="1:1" x14ac:dyDescent="0.25">
      <c r="A30173" t="e">
        <v>#N/A</v>
      </c>
    </row>
    <row r="30174" spans="1:1" x14ac:dyDescent="0.25">
      <c r="A30174" t="e">
        <v>#N/A</v>
      </c>
    </row>
    <row r="30175" spans="1:1" x14ac:dyDescent="0.25">
      <c r="A30175" t="e">
        <v>#N/A</v>
      </c>
    </row>
    <row r="30176" spans="1:1" x14ac:dyDescent="0.25">
      <c r="A30176" t="e">
        <v>#N/A</v>
      </c>
    </row>
    <row r="30177" spans="1:1" x14ac:dyDescent="0.25">
      <c r="A30177" t="e">
        <v>#N/A</v>
      </c>
    </row>
    <row r="30178" spans="1:1" x14ac:dyDescent="0.25">
      <c r="A30178" t="e">
        <v>#N/A</v>
      </c>
    </row>
    <row r="30179" spans="1:1" x14ac:dyDescent="0.25">
      <c r="A30179" t="e">
        <v>#N/A</v>
      </c>
    </row>
    <row r="30180" spans="1:1" x14ac:dyDescent="0.25">
      <c r="A30180" t="e">
        <v>#N/A</v>
      </c>
    </row>
    <row r="30181" spans="1:1" x14ac:dyDescent="0.25">
      <c r="A30181" t="e">
        <v>#N/A</v>
      </c>
    </row>
    <row r="30182" spans="1:1" x14ac:dyDescent="0.25">
      <c r="A30182" t="e">
        <v>#N/A</v>
      </c>
    </row>
    <row r="30183" spans="1:1" x14ac:dyDescent="0.25">
      <c r="A30183" t="e">
        <v>#N/A</v>
      </c>
    </row>
    <row r="30184" spans="1:1" x14ac:dyDescent="0.25">
      <c r="A30184" t="e">
        <v>#N/A</v>
      </c>
    </row>
    <row r="30185" spans="1:1" x14ac:dyDescent="0.25">
      <c r="A30185" t="e">
        <v>#N/A</v>
      </c>
    </row>
    <row r="30186" spans="1:1" x14ac:dyDescent="0.25">
      <c r="A30186" t="e">
        <v>#N/A</v>
      </c>
    </row>
    <row r="30187" spans="1:1" x14ac:dyDescent="0.25">
      <c r="A30187" t="e">
        <v>#N/A</v>
      </c>
    </row>
    <row r="30188" spans="1:1" x14ac:dyDescent="0.25">
      <c r="A30188" t="e">
        <v>#N/A</v>
      </c>
    </row>
    <row r="30189" spans="1:1" x14ac:dyDescent="0.25">
      <c r="A30189" t="e">
        <v>#N/A</v>
      </c>
    </row>
    <row r="30190" spans="1:1" x14ac:dyDescent="0.25">
      <c r="A30190" t="e">
        <v>#N/A</v>
      </c>
    </row>
    <row r="30191" spans="1:1" x14ac:dyDescent="0.25">
      <c r="A30191" t="e">
        <v>#N/A</v>
      </c>
    </row>
    <row r="30192" spans="1:1" x14ac:dyDescent="0.25">
      <c r="A30192" t="e">
        <v>#N/A</v>
      </c>
    </row>
    <row r="30193" spans="1:1" x14ac:dyDescent="0.25">
      <c r="A30193" t="e">
        <v>#N/A</v>
      </c>
    </row>
    <row r="30194" spans="1:1" x14ac:dyDescent="0.25">
      <c r="A30194" t="e">
        <v>#N/A</v>
      </c>
    </row>
    <row r="30195" spans="1:1" x14ac:dyDescent="0.25">
      <c r="A30195" t="e">
        <v>#N/A</v>
      </c>
    </row>
    <row r="30196" spans="1:1" x14ac:dyDescent="0.25">
      <c r="A30196" t="e">
        <v>#N/A</v>
      </c>
    </row>
    <row r="30197" spans="1:1" x14ac:dyDescent="0.25">
      <c r="A30197" t="e">
        <v>#N/A</v>
      </c>
    </row>
    <row r="30198" spans="1:1" x14ac:dyDescent="0.25">
      <c r="A30198" t="e">
        <v>#N/A</v>
      </c>
    </row>
    <row r="30199" spans="1:1" x14ac:dyDescent="0.25">
      <c r="A30199" t="e">
        <v>#N/A</v>
      </c>
    </row>
    <row r="30200" spans="1:1" x14ac:dyDescent="0.25">
      <c r="A30200" t="e">
        <v>#N/A</v>
      </c>
    </row>
    <row r="30201" spans="1:1" x14ac:dyDescent="0.25">
      <c r="A30201" t="e">
        <v>#N/A</v>
      </c>
    </row>
    <row r="30202" spans="1:1" x14ac:dyDescent="0.25">
      <c r="A30202" t="e">
        <v>#N/A</v>
      </c>
    </row>
    <row r="30203" spans="1:1" x14ac:dyDescent="0.25">
      <c r="A30203" t="e">
        <v>#N/A</v>
      </c>
    </row>
    <row r="30204" spans="1:1" x14ac:dyDescent="0.25">
      <c r="A30204" t="e">
        <v>#N/A</v>
      </c>
    </row>
    <row r="30205" spans="1:1" x14ac:dyDescent="0.25">
      <c r="A30205" t="e">
        <v>#N/A</v>
      </c>
    </row>
    <row r="30206" spans="1:1" x14ac:dyDescent="0.25">
      <c r="A30206" t="e">
        <v>#N/A</v>
      </c>
    </row>
    <row r="30207" spans="1:1" x14ac:dyDescent="0.25">
      <c r="A30207" t="e">
        <v>#N/A</v>
      </c>
    </row>
    <row r="30208" spans="1:1" x14ac:dyDescent="0.25">
      <c r="A30208" t="e">
        <v>#N/A</v>
      </c>
    </row>
    <row r="30209" spans="1:1" x14ac:dyDescent="0.25">
      <c r="A30209" t="e">
        <v>#N/A</v>
      </c>
    </row>
    <row r="30210" spans="1:1" x14ac:dyDescent="0.25">
      <c r="A30210" t="e">
        <v>#N/A</v>
      </c>
    </row>
    <row r="30211" spans="1:1" x14ac:dyDescent="0.25">
      <c r="A30211" t="e">
        <v>#N/A</v>
      </c>
    </row>
    <row r="30212" spans="1:1" x14ac:dyDescent="0.25">
      <c r="A30212" t="e">
        <v>#N/A</v>
      </c>
    </row>
    <row r="30213" spans="1:1" x14ac:dyDescent="0.25">
      <c r="A30213" t="e">
        <v>#N/A</v>
      </c>
    </row>
    <row r="30214" spans="1:1" x14ac:dyDescent="0.25">
      <c r="A30214" t="e">
        <v>#N/A</v>
      </c>
    </row>
    <row r="30215" spans="1:1" x14ac:dyDescent="0.25">
      <c r="A30215" t="e">
        <v>#N/A</v>
      </c>
    </row>
    <row r="30216" spans="1:1" x14ac:dyDescent="0.25">
      <c r="A30216" t="e">
        <v>#N/A</v>
      </c>
    </row>
    <row r="30217" spans="1:1" x14ac:dyDescent="0.25">
      <c r="A30217" t="e">
        <v>#N/A</v>
      </c>
    </row>
    <row r="30218" spans="1:1" x14ac:dyDescent="0.25">
      <c r="A30218" t="e">
        <v>#N/A</v>
      </c>
    </row>
    <row r="30219" spans="1:1" x14ac:dyDescent="0.25">
      <c r="A30219" t="e">
        <v>#N/A</v>
      </c>
    </row>
    <row r="30220" spans="1:1" x14ac:dyDescent="0.25">
      <c r="A30220" t="e">
        <v>#N/A</v>
      </c>
    </row>
    <row r="30221" spans="1:1" x14ac:dyDescent="0.25">
      <c r="A30221" t="e">
        <v>#N/A</v>
      </c>
    </row>
    <row r="30222" spans="1:1" x14ac:dyDescent="0.25">
      <c r="A30222" t="e">
        <v>#N/A</v>
      </c>
    </row>
    <row r="30223" spans="1:1" x14ac:dyDescent="0.25">
      <c r="A30223" t="e">
        <v>#N/A</v>
      </c>
    </row>
    <row r="30224" spans="1:1" x14ac:dyDescent="0.25">
      <c r="A30224" t="e">
        <v>#N/A</v>
      </c>
    </row>
    <row r="30225" spans="1:1" x14ac:dyDescent="0.25">
      <c r="A30225" t="e">
        <v>#N/A</v>
      </c>
    </row>
    <row r="30226" spans="1:1" x14ac:dyDescent="0.25">
      <c r="A30226" t="e">
        <v>#N/A</v>
      </c>
    </row>
    <row r="30227" spans="1:1" x14ac:dyDescent="0.25">
      <c r="A30227" t="e">
        <v>#N/A</v>
      </c>
    </row>
    <row r="30228" spans="1:1" x14ac:dyDescent="0.25">
      <c r="A30228" t="e">
        <v>#N/A</v>
      </c>
    </row>
    <row r="30229" spans="1:1" x14ac:dyDescent="0.25">
      <c r="A30229" t="e">
        <v>#N/A</v>
      </c>
    </row>
    <row r="30230" spans="1:1" x14ac:dyDescent="0.25">
      <c r="A30230" t="e">
        <v>#N/A</v>
      </c>
    </row>
    <row r="30231" spans="1:1" x14ac:dyDescent="0.25">
      <c r="A30231" t="e">
        <v>#N/A</v>
      </c>
    </row>
    <row r="30232" spans="1:1" x14ac:dyDescent="0.25">
      <c r="A30232" t="e">
        <v>#N/A</v>
      </c>
    </row>
    <row r="30233" spans="1:1" x14ac:dyDescent="0.25">
      <c r="A30233" t="e">
        <v>#N/A</v>
      </c>
    </row>
    <row r="30234" spans="1:1" x14ac:dyDescent="0.25">
      <c r="A30234" t="e">
        <v>#N/A</v>
      </c>
    </row>
    <row r="30235" spans="1:1" x14ac:dyDescent="0.25">
      <c r="A30235" t="e">
        <v>#N/A</v>
      </c>
    </row>
    <row r="30236" spans="1:1" x14ac:dyDescent="0.25">
      <c r="A30236" t="e">
        <v>#N/A</v>
      </c>
    </row>
    <row r="30237" spans="1:1" x14ac:dyDescent="0.25">
      <c r="A30237" t="e">
        <v>#N/A</v>
      </c>
    </row>
    <row r="30238" spans="1:1" x14ac:dyDescent="0.25">
      <c r="A30238" t="e">
        <v>#N/A</v>
      </c>
    </row>
    <row r="30239" spans="1:1" x14ac:dyDescent="0.25">
      <c r="A30239" t="e">
        <v>#N/A</v>
      </c>
    </row>
    <row r="30240" spans="1:1" x14ac:dyDescent="0.25">
      <c r="A30240" t="e">
        <v>#N/A</v>
      </c>
    </row>
    <row r="30241" spans="1:1" x14ac:dyDescent="0.25">
      <c r="A30241" t="e">
        <v>#N/A</v>
      </c>
    </row>
    <row r="30242" spans="1:1" x14ac:dyDescent="0.25">
      <c r="A30242" t="e">
        <v>#N/A</v>
      </c>
    </row>
    <row r="30243" spans="1:1" x14ac:dyDescent="0.25">
      <c r="A30243" t="e">
        <v>#N/A</v>
      </c>
    </row>
    <row r="30244" spans="1:1" x14ac:dyDescent="0.25">
      <c r="A30244" t="e">
        <v>#N/A</v>
      </c>
    </row>
    <row r="30245" spans="1:1" x14ac:dyDescent="0.25">
      <c r="A30245" t="e">
        <v>#N/A</v>
      </c>
    </row>
    <row r="30246" spans="1:1" x14ac:dyDescent="0.25">
      <c r="A30246" t="e">
        <v>#N/A</v>
      </c>
    </row>
    <row r="30247" spans="1:1" x14ac:dyDescent="0.25">
      <c r="A30247" t="e">
        <v>#N/A</v>
      </c>
    </row>
    <row r="30248" spans="1:1" x14ac:dyDescent="0.25">
      <c r="A30248" t="e">
        <v>#N/A</v>
      </c>
    </row>
    <row r="30249" spans="1:1" x14ac:dyDescent="0.25">
      <c r="A30249" t="e">
        <v>#N/A</v>
      </c>
    </row>
    <row r="30250" spans="1:1" x14ac:dyDescent="0.25">
      <c r="A30250" t="e">
        <v>#N/A</v>
      </c>
    </row>
    <row r="30251" spans="1:1" x14ac:dyDescent="0.25">
      <c r="A30251" t="e">
        <v>#N/A</v>
      </c>
    </row>
    <row r="30252" spans="1:1" x14ac:dyDescent="0.25">
      <c r="A30252" t="e">
        <v>#N/A</v>
      </c>
    </row>
    <row r="30253" spans="1:1" x14ac:dyDescent="0.25">
      <c r="A30253" t="e">
        <v>#N/A</v>
      </c>
    </row>
    <row r="30254" spans="1:1" x14ac:dyDescent="0.25">
      <c r="A30254" t="e">
        <v>#N/A</v>
      </c>
    </row>
    <row r="30255" spans="1:1" x14ac:dyDescent="0.25">
      <c r="A30255" t="e">
        <v>#N/A</v>
      </c>
    </row>
    <row r="30256" spans="1:1" x14ac:dyDescent="0.25">
      <c r="A30256" t="e">
        <v>#N/A</v>
      </c>
    </row>
    <row r="30257" spans="1:1" x14ac:dyDescent="0.25">
      <c r="A30257" t="e">
        <v>#N/A</v>
      </c>
    </row>
    <row r="30258" spans="1:1" x14ac:dyDescent="0.25">
      <c r="A30258" t="e">
        <v>#N/A</v>
      </c>
    </row>
    <row r="30259" spans="1:1" x14ac:dyDescent="0.25">
      <c r="A30259" t="e">
        <v>#N/A</v>
      </c>
    </row>
    <row r="30260" spans="1:1" x14ac:dyDescent="0.25">
      <c r="A30260" t="e">
        <v>#N/A</v>
      </c>
    </row>
    <row r="30261" spans="1:1" x14ac:dyDescent="0.25">
      <c r="A30261" t="e">
        <v>#N/A</v>
      </c>
    </row>
    <row r="30262" spans="1:1" x14ac:dyDescent="0.25">
      <c r="A30262" t="e">
        <v>#N/A</v>
      </c>
    </row>
    <row r="30263" spans="1:1" x14ac:dyDescent="0.25">
      <c r="A30263" t="e">
        <v>#N/A</v>
      </c>
    </row>
    <row r="30264" spans="1:1" x14ac:dyDescent="0.25">
      <c r="A30264" t="e">
        <v>#N/A</v>
      </c>
    </row>
    <row r="30265" spans="1:1" x14ac:dyDescent="0.25">
      <c r="A30265" t="e">
        <v>#N/A</v>
      </c>
    </row>
    <row r="30266" spans="1:1" x14ac:dyDescent="0.25">
      <c r="A30266" t="e">
        <v>#N/A</v>
      </c>
    </row>
    <row r="30267" spans="1:1" x14ac:dyDescent="0.25">
      <c r="A30267" t="e">
        <v>#N/A</v>
      </c>
    </row>
    <row r="30268" spans="1:1" x14ac:dyDescent="0.25">
      <c r="A30268" t="e">
        <v>#N/A</v>
      </c>
    </row>
    <row r="30269" spans="1:1" x14ac:dyDescent="0.25">
      <c r="A30269" t="e">
        <v>#N/A</v>
      </c>
    </row>
    <row r="30270" spans="1:1" x14ac:dyDescent="0.25">
      <c r="A30270" t="e">
        <v>#N/A</v>
      </c>
    </row>
    <row r="30271" spans="1:1" x14ac:dyDescent="0.25">
      <c r="A30271" t="e">
        <v>#N/A</v>
      </c>
    </row>
    <row r="30272" spans="1:1" x14ac:dyDescent="0.25">
      <c r="A30272" t="e">
        <v>#N/A</v>
      </c>
    </row>
    <row r="30273" spans="1:1" x14ac:dyDescent="0.25">
      <c r="A30273" t="e">
        <v>#N/A</v>
      </c>
    </row>
    <row r="30274" spans="1:1" x14ac:dyDescent="0.25">
      <c r="A30274" t="e">
        <v>#N/A</v>
      </c>
    </row>
    <row r="30275" spans="1:1" x14ac:dyDescent="0.25">
      <c r="A30275" t="e">
        <v>#N/A</v>
      </c>
    </row>
    <row r="30276" spans="1:1" x14ac:dyDescent="0.25">
      <c r="A30276" t="e">
        <v>#N/A</v>
      </c>
    </row>
    <row r="30277" spans="1:1" x14ac:dyDescent="0.25">
      <c r="A30277" t="e">
        <v>#N/A</v>
      </c>
    </row>
    <row r="30278" spans="1:1" x14ac:dyDescent="0.25">
      <c r="A30278" t="e">
        <v>#N/A</v>
      </c>
    </row>
    <row r="30279" spans="1:1" x14ac:dyDescent="0.25">
      <c r="A30279" t="e">
        <v>#N/A</v>
      </c>
    </row>
    <row r="30280" spans="1:1" x14ac:dyDescent="0.25">
      <c r="A30280" t="e">
        <v>#N/A</v>
      </c>
    </row>
    <row r="30281" spans="1:1" x14ac:dyDescent="0.25">
      <c r="A30281" t="e">
        <v>#N/A</v>
      </c>
    </row>
    <row r="30282" spans="1:1" x14ac:dyDescent="0.25">
      <c r="A30282" t="e">
        <v>#N/A</v>
      </c>
    </row>
    <row r="30283" spans="1:1" x14ac:dyDescent="0.25">
      <c r="A30283" t="e">
        <v>#N/A</v>
      </c>
    </row>
    <row r="30284" spans="1:1" x14ac:dyDescent="0.25">
      <c r="A30284" t="e">
        <v>#N/A</v>
      </c>
    </row>
    <row r="30285" spans="1:1" x14ac:dyDescent="0.25">
      <c r="A30285" t="e">
        <v>#N/A</v>
      </c>
    </row>
    <row r="30286" spans="1:1" x14ac:dyDescent="0.25">
      <c r="A30286" t="e">
        <v>#N/A</v>
      </c>
    </row>
    <row r="30287" spans="1:1" x14ac:dyDescent="0.25">
      <c r="A30287" t="e">
        <v>#N/A</v>
      </c>
    </row>
    <row r="30288" spans="1:1" x14ac:dyDescent="0.25">
      <c r="A30288" t="e">
        <v>#N/A</v>
      </c>
    </row>
    <row r="30289" spans="1:1" x14ac:dyDescent="0.25">
      <c r="A30289" t="e">
        <v>#N/A</v>
      </c>
    </row>
    <row r="30290" spans="1:1" x14ac:dyDescent="0.25">
      <c r="A30290" t="e">
        <v>#N/A</v>
      </c>
    </row>
    <row r="30291" spans="1:1" x14ac:dyDescent="0.25">
      <c r="A30291" t="e">
        <v>#N/A</v>
      </c>
    </row>
    <row r="30292" spans="1:1" x14ac:dyDescent="0.25">
      <c r="A30292" t="e">
        <v>#N/A</v>
      </c>
    </row>
    <row r="30293" spans="1:1" x14ac:dyDescent="0.25">
      <c r="A30293" t="e">
        <v>#N/A</v>
      </c>
    </row>
    <row r="30294" spans="1:1" x14ac:dyDescent="0.25">
      <c r="A30294" t="e">
        <v>#N/A</v>
      </c>
    </row>
    <row r="30295" spans="1:1" x14ac:dyDescent="0.25">
      <c r="A30295" t="e">
        <v>#N/A</v>
      </c>
    </row>
    <row r="30296" spans="1:1" x14ac:dyDescent="0.25">
      <c r="A30296" t="e">
        <v>#N/A</v>
      </c>
    </row>
    <row r="30297" spans="1:1" x14ac:dyDescent="0.25">
      <c r="A30297" t="e">
        <v>#N/A</v>
      </c>
    </row>
    <row r="30298" spans="1:1" x14ac:dyDescent="0.25">
      <c r="A30298" t="e">
        <v>#N/A</v>
      </c>
    </row>
    <row r="30299" spans="1:1" x14ac:dyDescent="0.25">
      <c r="A30299" t="e">
        <v>#N/A</v>
      </c>
    </row>
    <row r="30300" spans="1:1" x14ac:dyDescent="0.25">
      <c r="A30300" t="e">
        <v>#N/A</v>
      </c>
    </row>
    <row r="30301" spans="1:1" x14ac:dyDescent="0.25">
      <c r="A30301" t="e">
        <v>#N/A</v>
      </c>
    </row>
    <row r="30302" spans="1:1" x14ac:dyDescent="0.25">
      <c r="A30302" t="e">
        <v>#N/A</v>
      </c>
    </row>
    <row r="30303" spans="1:1" x14ac:dyDescent="0.25">
      <c r="A30303" t="e">
        <v>#N/A</v>
      </c>
    </row>
    <row r="30304" spans="1:1" x14ac:dyDescent="0.25">
      <c r="A30304" t="e">
        <v>#N/A</v>
      </c>
    </row>
    <row r="30305" spans="1:1" x14ac:dyDescent="0.25">
      <c r="A30305" t="e">
        <v>#N/A</v>
      </c>
    </row>
    <row r="30306" spans="1:1" x14ac:dyDescent="0.25">
      <c r="A30306" t="e">
        <v>#N/A</v>
      </c>
    </row>
    <row r="30307" spans="1:1" x14ac:dyDescent="0.25">
      <c r="A30307" t="e">
        <v>#N/A</v>
      </c>
    </row>
    <row r="30308" spans="1:1" x14ac:dyDescent="0.25">
      <c r="A30308" t="e">
        <v>#N/A</v>
      </c>
    </row>
    <row r="30309" spans="1:1" x14ac:dyDescent="0.25">
      <c r="A30309" t="e">
        <v>#N/A</v>
      </c>
    </row>
    <row r="30310" spans="1:1" x14ac:dyDescent="0.25">
      <c r="A30310" t="e">
        <v>#N/A</v>
      </c>
    </row>
    <row r="30311" spans="1:1" x14ac:dyDescent="0.25">
      <c r="A30311" t="e">
        <v>#N/A</v>
      </c>
    </row>
    <row r="30312" spans="1:1" x14ac:dyDescent="0.25">
      <c r="A30312" t="e">
        <v>#N/A</v>
      </c>
    </row>
    <row r="30313" spans="1:1" x14ac:dyDescent="0.25">
      <c r="A30313" t="e">
        <v>#N/A</v>
      </c>
    </row>
    <row r="30314" spans="1:1" x14ac:dyDescent="0.25">
      <c r="A30314" t="e">
        <v>#N/A</v>
      </c>
    </row>
    <row r="30315" spans="1:1" x14ac:dyDescent="0.25">
      <c r="A30315" t="e">
        <v>#N/A</v>
      </c>
    </row>
    <row r="30316" spans="1:1" x14ac:dyDescent="0.25">
      <c r="A30316" t="e">
        <v>#N/A</v>
      </c>
    </row>
    <row r="30317" spans="1:1" x14ac:dyDescent="0.25">
      <c r="A30317" t="e">
        <v>#N/A</v>
      </c>
    </row>
    <row r="30318" spans="1:1" x14ac:dyDescent="0.25">
      <c r="A30318" t="e">
        <v>#N/A</v>
      </c>
    </row>
    <row r="30319" spans="1:1" x14ac:dyDescent="0.25">
      <c r="A30319" t="e">
        <v>#N/A</v>
      </c>
    </row>
    <row r="30320" spans="1:1" x14ac:dyDescent="0.25">
      <c r="A30320" t="e">
        <v>#N/A</v>
      </c>
    </row>
    <row r="30321" spans="1:1" x14ac:dyDescent="0.25">
      <c r="A30321" t="e">
        <v>#N/A</v>
      </c>
    </row>
    <row r="30322" spans="1:1" x14ac:dyDescent="0.25">
      <c r="A30322" t="e">
        <v>#N/A</v>
      </c>
    </row>
    <row r="30323" spans="1:1" x14ac:dyDescent="0.25">
      <c r="A30323" t="e">
        <v>#N/A</v>
      </c>
    </row>
    <row r="30324" spans="1:1" x14ac:dyDescent="0.25">
      <c r="A30324" t="e">
        <v>#N/A</v>
      </c>
    </row>
    <row r="30325" spans="1:1" x14ac:dyDescent="0.25">
      <c r="A30325" t="e">
        <v>#N/A</v>
      </c>
    </row>
    <row r="30326" spans="1:1" x14ac:dyDescent="0.25">
      <c r="A30326" t="e">
        <v>#N/A</v>
      </c>
    </row>
    <row r="30327" spans="1:1" x14ac:dyDescent="0.25">
      <c r="A30327" t="e">
        <v>#N/A</v>
      </c>
    </row>
    <row r="30328" spans="1:1" x14ac:dyDescent="0.25">
      <c r="A30328" t="e">
        <v>#N/A</v>
      </c>
    </row>
    <row r="30329" spans="1:1" x14ac:dyDescent="0.25">
      <c r="A30329" t="e">
        <v>#N/A</v>
      </c>
    </row>
    <row r="30330" spans="1:1" x14ac:dyDescent="0.25">
      <c r="A30330" t="e">
        <v>#N/A</v>
      </c>
    </row>
    <row r="30331" spans="1:1" x14ac:dyDescent="0.25">
      <c r="A30331" t="e">
        <v>#N/A</v>
      </c>
    </row>
    <row r="30332" spans="1:1" x14ac:dyDescent="0.25">
      <c r="A30332" t="e">
        <v>#N/A</v>
      </c>
    </row>
    <row r="30333" spans="1:1" x14ac:dyDescent="0.25">
      <c r="A30333" t="e">
        <v>#N/A</v>
      </c>
    </row>
    <row r="30334" spans="1:1" x14ac:dyDescent="0.25">
      <c r="A30334" t="e">
        <v>#N/A</v>
      </c>
    </row>
    <row r="30335" spans="1:1" x14ac:dyDescent="0.25">
      <c r="A30335" t="e">
        <v>#N/A</v>
      </c>
    </row>
    <row r="30336" spans="1:1" x14ac:dyDescent="0.25">
      <c r="A30336" t="e">
        <v>#N/A</v>
      </c>
    </row>
    <row r="30337" spans="1:1" x14ac:dyDescent="0.25">
      <c r="A30337" t="e">
        <v>#N/A</v>
      </c>
    </row>
    <row r="30338" spans="1:1" x14ac:dyDescent="0.25">
      <c r="A30338" t="e">
        <v>#N/A</v>
      </c>
    </row>
    <row r="30339" spans="1:1" x14ac:dyDescent="0.25">
      <c r="A30339" t="e">
        <v>#N/A</v>
      </c>
    </row>
    <row r="30340" spans="1:1" x14ac:dyDescent="0.25">
      <c r="A30340" t="e">
        <v>#N/A</v>
      </c>
    </row>
    <row r="30341" spans="1:1" x14ac:dyDescent="0.25">
      <c r="A30341" t="e">
        <v>#N/A</v>
      </c>
    </row>
    <row r="30342" spans="1:1" x14ac:dyDescent="0.25">
      <c r="A30342" t="e">
        <v>#N/A</v>
      </c>
    </row>
    <row r="30343" spans="1:1" x14ac:dyDescent="0.25">
      <c r="A30343" t="e">
        <v>#N/A</v>
      </c>
    </row>
    <row r="30344" spans="1:1" x14ac:dyDescent="0.25">
      <c r="A30344" t="e">
        <v>#N/A</v>
      </c>
    </row>
    <row r="30345" spans="1:1" x14ac:dyDescent="0.25">
      <c r="A30345" t="e">
        <v>#N/A</v>
      </c>
    </row>
    <row r="30346" spans="1:1" x14ac:dyDescent="0.25">
      <c r="A30346" t="e">
        <v>#N/A</v>
      </c>
    </row>
    <row r="30347" spans="1:1" x14ac:dyDescent="0.25">
      <c r="A30347" t="e">
        <v>#N/A</v>
      </c>
    </row>
    <row r="30348" spans="1:1" x14ac:dyDescent="0.25">
      <c r="A30348" t="e">
        <v>#N/A</v>
      </c>
    </row>
    <row r="30349" spans="1:1" x14ac:dyDescent="0.25">
      <c r="A30349" t="e">
        <v>#N/A</v>
      </c>
    </row>
    <row r="30350" spans="1:1" x14ac:dyDescent="0.25">
      <c r="A30350" t="e">
        <v>#N/A</v>
      </c>
    </row>
    <row r="30351" spans="1:1" x14ac:dyDescent="0.25">
      <c r="A30351" t="e">
        <v>#N/A</v>
      </c>
    </row>
    <row r="30352" spans="1:1" x14ac:dyDescent="0.25">
      <c r="A30352" t="e">
        <v>#N/A</v>
      </c>
    </row>
    <row r="30353" spans="1:1" x14ac:dyDescent="0.25">
      <c r="A30353" t="e">
        <v>#N/A</v>
      </c>
    </row>
    <row r="30354" spans="1:1" x14ac:dyDescent="0.25">
      <c r="A30354" t="e">
        <v>#N/A</v>
      </c>
    </row>
    <row r="30355" spans="1:1" x14ac:dyDescent="0.25">
      <c r="A30355" t="e">
        <v>#N/A</v>
      </c>
    </row>
    <row r="30356" spans="1:1" x14ac:dyDescent="0.25">
      <c r="A30356" t="e">
        <v>#N/A</v>
      </c>
    </row>
    <row r="30357" spans="1:1" x14ac:dyDescent="0.25">
      <c r="A30357" t="e">
        <v>#N/A</v>
      </c>
    </row>
    <row r="30358" spans="1:1" x14ac:dyDescent="0.25">
      <c r="A30358" t="e">
        <v>#N/A</v>
      </c>
    </row>
    <row r="30359" spans="1:1" x14ac:dyDescent="0.25">
      <c r="A30359" t="e">
        <v>#N/A</v>
      </c>
    </row>
    <row r="30360" spans="1:1" x14ac:dyDescent="0.25">
      <c r="A30360" t="e">
        <v>#N/A</v>
      </c>
    </row>
    <row r="30361" spans="1:1" x14ac:dyDescent="0.25">
      <c r="A30361" t="e">
        <v>#N/A</v>
      </c>
    </row>
    <row r="30362" spans="1:1" x14ac:dyDescent="0.25">
      <c r="A30362" t="e">
        <v>#N/A</v>
      </c>
    </row>
    <row r="30363" spans="1:1" x14ac:dyDescent="0.25">
      <c r="A30363" t="e">
        <v>#N/A</v>
      </c>
    </row>
    <row r="30364" spans="1:1" x14ac:dyDescent="0.25">
      <c r="A30364" t="e">
        <v>#N/A</v>
      </c>
    </row>
    <row r="30365" spans="1:1" x14ac:dyDescent="0.25">
      <c r="A30365" t="e">
        <v>#N/A</v>
      </c>
    </row>
    <row r="30366" spans="1:1" x14ac:dyDescent="0.25">
      <c r="A30366" t="e">
        <v>#N/A</v>
      </c>
    </row>
    <row r="30367" spans="1:1" x14ac:dyDescent="0.25">
      <c r="A30367" t="e">
        <v>#N/A</v>
      </c>
    </row>
    <row r="30368" spans="1:1" x14ac:dyDescent="0.25">
      <c r="A30368" t="e">
        <v>#N/A</v>
      </c>
    </row>
    <row r="30369" spans="1:1" x14ac:dyDescent="0.25">
      <c r="A30369" t="e">
        <v>#N/A</v>
      </c>
    </row>
    <row r="30370" spans="1:1" x14ac:dyDescent="0.25">
      <c r="A30370" t="e">
        <v>#N/A</v>
      </c>
    </row>
    <row r="30371" spans="1:1" x14ac:dyDescent="0.25">
      <c r="A30371" t="e">
        <v>#N/A</v>
      </c>
    </row>
    <row r="30372" spans="1:1" x14ac:dyDescent="0.25">
      <c r="A30372" t="e">
        <v>#N/A</v>
      </c>
    </row>
    <row r="30373" spans="1:1" x14ac:dyDescent="0.25">
      <c r="A30373" t="e">
        <v>#N/A</v>
      </c>
    </row>
    <row r="30374" spans="1:1" x14ac:dyDescent="0.25">
      <c r="A30374" t="e">
        <v>#N/A</v>
      </c>
    </row>
    <row r="30375" spans="1:1" x14ac:dyDescent="0.25">
      <c r="A30375" t="e">
        <v>#N/A</v>
      </c>
    </row>
    <row r="30376" spans="1:1" x14ac:dyDescent="0.25">
      <c r="A30376" t="e">
        <v>#N/A</v>
      </c>
    </row>
    <row r="30377" spans="1:1" x14ac:dyDescent="0.25">
      <c r="A30377" t="e">
        <v>#N/A</v>
      </c>
    </row>
    <row r="30378" spans="1:1" x14ac:dyDescent="0.25">
      <c r="A30378" t="e">
        <v>#N/A</v>
      </c>
    </row>
    <row r="30379" spans="1:1" x14ac:dyDescent="0.25">
      <c r="A30379" t="e">
        <v>#N/A</v>
      </c>
    </row>
    <row r="30380" spans="1:1" x14ac:dyDescent="0.25">
      <c r="A30380" t="e">
        <v>#N/A</v>
      </c>
    </row>
    <row r="30381" spans="1:1" x14ac:dyDescent="0.25">
      <c r="A30381" t="e">
        <v>#N/A</v>
      </c>
    </row>
    <row r="30382" spans="1:1" x14ac:dyDescent="0.25">
      <c r="A30382" t="e">
        <v>#N/A</v>
      </c>
    </row>
    <row r="30383" spans="1:1" x14ac:dyDescent="0.25">
      <c r="A30383" t="e">
        <v>#N/A</v>
      </c>
    </row>
    <row r="30384" spans="1:1" x14ac:dyDescent="0.25">
      <c r="A30384" t="e">
        <v>#N/A</v>
      </c>
    </row>
    <row r="30385" spans="1:1" x14ac:dyDescent="0.25">
      <c r="A30385" t="e">
        <v>#N/A</v>
      </c>
    </row>
    <row r="30386" spans="1:1" x14ac:dyDescent="0.25">
      <c r="A30386" t="e">
        <v>#N/A</v>
      </c>
    </row>
    <row r="30387" spans="1:1" x14ac:dyDescent="0.25">
      <c r="A30387" t="e">
        <v>#N/A</v>
      </c>
    </row>
    <row r="30388" spans="1:1" x14ac:dyDescent="0.25">
      <c r="A30388" t="e">
        <v>#N/A</v>
      </c>
    </row>
    <row r="30389" spans="1:1" x14ac:dyDescent="0.25">
      <c r="A30389" t="e">
        <v>#N/A</v>
      </c>
    </row>
    <row r="30390" spans="1:1" x14ac:dyDescent="0.25">
      <c r="A30390" t="e">
        <v>#N/A</v>
      </c>
    </row>
    <row r="30391" spans="1:1" x14ac:dyDescent="0.25">
      <c r="A30391" t="e">
        <v>#N/A</v>
      </c>
    </row>
    <row r="30392" spans="1:1" x14ac:dyDescent="0.25">
      <c r="A30392" t="e">
        <v>#N/A</v>
      </c>
    </row>
    <row r="30393" spans="1:1" x14ac:dyDescent="0.25">
      <c r="A30393" t="e">
        <v>#N/A</v>
      </c>
    </row>
    <row r="30394" spans="1:1" x14ac:dyDescent="0.25">
      <c r="A30394" t="e">
        <v>#N/A</v>
      </c>
    </row>
    <row r="30395" spans="1:1" x14ac:dyDescent="0.25">
      <c r="A30395" t="e">
        <v>#N/A</v>
      </c>
    </row>
    <row r="30396" spans="1:1" x14ac:dyDescent="0.25">
      <c r="A30396" t="e">
        <v>#N/A</v>
      </c>
    </row>
    <row r="30397" spans="1:1" x14ac:dyDescent="0.25">
      <c r="A30397" t="e">
        <v>#N/A</v>
      </c>
    </row>
    <row r="30398" spans="1:1" x14ac:dyDescent="0.25">
      <c r="A30398" t="e">
        <v>#N/A</v>
      </c>
    </row>
    <row r="30399" spans="1:1" x14ac:dyDescent="0.25">
      <c r="A30399" t="e">
        <v>#N/A</v>
      </c>
    </row>
    <row r="30400" spans="1:1" x14ac:dyDescent="0.25">
      <c r="A30400" t="e">
        <v>#N/A</v>
      </c>
    </row>
    <row r="30401" spans="1:1" x14ac:dyDescent="0.25">
      <c r="A30401" t="e">
        <v>#N/A</v>
      </c>
    </row>
    <row r="30402" spans="1:1" x14ac:dyDescent="0.25">
      <c r="A30402" t="e">
        <v>#N/A</v>
      </c>
    </row>
    <row r="30403" spans="1:1" x14ac:dyDescent="0.25">
      <c r="A30403" t="e">
        <v>#N/A</v>
      </c>
    </row>
    <row r="30404" spans="1:1" x14ac:dyDescent="0.25">
      <c r="A30404" t="e">
        <v>#N/A</v>
      </c>
    </row>
    <row r="30405" spans="1:1" x14ac:dyDescent="0.25">
      <c r="A30405" t="e">
        <v>#N/A</v>
      </c>
    </row>
    <row r="30406" spans="1:1" x14ac:dyDescent="0.25">
      <c r="A30406" t="e">
        <v>#N/A</v>
      </c>
    </row>
    <row r="30407" spans="1:1" x14ac:dyDescent="0.25">
      <c r="A30407" t="e">
        <v>#N/A</v>
      </c>
    </row>
    <row r="30408" spans="1:1" x14ac:dyDescent="0.25">
      <c r="A30408" t="e">
        <v>#N/A</v>
      </c>
    </row>
    <row r="30409" spans="1:1" x14ac:dyDescent="0.25">
      <c r="A30409" t="e">
        <v>#N/A</v>
      </c>
    </row>
    <row r="30410" spans="1:1" x14ac:dyDescent="0.25">
      <c r="A30410" t="e">
        <v>#N/A</v>
      </c>
    </row>
    <row r="30411" spans="1:1" x14ac:dyDescent="0.25">
      <c r="A30411" t="e">
        <v>#N/A</v>
      </c>
    </row>
    <row r="30412" spans="1:1" x14ac:dyDescent="0.25">
      <c r="A30412" t="e">
        <v>#N/A</v>
      </c>
    </row>
    <row r="30413" spans="1:1" x14ac:dyDescent="0.25">
      <c r="A30413" t="e">
        <v>#N/A</v>
      </c>
    </row>
    <row r="30414" spans="1:1" x14ac:dyDescent="0.25">
      <c r="A30414" t="e">
        <v>#N/A</v>
      </c>
    </row>
    <row r="30415" spans="1:1" x14ac:dyDescent="0.25">
      <c r="A30415" t="e">
        <v>#N/A</v>
      </c>
    </row>
    <row r="30416" spans="1:1" x14ac:dyDescent="0.25">
      <c r="A30416" t="e">
        <v>#N/A</v>
      </c>
    </row>
    <row r="30417" spans="1:1" x14ac:dyDescent="0.25">
      <c r="A30417" t="e">
        <v>#N/A</v>
      </c>
    </row>
    <row r="30418" spans="1:1" x14ac:dyDescent="0.25">
      <c r="A30418" t="e">
        <v>#N/A</v>
      </c>
    </row>
    <row r="30419" spans="1:1" x14ac:dyDescent="0.25">
      <c r="A30419" t="e">
        <v>#N/A</v>
      </c>
    </row>
    <row r="30420" spans="1:1" x14ac:dyDescent="0.25">
      <c r="A30420" t="e">
        <v>#N/A</v>
      </c>
    </row>
    <row r="30421" spans="1:1" x14ac:dyDescent="0.25">
      <c r="A30421" t="e">
        <v>#N/A</v>
      </c>
    </row>
    <row r="30422" spans="1:1" x14ac:dyDescent="0.25">
      <c r="A30422" t="e">
        <v>#N/A</v>
      </c>
    </row>
    <row r="30423" spans="1:1" x14ac:dyDescent="0.25">
      <c r="A30423" t="e">
        <v>#N/A</v>
      </c>
    </row>
    <row r="30424" spans="1:1" x14ac:dyDescent="0.25">
      <c r="A30424" t="e">
        <v>#N/A</v>
      </c>
    </row>
    <row r="30425" spans="1:1" x14ac:dyDescent="0.25">
      <c r="A30425" t="e">
        <v>#N/A</v>
      </c>
    </row>
    <row r="30426" spans="1:1" x14ac:dyDescent="0.25">
      <c r="A30426" t="e">
        <v>#N/A</v>
      </c>
    </row>
    <row r="30427" spans="1:1" x14ac:dyDescent="0.25">
      <c r="A30427" t="e">
        <v>#N/A</v>
      </c>
    </row>
    <row r="30428" spans="1:1" x14ac:dyDescent="0.25">
      <c r="A30428" t="e">
        <v>#N/A</v>
      </c>
    </row>
    <row r="30429" spans="1:1" x14ac:dyDescent="0.25">
      <c r="A30429" t="e">
        <v>#N/A</v>
      </c>
    </row>
    <row r="30430" spans="1:1" x14ac:dyDescent="0.25">
      <c r="A30430" t="e">
        <v>#N/A</v>
      </c>
    </row>
    <row r="30431" spans="1:1" x14ac:dyDescent="0.25">
      <c r="A30431" t="e">
        <v>#N/A</v>
      </c>
    </row>
    <row r="30432" spans="1:1" x14ac:dyDescent="0.25">
      <c r="A30432" t="e">
        <v>#N/A</v>
      </c>
    </row>
    <row r="30433" spans="1:1" x14ac:dyDescent="0.25">
      <c r="A30433" t="e">
        <v>#N/A</v>
      </c>
    </row>
    <row r="30434" spans="1:1" x14ac:dyDescent="0.25">
      <c r="A30434" t="e">
        <v>#N/A</v>
      </c>
    </row>
    <row r="30435" spans="1:1" x14ac:dyDescent="0.25">
      <c r="A30435" t="e">
        <v>#N/A</v>
      </c>
    </row>
    <row r="30436" spans="1:1" x14ac:dyDescent="0.25">
      <c r="A30436" t="e">
        <v>#N/A</v>
      </c>
    </row>
    <row r="30437" spans="1:1" x14ac:dyDescent="0.25">
      <c r="A30437" t="e">
        <v>#N/A</v>
      </c>
    </row>
    <row r="30438" spans="1:1" x14ac:dyDescent="0.25">
      <c r="A30438" t="e">
        <v>#N/A</v>
      </c>
    </row>
    <row r="30439" spans="1:1" x14ac:dyDescent="0.25">
      <c r="A30439" t="e">
        <v>#N/A</v>
      </c>
    </row>
    <row r="30440" spans="1:1" x14ac:dyDescent="0.25">
      <c r="A30440" t="e">
        <v>#N/A</v>
      </c>
    </row>
    <row r="30441" spans="1:1" x14ac:dyDescent="0.25">
      <c r="A30441" t="e">
        <v>#N/A</v>
      </c>
    </row>
    <row r="30442" spans="1:1" x14ac:dyDescent="0.25">
      <c r="A30442" t="e">
        <v>#N/A</v>
      </c>
    </row>
    <row r="30443" spans="1:1" x14ac:dyDescent="0.25">
      <c r="A30443" t="e">
        <v>#N/A</v>
      </c>
    </row>
    <row r="30444" spans="1:1" x14ac:dyDescent="0.25">
      <c r="A30444" t="e">
        <v>#N/A</v>
      </c>
    </row>
    <row r="30445" spans="1:1" x14ac:dyDescent="0.25">
      <c r="A30445" t="e">
        <v>#N/A</v>
      </c>
    </row>
    <row r="30446" spans="1:1" x14ac:dyDescent="0.25">
      <c r="A30446" t="e">
        <v>#N/A</v>
      </c>
    </row>
    <row r="30447" spans="1:1" x14ac:dyDescent="0.25">
      <c r="A30447" t="e">
        <v>#N/A</v>
      </c>
    </row>
    <row r="30448" spans="1:1" x14ac:dyDescent="0.25">
      <c r="A30448" t="e">
        <v>#N/A</v>
      </c>
    </row>
    <row r="30449" spans="1:1" x14ac:dyDescent="0.25">
      <c r="A30449" t="e">
        <v>#N/A</v>
      </c>
    </row>
    <row r="30450" spans="1:1" x14ac:dyDescent="0.25">
      <c r="A30450" t="e">
        <v>#N/A</v>
      </c>
    </row>
    <row r="30451" spans="1:1" x14ac:dyDescent="0.25">
      <c r="A30451" t="e">
        <v>#N/A</v>
      </c>
    </row>
    <row r="30452" spans="1:1" x14ac:dyDescent="0.25">
      <c r="A30452" t="e">
        <v>#N/A</v>
      </c>
    </row>
    <row r="30453" spans="1:1" x14ac:dyDescent="0.25">
      <c r="A30453" t="e">
        <v>#N/A</v>
      </c>
    </row>
    <row r="30454" spans="1:1" x14ac:dyDescent="0.25">
      <c r="A30454" t="e">
        <v>#N/A</v>
      </c>
    </row>
    <row r="30455" spans="1:1" x14ac:dyDescent="0.25">
      <c r="A30455" t="e">
        <v>#N/A</v>
      </c>
    </row>
    <row r="30456" spans="1:1" x14ac:dyDescent="0.25">
      <c r="A30456" t="e">
        <v>#N/A</v>
      </c>
    </row>
    <row r="30457" spans="1:1" x14ac:dyDescent="0.25">
      <c r="A30457" t="e">
        <v>#N/A</v>
      </c>
    </row>
    <row r="30458" spans="1:1" x14ac:dyDescent="0.25">
      <c r="A30458" t="e">
        <v>#N/A</v>
      </c>
    </row>
    <row r="30459" spans="1:1" x14ac:dyDescent="0.25">
      <c r="A30459" t="e">
        <v>#N/A</v>
      </c>
    </row>
    <row r="30460" spans="1:1" x14ac:dyDescent="0.25">
      <c r="A30460" t="e">
        <v>#N/A</v>
      </c>
    </row>
    <row r="30461" spans="1:1" x14ac:dyDescent="0.25">
      <c r="A30461" t="e">
        <v>#N/A</v>
      </c>
    </row>
    <row r="30462" spans="1:1" x14ac:dyDescent="0.25">
      <c r="A30462" t="e">
        <v>#N/A</v>
      </c>
    </row>
    <row r="30463" spans="1:1" x14ac:dyDescent="0.25">
      <c r="A30463" t="e">
        <v>#N/A</v>
      </c>
    </row>
    <row r="30464" spans="1:1" x14ac:dyDescent="0.25">
      <c r="A30464" t="e">
        <v>#N/A</v>
      </c>
    </row>
    <row r="30465" spans="1:1" x14ac:dyDescent="0.25">
      <c r="A30465" t="e">
        <v>#N/A</v>
      </c>
    </row>
    <row r="30466" spans="1:1" x14ac:dyDescent="0.25">
      <c r="A30466" t="e">
        <v>#N/A</v>
      </c>
    </row>
    <row r="30467" spans="1:1" x14ac:dyDescent="0.25">
      <c r="A30467" t="e">
        <v>#N/A</v>
      </c>
    </row>
    <row r="30468" spans="1:1" x14ac:dyDescent="0.25">
      <c r="A30468" t="e">
        <v>#N/A</v>
      </c>
    </row>
    <row r="30469" spans="1:1" x14ac:dyDescent="0.25">
      <c r="A30469" t="e">
        <v>#N/A</v>
      </c>
    </row>
    <row r="30470" spans="1:1" x14ac:dyDescent="0.25">
      <c r="A30470" t="e">
        <v>#N/A</v>
      </c>
    </row>
    <row r="30471" spans="1:1" x14ac:dyDescent="0.25">
      <c r="A30471" t="e">
        <v>#N/A</v>
      </c>
    </row>
    <row r="30472" spans="1:1" x14ac:dyDescent="0.25">
      <c r="A30472" t="e">
        <v>#N/A</v>
      </c>
    </row>
    <row r="30473" spans="1:1" x14ac:dyDescent="0.25">
      <c r="A30473" t="e">
        <v>#N/A</v>
      </c>
    </row>
    <row r="30474" spans="1:1" x14ac:dyDescent="0.25">
      <c r="A30474" t="e">
        <v>#N/A</v>
      </c>
    </row>
    <row r="30475" spans="1:1" x14ac:dyDescent="0.25">
      <c r="A30475" t="e">
        <v>#N/A</v>
      </c>
    </row>
    <row r="30476" spans="1:1" x14ac:dyDescent="0.25">
      <c r="A30476" t="e">
        <v>#N/A</v>
      </c>
    </row>
    <row r="30477" spans="1:1" x14ac:dyDescent="0.25">
      <c r="A30477" t="e">
        <v>#N/A</v>
      </c>
    </row>
    <row r="30478" spans="1:1" x14ac:dyDescent="0.25">
      <c r="A30478" t="e">
        <v>#N/A</v>
      </c>
    </row>
    <row r="30479" spans="1:1" x14ac:dyDescent="0.25">
      <c r="A30479" t="e">
        <v>#N/A</v>
      </c>
    </row>
    <row r="30480" spans="1:1" x14ac:dyDescent="0.25">
      <c r="A30480" t="e">
        <v>#N/A</v>
      </c>
    </row>
    <row r="30481" spans="1:1" x14ac:dyDescent="0.25">
      <c r="A30481" t="e">
        <v>#N/A</v>
      </c>
    </row>
    <row r="30482" spans="1:1" x14ac:dyDescent="0.25">
      <c r="A30482" t="e">
        <v>#N/A</v>
      </c>
    </row>
    <row r="30483" spans="1:1" x14ac:dyDescent="0.25">
      <c r="A30483" t="e">
        <v>#N/A</v>
      </c>
    </row>
    <row r="30484" spans="1:1" x14ac:dyDescent="0.25">
      <c r="A30484" t="e">
        <v>#N/A</v>
      </c>
    </row>
    <row r="30485" spans="1:1" x14ac:dyDescent="0.25">
      <c r="A30485" t="e">
        <v>#N/A</v>
      </c>
    </row>
    <row r="30486" spans="1:1" x14ac:dyDescent="0.25">
      <c r="A30486" t="e">
        <v>#N/A</v>
      </c>
    </row>
    <row r="30487" spans="1:1" x14ac:dyDescent="0.25">
      <c r="A30487" t="e">
        <v>#N/A</v>
      </c>
    </row>
    <row r="30488" spans="1:1" x14ac:dyDescent="0.25">
      <c r="A30488" t="e">
        <v>#N/A</v>
      </c>
    </row>
    <row r="30489" spans="1:1" x14ac:dyDescent="0.25">
      <c r="A30489" t="e">
        <v>#N/A</v>
      </c>
    </row>
    <row r="30490" spans="1:1" x14ac:dyDescent="0.25">
      <c r="A30490" t="e">
        <v>#N/A</v>
      </c>
    </row>
    <row r="30491" spans="1:1" x14ac:dyDescent="0.25">
      <c r="A30491" t="e">
        <v>#N/A</v>
      </c>
    </row>
    <row r="30492" spans="1:1" x14ac:dyDescent="0.25">
      <c r="A30492" t="e">
        <v>#N/A</v>
      </c>
    </row>
    <row r="30493" spans="1:1" x14ac:dyDescent="0.25">
      <c r="A30493" t="e">
        <v>#N/A</v>
      </c>
    </row>
    <row r="30494" spans="1:1" x14ac:dyDescent="0.25">
      <c r="A30494" t="e">
        <v>#N/A</v>
      </c>
    </row>
    <row r="30495" spans="1:1" x14ac:dyDescent="0.25">
      <c r="A30495" t="e">
        <v>#N/A</v>
      </c>
    </row>
    <row r="30496" spans="1:1" x14ac:dyDescent="0.25">
      <c r="A30496" t="e">
        <v>#N/A</v>
      </c>
    </row>
    <row r="30497" spans="1:1" x14ac:dyDescent="0.25">
      <c r="A30497" t="e">
        <v>#N/A</v>
      </c>
    </row>
    <row r="30498" spans="1:1" x14ac:dyDescent="0.25">
      <c r="A30498" t="e">
        <v>#N/A</v>
      </c>
    </row>
    <row r="30499" spans="1:1" x14ac:dyDescent="0.25">
      <c r="A30499" t="e">
        <v>#N/A</v>
      </c>
    </row>
    <row r="30500" spans="1:1" x14ac:dyDescent="0.25">
      <c r="A30500" t="e">
        <v>#N/A</v>
      </c>
    </row>
    <row r="30501" spans="1:1" x14ac:dyDescent="0.25">
      <c r="A30501" t="e">
        <v>#N/A</v>
      </c>
    </row>
    <row r="30502" spans="1:1" x14ac:dyDescent="0.25">
      <c r="A30502" t="e">
        <v>#N/A</v>
      </c>
    </row>
    <row r="30503" spans="1:1" x14ac:dyDescent="0.25">
      <c r="A30503" t="e">
        <v>#N/A</v>
      </c>
    </row>
    <row r="30504" spans="1:1" x14ac:dyDescent="0.25">
      <c r="A30504" t="e">
        <v>#N/A</v>
      </c>
    </row>
    <row r="30505" spans="1:1" x14ac:dyDescent="0.25">
      <c r="A30505" t="e">
        <v>#N/A</v>
      </c>
    </row>
    <row r="30506" spans="1:1" x14ac:dyDescent="0.25">
      <c r="A30506" t="e">
        <v>#N/A</v>
      </c>
    </row>
    <row r="30507" spans="1:1" x14ac:dyDescent="0.25">
      <c r="A30507" t="e">
        <v>#N/A</v>
      </c>
    </row>
    <row r="30508" spans="1:1" x14ac:dyDescent="0.25">
      <c r="A30508" t="e">
        <v>#N/A</v>
      </c>
    </row>
    <row r="30509" spans="1:1" x14ac:dyDescent="0.25">
      <c r="A30509" t="e">
        <v>#N/A</v>
      </c>
    </row>
    <row r="30510" spans="1:1" x14ac:dyDescent="0.25">
      <c r="A30510" t="e">
        <v>#N/A</v>
      </c>
    </row>
    <row r="30511" spans="1:1" x14ac:dyDescent="0.25">
      <c r="A30511" t="e">
        <v>#N/A</v>
      </c>
    </row>
    <row r="30512" spans="1:1" x14ac:dyDescent="0.25">
      <c r="A30512" t="e">
        <v>#N/A</v>
      </c>
    </row>
    <row r="30513" spans="1:1" x14ac:dyDescent="0.25">
      <c r="A30513" t="e">
        <v>#N/A</v>
      </c>
    </row>
    <row r="30514" spans="1:1" x14ac:dyDescent="0.25">
      <c r="A30514" t="e">
        <v>#N/A</v>
      </c>
    </row>
    <row r="30515" spans="1:1" x14ac:dyDescent="0.25">
      <c r="A30515" t="e">
        <v>#N/A</v>
      </c>
    </row>
    <row r="30516" spans="1:1" x14ac:dyDescent="0.25">
      <c r="A30516" t="e">
        <v>#N/A</v>
      </c>
    </row>
    <row r="30517" spans="1:1" x14ac:dyDescent="0.25">
      <c r="A30517" t="e">
        <v>#N/A</v>
      </c>
    </row>
    <row r="30518" spans="1:1" x14ac:dyDescent="0.25">
      <c r="A30518" t="e">
        <v>#N/A</v>
      </c>
    </row>
    <row r="30519" spans="1:1" x14ac:dyDescent="0.25">
      <c r="A30519" t="e">
        <v>#N/A</v>
      </c>
    </row>
    <row r="30520" spans="1:1" x14ac:dyDescent="0.25">
      <c r="A30520" t="e">
        <v>#N/A</v>
      </c>
    </row>
    <row r="30521" spans="1:1" x14ac:dyDescent="0.25">
      <c r="A30521" t="e">
        <v>#N/A</v>
      </c>
    </row>
    <row r="30522" spans="1:1" x14ac:dyDescent="0.25">
      <c r="A30522" t="e">
        <v>#N/A</v>
      </c>
    </row>
    <row r="30523" spans="1:1" x14ac:dyDescent="0.25">
      <c r="A30523" t="e">
        <v>#N/A</v>
      </c>
    </row>
    <row r="30524" spans="1:1" x14ac:dyDescent="0.25">
      <c r="A30524" t="e">
        <v>#N/A</v>
      </c>
    </row>
    <row r="30525" spans="1:1" x14ac:dyDescent="0.25">
      <c r="A30525" t="e">
        <v>#N/A</v>
      </c>
    </row>
    <row r="30526" spans="1:1" x14ac:dyDescent="0.25">
      <c r="A30526" t="e">
        <v>#N/A</v>
      </c>
    </row>
    <row r="30527" spans="1:1" x14ac:dyDescent="0.25">
      <c r="A30527" t="e">
        <v>#N/A</v>
      </c>
    </row>
    <row r="30528" spans="1:1" x14ac:dyDescent="0.25">
      <c r="A30528" t="e">
        <v>#N/A</v>
      </c>
    </row>
    <row r="30529" spans="1:1" x14ac:dyDescent="0.25">
      <c r="A30529" t="e">
        <v>#N/A</v>
      </c>
    </row>
    <row r="30530" spans="1:1" x14ac:dyDescent="0.25">
      <c r="A30530" t="e">
        <v>#N/A</v>
      </c>
    </row>
    <row r="30531" spans="1:1" x14ac:dyDescent="0.25">
      <c r="A30531" t="e">
        <v>#N/A</v>
      </c>
    </row>
    <row r="30532" spans="1:1" x14ac:dyDescent="0.25">
      <c r="A30532" t="e">
        <v>#N/A</v>
      </c>
    </row>
    <row r="30533" spans="1:1" x14ac:dyDescent="0.25">
      <c r="A30533" t="e">
        <v>#N/A</v>
      </c>
    </row>
    <row r="30534" spans="1:1" x14ac:dyDescent="0.25">
      <c r="A30534" t="e">
        <v>#N/A</v>
      </c>
    </row>
    <row r="30535" spans="1:1" x14ac:dyDescent="0.25">
      <c r="A30535" t="e">
        <v>#N/A</v>
      </c>
    </row>
    <row r="30536" spans="1:1" x14ac:dyDescent="0.25">
      <c r="A30536" t="e">
        <v>#N/A</v>
      </c>
    </row>
    <row r="30537" spans="1:1" x14ac:dyDescent="0.25">
      <c r="A30537" t="e">
        <v>#N/A</v>
      </c>
    </row>
    <row r="30538" spans="1:1" x14ac:dyDescent="0.25">
      <c r="A30538" t="e">
        <v>#N/A</v>
      </c>
    </row>
    <row r="30539" spans="1:1" x14ac:dyDescent="0.25">
      <c r="A30539" t="e">
        <v>#N/A</v>
      </c>
    </row>
    <row r="30540" spans="1:1" x14ac:dyDescent="0.25">
      <c r="A30540" t="e">
        <v>#N/A</v>
      </c>
    </row>
    <row r="30541" spans="1:1" x14ac:dyDescent="0.25">
      <c r="A30541" t="e">
        <v>#N/A</v>
      </c>
    </row>
    <row r="30542" spans="1:1" x14ac:dyDescent="0.25">
      <c r="A30542" t="e">
        <v>#N/A</v>
      </c>
    </row>
    <row r="30543" spans="1:1" x14ac:dyDescent="0.25">
      <c r="A30543" t="e">
        <v>#N/A</v>
      </c>
    </row>
    <row r="30544" spans="1:1" x14ac:dyDescent="0.25">
      <c r="A30544" t="e">
        <v>#N/A</v>
      </c>
    </row>
    <row r="30545" spans="1:1" x14ac:dyDescent="0.25">
      <c r="A30545" t="e">
        <v>#N/A</v>
      </c>
    </row>
    <row r="30546" spans="1:1" x14ac:dyDescent="0.25">
      <c r="A30546" t="e">
        <v>#N/A</v>
      </c>
    </row>
    <row r="30547" spans="1:1" x14ac:dyDescent="0.25">
      <c r="A30547" t="e">
        <v>#N/A</v>
      </c>
    </row>
    <row r="30548" spans="1:1" x14ac:dyDescent="0.25">
      <c r="A30548" t="e">
        <v>#N/A</v>
      </c>
    </row>
    <row r="30549" spans="1:1" x14ac:dyDescent="0.25">
      <c r="A30549" t="e">
        <v>#N/A</v>
      </c>
    </row>
    <row r="30550" spans="1:1" x14ac:dyDescent="0.25">
      <c r="A30550" t="e">
        <v>#N/A</v>
      </c>
    </row>
    <row r="30551" spans="1:1" x14ac:dyDescent="0.25">
      <c r="A30551" t="e">
        <v>#N/A</v>
      </c>
    </row>
    <row r="30552" spans="1:1" x14ac:dyDescent="0.25">
      <c r="A30552" t="e">
        <v>#N/A</v>
      </c>
    </row>
    <row r="30553" spans="1:1" x14ac:dyDescent="0.25">
      <c r="A30553" t="e">
        <v>#N/A</v>
      </c>
    </row>
    <row r="30554" spans="1:1" x14ac:dyDescent="0.25">
      <c r="A30554" t="e">
        <v>#N/A</v>
      </c>
    </row>
    <row r="30555" spans="1:1" x14ac:dyDescent="0.25">
      <c r="A30555" t="e">
        <v>#N/A</v>
      </c>
    </row>
    <row r="30556" spans="1:1" x14ac:dyDescent="0.25">
      <c r="A30556" t="e">
        <v>#N/A</v>
      </c>
    </row>
    <row r="30557" spans="1:1" x14ac:dyDescent="0.25">
      <c r="A30557" t="e">
        <v>#N/A</v>
      </c>
    </row>
    <row r="30558" spans="1:1" x14ac:dyDescent="0.25">
      <c r="A30558" t="e">
        <v>#N/A</v>
      </c>
    </row>
    <row r="30559" spans="1:1" x14ac:dyDescent="0.25">
      <c r="A30559" t="e">
        <v>#N/A</v>
      </c>
    </row>
    <row r="30560" spans="1:1" x14ac:dyDescent="0.25">
      <c r="A30560" t="e">
        <v>#N/A</v>
      </c>
    </row>
    <row r="30561" spans="1:1" x14ac:dyDescent="0.25">
      <c r="A30561" t="e">
        <v>#N/A</v>
      </c>
    </row>
    <row r="30562" spans="1:1" x14ac:dyDescent="0.25">
      <c r="A30562" t="e">
        <v>#N/A</v>
      </c>
    </row>
    <row r="30563" spans="1:1" x14ac:dyDescent="0.25">
      <c r="A30563" t="e">
        <v>#N/A</v>
      </c>
    </row>
    <row r="30564" spans="1:1" x14ac:dyDescent="0.25">
      <c r="A30564" t="e">
        <v>#N/A</v>
      </c>
    </row>
    <row r="30565" spans="1:1" x14ac:dyDescent="0.25">
      <c r="A30565" t="e">
        <v>#N/A</v>
      </c>
    </row>
    <row r="30566" spans="1:1" x14ac:dyDescent="0.25">
      <c r="A30566" t="e">
        <v>#N/A</v>
      </c>
    </row>
    <row r="30567" spans="1:1" x14ac:dyDescent="0.25">
      <c r="A30567" t="e">
        <v>#N/A</v>
      </c>
    </row>
    <row r="30568" spans="1:1" x14ac:dyDescent="0.25">
      <c r="A30568" t="e">
        <v>#N/A</v>
      </c>
    </row>
    <row r="30569" spans="1:1" x14ac:dyDescent="0.25">
      <c r="A30569" t="e">
        <v>#N/A</v>
      </c>
    </row>
    <row r="30570" spans="1:1" x14ac:dyDescent="0.25">
      <c r="A30570" t="e">
        <v>#N/A</v>
      </c>
    </row>
    <row r="30571" spans="1:1" x14ac:dyDescent="0.25">
      <c r="A30571" t="e">
        <v>#N/A</v>
      </c>
    </row>
    <row r="30572" spans="1:1" x14ac:dyDescent="0.25">
      <c r="A30572" t="e">
        <v>#N/A</v>
      </c>
    </row>
    <row r="30573" spans="1:1" x14ac:dyDescent="0.25">
      <c r="A30573" t="e">
        <v>#N/A</v>
      </c>
    </row>
    <row r="30574" spans="1:1" x14ac:dyDescent="0.25">
      <c r="A30574" t="e">
        <v>#N/A</v>
      </c>
    </row>
    <row r="30575" spans="1:1" x14ac:dyDescent="0.25">
      <c r="A30575" t="e">
        <v>#N/A</v>
      </c>
    </row>
    <row r="30576" spans="1:1" x14ac:dyDescent="0.25">
      <c r="A30576" t="e">
        <v>#N/A</v>
      </c>
    </row>
    <row r="30577" spans="1:1" x14ac:dyDescent="0.25">
      <c r="A30577" t="e">
        <v>#N/A</v>
      </c>
    </row>
    <row r="30578" spans="1:1" x14ac:dyDescent="0.25">
      <c r="A30578" t="e">
        <v>#N/A</v>
      </c>
    </row>
    <row r="30579" spans="1:1" x14ac:dyDescent="0.25">
      <c r="A30579" t="e">
        <v>#N/A</v>
      </c>
    </row>
    <row r="30580" spans="1:1" x14ac:dyDescent="0.25">
      <c r="A30580" t="e">
        <v>#N/A</v>
      </c>
    </row>
    <row r="30581" spans="1:1" x14ac:dyDescent="0.25">
      <c r="A30581" t="e">
        <v>#N/A</v>
      </c>
    </row>
    <row r="30582" spans="1:1" x14ac:dyDescent="0.25">
      <c r="A30582" t="e">
        <v>#N/A</v>
      </c>
    </row>
    <row r="30583" spans="1:1" x14ac:dyDescent="0.25">
      <c r="A30583" t="e">
        <v>#N/A</v>
      </c>
    </row>
    <row r="30584" spans="1:1" x14ac:dyDescent="0.25">
      <c r="A30584" t="e">
        <v>#N/A</v>
      </c>
    </row>
    <row r="30585" spans="1:1" x14ac:dyDescent="0.25">
      <c r="A30585" t="e">
        <v>#N/A</v>
      </c>
    </row>
    <row r="30586" spans="1:1" x14ac:dyDescent="0.25">
      <c r="A30586" t="e">
        <v>#N/A</v>
      </c>
    </row>
    <row r="30587" spans="1:1" x14ac:dyDescent="0.25">
      <c r="A30587" t="e">
        <v>#N/A</v>
      </c>
    </row>
    <row r="30588" spans="1:1" x14ac:dyDescent="0.25">
      <c r="A30588" t="e">
        <v>#N/A</v>
      </c>
    </row>
    <row r="30589" spans="1:1" x14ac:dyDescent="0.25">
      <c r="A30589" t="e">
        <v>#N/A</v>
      </c>
    </row>
    <row r="30590" spans="1:1" x14ac:dyDescent="0.25">
      <c r="A30590" t="e">
        <v>#N/A</v>
      </c>
    </row>
    <row r="30591" spans="1:1" x14ac:dyDescent="0.25">
      <c r="A30591" t="e">
        <v>#N/A</v>
      </c>
    </row>
    <row r="30592" spans="1:1" x14ac:dyDescent="0.25">
      <c r="A30592" t="e">
        <v>#N/A</v>
      </c>
    </row>
    <row r="30593" spans="1:1" x14ac:dyDescent="0.25">
      <c r="A30593" t="e">
        <v>#N/A</v>
      </c>
    </row>
    <row r="30594" spans="1:1" x14ac:dyDescent="0.25">
      <c r="A30594" t="e">
        <v>#N/A</v>
      </c>
    </row>
    <row r="30595" spans="1:1" x14ac:dyDescent="0.25">
      <c r="A30595" t="e">
        <v>#N/A</v>
      </c>
    </row>
    <row r="30596" spans="1:1" x14ac:dyDescent="0.25">
      <c r="A30596" t="e">
        <v>#N/A</v>
      </c>
    </row>
    <row r="30597" spans="1:1" x14ac:dyDescent="0.25">
      <c r="A30597" t="e">
        <v>#N/A</v>
      </c>
    </row>
    <row r="30598" spans="1:1" x14ac:dyDescent="0.25">
      <c r="A30598" t="e">
        <v>#N/A</v>
      </c>
    </row>
    <row r="30599" spans="1:1" x14ac:dyDescent="0.25">
      <c r="A30599" t="e">
        <v>#N/A</v>
      </c>
    </row>
    <row r="30600" spans="1:1" x14ac:dyDescent="0.25">
      <c r="A30600" t="e">
        <v>#N/A</v>
      </c>
    </row>
    <row r="30601" spans="1:1" x14ac:dyDescent="0.25">
      <c r="A30601" t="e">
        <v>#N/A</v>
      </c>
    </row>
    <row r="30602" spans="1:1" x14ac:dyDescent="0.25">
      <c r="A30602" t="e">
        <v>#N/A</v>
      </c>
    </row>
    <row r="30603" spans="1:1" x14ac:dyDescent="0.25">
      <c r="A30603" t="e">
        <v>#N/A</v>
      </c>
    </row>
    <row r="30604" spans="1:1" x14ac:dyDescent="0.25">
      <c r="A30604" t="e">
        <v>#N/A</v>
      </c>
    </row>
    <row r="30605" spans="1:1" x14ac:dyDescent="0.25">
      <c r="A30605" t="e">
        <v>#N/A</v>
      </c>
    </row>
    <row r="30606" spans="1:1" x14ac:dyDescent="0.25">
      <c r="A30606" t="e">
        <v>#N/A</v>
      </c>
    </row>
    <row r="30607" spans="1:1" x14ac:dyDescent="0.25">
      <c r="A30607" t="e">
        <v>#N/A</v>
      </c>
    </row>
    <row r="30608" spans="1:1" x14ac:dyDescent="0.25">
      <c r="A30608" t="e">
        <v>#N/A</v>
      </c>
    </row>
    <row r="30609" spans="1:1" x14ac:dyDescent="0.25">
      <c r="A30609" t="e">
        <v>#N/A</v>
      </c>
    </row>
    <row r="30610" spans="1:1" x14ac:dyDescent="0.25">
      <c r="A30610" t="e">
        <v>#N/A</v>
      </c>
    </row>
    <row r="30611" spans="1:1" x14ac:dyDescent="0.25">
      <c r="A30611" t="e">
        <v>#N/A</v>
      </c>
    </row>
    <row r="30612" spans="1:1" x14ac:dyDescent="0.25">
      <c r="A30612" t="e">
        <v>#N/A</v>
      </c>
    </row>
    <row r="30613" spans="1:1" x14ac:dyDescent="0.25">
      <c r="A30613" t="e">
        <v>#N/A</v>
      </c>
    </row>
    <row r="30614" spans="1:1" x14ac:dyDescent="0.25">
      <c r="A30614" t="e">
        <v>#N/A</v>
      </c>
    </row>
    <row r="30615" spans="1:1" x14ac:dyDescent="0.25">
      <c r="A30615" t="e">
        <v>#N/A</v>
      </c>
    </row>
    <row r="30616" spans="1:1" x14ac:dyDescent="0.25">
      <c r="A30616" t="e">
        <v>#N/A</v>
      </c>
    </row>
    <row r="30617" spans="1:1" x14ac:dyDescent="0.25">
      <c r="A30617" t="e">
        <v>#N/A</v>
      </c>
    </row>
    <row r="30618" spans="1:1" x14ac:dyDescent="0.25">
      <c r="A30618" t="e">
        <v>#N/A</v>
      </c>
    </row>
    <row r="30619" spans="1:1" x14ac:dyDescent="0.25">
      <c r="A30619" t="e">
        <v>#N/A</v>
      </c>
    </row>
    <row r="30620" spans="1:1" x14ac:dyDescent="0.25">
      <c r="A30620" t="e">
        <v>#N/A</v>
      </c>
    </row>
    <row r="30621" spans="1:1" x14ac:dyDescent="0.25">
      <c r="A30621" t="e">
        <v>#N/A</v>
      </c>
    </row>
    <row r="30622" spans="1:1" x14ac:dyDescent="0.25">
      <c r="A30622" t="e">
        <v>#N/A</v>
      </c>
    </row>
    <row r="30623" spans="1:1" x14ac:dyDescent="0.25">
      <c r="A30623" t="e">
        <v>#N/A</v>
      </c>
    </row>
    <row r="30624" spans="1:1" x14ac:dyDescent="0.25">
      <c r="A30624" t="e">
        <v>#N/A</v>
      </c>
    </row>
    <row r="30625" spans="1:1" x14ac:dyDescent="0.25">
      <c r="A30625" t="e">
        <v>#N/A</v>
      </c>
    </row>
    <row r="30626" spans="1:1" x14ac:dyDescent="0.25">
      <c r="A30626" t="e">
        <v>#N/A</v>
      </c>
    </row>
    <row r="30627" spans="1:1" x14ac:dyDescent="0.25">
      <c r="A30627" t="e">
        <v>#N/A</v>
      </c>
    </row>
    <row r="30628" spans="1:1" x14ac:dyDescent="0.25">
      <c r="A30628" t="e">
        <v>#N/A</v>
      </c>
    </row>
    <row r="30629" spans="1:1" x14ac:dyDescent="0.25">
      <c r="A30629" t="e">
        <v>#N/A</v>
      </c>
    </row>
    <row r="30630" spans="1:1" x14ac:dyDescent="0.25">
      <c r="A30630" t="e">
        <v>#N/A</v>
      </c>
    </row>
    <row r="30631" spans="1:1" x14ac:dyDescent="0.25">
      <c r="A30631" t="e">
        <v>#N/A</v>
      </c>
    </row>
    <row r="30632" spans="1:1" x14ac:dyDescent="0.25">
      <c r="A30632" t="e">
        <v>#N/A</v>
      </c>
    </row>
    <row r="30633" spans="1:1" x14ac:dyDescent="0.25">
      <c r="A30633" t="e">
        <v>#N/A</v>
      </c>
    </row>
    <row r="30634" spans="1:1" x14ac:dyDescent="0.25">
      <c r="A30634" t="e">
        <v>#N/A</v>
      </c>
    </row>
    <row r="30635" spans="1:1" x14ac:dyDescent="0.25">
      <c r="A30635" t="e">
        <v>#N/A</v>
      </c>
    </row>
    <row r="30636" spans="1:1" x14ac:dyDescent="0.25">
      <c r="A30636" t="e">
        <v>#N/A</v>
      </c>
    </row>
    <row r="30637" spans="1:1" x14ac:dyDescent="0.25">
      <c r="A30637" t="e">
        <v>#N/A</v>
      </c>
    </row>
    <row r="30638" spans="1:1" x14ac:dyDescent="0.25">
      <c r="A30638" t="e">
        <v>#N/A</v>
      </c>
    </row>
    <row r="30639" spans="1:1" x14ac:dyDescent="0.25">
      <c r="A30639" t="e">
        <v>#N/A</v>
      </c>
    </row>
    <row r="30640" spans="1:1" x14ac:dyDescent="0.25">
      <c r="A30640" t="e">
        <v>#N/A</v>
      </c>
    </row>
    <row r="30641" spans="1:1" x14ac:dyDescent="0.25">
      <c r="A30641" t="e">
        <v>#N/A</v>
      </c>
    </row>
    <row r="30642" spans="1:1" x14ac:dyDescent="0.25">
      <c r="A30642" t="e">
        <v>#N/A</v>
      </c>
    </row>
    <row r="30643" spans="1:1" x14ac:dyDescent="0.25">
      <c r="A30643" t="e">
        <v>#N/A</v>
      </c>
    </row>
    <row r="30644" spans="1:1" x14ac:dyDescent="0.25">
      <c r="A30644" t="e">
        <v>#N/A</v>
      </c>
    </row>
    <row r="30645" spans="1:1" x14ac:dyDescent="0.25">
      <c r="A30645" t="e">
        <v>#N/A</v>
      </c>
    </row>
    <row r="30646" spans="1:1" x14ac:dyDescent="0.25">
      <c r="A30646" t="e">
        <v>#N/A</v>
      </c>
    </row>
    <row r="30647" spans="1:1" x14ac:dyDescent="0.25">
      <c r="A30647" t="e">
        <v>#N/A</v>
      </c>
    </row>
    <row r="30648" spans="1:1" x14ac:dyDescent="0.25">
      <c r="A30648" t="e">
        <v>#N/A</v>
      </c>
    </row>
    <row r="30649" spans="1:1" x14ac:dyDescent="0.25">
      <c r="A30649" t="e">
        <v>#N/A</v>
      </c>
    </row>
    <row r="30650" spans="1:1" x14ac:dyDescent="0.25">
      <c r="A30650" t="e">
        <v>#N/A</v>
      </c>
    </row>
    <row r="30651" spans="1:1" x14ac:dyDescent="0.25">
      <c r="A30651" t="e">
        <v>#N/A</v>
      </c>
    </row>
    <row r="30652" spans="1:1" x14ac:dyDescent="0.25">
      <c r="A30652" t="e">
        <v>#N/A</v>
      </c>
    </row>
    <row r="30653" spans="1:1" x14ac:dyDescent="0.25">
      <c r="A30653" t="e">
        <v>#N/A</v>
      </c>
    </row>
    <row r="30654" spans="1:1" x14ac:dyDescent="0.25">
      <c r="A30654" t="e">
        <v>#N/A</v>
      </c>
    </row>
    <row r="30655" spans="1:1" x14ac:dyDescent="0.25">
      <c r="A30655" t="e">
        <v>#N/A</v>
      </c>
    </row>
    <row r="30656" spans="1:1" x14ac:dyDescent="0.25">
      <c r="A30656" t="e">
        <v>#N/A</v>
      </c>
    </row>
    <row r="30657" spans="1:1" x14ac:dyDescent="0.25">
      <c r="A30657" t="e">
        <v>#N/A</v>
      </c>
    </row>
    <row r="30658" spans="1:1" x14ac:dyDescent="0.25">
      <c r="A30658" t="e">
        <v>#N/A</v>
      </c>
    </row>
    <row r="30659" spans="1:1" x14ac:dyDescent="0.25">
      <c r="A30659" t="e">
        <v>#N/A</v>
      </c>
    </row>
    <row r="30660" spans="1:1" x14ac:dyDescent="0.25">
      <c r="A30660" t="e">
        <v>#N/A</v>
      </c>
    </row>
    <row r="30661" spans="1:1" x14ac:dyDescent="0.25">
      <c r="A30661" t="e">
        <v>#N/A</v>
      </c>
    </row>
    <row r="30662" spans="1:1" x14ac:dyDescent="0.25">
      <c r="A30662" t="e">
        <v>#N/A</v>
      </c>
    </row>
    <row r="30663" spans="1:1" x14ac:dyDescent="0.25">
      <c r="A30663" t="e">
        <v>#N/A</v>
      </c>
    </row>
    <row r="30664" spans="1:1" x14ac:dyDescent="0.25">
      <c r="A30664" t="e">
        <v>#N/A</v>
      </c>
    </row>
    <row r="30665" spans="1:1" x14ac:dyDescent="0.25">
      <c r="A30665" t="e">
        <v>#N/A</v>
      </c>
    </row>
    <row r="30666" spans="1:1" x14ac:dyDescent="0.25">
      <c r="A30666" t="e">
        <v>#N/A</v>
      </c>
    </row>
    <row r="30667" spans="1:1" x14ac:dyDescent="0.25">
      <c r="A30667" t="e">
        <v>#N/A</v>
      </c>
    </row>
    <row r="30668" spans="1:1" x14ac:dyDescent="0.25">
      <c r="A30668" t="e">
        <v>#N/A</v>
      </c>
    </row>
    <row r="30669" spans="1:1" x14ac:dyDescent="0.25">
      <c r="A30669" t="e">
        <v>#N/A</v>
      </c>
    </row>
    <row r="30670" spans="1:1" x14ac:dyDescent="0.25">
      <c r="A30670" t="e">
        <v>#N/A</v>
      </c>
    </row>
    <row r="30671" spans="1:1" x14ac:dyDescent="0.25">
      <c r="A30671" t="e">
        <v>#N/A</v>
      </c>
    </row>
    <row r="30672" spans="1:1" x14ac:dyDescent="0.25">
      <c r="A30672" t="e">
        <v>#N/A</v>
      </c>
    </row>
    <row r="30673" spans="1:1" x14ac:dyDescent="0.25">
      <c r="A30673" t="e">
        <v>#N/A</v>
      </c>
    </row>
    <row r="30674" spans="1:1" x14ac:dyDescent="0.25">
      <c r="A30674" t="e">
        <v>#N/A</v>
      </c>
    </row>
    <row r="30675" spans="1:1" x14ac:dyDescent="0.25">
      <c r="A30675" t="e">
        <v>#N/A</v>
      </c>
    </row>
    <row r="30676" spans="1:1" x14ac:dyDescent="0.25">
      <c r="A30676" t="e">
        <v>#N/A</v>
      </c>
    </row>
    <row r="30677" spans="1:1" x14ac:dyDescent="0.25">
      <c r="A30677" t="e">
        <v>#N/A</v>
      </c>
    </row>
    <row r="30678" spans="1:1" x14ac:dyDescent="0.25">
      <c r="A30678" t="e">
        <v>#N/A</v>
      </c>
    </row>
    <row r="30679" spans="1:1" x14ac:dyDescent="0.25">
      <c r="A30679" t="e">
        <v>#N/A</v>
      </c>
    </row>
    <row r="30680" spans="1:1" x14ac:dyDescent="0.25">
      <c r="A30680" t="e">
        <v>#N/A</v>
      </c>
    </row>
    <row r="30681" spans="1:1" x14ac:dyDescent="0.25">
      <c r="A30681" t="e">
        <v>#N/A</v>
      </c>
    </row>
    <row r="30682" spans="1:1" x14ac:dyDescent="0.25">
      <c r="A30682" t="e">
        <v>#N/A</v>
      </c>
    </row>
    <row r="30683" spans="1:1" x14ac:dyDescent="0.25">
      <c r="A30683" t="e">
        <v>#N/A</v>
      </c>
    </row>
    <row r="30684" spans="1:1" x14ac:dyDescent="0.25">
      <c r="A30684" t="e">
        <v>#N/A</v>
      </c>
    </row>
    <row r="30685" spans="1:1" x14ac:dyDescent="0.25">
      <c r="A30685" t="e">
        <v>#N/A</v>
      </c>
    </row>
    <row r="30686" spans="1:1" x14ac:dyDescent="0.25">
      <c r="A30686" t="e">
        <v>#N/A</v>
      </c>
    </row>
    <row r="30687" spans="1:1" x14ac:dyDescent="0.25">
      <c r="A30687" t="e">
        <v>#N/A</v>
      </c>
    </row>
    <row r="30688" spans="1:1" x14ac:dyDescent="0.25">
      <c r="A30688" t="e">
        <v>#N/A</v>
      </c>
    </row>
    <row r="30689" spans="1:1" x14ac:dyDescent="0.25">
      <c r="A30689" t="e">
        <v>#N/A</v>
      </c>
    </row>
    <row r="30690" spans="1:1" x14ac:dyDescent="0.25">
      <c r="A30690" t="e">
        <v>#N/A</v>
      </c>
    </row>
    <row r="30691" spans="1:1" x14ac:dyDescent="0.25">
      <c r="A30691" t="e">
        <v>#N/A</v>
      </c>
    </row>
    <row r="30692" spans="1:1" x14ac:dyDescent="0.25">
      <c r="A30692" t="e">
        <v>#N/A</v>
      </c>
    </row>
    <row r="30693" spans="1:1" x14ac:dyDescent="0.25">
      <c r="A30693" t="e">
        <v>#N/A</v>
      </c>
    </row>
    <row r="30694" spans="1:1" x14ac:dyDescent="0.25">
      <c r="A30694" t="e">
        <v>#N/A</v>
      </c>
    </row>
    <row r="30695" spans="1:1" x14ac:dyDescent="0.25">
      <c r="A30695" t="e">
        <v>#N/A</v>
      </c>
    </row>
    <row r="30696" spans="1:1" x14ac:dyDescent="0.25">
      <c r="A30696" t="e">
        <v>#N/A</v>
      </c>
    </row>
    <row r="30697" spans="1:1" x14ac:dyDescent="0.25">
      <c r="A30697" t="e">
        <v>#N/A</v>
      </c>
    </row>
    <row r="30698" spans="1:1" x14ac:dyDescent="0.25">
      <c r="A30698" t="e">
        <v>#N/A</v>
      </c>
    </row>
    <row r="30699" spans="1:1" x14ac:dyDescent="0.25">
      <c r="A30699" t="e">
        <v>#N/A</v>
      </c>
    </row>
    <row r="30700" spans="1:1" x14ac:dyDescent="0.25">
      <c r="A30700" t="e">
        <v>#N/A</v>
      </c>
    </row>
    <row r="30701" spans="1:1" x14ac:dyDescent="0.25">
      <c r="A30701" t="e">
        <v>#N/A</v>
      </c>
    </row>
    <row r="30702" spans="1:1" x14ac:dyDescent="0.25">
      <c r="A30702" t="e">
        <v>#N/A</v>
      </c>
    </row>
    <row r="30703" spans="1:1" x14ac:dyDescent="0.25">
      <c r="A30703" t="e">
        <v>#N/A</v>
      </c>
    </row>
    <row r="30704" spans="1:1" x14ac:dyDescent="0.25">
      <c r="A30704" t="e">
        <v>#N/A</v>
      </c>
    </row>
    <row r="30705" spans="1:1" x14ac:dyDescent="0.25">
      <c r="A30705" t="e">
        <v>#N/A</v>
      </c>
    </row>
    <row r="30706" spans="1:1" x14ac:dyDescent="0.25">
      <c r="A30706" t="e">
        <v>#N/A</v>
      </c>
    </row>
    <row r="30707" spans="1:1" x14ac:dyDescent="0.25">
      <c r="A30707" t="e">
        <v>#N/A</v>
      </c>
    </row>
    <row r="30708" spans="1:1" x14ac:dyDescent="0.25">
      <c r="A30708" t="e">
        <v>#N/A</v>
      </c>
    </row>
    <row r="30709" spans="1:1" x14ac:dyDescent="0.25">
      <c r="A30709" t="e">
        <v>#N/A</v>
      </c>
    </row>
    <row r="30710" spans="1:1" x14ac:dyDescent="0.25">
      <c r="A30710" t="e">
        <v>#N/A</v>
      </c>
    </row>
    <row r="30711" spans="1:1" x14ac:dyDescent="0.25">
      <c r="A30711" t="e">
        <v>#N/A</v>
      </c>
    </row>
    <row r="30712" spans="1:1" x14ac:dyDescent="0.25">
      <c r="A30712" t="e">
        <v>#N/A</v>
      </c>
    </row>
    <row r="30713" spans="1:1" x14ac:dyDescent="0.25">
      <c r="A30713" t="e">
        <v>#N/A</v>
      </c>
    </row>
    <row r="30714" spans="1:1" x14ac:dyDescent="0.25">
      <c r="A30714" t="e">
        <v>#N/A</v>
      </c>
    </row>
    <row r="30715" spans="1:1" x14ac:dyDescent="0.25">
      <c r="A30715" t="e">
        <v>#N/A</v>
      </c>
    </row>
    <row r="30716" spans="1:1" x14ac:dyDescent="0.25">
      <c r="A30716" t="e">
        <v>#N/A</v>
      </c>
    </row>
    <row r="30717" spans="1:1" x14ac:dyDescent="0.25">
      <c r="A30717" t="e">
        <v>#N/A</v>
      </c>
    </row>
    <row r="30718" spans="1:1" x14ac:dyDescent="0.25">
      <c r="A30718" t="e">
        <v>#N/A</v>
      </c>
    </row>
    <row r="30719" spans="1:1" x14ac:dyDescent="0.25">
      <c r="A30719" t="e">
        <v>#N/A</v>
      </c>
    </row>
    <row r="30720" spans="1:1" x14ac:dyDescent="0.25">
      <c r="A30720" t="e">
        <v>#N/A</v>
      </c>
    </row>
    <row r="30721" spans="1:1" x14ac:dyDescent="0.25">
      <c r="A30721" t="e">
        <v>#N/A</v>
      </c>
    </row>
    <row r="30722" spans="1:1" x14ac:dyDescent="0.25">
      <c r="A30722" t="e">
        <v>#N/A</v>
      </c>
    </row>
    <row r="30723" spans="1:1" x14ac:dyDescent="0.25">
      <c r="A30723" t="e">
        <v>#N/A</v>
      </c>
    </row>
    <row r="30724" spans="1:1" x14ac:dyDescent="0.25">
      <c r="A30724" t="e">
        <v>#N/A</v>
      </c>
    </row>
    <row r="30725" spans="1:1" x14ac:dyDescent="0.25">
      <c r="A30725" t="e">
        <v>#N/A</v>
      </c>
    </row>
    <row r="30726" spans="1:1" x14ac:dyDescent="0.25">
      <c r="A30726" t="e">
        <v>#N/A</v>
      </c>
    </row>
    <row r="30727" spans="1:1" x14ac:dyDescent="0.25">
      <c r="A30727" t="e">
        <v>#N/A</v>
      </c>
    </row>
    <row r="30728" spans="1:1" x14ac:dyDescent="0.25">
      <c r="A30728" t="e">
        <v>#N/A</v>
      </c>
    </row>
    <row r="30729" spans="1:1" x14ac:dyDescent="0.25">
      <c r="A30729" t="e">
        <v>#N/A</v>
      </c>
    </row>
    <row r="30730" spans="1:1" x14ac:dyDescent="0.25">
      <c r="A30730" t="e">
        <v>#N/A</v>
      </c>
    </row>
    <row r="30731" spans="1:1" x14ac:dyDescent="0.25">
      <c r="A30731" t="e">
        <v>#N/A</v>
      </c>
    </row>
    <row r="30732" spans="1:1" x14ac:dyDescent="0.25">
      <c r="A30732" t="e">
        <v>#N/A</v>
      </c>
    </row>
    <row r="30733" spans="1:1" x14ac:dyDescent="0.25">
      <c r="A30733" t="e">
        <v>#N/A</v>
      </c>
    </row>
    <row r="30734" spans="1:1" x14ac:dyDescent="0.25">
      <c r="A30734" t="e">
        <v>#N/A</v>
      </c>
    </row>
    <row r="30735" spans="1:1" x14ac:dyDescent="0.25">
      <c r="A30735" t="e">
        <v>#N/A</v>
      </c>
    </row>
    <row r="30736" spans="1:1" x14ac:dyDescent="0.25">
      <c r="A30736" t="e">
        <v>#N/A</v>
      </c>
    </row>
    <row r="30737" spans="1:1" x14ac:dyDescent="0.25">
      <c r="A30737" t="e">
        <v>#N/A</v>
      </c>
    </row>
    <row r="30738" spans="1:1" x14ac:dyDescent="0.25">
      <c r="A30738" t="e">
        <v>#N/A</v>
      </c>
    </row>
    <row r="30739" spans="1:1" x14ac:dyDescent="0.25">
      <c r="A30739" t="e">
        <v>#N/A</v>
      </c>
    </row>
    <row r="30740" spans="1:1" x14ac:dyDescent="0.25">
      <c r="A30740" t="e">
        <v>#N/A</v>
      </c>
    </row>
    <row r="30741" spans="1:1" x14ac:dyDescent="0.25">
      <c r="A30741" t="e">
        <v>#N/A</v>
      </c>
    </row>
    <row r="30742" spans="1:1" x14ac:dyDescent="0.25">
      <c r="A30742" t="e">
        <v>#N/A</v>
      </c>
    </row>
    <row r="30743" spans="1:1" x14ac:dyDescent="0.25">
      <c r="A30743" t="e">
        <v>#N/A</v>
      </c>
    </row>
    <row r="30744" spans="1:1" x14ac:dyDescent="0.25">
      <c r="A30744" t="e">
        <v>#N/A</v>
      </c>
    </row>
    <row r="30745" spans="1:1" x14ac:dyDescent="0.25">
      <c r="A30745" t="e">
        <v>#N/A</v>
      </c>
    </row>
    <row r="30746" spans="1:1" x14ac:dyDescent="0.25">
      <c r="A30746" t="e">
        <v>#N/A</v>
      </c>
    </row>
    <row r="30747" spans="1:1" x14ac:dyDescent="0.25">
      <c r="A30747" t="e">
        <v>#N/A</v>
      </c>
    </row>
    <row r="30748" spans="1:1" x14ac:dyDescent="0.25">
      <c r="A30748" t="e">
        <v>#N/A</v>
      </c>
    </row>
    <row r="30749" spans="1:1" x14ac:dyDescent="0.25">
      <c r="A30749" t="e">
        <v>#N/A</v>
      </c>
    </row>
    <row r="30750" spans="1:1" x14ac:dyDescent="0.25">
      <c r="A30750" t="e">
        <v>#N/A</v>
      </c>
    </row>
    <row r="30751" spans="1:1" x14ac:dyDescent="0.25">
      <c r="A30751" t="e">
        <v>#N/A</v>
      </c>
    </row>
    <row r="30752" spans="1:1" x14ac:dyDescent="0.25">
      <c r="A30752" t="e">
        <v>#N/A</v>
      </c>
    </row>
    <row r="30753" spans="1:1" x14ac:dyDescent="0.25">
      <c r="A30753" t="e">
        <v>#N/A</v>
      </c>
    </row>
    <row r="30754" spans="1:1" x14ac:dyDescent="0.25">
      <c r="A30754" t="e">
        <v>#N/A</v>
      </c>
    </row>
    <row r="30755" spans="1:1" x14ac:dyDescent="0.25">
      <c r="A30755" t="e">
        <v>#N/A</v>
      </c>
    </row>
    <row r="30756" spans="1:1" x14ac:dyDescent="0.25">
      <c r="A30756" t="e">
        <v>#N/A</v>
      </c>
    </row>
    <row r="30757" spans="1:1" x14ac:dyDescent="0.25">
      <c r="A30757" t="e">
        <v>#N/A</v>
      </c>
    </row>
    <row r="30758" spans="1:1" x14ac:dyDescent="0.25">
      <c r="A30758" t="e">
        <v>#N/A</v>
      </c>
    </row>
    <row r="30759" spans="1:1" x14ac:dyDescent="0.25">
      <c r="A30759" t="e">
        <v>#N/A</v>
      </c>
    </row>
    <row r="30760" spans="1:1" x14ac:dyDescent="0.25">
      <c r="A30760" t="e">
        <v>#N/A</v>
      </c>
    </row>
    <row r="30761" spans="1:1" x14ac:dyDescent="0.25">
      <c r="A30761" t="e">
        <v>#N/A</v>
      </c>
    </row>
    <row r="30762" spans="1:1" x14ac:dyDescent="0.25">
      <c r="A30762" t="e">
        <v>#N/A</v>
      </c>
    </row>
    <row r="30763" spans="1:1" x14ac:dyDescent="0.25">
      <c r="A30763" t="e">
        <v>#N/A</v>
      </c>
    </row>
    <row r="30764" spans="1:1" x14ac:dyDescent="0.25">
      <c r="A30764" t="e">
        <v>#N/A</v>
      </c>
    </row>
    <row r="30765" spans="1:1" x14ac:dyDescent="0.25">
      <c r="A30765" t="e">
        <v>#N/A</v>
      </c>
    </row>
    <row r="30766" spans="1:1" x14ac:dyDescent="0.25">
      <c r="A30766" t="e">
        <v>#N/A</v>
      </c>
    </row>
    <row r="30767" spans="1:1" x14ac:dyDescent="0.25">
      <c r="A30767" t="e">
        <v>#N/A</v>
      </c>
    </row>
    <row r="30768" spans="1:1" x14ac:dyDescent="0.25">
      <c r="A30768" t="e">
        <v>#N/A</v>
      </c>
    </row>
    <row r="30769" spans="1:1" x14ac:dyDescent="0.25">
      <c r="A30769" t="e">
        <v>#N/A</v>
      </c>
    </row>
    <row r="30770" spans="1:1" x14ac:dyDescent="0.25">
      <c r="A30770" t="e">
        <v>#N/A</v>
      </c>
    </row>
    <row r="30771" spans="1:1" x14ac:dyDescent="0.25">
      <c r="A30771" t="e">
        <v>#N/A</v>
      </c>
    </row>
    <row r="30772" spans="1:1" x14ac:dyDescent="0.25">
      <c r="A30772" t="e">
        <v>#N/A</v>
      </c>
    </row>
    <row r="30773" spans="1:1" x14ac:dyDescent="0.25">
      <c r="A30773" t="e">
        <v>#N/A</v>
      </c>
    </row>
    <row r="30774" spans="1:1" x14ac:dyDescent="0.25">
      <c r="A30774" t="e">
        <v>#N/A</v>
      </c>
    </row>
    <row r="30775" spans="1:1" x14ac:dyDescent="0.25">
      <c r="A30775" t="e">
        <v>#N/A</v>
      </c>
    </row>
    <row r="30776" spans="1:1" x14ac:dyDescent="0.25">
      <c r="A30776" t="e">
        <v>#N/A</v>
      </c>
    </row>
    <row r="30777" spans="1:1" x14ac:dyDescent="0.25">
      <c r="A30777" t="e">
        <v>#N/A</v>
      </c>
    </row>
    <row r="30778" spans="1:1" x14ac:dyDescent="0.25">
      <c r="A30778" t="e">
        <v>#N/A</v>
      </c>
    </row>
    <row r="30779" spans="1:1" x14ac:dyDescent="0.25">
      <c r="A30779" t="e">
        <v>#N/A</v>
      </c>
    </row>
    <row r="30780" spans="1:1" x14ac:dyDescent="0.25">
      <c r="A30780" t="e">
        <v>#N/A</v>
      </c>
    </row>
    <row r="30781" spans="1:1" x14ac:dyDescent="0.25">
      <c r="A30781" t="e">
        <v>#N/A</v>
      </c>
    </row>
    <row r="30782" spans="1:1" x14ac:dyDescent="0.25">
      <c r="A30782" t="e">
        <v>#N/A</v>
      </c>
    </row>
    <row r="30783" spans="1:1" x14ac:dyDescent="0.25">
      <c r="A30783" t="e">
        <v>#N/A</v>
      </c>
    </row>
    <row r="30784" spans="1:1" x14ac:dyDescent="0.25">
      <c r="A30784" t="e">
        <v>#N/A</v>
      </c>
    </row>
    <row r="30785" spans="1:1" x14ac:dyDescent="0.25">
      <c r="A30785" t="e">
        <v>#N/A</v>
      </c>
    </row>
    <row r="30786" spans="1:1" x14ac:dyDescent="0.25">
      <c r="A30786" t="e">
        <v>#N/A</v>
      </c>
    </row>
    <row r="30787" spans="1:1" x14ac:dyDescent="0.25">
      <c r="A30787" t="e">
        <v>#N/A</v>
      </c>
    </row>
    <row r="30788" spans="1:1" x14ac:dyDescent="0.25">
      <c r="A30788" t="e">
        <v>#N/A</v>
      </c>
    </row>
    <row r="30789" spans="1:1" x14ac:dyDescent="0.25">
      <c r="A30789" t="e">
        <v>#N/A</v>
      </c>
    </row>
    <row r="30790" spans="1:1" x14ac:dyDescent="0.25">
      <c r="A30790" t="e">
        <v>#N/A</v>
      </c>
    </row>
    <row r="30791" spans="1:1" x14ac:dyDescent="0.25">
      <c r="A30791" t="e">
        <v>#N/A</v>
      </c>
    </row>
    <row r="30792" spans="1:1" x14ac:dyDescent="0.25">
      <c r="A30792" t="e">
        <v>#N/A</v>
      </c>
    </row>
    <row r="30793" spans="1:1" x14ac:dyDescent="0.25">
      <c r="A30793" t="e">
        <v>#N/A</v>
      </c>
    </row>
    <row r="30794" spans="1:1" x14ac:dyDescent="0.25">
      <c r="A30794" t="e">
        <v>#N/A</v>
      </c>
    </row>
    <row r="30795" spans="1:1" x14ac:dyDescent="0.25">
      <c r="A30795" t="e">
        <v>#N/A</v>
      </c>
    </row>
    <row r="30796" spans="1:1" x14ac:dyDescent="0.25">
      <c r="A30796" t="e">
        <v>#N/A</v>
      </c>
    </row>
    <row r="30797" spans="1:1" x14ac:dyDescent="0.25">
      <c r="A30797" t="e">
        <v>#N/A</v>
      </c>
    </row>
    <row r="30798" spans="1:1" x14ac:dyDescent="0.25">
      <c r="A30798" t="e">
        <v>#N/A</v>
      </c>
    </row>
    <row r="30799" spans="1:1" x14ac:dyDescent="0.25">
      <c r="A30799" t="e">
        <v>#N/A</v>
      </c>
    </row>
    <row r="30800" spans="1:1" x14ac:dyDescent="0.25">
      <c r="A30800" t="e">
        <v>#N/A</v>
      </c>
    </row>
    <row r="30801" spans="1:1" x14ac:dyDescent="0.25">
      <c r="A30801" t="e">
        <v>#N/A</v>
      </c>
    </row>
    <row r="30802" spans="1:1" x14ac:dyDescent="0.25">
      <c r="A30802" t="e">
        <v>#N/A</v>
      </c>
    </row>
    <row r="30803" spans="1:1" x14ac:dyDescent="0.25">
      <c r="A30803" t="e">
        <v>#N/A</v>
      </c>
    </row>
    <row r="30804" spans="1:1" x14ac:dyDescent="0.25">
      <c r="A30804" t="e">
        <v>#N/A</v>
      </c>
    </row>
    <row r="30805" spans="1:1" x14ac:dyDescent="0.25">
      <c r="A30805" t="e">
        <v>#N/A</v>
      </c>
    </row>
    <row r="30806" spans="1:1" x14ac:dyDescent="0.25">
      <c r="A30806" t="e">
        <v>#N/A</v>
      </c>
    </row>
    <row r="30807" spans="1:1" x14ac:dyDescent="0.25">
      <c r="A30807" t="e">
        <v>#N/A</v>
      </c>
    </row>
    <row r="30808" spans="1:1" x14ac:dyDescent="0.25">
      <c r="A30808" t="e">
        <v>#N/A</v>
      </c>
    </row>
    <row r="30809" spans="1:1" x14ac:dyDescent="0.25">
      <c r="A30809" t="e">
        <v>#N/A</v>
      </c>
    </row>
    <row r="30810" spans="1:1" x14ac:dyDescent="0.25">
      <c r="A30810" t="e">
        <v>#N/A</v>
      </c>
    </row>
    <row r="30811" spans="1:1" x14ac:dyDescent="0.25">
      <c r="A30811" t="e">
        <v>#N/A</v>
      </c>
    </row>
    <row r="30812" spans="1:1" x14ac:dyDescent="0.25">
      <c r="A30812" t="e">
        <v>#N/A</v>
      </c>
    </row>
    <row r="30813" spans="1:1" x14ac:dyDescent="0.25">
      <c r="A30813" t="e">
        <v>#N/A</v>
      </c>
    </row>
    <row r="30814" spans="1:1" x14ac:dyDescent="0.25">
      <c r="A30814" t="e">
        <v>#N/A</v>
      </c>
    </row>
    <row r="30815" spans="1:1" x14ac:dyDescent="0.25">
      <c r="A30815" t="e">
        <v>#N/A</v>
      </c>
    </row>
    <row r="30816" spans="1:1" x14ac:dyDescent="0.25">
      <c r="A30816" t="e">
        <v>#N/A</v>
      </c>
    </row>
    <row r="30817" spans="1:1" x14ac:dyDescent="0.25">
      <c r="A30817" t="e">
        <v>#N/A</v>
      </c>
    </row>
    <row r="30818" spans="1:1" x14ac:dyDescent="0.25">
      <c r="A30818" t="e">
        <v>#N/A</v>
      </c>
    </row>
    <row r="30819" spans="1:1" x14ac:dyDescent="0.25">
      <c r="A30819" t="e">
        <v>#N/A</v>
      </c>
    </row>
    <row r="30820" spans="1:1" x14ac:dyDescent="0.25">
      <c r="A30820" t="e">
        <v>#N/A</v>
      </c>
    </row>
    <row r="30821" spans="1:1" x14ac:dyDescent="0.25">
      <c r="A30821" t="e">
        <v>#N/A</v>
      </c>
    </row>
    <row r="30822" spans="1:1" x14ac:dyDescent="0.25">
      <c r="A30822" t="e">
        <v>#N/A</v>
      </c>
    </row>
    <row r="30823" spans="1:1" x14ac:dyDescent="0.25">
      <c r="A30823" t="e">
        <v>#N/A</v>
      </c>
    </row>
    <row r="30824" spans="1:1" x14ac:dyDescent="0.25">
      <c r="A30824" t="e">
        <v>#N/A</v>
      </c>
    </row>
    <row r="30825" spans="1:1" x14ac:dyDescent="0.25">
      <c r="A30825" t="e">
        <v>#N/A</v>
      </c>
    </row>
    <row r="30826" spans="1:1" x14ac:dyDescent="0.25">
      <c r="A30826" t="e">
        <v>#N/A</v>
      </c>
    </row>
    <row r="30827" spans="1:1" x14ac:dyDescent="0.25">
      <c r="A30827" t="e">
        <v>#N/A</v>
      </c>
    </row>
    <row r="30828" spans="1:1" x14ac:dyDescent="0.25">
      <c r="A30828" t="e">
        <v>#N/A</v>
      </c>
    </row>
    <row r="30829" spans="1:1" x14ac:dyDescent="0.25">
      <c r="A30829" t="e">
        <v>#N/A</v>
      </c>
    </row>
    <row r="30830" spans="1:1" x14ac:dyDescent="0.25">
      <c r="A30830" t="e">
        <v>#N/A</v>
      </c>
    </row>
    <row r="30831" spans="1:1" x14ac:dyDescent="0.25">
      <c r="A30831" t="e">
        <v>#N/A</v>
      </c>
    </row>
    <row r="30832" spans="1:1" x14ac:dyDescent="0.25">
      <c r="A30832" t="e">
        <v>#N/A</v>
      </c>
    </row>
    <row r="30833" spans="1:1" x14ac:dyDescent="0.25">
      <c r="A30833" t="e">
        <v>#N/A</v>
      </c>
    </row>
    <row r="30834" spans="1:1" x14ac:dyDescent="0.25">
      <c r="A30834" t="e">
        <v>#N/A</v>
      </c>
    </row>
    <row r="30835" spans="1:1" x14ac:dyDescent="0.25">
      <c r="A30835" t="e">
        <v>#N/A</v>
      </c>
    </row>
    <row r="30836" spans="1:1" x14ac:dyDescent="0.25">
      <c r="A30836" t="e">
        <v>#N/A</v>
      </c>
    </row>
    <row r="30837" spans="1:1" x14ac:dyDescent="0.25">
      <c r="A30837" t="e">
        <v>#N/A</v>
      </c>
    </row>
    <row r="30838" spans="1:1" x14ac:dyDescent="0.25">
      <c r="A30838" t="e">
        <v>#N/A</v>
      </c>
    </row>
    <row r="30839" spans="1:1" x14ac:dyDescent="0.25">
      <c r="A30839" t="e">
        <v>#N/A</v>
      </c>
    </row>
    <row r="30840" spans="1:1" x14ac:dyDescent="0.25">
      <c r="A30840" t="e">
        <v>#N/A</v>
      </c>
    </row>
    <row r="30841" spans="1:1" x14ac:dyDescent="0.25">
      <c r="A30841" t="e">
        <v>#N/A</v>
      </c>
    </row>
    <row r="30842" spans="1:1" x14ac:dyDescent="0.25">
      <c r="A30842" t="e">
        <v>#N/A</v>
      </c>
    </row>
    <row r="30843" spans="1:1" x14ac:dyDescent="0.25">
      <c r="A30843" t="e">
        <v>#N/A</v>
      </c>
    </row>
    <row r="30844" spans="1:1" x14ac:dyDescent="0.25">
      <c r="A30844" t="e">
        <v>#N/A</v>
      </c>
    </row>
    <row r="30845" spans="1:1" x14ac:dyDescent="0.25">
      <c r="A30845" t="e">
        <v>#N/A</v>
      </c>
    </row>
    <row r="30846" spans="1:1" x14ac:dyDescent="0.25">
      <c r="A30846" t="e">
        <v>#N/A</v>
      </c>
    </row>
    <row r="30847" spans="1:1" x14ac:dyDescent="0.25">
      <c r="A30847" t="e">
        <v>#N/A</v>
      </c>
    </row>
    <row r="30848" spans="1:1" x14ac:dyDescent="0.25">
      <c r="A30848" t="e">
        <v>#N/A</v>
      </c>
    </row>
    <row r="30849" spans="1:1" x14ac:dyDescent="0.25">
      <c r="A30849" t="e">
        <v>#N/A</v>
      </c>
    </row>
    <row r="30850" spans="1:1" x14ac:dyDescent="0.25">
      <c r="A30850" t="e">
        <v>#N/A</v>
      </c>
    </row>
    <row r="30851" spans="1:1" x14ac:dyDescent="0.25">
      <c r="A30851" t="e">
        <v>#N/A</v>
      </c>
    </row>
    <row r="30852" spans="1:1" x14ac:dyDescent="0.25">
      <c r="A30852" t="e">
        <v>#N/A</v>
      </c>
    </row>
    <row r="30853" spans="1:1" x14ac:dyDescent="0.25">
      <c r="A30853" t="e">
        <v>#N/A</v>
      </c>
    </row>
    <row r="30854" spans="1:1" x14ac:dyDescent="0.25">
      <c r="A30854" t="e">
        <v>#N/A</v>
      </c>
    </row>
    <row r="30855" spans="1:1" x14ac:dyDescent="0.25">
      <c r="A30855" t="e">
        <v>#N/A</v>
      </c>
    </row>
    <row r="30856" spans="1:1" x14ac:dyDescent="0.25">
      <c r="A30856" t="e">
        <v>#N/A</v>
      </c>
    </row>
    <row r="30857" spans="1:1" x14ac:dyDescent="0.25">
      <c r="A30857" t="e">
        <v>#N/A</v>
      </c>
    </row>
    <row r="30858" spans="1:1" x14ac:dyDescent="0.25">
      <c r="A30858" t="e">
        <v>#N/A</v>
      </c>
    </row>
    <row r="30859" spans="1:1" x14ac:dyDescent="0.25">
      <c r="A30859" t="e">
        <v>#N/A</v>
      </c>
    </row>
    <row r="30860" spans="1:1" x14ac:dyDescent="0.25">
      <c r="A30860" t="e">
        <v>#N/A</v>
      </c>
    </row>
    <row r="30861" spans="1:1" x14ac:dyDescent="0.25">
      <c r="A30861" t="e">
        <v>#N/A</v>
      </c>
    </row>
    <row r="30862" spans="1:1" x14ac:dyDescent="0.25">
      <c r="A30862" t="e">
        <v>#N/A</v>
      </c>
    </row>
    <row r="30863" spans="1:1" x14ac:dyDescent="0.25">
      <c r="A30863" t="e">
        <v>#N/A</v>
      </c>
    </row>
    <row r="30864" spans="1:1" x14ac:dyDescent="0.25">
      <c r="A30864" t="e">
        <v>#N/A</v>
      </c>
    </row>
    <row r="30865" spans="1:1" x14ac:dyDescent="0.25">
      <c r="A30865" t="e">
        <v>#N/A</v>
      </c>
    </row>
    <row r="30866" spans="1:1" x14ac:dyDescent="0.25">
      <c r="A30866" t="e">
        <v>#N/A</v>
      </c>
    </row>
    <row r="30867" spans="1:1" x14ac:dyDescent="0.25">
      <c r="A30867" t="e">
        <v>#N/A</v>
      </c>
    </row>
    <row r="30868" spans="1:1" x14ac:dyDescent="0.25">
      <c r="A30868" t="e">
        <v>#N/A</v>
      </c>
    </row>
    <row r="30869" spans="1:1" x14ac:dyDescent="0.25">
      <c r="A30869" t="e">
        <v>#N/A</v>
      </c>
    </row>
    <row r="30870" spans="1:1" x14ac:dyDescent="0.25">
      <c r="A30870" t="e">
        <v>#N/A</v>
      </c>
    </row>
    <row r="30871" spans="1:1" x14ac:dyDescent="0.25">
      <c r="A30871" t="e">
        <v>#N/A</v>
      </c>
    </row>
    <row r="30872" spans="1:1" x14ac:dyDescent="0.25">
      <c r="A30872" t="e">
        <v>#N/A</v>
      </c>
    </row>
    <row r="30873" spans="1:1" x14ac:dyDescent="0.25">
      <c r="A30873" t="e">
        <v>#N/A</v>
      </c>
    </row>
    <row r="30874" spans="1:1" x14ac:dyDescent="0.25">
      <c r="A30874" t="e">
        <v>#N/A</v>
      </c>
    </row>
    <row r="30875" spans="1:1" x14ac:dyDescent="0.25">
      <c r="A30875" t="e">
        <v>#N/A</v>
      </c>
    </row>
    <row r="30876" spans="1:1" x14ac:dyDescent="0.25">
      <c r="A30876" t="e">
        <v>#N/A</v>
      </c>
    </row>
    <row r="30877" spans="1:1" x14ac:dyDescent="0.25">
      <c r="A30877" t="e">
        <v>#N/A</v>
      </c>
    </row>
    <row r="30878" spans="1:1" x14ac:dyDescent="0.25">
      <c r="A30878" t="e">
        <v>#N/A</v>
      </c>
    </row>
    <row r="30879" spans="1:1" x14ac:dyDescent="0.25">
      <c r="A30879" t="e">
        <v>#N/A</v>
      </c>
    </row>
    <row r="30880" spans="1:1" x14ac:dyDescent="0.25">
      <c r="A30880" t="e">
        <v>#N/A</v>
      </c>
    </row>
    <row r="30881" spans="1:1" x14ac:dyDescent="0.25">
      <c r="A30881" t="e">
        <v>#N/A</v>
      </c>
    </row>
    <row r="30882" spans="1:1" x14ac:dyDescent="0.25">
      <c r="A30882" t="e">
        <v>#N/A</v>
      </c>
    </row>
    <row r="30883" spans="1:1" x14ac:dyDescent="0.25">
      <c r="A30883" t="e">
        <v>#N/A</v>
      </c>
    </row>
    <row r="30884" spans="1:1" x14ac:dyDescent="0.25">
      <c r="A30884" t="e">
        <v>#N/A</v>
      </c>
    </row>
    <row r="30885" spans="1:1" x14ac:dyDescent="0.25">
      <c r="A30885" t="e">
        <v>#N/A</v>
      </c>
    </row>
    <row r="30886" spans="1:1" x14ac:dyDescent="0.25">
      <c r="A30886" t="e">
        <v>#N/A</v>
      </c>
    </row>
    <row r="30887" spans="1:1" x14ac:dyDescent="0.25">
      <c r="A30887" t="e">
        <v>#N/A</v>
      </c>
    </row>
    <row r="30888" spans="1:1" x14ac:dyDescent="0.25">
      <c r="A30888" t="e">
        <v>#N/A</v>
      </c>
    </row>
    <row r="30889" spans="1:1" x14ac:dyDescent="0.25">
      <c r="A30889" t="e">
        <v>#N/A</v>
      </c>
    </row>
    <row r="30890" spans="1:1" x14ac:dyDescent="0.25">
      <c r="A30890" t="e">
        <v>#N/A</v>
      </c>
    </row>
    <row r="30891" spans="1:1" x14ac:dyDescent="0.25">
      <c r="A30891" t="e">
        <v>#N/A</v>
      </c>
    </row>
    <row r="30892" spans="1:1" x14ac:dyDescent="0.25">
      <c r="A30892" t="e">
        <v>#N/A</v>
      </c>
    </row>
    <row r="30893" spans="1:1" x14ac:dyDescent="0.25">
      <c r="A30893" t="e">
        <v>#N/A</v>
      </c>
    </row>
    <row r="30894" spans="1:1" x14ac:dyDescent="0.25">
      <c r="A30894" t="e">
        <v>#N/A</v>
      </c>
    </row>
    <row r="30895" spans="1:1" x14ac:dyDescent="0.25">
      <c r="A30895" t="e">
        <v>#N/A</v>
      </c>
    </row>
    <row r="30896" spans="1:1" x14ac:dyDescent="0.25">
      <c r="A30896" t="e">
        <v>#N/A</v>
      </c>
    </row>
    <row r="30897" spans="1:1" x14ac:dyDescent="0.25">
      <c r="A30897" t="e">
        <v>#N/A</v>
      </c>
    </row>
    <row r="30898" spans="1:1" x14ac:dyDescent="0.25">
      <c r="A30898" t="e">
        <v>#N/A</v>
      </c>
    </row>
    <row r="30899" spans="1:1" x14ac:dyDescent="0.25">
      <c r="A30899" t="e">
        <v>#N/A</v>
      </c>
    </row>
    <row r="30900" spans="1:1" x14ac:dyDescent="0.25">
      <c r="A30900" t="e">
        <v>#N/A</v>
      </c>
    </row>
    <row r="30901" spans="1:1" x14ac:dyDescent="0.25">
      <c r="A30901" t="e">
        <v>#N/A</v>
      </c>
    </row>
    <row r="30902" spans="1:1" x14ac:dyDescent="0.25">
      <c r="A30902" t="e">
        <v>#N/A</v>
      </c>
    </row>
    <row r="30903" spans="1:1" x14ac:dyDescent="0.25">
      <c r="A30903" t="e">
        <v>#N/A</v>
      </c>
    </row>
    <row r="30904" spans="1:1" x14ac:dyDescent="0.25">
      <c r="A30904" t="e">
        <v>#N/A</v>
      </c>
    </row>
    <row r="30905" spans="1:1" x14ac:dyDescent="0.25">
      <c r="A30905" t="e">
        <v>#N/A</v>
      </c>
    </row>
    <row r="30906" spans="1:1" x14ac:dyDescent="0.25">
      <c r="A30906" t="e">
        <v>#N/A</v>
      </c>
    </row>
    <row r="30907" spans="1:1" x14ac:dyDescent="0.25">
      <c r="A30907" t="e">
        <v>#N/A</v>
      </c>
    </row>
    <row r="30908" spans="1:1" x14ac:dyDescent="0.25">
      <c r="A30908" t="e">
        <v>#N/A</v>
      </c>
    </row>
    <row r="30909" spans="1:1" x14ac:dyDescent="0.25">
      <c r="A30909" t="e">
        <v>#N/A</v>
      </c>
    </row>
    <row r="30910" spans="1:1" x14ac:dyDescent="0.25">
      <c r="A30910" t="e">
        <v>#N/A</v>
      </c>
    </row>
    <row r="30911" spans="1:1" x14ac:dyDescent="0.25">
      <c r="A30911" t="e">
        <v>#N/A</v>
      </c>
    </row>
    <row r="30912" spans="1:1" x14ac:dyDescent="0.25">
      <c r="A30912" t="e">
        <v>#N/A</v>
      </c>
    </row>
    <row r="30913" spans="1:1" x14ac:dyDescent="0.25">
      <c r="A30913" t="e">
        <v>#N/A</v>
      </c>
    </row>
    <row r="30914" spans="1:1" x14ac:dyDescent="0.25">
      <c r="A30914" t="e">
        <v>#N/A</v>
      </c>
    </row>
    <row r="30915" spans="1:1" x14ac:dyDescent="0.25">
      <c r="A30915" t="e">
        <v>#N/A</v>
      </c>
    </row>
    <row r="30916" spans="1:1" x14ac:dyDescent="0.25">
      <c r="A30916" t="e">
        <v>#N/A</v>
      </c>
    </row>
    <row r="30917" spans="1:1" x14ac:dyDescent="0.25">
      <c r="A30917" t="e">
        <v>#N/A</v>
      </c>
    </row>
    <row r="30918" spans="1:1" x14ac:dyDescent="0.25">
      <c r="A30918" t="e">
        <v>#N/A</v>
      </c>
    </row>
    <row r="30919" spans="1:1" x14ac:dyDescent="0.25">
      <c r="A30919" t="e">
        <v>#N/A</v>
      </c>
    </row>
    <row r="30920" spans="1:1" x14ac:dyDescent="0.25">
      <c r="A30920" t="e">
        <v>#N/A</v>
      </c>
    </row>
    <row r="30921" spans="1:1" x14ac:dyDescent="0.25">
      <c r="A30921" t="e">
        <v>#N/A</v>
      </c>
    </row>
    <row r="30922" spans="1:1" x14ac:dyDescent="0.25">
      <c r="A30922" t="e">
        <v>#N/A</v>
      </c>
    </row>
    <row r="30923" spans="1:1" x14ac:dyDescent="0.25">
      <c r="A30923" t="e">
        <v>#N/A</v>
      </c>
    </row>
    <row r="30924" spans="1:1" x14ac:dyDescent="0.25">
      <c r="A30924" t="e">
        <v>#N/A</v>
      </c>
    </row>
    <row r="30925" spans="1:1" x14ac:dyDescent="0.25">
      <c r="A30925" t="e">
        <v>#N/A</v>
      </c>
    </row>
    <row r="30926" spans="1:1" x14ac:dyDescent="0.25">
      <c r="A30926" t="e">
        <v>#N/A</v>
      </c>
    </row>
    <row r="30927" spans="1:1" x14ac:dyDescent="0.25">
      <c r="A30927" t="e">
        <v>#N/A</v>
      </c>
    </row>
    <row r="30928" spans="1:1" x14ac:dyDescent="0.25">
      <c r="A30928" t="e">
        <v>#N/A</v>
      </c>
    </row>
    <row r="30929" spans="1:1" x14ac:dyDescent="0.25">
      <c r="A30929" t="e">
        <v>#N/A</v>
      </c>
    </row>
    <row r="30930" spans="1:1" x14ac:dyDescent="0.25">
      <c r="A30930" t="e">
        <v>#N/A</v>
      </c>
    </row>
    <row r="30931" spans="1:1" x14ac:dyDescent="0.25">
      <c r="A30931" t="e">
        <v>#N/A</v>
      </c>
    </row>
    <row r="30932" spans="1:1" x14ac:dyDescent="0.25">
      <c r="A30932" t="e">
        <v>#N/A</v>
      </c>
    </row>
    <row r="30933" spans="1:1" x14ac:dyDescent="0.25">
      <c r="A30933" t="e">
        <v>#N/A</v>
      </c>
    </row>
    <row r="30934" spans="1:1" x14ac:dyDescent="0.25">
      <c r="A30934" t="e">
        <v>#N/A</v>
      </c>
    </row>
    <row r="30935" spans="1:1" x14ac:dyDescent="0.25">
      <c r="A30935" t="e">
        <v>#N/A</v>
      </c>
    </row>
    <row r="30936" spans="1:1" x14ac:dyDescent="0.25">
      <c r="A30936" t="e">
        <v>#N/A</v>
      </c>
    </row>
    <row r="30937" spans="1:1" x14ac:dyDescent="0.25">
      <c r="A30937" t="e">
        <v>#N/A</v>
      </c>
    </row>
    <row r="30938" spans="1:1" x14ac:dyDescent="0.25">
      <c r="A30938" t="e">
        <v>#N/A</v>
      </c>
    </row>
    <row r="30939" spans="1:1" x14ac:dyDescent="0.25">
      <c r="A30939" t="e">
        <v>#N/A</v>
      </c>
    </row>
    <row r="30940" spans="1:1" x14ac:dyDescent="0.25">
      <c r="A30940" t="e">
        <v>#N/A</v>
      </c>
    </row>
    <row r="30941" spans="1:1" x14ac:dyDescent="0.25">
      <c r="A30941" t="e">
        <v>#N/A</v>
      </c>
    </row>
    <row r="30942" spans="1:1" x14ac:dyDescent="0.25">
      <c r="A30942" t="e">
        <v>#N/A</v>
      </c>
    </row>
    <row r="30943" spans="1:1" x14ac:dyDescent="0.25">
      <c r="A30943" t="e">
        <v>#N/A</v>
      </c>
    </row>
    <row r="30944" spans="1:1" x14ac:dyDescent="0.25">
      <c r="A30944" t="e">
        <v>#N/A</v>
      </c>
    </row>
    <row r="30945" spans="1:1" x14ac:dyDescent="0.25">
      <c r="A30945" t="e">
        <v>#N/A</v>
      </c>
    </row>
    <row r="30946" spans="1:1" x14ac:dyDescent="0.25">
      <c r="A30946" t="e">
        <v>#N/A</v>
      </c>
    </row>
    <row r="30947" spans="1:1" x14ac:dyDescent="0.25">
      <c r="A30947" t="e">
        <v>#N/A</v>
      </c>
    </row>
    <row r="30948" spans="1:1" x14ac:dyDescent="0.25">
      <c r="A30948" t="e">
        <v>#N/A</v>
      </c>
    </row>
    <row r="30949" spans="1:1" x14ac:dyDescent="0.25">
      <c r="A30949" t="e">
        <v>#N/A</v>
      </c>
    </row>
    <row r="30950" spans="1:1" x14ac:dyDescent="0.25">
      <c r="A30950" t="e">
        <v>#N/A</v>
      </c>
    </row>
    <row r="30951" spans="1:1" x14ac:dyDescent="0.25">
      <c r="A30951" t="e">
        <v>#N/A</v>
      </c>
    </row>
    <row r="30952" spans="1:1" x14ac:dyDescent="0.25">
      <c r="A30952" t="e">
        <v>#N/A</v>
      </c>
    </row>
    <row r="30953" spans="1:1" x14ac:dyDescent="0.25">
      <c r="A30953" t="e">
        <v>#N/A</v>
      </c>
    </row>
    <row r="30954" spans="1:1" x14ac:dyDescent="0.25">
      <c r="A30954" t="e">
        <v>#N/A</v>
      </c>
    </row>
    <row r="30955" spans="1:1" x14ac:dyDescent="0.25">
      <c r="A30955" t="e">
        <v>#N/A</v>
      </c>
    </row>
    <row r="30956" spans="1:1" x14ac:dyDescent="0.25">
      <c r="A30956" t="e">
        <v>#N/A</v>
      </c>
    </row>
    <row r="30957" spans="1:1" x14ac:dyDescent="0.25">
      <c r="A30957" t="e">
        <v>#N/A</v>
      </c>
    </row>
    <row r="30958" spans="1:1" x14ac:dyDescent="0.25">
      <c r="A30958" t="e">
        <v>#N/A</v>
      </c>
    </row>
    <row r="30959" spans="1:1" x14ac:dyDescent="0.25">
      <c r="A30959" t="e">
        <v>#N/A</v>
      </c>
    </row>
    <row r="30960" spans="1:1" x14ac:dyDescent="0.25">
      <c r="A30960" t="e">
        <v>#N/A</v>
      </c>
    </row>
    <row r="30961" spans="1:1" x14ac:dyDescent="0.25">
      <c r="A30961" t="e">
        <v>#N/A</v>
      </c>
    </row>
    <row r="30962" spans="1:1" x14ac:dyDescent="0.25">
      <c r="A30962" t="e">
        <v>#N/A</v>
      </c>
    </row>
    <row r="30963" spans="1:1" x14ac:dyDescent="0.25">
      <c r="A30963" t="e">
        <v>#N/A</v>
      </c>
    </row>
    <row r="30964" spans="1:1" x14ac:dyDescent="0.25">
      <c r="A30964" t="e">
        <v>#N/A</v>
      </c>
    </row>
    <row r="30965" spans="1:1" x14ac:dyDescent="0.25">
      <c r="A30965" t="e">
        <v>#N/A</v>
      </c>
    </row>
    <row r="30966" spans="1:1" x14ac:dyDescent="0.25">
      <c r="A30966" t="e">
        <v>#N/A</v>
      </c>
    </row>
    <row r="30967" spans="1:1" x14ac:dyDescent="0.25">
      <c r="A30967" t="e">
        <v>#N/A</v>
      </c>
    </row>
    <row r="30968" spans="1:1" x14ac:dyDescent="0.25">
      <c r="A30968" t="e">
        <v>#N/A</v>
      </c>
    </row>
    <row r="30969" spans="1:1" x14ac:dyDescent="0.25">
      <c r="A30969" t="e">
        <v>#N/A</v>
      </c>
    </row>
    <row r="30970" spans="1:1" x14ac:dyDescent="0.25">
      <c r="A30970" t="e">
        <v>#N/A</v>
      </c>
    </row>
    <row r="30971" spans="1:1" x14ac:dyDescent="0.25">
      <c r="A30971" t="e">
        <v>#N/A</v>
      </c>
    </row>
    <row r="30972" spans="1:1" x14ac:dyDescent="0.25">
      <c r="A30972" t="e">
        <v>#N/A</v>
      </c>
    </row>
    <row r="30973" spans="1:1" x14ac:dyDescent="0.25">
      <c r="A30973" t="e">
        <v>#N/A</v>
      </c>
    </row>
    <row r="30974" spans="1:1" x14ac:dyDescent="0.25">
      <c r="A30974" t="e">
        <v>#N/A</v>
      </c>
    </row>
    <row r="30975" spans="1:1" x14ac:dyDescent="0.25">
      <c r="A30975" t="e">
        <v>#N/A</v>
      </c>
    </row>
    <row r="30976" spans="1:1" x14ac:dyDescent="0.25">
      <c r="A30976" t="e">
        <v>#N/A</v>
      </c>
    </row>
    <row r="30977" spans="1:1" x14ac:dyDescent="0.25">
      <c r="A30977" t="e">
        <v>#N/A</v>
      </c>
    </row>
    <row r="30978" spans="1:1" x14ac:dyDescent="0.25">
      <c r="A30978" t="e">
        <v>#N/A</v>
      </c>
    </row>
    <row r="30979" spans="1:1" x14ac:dyDescent="0.25">
      <c r="A30979" t="e">
        <v>#N/A</v>
      </c>
    </row>
    <row r="30980" spans="1:1" x14ac:dyDescent="0.25">
      <c r="A30980" t="e">
        <v>#N/A</v>
      </c>
    </row>
    <row r="30981" spans="1:1" x14ac:dyDescent="0.25">
      <c r="A30981" t="e">
        <v>#N/A</v>
      </c>
    </row>
    <row r="30982" spans="1:1" x14ac:dyDescent="0.25">
      <c r="A30982" t="e">
        <v>#N/A</v>
      </c>
    </row>
    <row r="30983" spans="1:1" x14ac:dyDescent="0.25">
      <c r="A30983" t="e">
        <v>#N/A</v>
      </c>
    </row>
    <row r="30984" spans="1:1" x14ac:dyDescent="0.25">
      <c r="A30984" t="e">
        <v>#N/A</v>
      </c>
    </row>
    <row r="30985" spans="1:1" x14ac:dyDescent="0.25">
      <c r="A30985" t="e">
        <v>#N/A</v>
      </c>
    </row>
    <row r="30986" spans="1:1" x14ac:dyDescent="0.25">
      <c r="A30986" t="e">
        <v>#N/A</v>
      </c>
    </row>
    <row r="30987" spans="1:1" x14ac:dyDescent="0.25">
      <c r="A30987" t="e">
        <v>#N/A</v>
      </c>
    </row>
    <row r="30988" spans="1:1" x14ac:dyDescent="0.25">
      <c r="A30988" t="e">
        <v>#N/A</v>
      </c>
    </row>
    <row r="30989" spans="1:1" x14ac:dyDescent="0.25">
      <c r="A30989" t="e">
        <v>#N/A</v>
      </c>
    </row>
    <row r="30990" spans="1:1" x14ac:dyDescent="0.25">
      <c r="A30990" t="e">
        <v>#N/A</v>
      </c>
    </row>
    <row r="30991" spans="1:1" x14ac:dyDescent="0.25">
      <c r="A30991" t="e">
        <v>#N/A</v>
      </c>
    </row>
    <row r="30992" spans="1:1" x14ac:dyDescent="0.25">
      <c r="A30992" t="e">
        <v>#N/A</v>
      </c>
    </row>
    <row r="30993" spans="1:1" x14ac:dyDescent="0.25">
      <c r="A30993" t="e">
        <v>#N/A</v>
      </c>
    </row>
    <row r="30994" spans="1:1" x14ac:dyDescent="0.25">
      <c r="A30994" t="e">
        <v>#N/A</v>
      </c>
    </row>
    <row r="30995" spans="1:1" x14ac:dyDescent="0.25">
      <c r="A30995" t="e">
        <v>#N/A</v>
      </c>
    </row>
    <row r="30996" spans="1:1" x14ac:dyDescent="0.25">
      <c r="A30996" t="e">
        <v>#N/A</v>
      </c>
    </row>
    <row r="30997" spans="1:1" x14ac:dyDescent="0.25">
      <c r="A30997" t="e">
        <v>#N/A</v>
      </c>
    </row>
    <row r="30998" spans="1:1" x14ac:dyDescent="0.25">
      <c r="A30998" t="e">
        <v>#N/A</v>
      </c>
    </row>
    <row r="30999" spans="1:1" x14ac:dyDescent="0.25">
      <c r="A30999" t="e">
        <v>#N/A</v>
      </c>
    </row>
    <row r="31000" spans="1:1" x14ac:dyDescent="0.25">
      <c r="A31000" t="e">
        <v>#N/A</v>
      </c>
    </row>
    <row r="31001" spans="1:1" x14ac:dyDescent="0.25">
      <c r="A31001" t="e">
        <v>#N/A</v>
      </c>
    </row>
    <row r="31002" spans="1:1" x14ac:dyDescent="0.25">
      <c r="A31002" t="e">
        <v>#N/A</v>
      </c>
    </row>
    <row r="31003" spans="1:1" x14ac:dyDescent="0.25">
      <c r="A31003" t="e">
        <v>#N/A</v>
      </c>
    </row>
    <row r="31004" spans="1:1" x14ac:dyDescent="0.25">
      <c r="A31004" t="e">
        <v>#N/A</v>
      </c>
    </row>
    <row r="31005" spans="1:1" x14ac:dyDescent="0.25">
      <c r="A31005" t="e">
        <v>#N/A</v>
      </c>
    </row>
    <row r="31006" spans="1:1" x14ac:dyDescent="0.25">
      <c r="A31006" t="e">
        <v>#N/A</v>
      </c>
    </row>
    <row r="31007" spans="1:1" x14ac:dyDescent="0.25">
      <c r="A31007" t="e">
        <v>#N/A</v>
      </c>
    </row>
    <row r="31008" spans="1:1" x14ac:dyDescent="0.25">
      <c r="A31008" t="e">
        <v>#N/A</v>
      </c>
    </row>
    <row r="31009" spans="1:1" x14ac:dyDescent="0.25">
      <c r="A31009" t="e">
        <v>#N/A</v>
      </c>
    </row>
    <row r="31010" spans="1:1" x14ac:dyDescent="0.25">
      <c r="A31010" t="e">
        <v>#N/A</v>
      </c>
    </row>
    <row r="31011" spans="1:1" x14ac:dyDescent="0.25">
      <c r="A31011" t="e">
        <v>#N/A</v>
      </c>
    </row>
    <row r="31012" spans="1:1" x14ac:dyDescent="0.25">
      <c r="A31012" t="e">
        <v>#N/A</v>
      </c>
    </row>
    <row r="31013" spans="1:1" x14ac:dyDescent="0.25">
      <c r="A31013" t="e">
        <v>#N/A</v>
      </c>
    </row>
    <row r="31014" spans="1:1" x14ac:dyDescent="0.25">
      <c r="A31014" t="e">
        <v>#N/A</v>
      </c>
    </row>
    <row r="31015" spans="1:1" x14ac:dyDescent="0.25">
      <c r="A31015" t="e">
        <v>#N/A</v>
      </c>
    </row>
    <row r="31016" spans="1:1" x14ac:dyDescent="0.25">
      <c r="A31016" t="e">
        <v>#N/A</v>
      </c>
    </row>
    <row r="31017" spans="1:1" x14ac:dyDescent="0.25">
      <c r="A31017" t="e">
        <v>#N/A</v>
      </c>
    </row>
    <row r="31018" spans="1:1" x14ac:dyDescent="0.25">
      <c r="A31018" t="e">
        <v>#N/A</v>
      </c>
    </row>
    <row r="31019" spans="1:1" x14ac:dyDescent="0.25">
      <c r="A31019" t="e">
        <v>#N/A</v>
      </c>
    </row>
    <row r="31020" spans="1:1" x14ac:dyDescent="0.25">
      <c r="A31020" t="e">
        <v>#N/A</v>
      </c>
    </row>
    <row r="31021" spans="1:1" x14ac:dyDescent="0.25">
      <c r="A31021" t="e">
        <v>#N/A</v>
      </c>
    </row>
    <row r="31022" spans="1:1" x14ac:dyDescent="0.25">
      <c r="A31022" t="e">
        <v>#N/A</v>
      </c>
    </row>
    <row r="31023" spans="1:1" x14ac:dyDescent="0.25">
      <c r="A31023" t="e">
        <v>#N/A</v>
      </c>
    </row>
    <row r="31024" spans="1:1" x14ac:dyDescent="0.25">
      <c r="A31024" t="e">
        <v>#N/A</v>
      </c>
    </row>
    <row r="31025" spans="1:1" x14ac:dyDescent="0.25">
      <c r="A31025" t="e">
        <v>#N/A</v>
      </c>
    </row>
    <row r="31026" spans="1:1" x14ac:dyDescent="0.25">
      <c r="A31026" t="e">
        <v>#N/A</v>
      </c>
    </row>
    <row r="31027" spans="1:1" x14ac:dyDescent="0.25">
      <c r="A31027" t="e">
        <v>#N/A</v>
      </c>
    </row>
    <row r="31028" spans="1:1" x14ac:dyDescent="0.25">
      <c r="A31028" t="e">
        <v>#N/A</v>
      </c>
    </row>
    <row r="31029" spans="1:1" x14ac:dyDescent="0.25">
      <c r="A31029" t="e">
        <v>#N/A</v>
      </c>
    </row>
    <row r="31030" spans="1:1" x14ac:dyDescent="0.25">
      <c r="A31030" t="e">
        <v>#N/A</v>
      </c>
    </row>
    <row r="31031" spans="1:1" x14ac:dyDescent="0.25">
      <c r="A31031" t="e">
        <v>#N/A</v>
      </c>
    </row>
    <row r="31032" spans="1:1" x14ac:dyDescent="0.25">
      <c r="A31032" t="e">
        <v>#N/A</v>
      </c>
    </row>
    <row r="31033" spans="1:1" x14ac:dyDescent="0.25">
      <c r="A31033" t="e">
        <v>#N/A</v>
      </c>
    </row>
    <row r="31034" spans="1:1" x14ac:dyDescent="0.25">
      <c r="A31034" t="e">
        <v>#N/A</v>
      </c>
    </row>
    <row r="31035" spans="1:1" x14ac:dyDescent="0.25">
      <c r="A31035" t="e">
        <v>#N/A</v>
      </c>
    </row>
    <row r="31036" spans="1:1" x14ac:dyDescent="0.25">
      <c r="A31036" t="e">
        <v>#N/A</v>
      </c>
    </row>
    <row r="31037" spans="1:1" x14ac:dyDescent="0.25">
      <c r="A31037" t="e">
        <v>#N/A</v>
      </c>
    </row>
    <row r="31038" spans="1:1" x14ac:dyDescent="0.25">
      <c r="A31038" t="e">
        <v>#N/A</v>
      </c>
    </row>
    <row r="31039" spans="1:1" x14ac:dyDescent="0.25">
      <c r="A31039" t="e">
        <v>#N/A</v>
      </c>
    </row>
    <row r="31040" spans="1:1" x14ac:dyDescent="0.25">
      <c r="A31040" t="e">
        <v>#N/A</v>
      </c>
    </row>
    <row r="31041" spans="1:1" x14ac:dyDescent="0.25">
      <c r="A31041" t="e">
        <v>#N/A</v>
      </c>
    </row>
    <row r="31042" spans="1:1" x14ac:dyDescent="0.25">
      <c r="A31042" t="e">
        <v>#N/A</v>
      </c>
    </row>
    <row r="31043" spans="1:1" x14ac:dyDescent="0.25">
      <c r="A31043" t="e">
        <v>#N/A</v>
      </c>
    </row>
    <row r="31044" spans="1:1" x14ac:dyDescent="0.25">
      <c r="A31044" t="e">
        <v>#N/A</v>
      </c>
    </row>
    <row r="31045" spans="1:1" x14ac:dyDescent="0.25">
      <c r="A31045" t="e">
        <v>#N/A</v>
      </c>
    </row>
    <row r="31046" spans="1:1" x14ac:dyDescent="0.25">
      <c r="A31046" t="e">
        <v>#N/A</v>
      </c>
    </row>
    <row r="31047" spans="1:1" x14ac:dyDescent="0.25">
      <c r="A31047" t="e">
        <v>#N/A</v>
      </c>
    </row>
    <row r="31048" spans="1:1" x14ac:dyDescent="0.25">
      <c r="A31048" t="e">
        <v>#N/A</v>
      </c>
    </row>
    <row r="31049" spans="1:1" x14ac:dyDescent="0.25">
      <c r="A31049" t="e">
        <v>#N/A</v>
      </c>
    </row>
    <row r="31050" spans="1:1" x14ac:dyDescent="0.25">
      <c r="A31050" t="e">
        <v>#N/A</v>
      </c>
    </row>
    <row r="31051" spans="1:1" x14ac:dyDescent="0.25">
      <c r="A31051" t="e">
        <v>#N/A</v>
      </c>
    </row>
    <row r="31052" spans="1:1" x14ac:dyDescent="0.25">
      <c r="A31052" t="e">
        <v>#N/A</v>
      </c>
    </row>
    <row r="31053" spans="1:1" x14ac:dyDescent="0.25">
      <c r="A31053" t="e">
        <v>#N/A</v>
      </c>
    </row>
    <row r="31054" spans="1:1" x14ac:dyDescent="0.25">
      <c r="A31054" t="e">
        <v>#N/A</v>
      </c>
    </row>
    <row r="31055" spans="1:1" x14ac:dyDescent="0.25">
      <c r="A31055" t="e">
        <v>#N/A</v>
      </c>
    </row>
    <row r="31056" spans="1:1" x14ac:dyDescent="0.25">
      <c r="A31056" t="e">
        <v>#N/A</v>
      </c>
    </row>
    <row r="31057" spans="1:1" x14ac:dyDescent="0.25">
      <c r="A31057" t="e">
        <v>#N/A</v>
      </c>
    </row>
    <row r="31058" spans="1:1" x14ac:dyDescent="0.25">
      <c r="A31058" t="e">
        <v>#N/A</v>
      </c>
    </row>
    <row r="31059" spans="1:1" x14ac:dyDescent="0.25">
      <c r="A31059" t="e">
        <v>#N/A</v>
      </c>
    </row>
    <row r="31060" spans="1:1" x14ac:dyDescent="0.25">
      <c r="A31060" t="e">
        <v>#N/A</v>
      </c>
    </row>
    <row r="31061" spans="1:1" x14ac:dyDescent="0.25">
      <c r="A31061" t="e">
        <v>#N/A</v>
      </c>
    </row>
    <row r="31062" spans="1:1" x14ac:dyDescent="0.25">
      <c r="A31062" t="e">
        <v>#N/A</v>
      </c>
    </row>
    <row r="31063" spans="1:1" x14ac:dyDescent="0.25">
      <c r="A31063" t="e">
        <v>#N/A</v>
      </c>
    </row>
    <row r="31064" spans="1:1" x14ac:dyDescent="0.25">
      <c r="A31064" t="e">
        <v>#N/A</v>
      </c>
    </row>
    <row r="31065" spans="1:1" x14ac:dyDescent="0.25">
      <c r="A31065" t="e">
        <v>#N/A</v>
      </c>
    </row>
    <row r="31066" spans="1:1" x14ac:dyDescent="0.25">
      <c r="A31066" t="e">
        <v>#N/A</v>
      </c>
    </row>
    <row r="31067" spans="1:1" x14ac:dyDescent="0.25">
      <c r="A31067" t="e">
        <v>#N/A</v>
      </c>
    </row>
    <row r="31068" spans="1:1" x14ac:dyDescent="0.25">
      <c r="A31068" t="e">
        <v>#N/A</v>
      </c>
    </row>
    <row r="31069" spans="1:1" x14ac:dyDescent="0.25">
      <c r="A31069" t="e">
        <v>#N/A</v>
      </c>
    </row>
    <row r="31070" spans="1:1" x14ac:dyDescent="0.25">
      <c r="A31070" t="e">
        <v>#N/A</v>
      </c>
    </row>
    <row r="31071" spans="1:1" x14ac:dyDescent="0.25">
      <c r="A31071" t="e">
        <v>#N/A</v>
      </c>
    </row>
    <row r="31072" spans="1:1" x14ac:dyDescent="0.25">
      <c r="A31072" t="e">
        <v>#N/A</v>
      </c>
    </row>
    <row r="31073" spans="1:1" x14ac:dyDescent="0.25">
      <c r="A31073" t="e">
        <v>#N/A</v>
      </c>
    </row>
    <row r="31074" spans="1:1" x14ac:dyDescent="0.25">
      <c r="A31074" t="e">
        <v>#N/A</v>
      </c>
    </row>
    <row r="31075" spans="1:1" x14ac:dyDescent="0.25">
      <c r="A31075" t="e">
        <v>#N/A</v>
      </c>
    </row>
    <row r="31076" spans="1:1" x14ac:dyDescent="0.25">
      <c r="A31076" t="e">
        <v>#N/A</v>
      </c>
    </row>
    <row r="31077" spans="1:1" x14ac:dyDescent="0.25">
      <c r="A31077" t="e">
        <v>#N/A</v>
      </c>
    </row>
    <row r="31078" spans="1:1" x14ac:dyDescent="0.25">
      <c r="A31078" t="e">
        <v>#N/A</v>
      </c>
    </row>
    <row r="31079" spans="1:1" x14ac:dyDescent="0.25">
      <c r="A31079" t="e">
        <v>#N/A</v>
      </c>
    </row>
    <row r="31080" spans="1:1" x14ac:dyDescent="0.25">
      <c r="A31080" t="e">
        <v>#N/A</v>
      </c>
    </row>
    <row r="31081" spans="1:1" x14ac:dyDescent="0.25">
      <c r="A31081" t="e">
        <v>#N/A</v>
      </c>
    </row>
    <row r="31082" spans="1:1" x14ac:dyDescent="0.25">
      <c r="A31082" t="e">
        <v>#N/A</v>
      </c>
    </row>
    <row r="31083" spans="1:1" x14ac:dyDescent="0.25">
      <c r="A31083" t="e">
        <v>#N/A</v>
      </c>
    </row>
    <row r="31084" spans="1:1" x14ac:dyDescent="0.25">
      <c r="A31084" t="e">
        <v>#N/A</v>
      </c>
    </row>
    <row r="31085" spans="1:1" x14ac:dyDescent="0.25">
      <c r="A31085" t="e">
        <v>#N/A</v>
      </c>
    </row>
    <row r="31086" spans="1:1" x14ac:dyDescent="0.25">
      <c r="A31086" t="e">
        <v>#N/A</v>
      </c>
    </row>
    <row r="31087" spans="1:1" x14ac:dyDescent="0.25">
      <c r="A31087" t="e">
        <v>#N/A</v>
      </c>
    </row>
    <row r="31088" spans="1:1" x14ac:dyDescent="0.25">
      <c r="A31088" t="e">
        <v>#N/A</v>
      </c>
    </row>
    <row r="31089" spans="1:1" x14ac:dyDescent="0.25">
      <c r="A31089" t="e">
        <v>#N/A</v>
      </c>
    </row>
    <row r="31090" spans="1:1" x14ac:dyDescent="0.25">
      <c r="A31090" t="e">
        <v>#N/A</v>
      </c>
    </row>
    <row r="31091" spans="1:1" x14ac:dyDescent="0.25">
      <c r="A31091" t="e">
        <v>#N/A</v>
      </c>
    </row>
    <row r="31092" spans="1:1" x14ac:dyDescent="0.25">
      <c r="A31092" t="e">
        <v>#N/A</v>
      </c>
    </row>
    <row r="31093" spans="1:1" x14ac:dyDescent="0.25">
      <c r="A31093" t="e">
        <v>#N/A</v>
      </c>
    </row>
    <row r="31094" spans="1:1" x14ac:dyDescent="0.25">
      <c r="A31094" t="e">
        <v>#N/A</v>
      </c>
    </row>
    <row r="31095" spans="1:1" x14ac:dyDescent="0.25">
      <c r="A31095" t="e">
        <v>#N/A</v>
      </c>
    </row>
    <row r="31096" spans="1:1" x14ac:dyDescent="0.25">
      <c r="A31096" t="e">
        <v>#N/A</v>
      </c>
    </row>
    <row r="31097" spans="1:1" x14ac:dyDescent="0.25">
      <c r="A31097" t="e">
        <v>#N/A</v>
      </c>
    </row>
    <row r="31098" spans="1:1" x14ac:dyDescent="0.25">
      <c r="A31098" t="e">
        <v>#N/A</v>
      </c>
    </row>
    <row r="31099" spans="1:1" x14ac:dyDescent="0.25">
      <c r="A31099" t="e">
        <v>#N/A</v>
      </c>
    </row>
    <row r="31100" spans="1:1" x14ac:dyDescent="0.25">
      <c r="A31100" t="e">
        <v>#N/A</v>
      </c>
    </row>
    <row r="31101" spans="1:1" x14ac:dyDescent="0.25">
      <c r="A31101" t="e">
        <v>#N/A</v>
      </c>
    </row>
    <row r="31102" spans="1:1" x14ac:dyDescent="0.25">
      <c r="A31102" t="e">
        <v>#N/A</v>
      </c>
    </row>
    <row r="31103" spans="1:1" x14ac:dyDescent="0.25">
      <c r="A31103" t="e">
        <v>#N/A</v>
      </c>
    </row>
    <row r="31104" spans="1:1" x14ac:dyDescent="0.25">
      <c r="A31104" t="e">
        <v>#N/A</v>
      </c>
    </row>
    <row r="31105" spans="1:1" x14ac:dyDescent="0.25">
      <c r="A31105" t="e">
        <v>#N/A</v>
      </c>
    </row>
    <row r="31106" spans="1:1" x14ac:dyDescent="0.25">
      <c r="A31106" t="e">
        <v>#N/A</v>
      </c>
    </row>
    <row r="31107" spans="1:1" x14ac:dyDescent="0.25">
      <c r="A31107" t="e">
        <v>#N/A</v>
      </c>
    </row>
    <row r="31108" spans="1:1" x14ac:dyDescent="0.25">
      <c r="A31108" t="e">
        <v>#N/A</v>
      </c>
    </row>
    <row r="31109" spans="1:1" x14ac:dyDescent="0.25">
      <c r="A31109" t="e">
        <v>#N/A</v>
      </c>
    </row>
    <row r="31110" spans="1:1" x14ac:dyDescent="0.25">
      <c r="A31110" t="e">
        <v>#N/A</v>
      </c>
    </row>
    <row r="31111" spans="1:1" x14ac:dyDescent="0.25">
      <c r="A31111" t="e">
        <v>#N/A</v>
      </c>
    </row>
    <row r="31112" spans="1:1" x14ac:dyDescent="0.25">
      <c r="A31112" t="e">
        <v>#N/A</v>
      </c>
    </row>
    <row r="31113" spans="1:1" x14ac:dyDescent="0.25">
      <c r="A31113" t="e">
        <v>#N/A</v>
      </c>
    </row>
    <row r="31114" spans="1:1" x14ac:dyDescent="0.25">
      <c r="A31114" t="e">
        <v>#N/A</v>
      </c>
    </row>
    <row r="31115" spans="1:1" x14ac:dyDescent="0.25">
      <c r="A31115" t="e">
        <v>#N/A</v>
      </c>
    </row>
    <row r="31116" spans="1:1" x14ac:dyDescent="0.25">
      <c r="A31116" t="e">
        <v>#N/A</v>
      </c>
    </row>
    <row r="31117" spans="1:1" x14ac:dyDescent="0.25">
      <c r="A31117" t="e">
        <v>#N/A</v>
      </c>
    </row>
    <row r="31118" spans="1:1" x14ac:dyDescent="0.25">
      <c r="A31118" t="e">
        <v>#N/A</v>
      </c>
    </row>
    <row r="31119" spans="1:1" x14ac:dyDescent="0.25">
      <c r="A31119" t="e">
        <v>#N/A</v>
      </c>
    </row>
    <row r="31120" spans="1:1" x14ac:dyDescent="0.25">
      <c r="A31120" t="e">
        <v>#N/A</v>
      </c>
    </row>
    <row r="31121" spans="1:1" x14ac:dyDescent="0.25">
      <c r="A31121" t="e">
        <v>#N/A</v>
      </c>
    </row>
    <row r="31122" spans="1:1" x14ac:dyDescent="0.25">
      <c r="A31122" t="e">
        <v>#N/A</v>
      </c>
    </row>
    <row r="31123" spans="1:1" x14ac:dyDescent="0.25">
      <c r="A31123" t="e">
        <v>#N/A</v>
      </c>
    </row>
    <row r="31124" spans="1:1" x14ac:dyDescent="0.25">
      <c r="A31124" t="e">
        <v>#N/A</v>
      </c>
    </row>
    <row r="31125" spans="1:1" x14ac:dyDescent="0.25">
      <c r="A31125" t="e">
        <v>#N/A</v>
      </c>
    </row>
    <row r="31126" spans="1:1" x14ac:dyDescent="0.25">
      <c r="A31126" t="e">
        <v>#N/A</v>
      </c>
    </row>
    <row r="31127" spans="1:1" x14ac:dyDescent="0.25">
      <c r="A31127" t="e">
        <v>#N/A</v>
      </c>
    </row>
    <row r="31128" spans="1:1" x14ac:dyDescent="0.25">
      <c r="A31128" t="e">
        <v>#N/A</v>
      </c>
    </row>
    <row r="31129" spans="1:1" x14ac:dyDescent="0.25">
      <c r="A31129" t="e">
        <v>#N/A</v>
      </c>
    </row>
    <row r="31130" spans="1:1" x14ac:dyDescent="0.25">
      <c r="A31130" t="e">
        <v>#N/A</v>
      </c>
    </row>
    <row r="31131" spans="1:1" x14ac:dyDescent="0.25">
      <c r="A31131" t="e">
        <v>#N/A</v>
      </c>
    </row>
    <row r="31132" spans="1:1" x14ac:dyDescent="0.25">
      <c r="A31132" t="e">
        <v>#N/A</v>
      </c>
    </row>
    <row r="31133" spans="1:1" x14ac:dyDescent="0.25">
      <c r="A31133" t="e">
        <v>#N/A</v>
      </c>
    </row>
    <row r="31134" spans="1:1" x14ac:dyDescent="0.25">
      <c r="A31134" t="e">
        <v>#N/A</v>
      </c>
    </row>
    <row r="31135" spans="1:1" x14ac:dyDescent="0.25">
      <c r="A31135" t="e">
        <v>#N/A</v>
      </c>
    </row>
    <row r="31136" spans="1:1" x14ac:dyDescent="0.25">
      <c r="A31136" t="e">
        <v>#N/A</v>
      </c>
    </row>
    <row r="31137" spans="1:1" x14ac:dyDescent="0.25">
      <c r="A31137" t="e">
        <v>#N/A</v>
      </c>
    </row>
    <row r="31138" spans="1:1" x14ac:dyDescent="0.25">
      <c r="A31138" t="e">
        <v>#N/A</v>
      </c>
    </row>
    <row r="31139" spans="1:1" x14ac:dyDescent="0.25">
      <c r="A31139" t="e">
        <v>#N/A</v>
      </c>
    </row>
    <row r="31140" spans="1:1" x14ac:dyDescent="0.25">
      <c r="A31140" t="e">
        <v>#N/A</v>
      </c>
    </row>
    <row r="31141" spans="1:1" x14ac:dyDescent="0.25">
      <c r="A31141" t="e">
        <v>#N/A</v>
      </c>
    </row>
    <row r="31142" spans="1:1" x14ac:dyDescent="0.25">
      <c r="A31142" t="e">
        <v>#N/A</v>
      </c>
    </row>
    <row r="31143" spans="1:1" x14ac:dyDescent="0.25">
      <c r="A31143" t="e">
        <v>#N/A</v>
      </c>
    </row>
    <row r="31144" spans="1:1" x14ac:dyDescent="0.25">
      <c r="A31144" t="e">
        <v>#N/A</v>
      </c>
    </row>
    <row r="31145" spans="1:1" x14ac:dyDescent="0.25">
      <c r="A31145" t="e">
        <v>#N/A</v>
      </c>
    </row>
    <row r="31146" spans="1:1" x14ac:dyDescent="0.25">
      <c r="A31146" t="e">
        <v>#N/A</v>
      </c>
    </row>
    <row r="31147" spans="1:1" x14ac:dyDescent="0.25">
      <c r="A31147" t="e">
        <v>#N/A</v>
      </c>
    </row>
    <row r="31148" spans="1:1" x14ac:dyDescent="0.25">
      <c r="A31148" t="e">
        <v>#N/A</v>
      </c>
    </row>
    <row r="31149" spans="1:1" x14ac:dyDescent="0.25">
      <c r="A31149" t="e">
        <v>#N/A</v>
      </c>
    </row>
    <row r="31150" spans="1:1" x14ac:dyDescent="0.25">
      <c r="A31150" t="e">
        <v>#N/A</v>
      </c>
    </row>
    <row r="31151" spans="1:1" x14ac:dyDescent="0.25">
      <c r="A31151" t="e">
        <v>#N/A</v>
      </c>
    </row>
    <row r="31152" spans="1:1" x14ac:dyDescent="0.25">
      <c r="A31152" t="e">
        <v>#N/A</v>
      </c>
    </row>
    <row r="31153" spans="1:1" x14ac:dyDescent="0.25">
      <c r="A31153" t="e">
        <v>#N/A</v>
      </c>
    </row>
    <row r="31154" spans="1:1" x14ac:dyDescent="0.25">
      <c r="A31154" t="e">
        <v>#N/A</v>
      </c>
    </row>
    <row r="31155" spans="1:1" x14ac:dyDescent="0.25">
      <c r="A31155" t="e">
        <v>#N/A</v>
      </c>
    </row>
    <row r="31156" spans="1:1" x14ac:dyDescent="0.25">
      <c r="A31156" t="e">
        <v>#N/A</v>
      </c>
    </row>
    <row r="31157" spans="1:1" x14ac:dyDescent="0.25">
      <c r="A31157" t="e">
        <v>#N/A</v>
      </c>
    </row>
    <row r="31158" spans="1:1" x14ac:dyDescent="0.25">
      <c r="A31158" t="e">
        <v>#N/A</v>
      </c>
    </row>
    <row r="31159" spans="1:1" x14ac:dyDescent="0.25">
      <c r="A31159" t="e">
        <v>#N/A</v>
      </c>
    </row>
    <row r="31160" spans="1:1" x14ac:dyDescent="0.25">
      <c r="A31160" t="e">
        <v>#N/A</v>
      </c>
    </row>
    <row r="31161" spans="1:1" x14ac:dyDescent="0.25">
      <c r="A31161" t="e">
        <v>#N/A</v>
      </c>
    </row>
    <row r="31162" spans="1:1" x14ac:dyDescent="0.25">
      <c r="A31162" t="e">
        <v>#N/A</v>
      </c>
    </row>
    <row r="31163" spans="1:1" x14ac:dyDescent="0.25">
      <c r="A31163" t="e">
        <v>#N/A</v>
      </c>
    </row>
    <row r="31164" spans="1:1" x14ac:dyDescent="0.25">
      <c r="A31164" t="e">
        <v>#N/A</v>
      </c>
    </row>
    <row r="31165" spans="1:1" x14ac:dyDescent="0.25">
      <c r="A31165" t="e">
        <v>#N/A</v>
      </c>
    </row>
    <row r="31166" spans="1:1" x14ac:dyDescent="0.25">
      <c r="A31166" t="e">
        <v>#N/A</v>
      </c>
    </row>
    <row r="31167" spans="1:1" x14ac:dyDescent="0.25">
      <c r="A31167" t="e">
        <v>#N/A</v>
      </c>
    </row>
    <row r="31168" spans="1:1" x14ac:dyDescent="0.25">
      <c r="A31168" t="e">
        <v>#N/A</v>
      </c>
    </row>
    <row r="31169" spans="1:1" x14ac:dyDescent="0.25">
      <c r="A31169" t="e">
        <v>#N/A</v>
      </c>
    </row>
    <row r="31170" spans="1:1" x14ac:dyDescent="0.25">
      <c r="A31170" t="e">
        <v>#N/A</v>
      </c>
    </row>
    <row r="31171" spans="1:1" x14ac:dyDescent="0.25">
      <c r="A31171" t="e">
        <v>#N/A</v>
      </c>
    </row>
    <row r="31172" spans="1:1" x14ac:dyDescent="0.25">
      <c r="A31172" t="e">
        <v>#N/A</v>
      </c>
    </row>
    <row r="31173" spans="1:1" x14ac:dyDescent="0.25">
      <c r="A31173" t="e">
        <v>#N/A</v>
      </c>
    </row>
    <row r="31174" spans="1:1" x14ac:dyDescent="0.25">
      <c r="A31174" t="e">
        <v>#N/A</v>
      </c>
    </row>
    <row r="31175" spans="1:1" x14ac:dyDescent="0.25">
      <c r="A31175" t="e">
        <v>#N/A</v>
      </c>
    </row>
    <row r="31176" spans="1:1" x14ac:dyDescent="0.25">
      <c r="A31176" t="e">
        <v>#N/A</v>
      </c>
    </row>
    <row r="31177" spans="1:1" x14ac:dyDescent="0.25">
      <c r="A31177" t="e">
        <v>#N/A</v>
      </c>
    </row>
    <row r="31178" spans="1:1" x14ac:dyDescent="0.25">
      <c r="A31178" t="e">
        <v>#N/A</v>
      </c>
    </row>
    <row r="31179" spans="1:1" x14ac:dyDescent="0.25">
      <c r="A31179" t="e">
        <v>#N/A</v>
      </c>
    </row>
    <row r="31180" spans="1:1" x14ac:dyDescent="0.25">
      <c r="A31180" t="e">
        <v>#N/A</v>
      </c>
    </row>
    <row r="31181" spans="1:1" x14ac:dyDescent="0.25">
      <c r="A31181" t="e">
        <v>#N/A</v>
      </c>
    </row>
    <row r="31182" spans="1:1" x14ac:dyDescent="0.25">
      <c r="A31182" t="e">
        <v>#N/A</v>
      </c>
    </row>
    <row r="31183" spans="1:1" x14ac:dyDescent="0.25">
      <c r="A31183" t="e">
        <v>#N/A</v>
      </c>
    </row>
    <row r="31184" spans="1:1" x14ac:dyDescent="0.25">
      <c r="A31184" t="e">
        <v>#N/A</v>
      </c>
    </row>
    <row r="31185" spans="1:1" x14ac:dyDescent="0.25">
      <c r="A31185" t="e">
        <v>#N/A</v>
      </c>
    </row>
    <row r="31186" spans="1:1" x14ac:dyDescent="0.25">
      <c r="A31186" t="e">
        <v>#N/A</v>
      </c>
    </row>
    <row r="31187" spans="1:1" x14ac:dyDescent="0.25">
      <c r="A31187" t="e">
        <v>#N/A</v>
      </c>
    </row>
    <row r="31188" spans="1:1" x14ac:dyDescent="0.25">
      <c r="A31188" t="e">
        <v>#N/A</v>
      </c>
    </row>
    <row r="31189" spans="1:1" x14ac:dyDescent="0.25">
      <c r="A31189" t="e">
        <v>#N/A</v>
      </c>
    </row>
    <row r="31190" spans="1:1" x14ac:dyDescent="0.25">
      <c r="A31190" t="e">
        <v>#N/A</v>
      </c>
    </row>
    <row r="31191" spans="1:1" x14ac:dyDescent="0.25">
      <c r="A31191" t="e">
        <v>#N/A</v>
      </c>
    </row>
    <row r="31192" spans="1:1" x14ac:dyDescent="0.25">
      <c r="A31192" t="e">
        <v>#N/A</v>
      </c>
    </row>
    <row r="31193" spans="1:1" x14ac:dyDescent="0.25">
      <c r="A31193" t="e">
        <v>#N/A</v>
      </c>
    </row>
    <row r="31194" spans="1:1" x14ac:dyDescent="0.25">
      <c r="A31194" t="e">
        <v>#N/A</v>
      </c>
    </row>
    <row r="31195" spans="1:1" x14ac:dyDescent="0.25">
      <c r="A31195" t="e">
        <v>#N/A</v>
      </c>
    </row>
    <row r="31196" spans="1:1" x14ac:dyDescent="0.25">
      <c r="A31196" t="e">
        <v>#N/A</v>
      </c>
    </row>
    <row r="31197" spans="1:1" x14ac:dyDescent="0.25">
      <c r="A31197" t="e">
        <v>#N/A</v>
      </c>
    </row>
    <row r="31198" spans="1:1" x14ac:dyDescent="0.25">
      <c r="A31198" t="e">
        <v>#N/A</v>
      </c>
    </row>
    <row r="31199" spans="1:1" x14ac:dyDescent="0.25">
      <c r="A31199" t="e">
        <v>#N/A</v>
      </c>
    </row>
    <row r="31200" spans="1:1" x14ac:dyDescent="0.25">
      <c r="A31200" t="e">
        <v>#N/A</v>
      </c>
    </row>
    <row r="31201" spans="1:1" x14ac:dyDescent="0.25">
      <c r="A31201" t="e">
        <v>#N/A</v>
      </c>
    </row>
    <row r="31202" spans="1:1" x14ac:dyDescent="0.25">
      <c r="A31202" t="e">
        <v>#N/A</v>
      </c>
    </row>
    <row r="31203" spans="1:1" x14ac:dyDescent="0.25">
      <c r="A31203" t="e">
        <v>#N/A</v>
      </c>
    </row>
    <row r="31204" spans="1:1" x14ac:dyDescent="0.25">
      <c r="A31204" t="e">
        <v>#N/A</v>
      </c>
    </row>
    <row r="31205" spans="1:1" x14ac:dyDescent="0.25">
      <c r="A31205" t="e">
        <v>#N/A</v>
      </c>
    </row>
    <row r="31206" spans="1:1" x14ac:dyDescent="0.25">
      <c r="A31206" t="e">
        <v>#N/A</v>
      </c>
    </row>
    <row r="31207" spans="1:1" x14ac:dyDescent="0.25">
      <c r="A31207" t="e">
        <v>#N/A</v>
      </c>
    </row>
    <row r="31208" spans="1:1" x14ac:dyDescent="0.25">
      <c r="A31208" t="e">
        <v>#N/A</v>
      </c>
    </row>
    <row r="31209" spans="1:1" x14ac:dyDescent="0.25">
      <c r="A31209" t="e">
        <v>#N/A</v>
      </c>
    </row>
    <row r="31210" spans="1:1" x14ac:dyDescent="0.25">
      <c r="A31210" t="e">
        <v>#N/A</v>
      </c>
    </row>
    <row r="31211" spans="1:1" x14ac:dyDescent="0.25">
      <c r="A31211" t="e">
        <v>#N/A</v>
      </c>
    </row>
    <row r="31212" spans="1:1" x14ac:dyDescent="0.25">
      <c r="A31212" t="e">
        <v>#N/A</v>
      </c>
    </row>
    <row r="31213" spans="1:1" x14ac:dyDescent="0.25">
      <c r="A31213" t="e">
        <v>#N/A</v>
      </c>
    </row>
    <row r="31214" spans="1:1" x14ac:dyDescent="0.25">
      <c r="A31214" t="e">
        <v>#N/A</v>
      </c>
    </row>
    <row r="31215" spans="1:1" x14ac:dyDescent="0.25">
      <c r="A31215" t="e">
        <v>#N/A</v>
      </c>
    </row>
    <row r="31216" spans="1:1" x14ac:dyDescent="0.25">
      <c r="A31216" t="e">
        <v>#N/A</v>
      </c>
    </row>
    <row r="31217" spans="1:1" x14ac:dyDescent="0.25">
      <c r="A31217" t="e">
        <v>#N/A</v>
      </c>
    </row>
    <row r="31218" spans="1:1" x14ac:dyDescent="0.25">
      <c r="A31218" t="e">
        <v>#N/A</v>
      </c>
    </row>
    <row r="31219" spans="1:1" x14ac:dyDescent="0.25">
      <c r="A31219" t="e">
        <v>#N/A</v>
      </c>
    </row>
    <row r="31220" spans="1:1" x14ac:dyDescent="0.25">
      <c r="A31220" t="e">
        <v>#N/A</v>
      </c>
    </row>
    <row r="31221" spans="1:1" x14ac:dyDescent="0.25">
      <c r="A31221" t="e">
        <v>#N/A</v>
      </c>
    </row>
    <row r="31222" spans="1:1" x14ac:dyDescent="0.25">
      <c r="A31222" t="e">
        <v>#N/A</v>
      </c>
    </row>
    <row r="31223" spans="1:1" x14ac:dyDescent="0.25">
      <c r="A31223" t="e">
        <v>#N/A</v>
      </c>
    </row>
    <row r="31224" spans="1:1" x14ac:dyDescent="0.25">
      <c r="A31224" t="e">
        <v>#N/A</v>
      </c>
    </row>
    <row r="31225" spans="1:1" x14ac:dyDescent="0.25">
      <c r="A31225" t="e">
        <v>#N/A</v>
      </c>
    </row>
    <row r="31226" spans="1:1" x14ac:dyDescent="0.25">
      <c r="A31226" t="e">
        <v>#N/A</v>
      </c>
    </row>
    <row r="31227" spans="1:1" x14ac:dyDescent="0.25">
      <c r="A31227" t="e">
        <v>#N/A</v>
      </c>
    </row>
    <row r="31228" spans="1:1" x14ac:dyDescent="0.25">
      <c r="A31228" t="e">
        <v>#N/A</v>
      </c>
    </row>
    <row r="31229" spans="1:1" x14ac:dyDescent="0.25">
      <c r="A31229" t="e">
        <v>#N/A</v>
      </c>
    </row>
    <row r="31230" spans="1:1" x14ac:dyDescent="0.25">
      <c r="A31230" t="e">
        <v>#N/A</v>
      </c>
    </row>
    <row r="31231" spans="1:1" x14ac:dyDescent="0.25">
      <c r="A31231" t="e">
        <v>#N/A</v>
      </c>
    </row>
    <row r="31232" spans="1:1" x14ac:dyDescent="0.25">
      <c r="A31232" t="e">
        <v>#N/A</v>
      </c>
    </row>
    <row r="31233" spans="1:1" x14ac:dyDescent="0.25">
      <c r="A31233" t="e">
        <v>#N/A</v>
      </c>
    </row>
    <row r="31234" spans="1:1" x14ac:dyDescent="0.25">
      <c r="A31234" t="e">
        <v>#N/A</v>
      </c>
    </row>
    <row r="31235" spans="1:1" x14ac:dyDescent="0.25">
      <c r="A31235" t="e">
        <v>#N/A</v>
      </c>
    </row>
    <row r="31236" spans="1:1" x14ac:dyDescent="0.25">
      <c r="A31236" t="e">
        <v>#N/A</v>
      </c>
    </row>
    <row r="31237" spans="1:1" x14ac:dyDescent="0.25">
      <c r="A31237" t="e">
        <v>#N/A</v>
      </c>
    </row>
    <row r="31238" spans="1:1" x14ac:dyDescent="0.25">
      <c r="A31238" t="e">
        <v>#N/A</v>
      </c>
    </row>
    <row r="31239" spans="1:1" x14ac:dyDescent="0.25">
      <c r="A31239" t="e">
        <v>#N/A</v>
      </c>
    </row>
    <row r="31240" spans="1:1" x14ac:dyDescent="0.25">
      <c r="A31240" t="e">
        <v>#N/A</v>
      </c>
    </row>
    <row r="31241" spans="1:1" x14ac:dyDescent="0.25">
      <c r="A31241" t="e">
        <v>#N/A</v>
      </c>
    </row>
    <row r="31242" spans="1:1" x14ac:dyDescent="0.25">
      <c r="A31242" t="e">
        <v>#N/A</v>
      </c>
    </row>
    <row r="31243" spans="1:1" x14ac:dyDescent="0.25">
      <c r="A31243" t="e">
        <v>#N/A</v>
      </c>
    </row>
    <row r="31244" spans="1:1" x14ac:dyDescent="0.25">
      <c r="A31244" t="e">
        <v>#N/A</v>
      </c>
    </row>
    <row r="31245" spans="1:1" x14ac:dyDescent="0.25">
      <c r="A31245" t="e">
        <v>#N/A</v>
      </c>
    </row>
    <row r="31246" spans="1:1" x14ac:dyDescent="0.25">
      <c r="A31246" t="e">
        <v>#N/A</v>
      </c>
    </row>
    <row r="31247" spans="1:1" x14ac:dyDescent="0.25">
      <c r="A31247" t="e">
        <v>#N/A</v>
      </c>
    </row>
    <row r="31248" spans="1:1" x14ac:dyDescent="0.25">
      <c r="A31248" t="e">
        <v>#N/A</v>
      </c>
    </row>
    <row r="31249" spans="1:1" x14ac:dyDescent="0.25">
      <c r="A31249" t="e">
        <v>#N/A</v>
      </c>
    </row>
    <row r="31250" spans="1:1" x14ac:dyDescent="0.25">
      <c r="A31250" t="e">
        <v>#N/A</v>
      </c>
    </row>
    <row r="31251" spans="1:1" x14ac:dyDescent="0.25">
      <c r="A31251" t="e">
        <v>#N/A</v>
      </c>
    </row>
    <row r="31252" spans="1:1" x14ac:dyDescent="0.25">
      <c r="A31252" t="e">
        <v>#N/A</v>
      </c>
    </row>
    <row r="31253" spans="1:1" x14ac:dyDescent="0.25">
      <c r="A31253" t="e">
        <v>#N/A</v>
      </c>
    </row>
    <row r="31254" spans="1:1" x14ac:dyDescent="0.25">
      <c r="A31254" t="e">
        <v>#N/A</v>
      </c>
    </row>
    <row r="31255" spans="1:1" x14ac:dyDescent="0.25">
      <c r="A31255" t="e">
        <v>#N/A</v>
      </c>
    </row>
    <row r="31256" spans="1:1" x14ac:dyDescent="0.25">
      <c r="A31256" t="e">
        <v>#N/A</v>
      </c>
    </row>
    <row r="31257" spans="1:1" x14ac:dyDescent="0.25">
      <c r="A31257" t="e">
        <v>#N/A</v>
      </c>
    </row>
    <row r="31258" spans="1:1" x14ac:dyDescent="0.25">
      <c r="A31258" t="e">
        <v>#N/A</v>
      </c>
    </row>
    <row r="31259" spans="1:1" x14ac:dyDescent="0.25">
      <c r="A31259" t="e">
        <v>#N/A</v>
      </c>
    </row>
    <row r="31260" spans="1:1" x14ac:dyDescent="0.25">
      <c r="A31260" t="e">
        <v>#N/A</v>
      </c>
    </row>
    <row r="31261" spans="1:1" x14ac:dyDescent="0.25">
      <c r="A31261" t="e">
        <v>#N/A</v>
      </c>
    </row>
    <row r="31262" spans="1:1" x14ac:dyDescent="0.25">
      <c r="A31262" t="e">
        <v>#N/A</v>
      </c>
    </row>
    <row r="31263" spans="1:1" x14ac:dyDescent="0.25">
      <c r="A31263" t="e">
        <v>#N/A</v>
      </c>
    </row>
    <row r="31264" spans="1:1" x14ac:dyDescent="0.25">
      <c r="A31264" t="e">
        <v>#N/A</v>
      </c>
    </row>
    <row r="31265" spans="1:1" x14ac:dyDescent="0.25">
      <c r="A31265" t="e">
        <v>#N/A</v>
      </c>
    </row>
    <row r="31266" spans="1:1" x14ac:dyDescent="0.25">
      <c r="A31266" t="e">
        <v>#N/A</v>
      </c>
    </row>
    <row r="31267" spans="1:1" x14ac:dyDescent="0.25">
      <c r="A31267" t="e">
        <v>#N/A</v>
      </c>
    </row>
    <row r="31268" spans="1:1" x14ac:dyDescent="0.25">
      <c r="A31268" t="e">
        <v>#N/A</v>
      </c>
    </row>
    <row r="31269" spans="1:1" x14ac:dyDescent="0.25">
      <c r="A31269" t="e">
        <v>#N/A</v>
      </c>
    </row>
    <row r="31270" spans="1:1" x14ac:dyDescent="0.25">
      <c r="A31270" t="e">
        <v>#N/A</v>
      </c>
    </row>
    <row r="31271" spans="1:1" x14ac:dyDescent="0.25">
      <c r="A31271" t="e">
        <v>#N/A</v>
      </c>
    </row>
    <row r="31272" spans="1:1" x14ac:dyDescent="0.25">
      <c r="A31272" t="e">
        <v>#N/A</v>
      </c>
    </row>
    <row r="31273" spans="1:1" x14ac:dyDescent="0.25">
      <c r="A31273" t="e">
        <v>#N/A</v>
      </c>
    </row>
    <row r="31274" spans="1:1" x14ac:dyDescent="0.25">
      <c r="A31274" t="e">
        <v>#N/A</v>
      </c>
    </row>
    <row r="31275" spans="1:1" x14ac:dyDescent="0.25">
      <c r="A31275" t="e">
        <v>#N/A</v>
      </c>
    </row>
    <row r="31276" spans="1:1" x14ac:dyDescent="0.25">
      <c r="A31276" t="e">
        <v>#N/A</v>
      </c>
    </row>
    <row r="31277" spans="1:1" x14ac:dyDescent="0.25">
      <c r="A31277" t="e">
        <v>#N/A</v>
      </c>
    </row>
    <row r="31278" spans="1:1" x14ac:dyDescent="0.25">
      <c r="A31278" t="e">
        <v>#N/A</v>
      </c>
    </row>
    <row r="31279" spans="1:1" x14ac:dyDescent="0.25">
      <c r="A31279" t="e">
        <v>#N/A</v>
      </c>
    </row>
    <row r="31280" spans="1:1" x14ac:dyDescent="0.25">
      <c r="A31280" t="e">
        <v>#N/A</v>
      </c>
    </row>
    <row r="31281" spans="1:1" x14ac:dyDescent="0.25">
      <c r="A31281" t="e">
        <v>#N/A</v>
      </c>
    </row>
    <row r="31282" spans="1:1" x14ac:dyDescent="0.25">
      <c r="A31282" t="e">
        <v>#N/A</v>
      </c>
    </row>
    <row r="31283" spans="1:1" x14ac:dyDescent="0.25">
      <c r="A31283" t="e">
        <v>#N/A</v>
      </c>
    </row>
    <row r="31284" spans="1:1" x14ac:dyDescent="0.25">
      <c r="A31284" t="e">
        <v>#N/A</v>
      </c>
    </row>
    <row r="31285" spans="1:1" x14ac:dyDescent="0.25">
      <c r="A31285" t="e">
        <v>#N/A</v>
      </c>
    </row>
    <row r="31286" spans="1:1" x14ac:dyDescent="0.25">
      <c r="A31286" t="e">
        <v>#N/A</v>
      </c>
    </row>
    <row r="31287" spans="1:1" x14ac:dyDescent="0.25">
      <c r="A31287" t="e">
        <v>#N/A</v>
      </c>
    </row>
    <row r="31288" spans="1:1" x14ac:dyDescent="0.25">
      <c r="A31288" t="e">
        <v>#N/A</v>
      </c>
    </row>
    <row r="31289" spans="1:1" x14ac:dyDescent="0.25">
      <c r="A31289" t="e">
        <v>#N/A</v>
      </c>
    </row>
    <row r="31290" spans="1:1" x14ac:dyDescent="0.25">
      <c r="A31290" t="e">
        <v>#N/A</v>
      </c>
    </row>
    <row r="31291" spans="1:1" x14ac:dyDescent="0.25">
      <c r="A31291" t="e">
        <v>#N/A</v>
      </c>
    </row>
    <row r="31292" spans="1:1" x14ac:dyDescent="0.25">
      <c r="A31292" t="e">
        <v>#N/A</v>
      </c>
    </row>
    <row r="31293" spans="1:1" x14ac:dyDescent="0.25">
      <c r="A31293" t="e">
        <v>#N/A</v>
      </c>
    </row>
    <row r="31294" spans="1:1" x14ac:dyDescent="0.25">
      <c r="A31294" t="e">
        <v>#N/A</v>
      </c>
    </row>
    <row r="31295" spans="1:1" x14ac:dyDescent="0.25">
      <c r="A31295" t="e">
        <v>#N/A</v>
      </c>
    </row>
    <row r="31296" spans="1:1" x14ac:dyDescent="0.25">
      <c r="A31296" t="e">
        <v>#N/A</v>
      </c>
    </row>
    <row r="31297" spans="1:1" x14ac:dyDescent="0.25">
      <c r="A31297" t="e">
        <v>#N/A</v>
      </c>
    </row>
    <row r="31298" spans="1:1" x14ac:dyDescent="0.25">
      <c r="A31298" t="e">
        <v>#N/A</v>
      </c>
    </row>
    <row r="31299" spans="1:1" x14ac:dyDescent="0.25">
      <c r="A31299" t="e">
        <v>#N/A</v>
      </c>
    </row>
    <row r="31300" spans="1:1" x14ac:dyDescent="0.25">
      <c r="A31300" t="e">
        <v>#N/A</v>
      </c>
    </row>
    <row r="31301" spans="1:1" x14ac:dyDescent="0.25">
      <c r="A31301" t="e">
        <v>#N/A</v>
      </c>
    </row>
    <row r="31302" spans="1:1" x14ac:dyDescent="0.25">
      <c r="A31302" t="e">
        <v>#N/A</v>
      </c>
    </row>
    <row r="31303" spans="1:1" x14ac:dyDescent="0.25">
      <c r="A31303" t="e">
        <v>#N/A</v>
      </c>
    </row>
    <row r="31304" spans="1:1" x14ac:dyDescent="0.25">
      <c r="A31304" t="e">
        <v>#N/A</v>
      </c>
    </row>
    <row r="31305" spans="1:1" x14ac:dyDescent="0.25">
      <c r="A31305" t="e">
        <v>#N/A</v>
      </c>
    </row>
    <row r="31306" spans="1:1" x14ac:dyDescent="0.25">
      <c r="A31306" t="e">
        <v>#N/A</v>
      </c>
    </row>
    <row r="31307" spans="1:1" x14ac:dyDescent="0.25">
      <c r="A31307" t="e">
        <v>#N/A</v>
      </c>
    </row>
    <row r="31308" spans="1:1" x14ac:dyDescent="0.25">
      <c r="A31308" t="e">
        <v>#N/A</v>
      </c>
    </row>
    <row r="31309" spans="1:1" x14ac:dyDescent="0.25">
      <c r="A31309" t="e">
        <v>#N/A</v>
      </c>
    </row>
    <row r="31310" spans="1:1" x14ac:dyDescent="0.25">
      <c r="A31310" t="e">
        <v>#N/A</v>
      </c>
    </row>
    <row r="31311" spans="1:1" x14ac:dyDescent="0.25">
      <c r="A31311" t="e">
        <v>#N/A</v>
      </c>
    </row>
    <row r="31312" spans="1:1" x14ac:dyDescent="0.25">
      <c r="A31312" t="e">
        <v>#N/A</v>
      </c>
    </row>
    <row r="31313" spans="1:1" x14ac:dyDescent="0.25">
      <c r="A31313" t="e">
        <v>#N/A</v>
      </c>
    </row>
    <row r="31314" spans="1:1" x14ac:dyDescent="0.25">
      <c r="A31314" t="e">
        <v>#N/A</v>
      </c>
    </row>
    <row r="31315" spans="1:1" x14ac:dyDescent="0.25">
      <c r="A31315" t="e">
        <v>#N/A</v>
      </c>
    </row>
    <row r="31316" spans="1:1" x14ac:dyDescent="0.25">
      <c r="A31316" t="e">
        <v>#N/A</v>
      </c>
    </row>
    <row r="31317" spans="1:1" x14ac:dyDescent="0.25">
      <c r="A31317" t="e">
        <v>#N/A</v>
      </c>
    </row>
    <row r="31318" spans="1:1" x14ac:dyDescent="0.25">
      <c r="A31318" t="e">
        <v>#N/A</v>
      </c>
    </row>
    <row r="31319" spans="1:1" x14ac:dyDescent="0.25">
      <c r="A31319" t="e">
        <v>#N/A</v>
      </c>
    </row>
    <row r="31320" spans="1:1" x14ac:dyDescent="0.25">
      <c r="A31320" t="e">
        <v>#N/A</v>
      </c>
    </row>
    <row r="31321" spans="1:1" x14ac:dyDescent="0.25">
      <c r="A31321" t="e">
        <v>#N/A</v>
      </c>
    </row>
    <row r="31322" spans="1:1" x14ac:dyDescent="0.25">
      <c r="A31322" t="e">
        <v>#N/A</v>
      </c>
    </row>
    <row r="31323" spans="1:1" x14ac:dyDescent="0.25">
      <c r="A31323" t="e">
        <v>#N/A</v>
      </c>
    </row>
    <row r="31324" spans="1:1" x14ac:dyDescent="0.25">
      <c r="A31324" t="e">
        <v>#N/A</v>
      </c>
    </row>
    <row r="31325" spans="1:1" x14ac:dyDescent="0.25">
      <c r="A31325" t="e">
        <v>#N/A</v>
      </c>
    </row>
    <row r="31326" spans="1:1" x14ac:dyDescent="0.25">
      <c r="A31326" t="e">
        <v>#N/A</v>
      </c>
    </row>
    <row r="31327" spans="1:1" x14ac:dyDescent="0.25">
      <c r="A31327" t="e">
        <v>#N/A</v>
      </c>
    </row>
    <row r="31328" spans="1:1" x14ac:dyDescent="0.25">
      <c r="A31328" t="e">
        <v>#N/A</v>
      </c>
    </row>
    <row r="31329" spans="1:1" x14ac:dyDescent="0.25">
      <c r="A31329" t="e">
        <v>#N/A</v>
      </c>
    </row>
    <row r="31330" spans="1:1" x14ac:dyDescent="0.25">
      <c r="A31330" t="e">
        <v>#N/A</v>
      </c>
    </row>
    <row r="31331" spans="1:1" x14ac:dyDescent="0.25">
      <c r="A31331" t="e">
        <v>#N/A</v>
      </c>
    </row>
    <row r="31332" spans="1:1" x14ac:dyDescent="0.25">
      <c r="A31332" t="e">
        <v>#N/A</v>
      </c>
    </row>
    <row r="31333" spans="1:1" x14ac:dyDescent="0.25">
      <c r="A31333" t="e">
        <v>#N/A</v>
      </c>
    </row>
    <row r="31334" spans="1:1" x14ac:dyDescent="0.25">
      <c r="A31334" t="e">
        <v>#N/A</v>
      </c>
    </row>
    <row r="31335" spans="1:1" x14ac:dyDescent="0.25">
      <c r="A31335" t="e">
        <v>#N/A</v>
      </c>
    </row>
    <row r="31336" spans="1:1" x14ac:dyDescent="0.25">
      <c r="A31336" t="e">
        <v>#N/A</v>
      </c>
    </row>
    <row r="31337" spans="1:1" x14ac:dyDescent="0.25">
      <c r="A31337" t="e">
        <v>#N/A</v>
      </c>
    </row>
    <row r="31338" spans="1:1" x14ac:dyDescent="0.25">
      <c r="A31338" t="e">
        <v>#N/A</v>
      </c>
    </row>
    <row r="31339" spans="1:1" x14ac:dyDescent="0.25">
      <c r="A31339" t="e">
        <v>#N/A</v>
      </c>
    </row>
    <row r="31340" spans="1:1" x14ac:dyDescent="0.25">
      <c r="A31340" t="e">
        <v>#N/A</v>
      </c>
    </row>
    <row r="31341" spans="1:1" x14ac:dyDescent="0.25">
      <c r="A31341" t="e">
        <v>#N/A</v>
      </c>
    </row>
    <row r="31342" spans="1:1" x14ac:dyDescent="0.25">
      <c r="A31342" t="e">
        <v>#N/A</v>
      </c>
    </row>
    <row r="31343" spans="1:1" x14ac:dyDescent="0.25">
      <c r="A31343" t="e">
        <v>#N/A</v>
      </c>
    </row>
    <row r="31344" spans="1:1" x14ac:dyDescent="0.25">
      <c r="A31344" t="e">
        <v>#N/A</v>
      </c>
    </row>
    <row r="31345" spans="1:1" x14ac:dyDescent="0.25">
      <c r="A31345" t="e">
        <v>#N/A</v>
      </c>
    </row>
    <row r="31346" spans="1:1" x14ac:dyDescent="0.25">
      <c r="A31346" t="e">
        <v>#N/A</v>
      </c>
    </row>
    <row r="31347" spans="1:1" x14ac:dyDescent="0.25">
      <c r="A31347" t="e">
        <v>#N/A</v>
      </c>
    </row>
    <row r="31348" spans="1:1" x14ac:dyDescent="0.25">
      <c r="A31348" t="e">
        <v>#N/A</v>
      </c>
    </row>
    <row r="31349" spans="1:1" x14ac:dyDescent="0.25">
      <c r="A31349" t="e">
        <v>#N/A</v>
      </c>
    </row>
    <row r="31350" spans="1:1" x14ac:dyDescent="0.25">
      <c r="A31350" t="e">
        <v>#N/A</v>
      </c>
    </row>
    <row r="31351" spans="1:1" x14ac:dyDescent="0.25">
      <c r="A31351" t="e">
        <v>#N/A</v>
      </c>
    </row>
    <row r="31352" spans="1:1" x14ac:dyDescent="0.25">
      <c r="A31352" t="e">
        <v>#N/A</v>
      </c>
    </row>
    <row r="31353" spans="1:1" x14ac:dyDescent="0.25">
      <c r="A31353" t="e">
        <v>#N/A</v>
      </c>
    </row>
    <row r="31354" spans="1:1" x14ac:dyDescent="0.25">
      <c r="A31354" t="e">
        <v>#N/A</v>
      </c>
    </row>
    <row r="31355" spans="1:1" x14ac:dyDescent="0.25">
      <c r="A31355" t="e">
        <v>#N/A</v>
      </c>
    </row>
    <row r="31356" spans="1:1" x14ac:dyDescent="0.25">
      <c r="A31356" t="e">
        <v>#N/A</v>
      </c>
    </row>
    <row r="31357" spans="1:1" x14ac:dyDescent="0.25">
      <c r="A31357" t="e">
        <v>#N/A</v>
      </c>
    </row>
    <row r="31358" spans="1:1" x14ac:dyDescent="0.25">
      <c r="A31358" t="e">
        <v>#N/A</v>
      </c>
    </row>
    <row r="31359" spans="1:1" x14ac:dyDescent="0.25">
      <c r="A31359" t="e">
        <v>#N/A</v>
      </c>
    </row>
    <row r="31360" spans="1:1" x14ac:dyDescent="0.25">
      <c r="A31360" t="e">
        <v>#N/A</v>
      </c>
    </row>
    <row r="31361" spans="1:1" x14ac:dyDescent="0.25">
      <c r="A31361" t="e">
        <v>#N/A</v>
      </c>
    </row>
    <row r="31362" spans="1:1" x14ac:dyDescent="0.25">
      <c r="A31362" t="e">
        <v>#N/A</v>
      </c>
    </row>
    <row r="31363" spans="1:1" x14ac:dyDescent="0.25">
      <c r="A31363" t="e">
        <v>#N/A</v>
      </c>
    </row>
    <row r="31364" spans="1:1" x14ac:dyDescent="0.25">
      <c r="A31364" t="e">
        <v>#N/A</v>
      </c>
    </row>
    <row r="31365" spans="1:1" x14ac:dyDescent="0.25">
      <c r="A31365" t="e">
        <v>#N/A</v>
      </c>
    </row>
    <row r="31366" spans="1:1" x14ac:dyDescent="0.25">
      <c r="A31366" t="e">
        <v>#N/A</v>
      </c>
    </row>
    <row r="31367" spans="1:1" x14ac:dyDescent="0.25">
      <c r="A31367" t="e">
        <v>#N/A</v>
      </c>
    </row>
    <row r="31368" spans="1:1" x14ac:dyDescent="0.25">
      <c r="A31368" t="e">
        <v>#N/A</v>
      </c>
    </row>
    <row r="31369" spans="1:1" x14ac:dyDescent="0.25">
      <c r="A31369" t="e">
        <v>#N/A</v>
      </c>
    </row>
    <row r="31370" spans="1:1" x14ac:dyDescent="0.25">
      <c r="A31370" t="e">
        <v>#N/A</v>
      </c>
    </row>
    <row r="31371" spans="1:1" x14ac:dyDescent="0.25">
      <c r="A31371" t="e">
        <v>#N/A</v>
      </c>
    </row>
    <row r="31372" spans="1:1" x14ac:dyDescent="0.25">
      <c r="A31372" t="e">
        <v>#N/A</v>
      </c>
    </row>
    <row r="31373" spans="1:1" x14ac:dyDescent="0.25">
      <c r="A31373" t="e">
        <v>#N/A</v>
      </c>
    </row>
    <row r="31374" spans="1:1" x14ac:dyDescent="0.25">
      <c r="A31374" t="e">
        <v>#N/A</v>
      </c>
    </row>
    <row r="31375" spans="1:1" x14ac:dyDescent="0.25">
      <c r="A31375" t="e">
        <v>#N/A</v>
      </c>
    </row>
    <row r="31376" spans="1:1" x14ac:dyDescent="0.25">
      <c r="A31376" t="e">
        <v>#N/A</v>
      </c>
    </row>
    <row r="31377" spans="1:1" x14ac:dyDescent="0.25">
      <c r="A31377" t="e">
        <v>#N/A</v>
      </c>
    </row>
    <row r="31378" spans="1:1" x14ac:dyDescent="0.25">
      <c r="A31378" t="e">
        <v>#N/A</v>
      </c>
    </row>
    <row r="31379" spans="1:1" x14ac:dyDescent="0.25">
      <c r="A31379" t="e">
        <v>#N/A</v>
      </c>
    </row>
    <row r="31380" spans="1:1" x14ac:dyDescent="0.25">
      <c r="A31380" t="e">
        <v>#N/A</v>
      </c>
    </row>
    <row r="31381" spans="1:1" x14ac:dyDescent="0.25">
      <c r="A31381" t="e">
        <v>#N/A</v>
      </c>
    </row>
    <row r="31382" spans="1:1" x14ac:dyDescent="0.25">
      <c r="A31382" t="e">
        <v>#N/A</v>
      </c>
    </row>
    <row r="31383" spans="1:1" x14ac:dyDescent="0.25">
      <c r="A31383" t="e">
        <v>#N/A</v>
      </c>
    </row>
    <row r="31384" spans="1:1" x14ac:dyDescent="0.25">
      <c r="A31384" t="e">
        <v>#N/A</v>
      </c>
    </row>
    <row r="31385" spans="1:1" x14ac:dyDescent="0.25">
      <c r="A31385" t="e">
        <v>#N/A</v>
      </c>
    </row>
    <row r="31386" spans="1:1" x14ac:dyDescent="0.25">
      <c r="A31386" t="e">
        <v>#N/A</v>
      </c>
    </row>
    <row r="31387" spans="1:1" x14ac:dyDescent="0.25">
      <c r="A31387" t="e">
        <v>#N/A</v>
      </c>
    </row>
    <row r="31388" spans="1:1" x14ac:dyDescent="0.25">
      <c r="A31388" t="e">
        <v>#N/A</v>
      </c>
    </row>
    <row r="31389" spans="1:1" x14ac:dyDescent="0.25">
      <c r="A31389" t="e">
        <v>#N/A</v>
      </c>
    </row>
    <row r="31390" spans="1:1" x14ac:dyDescent="0.25">
      <c r="A31390" t="e">
        <v>#N/A</v>
      </c>
    </row>
    <row r="31391" spans="1:1" x14ac:dyDescent="0.25">
      <c r="A31391" t="e">
        <v>#N/A</v>
      </c>
    </row>
    <row r="31392" spans="1:1" x14ac:dyDescent="0.25">
      <c r="A31392" t="e">
        <v>#N/A</v>
      </c>
    </row>
    <row r="31393" spans="1:1" x14ac:dyDescent="0.25">
      <c r="A31393" t="e">
        <v>#N/A</v>
      </c>
    </row>
    <row r="31394" spans="1:1" x14ac:dyDescent="0.25">
      <c r="A31394" t="e">
        <v>#N/A</v>
      </c>
    </row>
    <row r="31395" spans="1:1" x14ac:dyDescent="0.25">
      <c r="A31395" t="e">
        <v>#N/A</v>
      </c>
    </row>
    <row r="31396" spans="1:1" x14ac:dyDescent="0.25">
      <c r="A31396" t="e">
        <v>#N/A</v>
      </c>
    </row>
    <row r="31397" spans="1:1" x14ac:dyDescent="0.25">
      <c r="A31397" t="e">
        <v>#N/A</v>
      </c>
    </row>
    <row r="31398" spans="1:1" x14ac:dyDescent="0.25">
      <c r="A31398" t="e">
        <v>#N/A</v>
      </c>
    </row>
    <row r="31399" spans="1:1" x14ac:dyDescent="0.25">
      <c r="A31399" t="e">
        <v>#N/A</v>
      </c>
    </row>
    <row r="31400" spans="1:1" x14ac:dyDescent="0.25">
      <c r="A31400" t="e">
        <v>#N/A</v>
      </c>
    </row>
    <row r="31401" spans="1:1" x14ac:dyDescent="0.25">
      <c r="A31401" t="e">
        <v>#N/A</v>
      </c>
    </row>
    <row r="31402" spans="1:1" x14ac:dyDescent="0.25">
      <c r="A31402" t="e">
        <v>#N/A</v>
      </c>
    </row>
    <row r="31403" spans="1:1" x14ac:dyDescent="0.25">
      <c r="A31403" t="e">
        <v>#N/A</v>
      </c>
    </row>
    <row r="31404" spans="1:1" x14ac:dyDescent="0.25">
      <c r="A31404" t="e">
        <v>#N/A</v>
      </c>
    </row>
    <row r="31405" spans="1:1" x14ac:dyDescent="0.25">
      <c r="A31405" t="e">
        <v>#N/A</v>
      </c>
    </row>
    <row r="31406" spans="1:1" x14ac:dyDescent="0.25">
      <c r="A31406" t="e">
        <v>#N/A</v>
      </c>
    </row>
    <row r="31407" spans="1:1" x14ac:dyDescent="0.25">
      <c r="A31407" t="e">
        <v>#N/A</v>
      </c>
    </row>
    <row r="31408" spans="1:1" x14ac:dyDescent="0.25">
      <c r="A31408" t="e">
        <v>#N/A</v>
      </c>
    </row>
    <row r="31409" spans="1:1" x14ac:dyDescent="0.25">
      <c r="A31409" t="e">
        <v>#N/A</v>
      </c>
    </row>
    <row r="31410" spans="1:1" x14ac:dyDescent="0.25">
      <c r="A31410" t="e">
        <v>#N/A</v>
      </c>
    </row>
    <row r="31411" spans="1:1" x14ac:dyDescent="0.25">
      <c r="A31411" t="e">
        <v>#N/A</v>
      </c>
    </row>
    <row r="31412" spans="1:1" x14ac:dyDescent="0.25">
      <c r="A31412" t="e">
        <v>#N/A</v>
      </c>
    </row>
    <row r="31413" spans="1:1" x14ac:dyDescent="0.25">
      <c r="A31413" t="e">
        <v>#N/A</v>
      </c>
    </row>
    <row r="31414" spans="1:1" x14ac:dyDescent="0.25">
      <c r="A31414" t="e">
        <v>#N/A</v>
      </c>
    </row>
    <row r="31415" spans="1:1" x14ac:dyDescent="0.25">
      <c r="A31415" t="e">
        <v>#N/A</v>
      </c>
    </row>
    <row r="31416" spans="1:1" x14ac:dyDescent="0.25">
      <c r="A31416" t="e">
        <v>#N/A</v>
      </c>
    </row>
    <row r="31417" spans="1:1" x14ac:dyDescent="0.25">
      <c r="A31417" t="e">
        <v>#N/A</v>
      </c>
    </row>
    <row r="31418" spans="1:1" x14ac:dyDescent="0.25">
      <c r="A31418" t="e">
        <v>#N/A</v>
      </c>
    </row>
    <row r="31419" spans="1:1" x14ac:dyDescent="0.25">
      <c r="A31419" t="e">
        <v>#N/A</v>
      </c>
    </row>
    <row r="31420" spans="1:1" x14ac:dyDescent="0.25">
      <c r="A31420" t="e">
        <v>#N/A</v>
      </c>
    </row>
    <row r="31421" spans="1:1" x14ac:dyDescent="0.25">
      <c r="A31421" t="e">
        <v>#N/A</v>
      </c>
    </row>
    <row r="31422" spans="1:1" x14ac:dyDescent="0.25">
      <c r="A31422" t="e">
        <v>#N/A</v>
      </c>
    </row>
    <row r="31423" spans="1:1" x14ac:dyDescent="0.25">
      <c r="A31423" t="e">
        <v>#N/A</v>
      </c>
    </row>
    <row r="31424" spans="1:1" x14ac:dyDescent="0.25">
      <c r="A31424" t="e">
        <v>#N/A</v>
      </c>
    </row>
    <row r="31425" spans="1:1" x14ac:dyDescent="0.25">
      <c r="A31425" t="e">
        <v>#N/A</v>
      </c>
    </row>
    <row r="31426" spans="1:1" x14ac:dyDescent="0.25">
      <c r="A31426" t="e">
        <v>#N/A</v>
      </c>
    </row>
    <row r="31427" spans="1:1" x14ac:dyDescent="0.25">
      <c r="A31427" t="e">
        <v>#N/A</v>
      </c>
    </row>
    <row r="31428" spans="1:1" x14ac:dyDescent="0.25">
      <c r="A31428" t="e">
        <v>#N/A</v>
      </c>
    </row>
    <row r="31429" spans="1:1" x14ac:dyDescent="0.25">
      <c r="A31429" t="e">
        <v>#N/A</v>
      </c>
    </row>
    <row r="31430" spans="1:1" x14ac:dyDescent="0.25">
      <c r="A31430" t="e">
        <v>#N/A</v>
      </c>
    </row>
    <row r="31431" spans="1:1" x14ac:dyDescent="0.25">
      <c r="A31431" t="e">
        <v>#N/A</v>
      </c>
    </row>
    <row r="31432" spans="1:1" x14ac:dyDescent="0.25">
      <c r="A31432" t="e">
        <v>#N/A</v>
      </c>
    </row>
    <row r="31433" spans="1:1" x14ac:dyDescent="0.25">
      <c r="A31433" t="e">
        <v>#N/A</v>
      </c>
    </row>
    <row r="31434" spans="1:1" x14ac:dyDescent="0.25">
      <c r="A31434" t="e">
        <v>#N/A</v>
      </c>
    </row>
    <row r="31435" spans="1:1" x14ac:dyDescent="0.25">
      <c r="A31435" t="e">
        <v>#N/A</v>
      </c>
    </row>
    <row r="31436" spans="1:1" x14ac:dyDescent="0.25">
      <c r="A31436" t="e">
        <v>#N/A</v>
      </c>
    </row>
    <row r="31437" spans="1:1" x14ac:dyDescent="0.25">
      <c r="A31437" t="e">
        <v>#N/A</v>
      </c>
    </row>
    <row r="31438" spans="1:1" x14ac:dyDescent="0.25">
      <c r="A31438" t="e">
        <v>#N/A</v>
      </c>
    </row>
    <row r="31439" spans="1:1" x14ac:dyDescent="0.25">
      <c r="A31439" t="e">
        <v>#N/A</v>
      </c>
    </row>
    <row r="31440" spans="1:1" x14ac:dyDescent="0.25">
      <c r="A31440" t="e">
        <v>#N/A</v>
      </c>
    </row>
    <row r="31441" spans="1:1" x14ac:dyDescent="0.25">
      <c r="A31441" t="e">
        <v>#N/A</v>
      </c>
    </row>
    <row r="31442" spans="1:1" x14ac:dyDescent="0.25">
      <c r="A31442" t="e">
        <v>#N/A</v>
      </c>
    </row>
    <row r="31443" spans="1:1" x14ac:dyDescent="0.25">
      <c r="A31443" t="e">
        <v>#N/A</v>
      </c>
    </row>
    <row r="31444" spans="1:1" x14ac:dyDescent="0.25">
      <c r="A31444" t="e">
        <v>#N/A</v>
      </c>
    </row>
    <row r="31445" spans="1:1" x14ac:dyDescent="0.25">
      <c r="A31445" t="e">
        <v>#N/A</v>
      </c>
    </row>
    <row r="31446" spans="1:1" x14ac:dyDescent="0.25">
      <c r="A31446" t="e">
        <v>#N/A</v>
      </c>
    </row>
    <row r="31447" spans="1:1" x14ac:dyDescent="0.25">
      <c r="A31447" t="e">
        <v>#N/A</v>
      </c>
    </row>
    <row r="31448" spans="1:1" x14ac:dyDescent="0.25">
      <c r="A31448" t="e">
        <v>#N/A</v>
      </c>
    </row>
    <row r="31449" spans="1:1" x14ac:dyDescent="0.25">
      <c r="A31449" t="e">
        <v>#N/A</v>
      </c>
    </row>
    <row r="31450" spans="1:1" x14ac:dyDescent="0.25">
      <c r="A31450" t="e">
        <v>#N/A</v>
      </c>
    </row>
    <row r="31451" spans="1:1" x14ac:dyDescent="0.25">
      <c r="A31451" t="e">
        <v>#N/A</v>
      </c>
    </row>
    <row r="31452" spans="1:1" x14ac:dyDescent="0.25">
      <c r="A31452" t="e">
        <v>#N/A</v>
      </c>
    </row>
    <row r="31453" spans="1:1" x14ac:dyDescent="0.25">
      <c r="A31453" t="e">
        <v>#N/A</v>
      </c>
    </row>
    <row r="31454" spans="1:1" x14ac:dyDescent="0.25">
      <c r="A31454" t="e">
        <v>#N/A</v>
      </c>
    </row>
    <row r="31455" spans="1:1" x14ac:dyDescent="0.25">
      <c r="A31455" t="e">
        <v>#N/A</v>
      </c>
    </row>
    <row r="31456" spans="1:1" x14ac:dyDescent="0.25">
      <c r="A31456" t="e">
        <v>#N/A</v>
      </c>
    </row>
    <row r="31457" spans="1:1" x14ac:dyDescent="0.25">
      <c r="A31457" t="e">
        <v>#N/A</v>
      </c>
    </row>
    <row r="31458" spans="1:1" x14ac:dyDescent="0.25">
      <c r="A31458" t="e">
        <v>#N/A</v>
      </c>
    </row>
    <row r="31459" spans="1:1" x14ac:dyDescent="0.25">
      <c r="A31459" t="e">
        <v>#N/A</v>
      </c>
    </row>
    <row r="31460" spans="1:1" x14ac:dyDescent="0.25">
      <c r="A31460" t="e">
        <v>#N/A</v>
      </c>
    </row>
    <row r="31461" spans="1:1" x14ac:dyDescent="0.25">
      <c r="A31461" t="e">
        <v>#N/A</v>
      </c>
    </row>
    <row r="31462" spans="1:1" x14ac:dyDescent="0.25">
      <c r="A31462" t="e">
        <v>#N/A</v>
      </c>
    </row>
    <row r="31463" spans="1:1" x14ac:dyDescent="0.25">
      <c r="A31463" t="e">
        <v>#N/A</v>
      </c>
    </row>
    <row r="31464" spans="1:1" x14ac:dyDescent="0.25">
      <c r="A31464" t="e">
        <v>#N/A</v>
      </c>
    </row>
    <row r="31465" spans="1:1" x14ac:dyDescent="0.25">
      <c r="A31465" t="e">
        <v>#N/A</v>
      </c>
    </row>
    <row r="31466" spans="1:1" x14ac:dyDescent="0.25">
      <c r="A31466" t="e">
        <v>#N/A</v>
      </c>
    </row>
    <row r="31467" spans="1:1" x14ac:dyDescent="0.25">
      <c r="A31467" t="e">
        <v>#N/A</v>
      </c>
    </row>
    <row r="31468" spans="1:1" x14ac:dyDescent="0.25">
      <c r="A31468" t="e">
        <v>#N/A</v>
      </c>
    </row>
    <row r="31469" spans="1:1" x14ac:dyDescent="0.25">
      <c r="A31469" t="e">
        <v>#N/A</v>
      </c>
    </row>
    <row r="31470" spans="1:1" x14ac:dyDescent="0.25">
      <c r="A31470" t="e">
        <v>#N/A</v>
      </c>
    </row>
    <row r="31471" spans="1:1" x14ac:dyDescent="0.25">
      <c r="A31471" t="e">
        <v>#N/A</v>
      </c>
    </row>
    <row r="31472" spans="1:1" x14ac:dyDescent="0.25">
      <c r="A31472" t="e">
        <v>#N/A</v>
      </c>
    </row>
    <row r="31473" spans="1:1" x14ac:dyDescent="0.25">
      <c r="A31473" t="e">
        <v>#N/A</v>
      </c>
    </row>
    <row r="31474" spans="1:1" x14ac:dyDescent="0.25">
      <c r="A31474" t="e">
        <v>#N/A</v>
      </c>
    </row>
    <row r="31475" spans="1:1" x14ac:dyDescent="0.25">
      <c r="A31475" t="e">
        <v>#N/A</v>
      </c>
    </row>
    <row r="31476" spans="1:1" x14ac:dyDescent="0.25">
      <c r="A31476" t="e">
        <v>#N/A</v>
      </c>
    </row>
    <row r="31477" spans="1:1" x14ac:dyDescent="0.25">
      <c r="A31477" t="e">
        <v>#N/A</v>
      </c>
    </row>
    <row r="31478" spans="1:1" x14ac:dyDescent="0.25">
      <c r="A31478" t="e">
        <v>#N/A</v>
      </c>
    </row>
    <row r="31479" spans="1:1" x14ac:dyDescent="0.25">
      <c r="A31479" t="e">
        <v>#N/A</v>
      </c>
    </row>
    <row r="31480" spans="1:1" x14ac:dyDescent="0.25">
      <c r="A31480" t="e">
        <v>#N/A</v>
      </c>
    </row>
    <row r="31481" spans="1:1" x14ac:dyDescent="0.25">
      <c r="A31481" t="e">
        <v>#N/A</v>
      </c>
    </row>
    <row r="31482" spans="1:1" x14ac:dyDescent="0.25">
      <c r="A31482" t="e">
        <v>#N/A</v>
      </c>
    </row>
    <row r="31483" spans="1:1" x14ac:dyDescent="0.25">
      <c r="A31483" t="e">
        <v>#N/A</v>
      </c>
    </row>
    <row r="31484" spans="1:1" x14ac:dyDescent="0.25">
      <c r="A31484" t="e">
        <v>#N/A</v>
      </c>
    </row>
    <row r="31485" spans="1:1" x14ac:dyDescent="0.25">
      <c r="A31485" t="e">
        <v>#N/A</v>
      </c>
    </row>
    <row r="31486" spans="1:1" x14ac:dyDescent="0.25">
      <c r="A31486" t="e">
        <v>#N/A</v>
      </c>
    </row>
    <row r="31487" spans="1:1" x14ac:dyDescent="0.25">
      <c r="A31487" t="e">
        <v>#N/A</v>
      </c>
    </row>
    <row r="31488" spans="1:1" x14ac:dyDescent="0.25">
      <c r="A31488" t="e">
        <v>#N/A</v>
      </c>
    </row>
    <row r="31489" spans="1:1" x14ac:dyDescent="0.25">
      <c r="A31489" t="e">
        <v>#N/A</v>
      </c>
    </row>
    <row r="31490" spans="1:1" x14ac:dyDescent="0.25">
      <c r="A31490" t="e">
        <v>#N/A</v>
      </c>
    </row>
    <row r="31491" spans="1:1" x14ac:dyDescent="0.25">
      <c r="A31491" t="e">
        <v>#N/A</v>
      </c>
    </row>
    <row r="31492" spans="1:1" x14ac:dyDescent="0.25">
      <c r="A31492" t="e">
        <v>#N/A</v>
      </c>
    </row>
    <row r="31493" spans="1:1" x14ac:dyDescent="0.25">
      <c r="A31493" t="e">
        <v>#N/A</v>
      </c>
    </row>
    <row r="31494" spans="1:1" x14ac:dyDescent="0.25">
      <c r="A31494" t="e">
        <v>#N/A</v>
      </c>
    </row>
    <row r="31495" spans="1:1" x14ac:dyDescent="0.25">
      <c r="A31495" t="e">
        <v>#N/A</v>
      </c>
    </row>
    <row r="31496" spans="1:1" x14ac:dyDescent="0.25">
      <c r="A31496" t="e">
        <v>#N/A</v>
      </c>
    </row>
    <row r="31497" spans="1:1" x14ac:dyDescent="0.25">
      <c r="A31497" t="e">
        <v>#N/A</v>
      </c>
    </row>
    <row r="31498" spans="1:1" x14ac:dyDescent="0.25">
      <c r="A31498" t="e">
        <v>#N/A</v>
      </c>
    </row>
    <row r="31499" spans="1:1" x14ac:dyDescent="0.25">
      <c r="A31499" t="e">
        <v>#N/A</v>
      </c>
    </row>
    <row r="31500" spans="1:1" x14ac:dyDescent="0.25">
      <c r="A31500" t="e">
        <v>#N/A</v>
      </c>
    </row>
    <row r="31501" spans="1:1" x14ac:dyDescent="0.25">
      <c r="A31501" t="e">
        <v>#N/A</v>
      </c>
    </row>
    <row r="31502" spans="1:1" x14ac:dyDescent="0.25">
      <c r="A31502" t="e">
        <v>#N/A</v>
      </c>
    </row>
    <row r="31503" spans="1:1" x14ac:dyDescent="0.25">
      <c r="A31503" t="e">
        <v>#N/A</v>
      </c>
    </row>
    <row r="31504" spans="1:1" x14ac:dyDescent="0.25">
      <c r="A31504" t="e">
        <v>#N/A</v>
      </c>
    </row>
    <row r="31505" spans="1:1" x14ac:dyDescent="0.25">
      <c r="A31505" t="e">
        <v>#N/A</v>
      </c>
    </row>
    <row r="31506" spans="1:1" x14ac:dyDescent="0.25">
      <c r="A31506" t="e">
        <v>#N/A</v>
      </c>
    </row>
    <row r="31507" spans="1:1" x14ac:dyDescent="0.25">
      <c r="A31507" t="e">
        <v>#N/A</v>
      </c>
    </row>
    <row r="31508" spans="1:1" x14ac:dyDescent="0.25">
      <c r="A31508" t="e">
        <v>#N/A</v>
      </c>
    </row>
    <row r="31509" spans="1:1" x14ac:dyDescent="0.25">
      <c r="A31509" t="e">
        <v>#N/A</v>
      </c>
    </row>
    <row r="31510" spans="1:1" x14ac:dyDescent="0.25">
      <c r="A31510" t="e">
        <v>#N/A</v>
      </c>
    </row>
    <row r="31511" spans="1:1" x14ac:dyDescent="0.25">
      <c r="A31511" t="e">
        <v>#N/A</v>
      </c>
    </row>
    <row r="31512" spans="1:1" x14ac:dyDescent="0.25">
      <c r="A31512" t="e">
        <v>#N/A</v>
      </c>
    </row>
    <row r="31513" spans="1:1" x14ac:dyDescent="0.25">
      <c r="A31513" t="e">
        <v>#N/A</v>
      </c>
    </row>
    <row r="31514" spans="1:1" x14ac:dyDescent="0.25">
      <c r="A31514" t="e">
        <v>#N/A</v>
      </c>
    </row>
    <row r="31515" spans="1:1" x14ac:dyDescent="0.25">
      <c r="A31515" t="e">
        <v>#N/A</v>
      </c>
    </row>
    <row r="31516" spans="1:1" x14ac:dyDescent="0.25">
      <c r="A31516" t="e">
        <v>#N/A</v>
      </c>
    </row>
    <row r="31517" spans="1:1" x14ac:dyDescent="0.25">
      <c r="A31517" t="e">
        <v>#N/A</v>
      </c>
    </row>
    <row r="31518" spans="1:1" x14ac:dyDescent="0.25">
      <c r="A31518" t="e">
        <v>#N/A</v>
      </c>
    </row>
    <row r="31519" spans="1:1" x14ac:dyDescent="0.25">
      <c r="A31519" t="e">
        <v>#N/A</v>
      </c>
    </row>
    <row r="31520" spans="1:1" x14ac:dyDescent="0.25">
      <c r="A31520" t="e">
        <v>#N/A</v>
      </c>
    </row>
    <row r="31521" spans="1:1" x14ac:dyDescent="0.25">
      <c r="A31521" t="e">
        <v>#N/A</v>
      </c>
    </row>
    <row r="31522" spans="1:1" x14ac:dyDescent="0.25">
      <c r="A31522" t="e">
        <v>#N/A</v>
      </c>
    </row>
    <row r="31523" spans="1:1" x14ac:dyDescent="0.25">
      <c r="A31523" t="e">
        <v>#N/A</v>
      </c>
    </row>
    <row r="31524" spans="1:1" x14ac:dyDescent="0.25">
      <c r="A31524" t="e">
        <v>#N/A</v>
      </c>
    </row>
    <row r="31525" spans="1:1" x14ac:dyDescent="0.25">
      <c r="A31525" t="e">
        <v>#N/A</v>
      </c>
    </row>
    <row r="31526" spans="1:1" x14ac:dyDescent="0.25">
      <c r="A31526" t="e">
        <v>#N/A</v>
      </c>
    </row>
    <row r="31527" spans="1:1" x14ac:dyDescent="0.25">
      <c r="A31527" t="e">
        <v>#N/A</v>
      </c>
    </row>
    <row r="31528" spans="1:1" x14ac:dyDescent="0.25">
      <c r="A31528" t="e">
        <v>#N/A</v>
      </c>
    </row>
    <row r="31529" spans="1:1" x14ac:dyDescent="0.25">
      <c r="A31529" t="e">
        <v>#N/A</v>
      </c>
    </row>
    <row r="31530" spans="1:1" x14ac:dyDescent="0.25">
      <c r="A31530" t="e">
        <v>#N/A</v>
      </c>
    </row>
    <row r="31531" spans="1:1" x14ac:dyDescent="0.25">
      <c r="A31531" t="e">
        <v>#N/A</v>
      </c>
    </row>
    <row r="31532" spans="1:1" x14ac:dyDescent="0.25">
      <c r="A31532" t="e">
        <v>#N/A</v>
      </c>
    </row>
    <row r="31533" spans="1:1" x14ac:dyDescent="0.25">
      <c r="A31533" t="e">
        <v>#N/A</v>
      </c>
    </row>
    <row r="31534" spans="1:1" x14ac:dyDescent="0.25">
      <c r="A31534" t="e">
        <v>#N/A</v>
      </c>
    </row>
    <row r="31535" spans="1:1" x14ac:dyDescent="0.25">
      <c r="A31535" t="e">
        <v>#N/A</v>
      </c>
    </row>
    <row r="31536" spans="1:1" x14ac:dyDescent="0.25">
      <c r="A31536" t="e">
        <v>#N/A</v>
      </c>
    </row>
    <row r="31537" spans="1:1" x14ac:dyDescent="0.25">
      <c r="A31537" t="e">
        <v>#N/A</v>
      </c>
    </row>
    <row r="31538" spans="1:1" x14ac:dyDescent="0.25">
      <c r="A31538" t="e">
        <v>#N/A</v>
      </c>
    </row>
    <row r="31539" spans="1:1" x14ac:dyDescent="0.25">
      <c r="A31539" t="e">
        <v>#N/A</v>
      </c>
    </row>
    <row r="31540" spans="1:1" x14ac:dyDescent="0.25">
      <c r="A31540" t="e">
        <v>#N/A</v>
      </c>
    </row>
    <row r="31541" spans="1:1" x14ac:dyDescent="0.25">
      <c r="A31541" t="e">
        <v>#N/A</v>
      </c>
    </row>
    <row r="31542" spans="1:1" x14ac:dyDescent="0.25">
      <c r="A31542" t="e">
        <v>#N/A</v>
      </c>
    </row>
    <row r="31543" spans="1:1" x14ac:dyDescent="0.25">
      <c r="A31543" t="e">
        <v>#N/A</v>
      </c>
    </row>
    <row r="31544" spans="1:1" x14ac:dyDescent="0.25">
      <c r="A31544" t="e">
        <v>#N/A</v>
      </c>
    </row>
    <row r="31545" spans="1:1" x14ac:dyDescent="0.25">
      <c r="A31545" t="e">
        <v>#N/A</v>
      </c>
    </row>
    <row r="31546" spans="1:1" x14ac:dyDescent="0.25">
      <c r="A31546" t="e">
        <v>#N/A</v>
      </c>
    </row>
    <row r="31547" spans="1:1" x14ac:dyDescent="0.25">
      <c r="A31547" t="e">
        <v>#N/A</v>
      </c>
    </row>
    <row r="31548" spans="1:1" x14ac:dyDescent="0.25">
      <c r="A31548" t="e">
        <v>#N/A</v>
      </c>
    </row>
    <row r="31549" spans="1:1" x14ac:dyDescent="0.25">
      <c r="A31549" t="e">
        <v>#N/A</v>
      </c>
    </row>
    <row r="31550" spans="1:1" x14ac:dyDescent="0.25">
      <c r="A31550" t="e">
        <v>#N/A</v>
      </c>
    </row>
    <row r="31551" spans="1:1" x14ac:dyDescent="0.25">
      <c r="A31551" t="e">
        <v>#N/A</v>
      </c>
    </row>
    <row r="31552" spans="1:1" x14ac:dyDescent="0.25">
      <c r="A31552" t="e">
        <v>#N/A</v>
      </c>
    </row>
    <row r="31553" spans="1:1" x14ac:dyDescent="0.25">
      <c r="A31553" t="e">
        <v>#N/A</v>
      </c>
    </row>
    <row r="31554" spans="1:1" x14ac:dyDescent="0.25">
      <c r="A31554" t="e">
        <v>#N/A</v>
      </c>
    </row>
    <row r="31555" spans="1:1" x14ac:dyDescent="0.25">
      <c r="A31555" t="e">
        <v>#N/A</v>
      </c>
    </row>
    <row r="31556" spans="1:1" x14ac:dyDescent="0.25">
      <c r="A31556" t="e">
        <v>#N/A</v>
      </c>
    </row>
    <row r="31557" spans="1:1" x14ac:dyDescent="0.25">
      <c r="A31557" t="e">
        <v>#N/A</v>
      </c>
    </row>
    <row r="31558" spans="1:1" x14ac:dyDescent="0.25">
      <c r="A31558" t="e">
        <v>#N/A</v>
      </c>
    </row>
    <row r="31559" spans="1:1" x14ac:dyDescent="0.25">
      <c r="A31559" t="e">
        <v>#N/A</v>
      </c>
    </row>
    <row r="31560" spans="1:1" x14ac:dyDescent="0.25">
      <c r="A31560" t="e">
        <v>#N/A</v>
      </c>
    </row>
    <row r="31561" spans="1:1" x14ac:dyDescent="0.25">
      <c r="A31561" t="e">
        <v>#N/A</v>
      </c>
    </row>
    <row r="31562" spans="1:1" x14ac:dyDescent="0.25">
      <c r="A31562" t="e">
        <v>#N/A</v>
      </c>
    </row>
    <row r="31563" spans="1:1" x14ac:dyDescent="0.25">
      <c r="A31563" t="e">
        <v>#N/A</v>
      </c>
    </row>
    <row r="31564" spans="1:1" x14ac:dyDescent="0.25">
      <c r="A31564" t="e">
        <v>#N/A</v>
      </c>
    </row>
    <row r="31565" spans="1:1" x14ac:dyDescent="0.25">
      <c r="A31565" t="e">
        <v>#N/A</v>
      </c>
    </row>
    <row r="31566" spans="1:1" x14ac:dyDescent="0.25">
      <c r="A31566" t="e">
        <v>#N/A</v>
      </c>
    </row>
    <row r="31567" spans="1:1" x14ac:dyDescent="0.25">
      <c r="A31567" t="e">
        <v>#N/A</v>
      </c>
    </row>
    <row r="31568" spans="1:1" x14ac:dyDescent="0.25">
      <c r="A31568" t="e">
        <v>#N/A</v>
      </c>
    </row>
    <row r="31569" spans="1:1" x14ac:dyDescent="0.25">
      <c r="A31569" t="e">
        <v>#N/A</v>
      </c>
    </row>
    <row r="31570" spans="1:1" x14ac:dyDescent="0.25">
      <c r="A31570" t="e">
        <v>#N/A</v>
      </c>
    </row>
    <row r="31571" spans="1:1" x14ac:dyDescent="0.25">
      <c r="A31571" t="e">
        <v>#N/A</v>
      </c>
    </row>
    <row r="31572" spans="1:1" x14ac:dyDescent="0.25">
      <c r="A31572" t="e">
        <v>#N/A</v>
      </c>
    </row>
    <row r="31573" spans="1:1" x14ac:dyDescent="0.25">
      <c r="A31573" t="e">
        <v>#N/A</v>
      </c>
    </row>
    <row r="31574" spans="1:1" x14ac:dyDescent="0.25">
      <c r="A31574" t="e">
        <v>#N/A</v>
      </c>
    </row>
    <row r="31575" spans="1:1" x14ac:dyDescent="0.25">
      <c r="A31575" t="e">
        <v>#N/A</v>
      </c>
    </row>
    <row r="31576" spans="1:1" x14ac:dyDescent="0.25">
      <c r="A31576" t="e">
        <v>#N/A</v>
      </c>
    </row>
    <row r="31577" spans="1:1" x14ac:dyDescent="0.25">
      <c r="A31577" t="e">
        <v>#N/A</v>
      </c>
    </row>
    <row r="31578" spans="1:1" x14ac:dyDescent="0.25">
      <c r="A31578" t="e">
        <v>#N/A</v>
      </c>
    </row>
    <row r="31579" spans="1:1" x14ac:dyDescent="0.25">
      <c r="A31579" t="e">
        <v>#N/A</v>
      </c>
    </row>
    <row r="31580" spans="1:1" x14ac:dyDescent="0.25">
      <c r="A31580" t="e">
        <v>#N/A</v>
      </c>
    </row>
    <row r="31581" spans="1:1" x14ac:dyDescent="0.25">
      <c r="A31581" t="e">
        <v>#N/A</v>
      </c>
    </row>
    <row r="31582" spans="1:1" x14ac:dyDescent="0.25">
      <c r="A31582" t="e">
        <v>#N/A</v>
      </c>
    </row>
    <row r="31583" spans="1:1" x14ac:dyDescent="0.25">
      <c r="A31583" t="e">
        <v>#N/A</v>
      </c>
    </row>
    <row r="31584" spans="1:1" x14ac:dyDescent="0.25">
      <c r="A31584" t="e">
        <v>#N/A</v>
      </c>
    </row>
    <row r="31585" spans="1:1" x14ac:dyDescent="0.25">
      <c r="A31585" t="e">
        <v>#N/A</v>
      </c>
    </row>
    <row r="31586" spans="1:1" x14ac:dyDescent="0.25">
      <c r="A31586" t="e">
        <v>#N/A</v>
      </c>
    </row>
    <row r="31587" spans="1:1" x14ac:dyDescent="0.25">
      <c r="A31587" t="e">
        <v>#N/A</v>
      </c>
    </row>
    <row r="31588" spans="1:1" x14ac:dyDescent="0.25">
      <c r="A31588" t="e">
        <v>#N/A</v>
      </c>
    </row>
    <row r="31589" spans="1:1" x14ac:dyDescent="0.25">
      <c r="A31589" t="e">
        <v>#N/A</v>
      </c>
    </row>
    <row r="31590" spans="1:1" x14ac:dyDescent="0.25">
      <c r="A31590" t="e">
        <v>#N/A</v>
      </c>
    </row>
    <row r="31591" spans="1:1" x14ac:dyDescent="0.25">
      <c r="A31591" t="e">
        <v>#N/A</v>
      </c>
    </row>
    <row r="31592" spans="1:1" x14ac:dyDescent="0.25">
      <c r="A31592" t="e">
        <v>#N/A</v>
      </c>
    </row>
    <row r="31593" spans="1:1" x14ac:dyDescent="0.25">
      <c r="A31593" t="e">
        <v>#N/A</v>
      </c>
    </row>
    <row r="31594" spans="1:1" x14ac:dyDescent="0.25">
      <c r="A31594" t="e">
        <v>#N/A</v>
      </c>
    </row>
    <row r="31595" spans="1:1" x14ac:dyDescent="0.25">
      <c r="A31595" t="e">
        <v>#N/A</v>
      </c>
    </row>
    <row r="31596" spans="1:1" x14ac:dyDescent="0.25">
      <c r="A31596" t="e">
        <v>#N/A</v>
      </c>
    </row>
    <row r="31597" spans="1:1" x14ac:dyDescent="0.25">
      <c r="A31597" t="e">
        <v>#N/A</v>
      </c>
    </row>
    <row r="31598" spans="1:1" x14ac:dyDescent="0.25">
      <c r="A31598" t="e">
        <v>#N/A</v>
      </c>
    </row>
    <row r="31599" spans="1:1" x14ac:dyDescent="0.25">
      <c r="A31599" t="e">
        <v>#N/A</v>
      </c>
    </row>
    <row r="31600" spans="1:1" x14ac:dyDescent="0.25">
      <c r="A31600" t="e">
        <v>#N/A</v>
      </c>
    </row>
    <row r="31601" spans="1:1" x14ac:dyDescent="0.25">
      <c r="A31601" t="e">
        <v>#N/A</v>
      </c>
    </row>
    <row r="31602" spans="1:1" x14ac:dyDescent="0.25">
      <c r="A31602" t="e">
        <v>#N/A</v>
      </c>
    </row>
    <row r="31603" spans="1:1" x14ac:dyDescent="0.25">
      <c r="A31603" t="e">
        <v>#N/A</v>
      </c>
    </row>
    <row r="31604" spans="1:1" x14ac:dyDescent="0.25">
      <c r="A31604" t="e">
        <v>#N/A</v>
      </c>
    </row>
    <row r="31605" spans="1:1" x14ac:dyDescent="0.25">
      <c r="A31605" t="e">
        <v>#N/A</v>
      </c>
    </row>
    <row r="31606" spans="1:1" x14ac:dyDescent="0.25">
      <c r="A31606" t="e">
        <v>#N/A</v>
      </c>
    </row>
    <row r="31607" spans="1:1" x14ac:dyDescent="0.25">
      <c r="A31607" t="e">
        <v>#N/A</v>
      </c>
    </row>
    <row r="31608" spans="1:1" x14ac:dyDescent="0.25">
      <c r="A31608" t="e">
        <v>#N/A</v>
      </c>
    </row>
    <row r="31609" spans="1:1" x14ac:dyDescent="0.25">
      <c r="A31609" t="e">
        <v>#N/A</v>
      </c>
    </row>
    <row r="31610" spans="1:1" x14ac:dyDescent="0.25">
      <c r="A31610" t="e">
        <v>#N/A</v>
      </c>
    </row>
    <row r="31611" spans="1:1" x14ac:dyDescent="0.25">
      <c r="A31611" t="e">
        <v>#N/A</v>
      </c>
    </row>
    <row r="31612" spans="1:1" x14ac:dyDescent="0.25">
      <c r="A31612" t="e">
        <v>#N/A</v>
      </c>
    </row>
    <row r="31613" spans="1:1" x14ac:dyDescent="0.25">
      <c r="A31613" t="e">
        <v>#N/A</v>
      </c>
    </row>
    <row r="31614" spans="1:1" x14ac:dyDescent="0.25">
      <c r="A31614" t="e">
        <v>#N/A</v>
      </c>
    </row>
    <row r="31615" spans="1:1" x14ac:dyDescent="0.25">
      <c r="A31615" t="e">
        <v>#N/A</v>
      </c>
    </row>
    <row r="31616" spans="1:1" x14ac:dyDescent="0.25">
      <c r="A31616" t="e">
        <v>#N/A</v>
      </c>
    </row>
    <row r="31617" spans="1:1" x14ac:dyDescent="0.25">
      <c r="A31617" t="e">
        <v>#N/A</v>
      </c>
    </row>
    <row r="31618" spans="1:1" x14ac:dyDescent="0.25">
      <c r="A31618" t="e">
        <v>#N/A</v>
      </c>
    </row>
    <row r="31619" spans="1:1" x14ac:dyDescent="0.25">
      <c r="A31619" t="e">
        <v>#N/A</v>
      </c>
    </row>
    <row r="31620" spans="1:1" x14ac:dyDescent="0.25">
      <c r="A31620" t="e">
        <v>#N/A</v>
      </c>
    </row>
    <row r="31621" spans="1:1" x14ac:dyDescent="0.25">
      <c r="A31621" t="e">
        <v>#N/A</v>
      </c>
    </row>
    <row r="31622" spans="1:1" x14ac:dyDescent="0.25">
      <c r="A31622" t="e">
        <v>#N/A</v>
      </c>
    </row>
    <row r="31623" spans="1:1" x14ac:dyDescent="0.25">
      <c r="A31623" t="e">
        <v>#N/A</v>
      </c>
    </row>
    <row r="31624" spans="1:1" x14ac:dyDescent="0.25">
      <c r="A31624" t="e">
        <v>#N/A</v>
      </c>
    </row>
    <row r="31625" spans="1:1" x14ac:dyDescent="0.25">
      <c r="A31625" t="e">
        <v>#N/A</v>
      </c>
    </row>
    <row r="31626" spans="1:1" x14ac:dyDescent="0.25">
      <c r="A31626" t="e">
        <v>#N/A</v>
      </c>
    </row>
    <row r="31627" spans="1:1" x14ac:dyDescent="0.25">
      <c r="A31627" t="e">
        <v>#N/A</v>
      </c>
    </row>
    <row r="31628" spans="1:1" x14ac:dyDescent="0.25">
      <c r="A31628" t="e">
        <v>#N/A</v>
      </c>
    </row>
    <row r="31629" spans="1:1" x14ac:dyDescent="0.25">
      <c r="A31629" t="e">
        <v>#N/A</v>
      </c>
    </row>
    <row r="31630" spans="1:1" x14ac:dyDescent="0.25">
      <c r="A31630" t="e">
        <v>#N/A</v>
      </c>
    </row>
    <row r="31631" spans="1:1" x14ac:dyDescent="0.25">
      <c r="A31631" t="e">
        <v>#N/A</v>
      </c>
    </row>
    <row r="31632" spans="1:1" x14ac:dyDescent="0.25">
      <c r="A31632" t="e">
        <v>#N/A</v>
      </c>
    </row>
    <row r="31633" spans="1:1" x14ac:dyDescent="0.25">
      <c r="A31633" t="e">
        <v>#N/A</v>
      </c>
    </row>
    <row r="31634" spans="1:1" x14ac:dyDescent="0.25">
      <c r="A31634" t="e">
        <v>#N/A</v>
      </c>
    </row>
    <row r="31635" spans="1:1" x14ac:dyDescent="0.25">
      <c r="A31635" t="e">
        <v>#N/A</v>
      </c>
    </row>
    <row r="31636" spans="1:1" x14ac:dyDescent="0.25">
      <c r="A31636" t="e">
        <v>#N/A</v>
      </c>
    </row>
    <row r="31637" spans="1:1" x14ac:dyDescent="0.25">
      <c r="A31637" t="e">
        <v>#N/A</v>
      </c>
    </row>
    <row r="31638" spans="1:1" x14ac:dyDescent="0.25">
      <c r="A31638" t="e">
        <v>#N/A</v>
      </c>
    </row>
    <row r="31639" spans="1:1" x14ac:dyDescent="0.25">
      <c r="A31639" t="e">
        <v>#N/A</v>
      </c>
    </row>
    <row r="31640" spans="1:1" x14ac:dyDescent="0.25">
      <c r="A31640" t="e">
        <v>#N/A</v>
      </c>
    </row>
    <row r="31641" spans="1:1" x14ac:dyDescent="0.25">
      <c r="A31641" t="e">
        <v>#N/A</v>
      </c>
    </row>
    <row r="31642" spans="1:1" x14ac:dyDescent="0.25">
      <c r="A31642" t="e">
        <v>#N/A</v>
      </c>
    </row>
    <row r="31643" spans="1:1" x14ac:dyDescent="0.25">
      <c r="A31643" t="e">
        <v>#N/A</v>
      </c>
    </row>
    <row r="31644" spans="1:1" x14ac:dyDescent="0.25">
      <c r="A31644" t="e">
        <v>#N/A</v>
      </c>
    </row>
    <row r="31645" spans="1:1" x14ac:dyDescent="0.25">
      <c r="A31645" t="e">
        <v>#N/A</v>
      </c>
    </row>
    <row r="31646" spans="1:1" x14ac:dyDescent="0.25">
      <c r="A31646" t="e">
        <v>#N/A</v>
      </c>
    </row>
    <row r="31647" spans="1:1" x14ac:dyDescent="0.25">
      <c r="A31647" t="e">
        <v>#N/A</v>
      </c>
    </row>
    <row r="31648" spans="1:1" x14ac:dyDescent="0.25">
      <c r="A31648" t="e">
        <v>#N/A</v>
      </c>
    </row>
    <row r="31649" spans="1:1" x14ac:dyDescent="0.25">
      <c r="A31649" t="e">
        <v>#N/A</v>
      </c>
    </row>
    <row r="31650" spans="1:1" x14ac:dyDescent="0.25">
      <c r="A31650" t="e">
        <v>#N/A</v>
      </c>
    </row>
    <row r="31651" spans="1:1" x14ac:dyDescent="0.25">
      <c r="A31651" t="e">
        <v>#N/A</v>
      </c>
    </row>
    <row r="31652" spans="1:1" x14ac:dyDescent="0.25">
      <c r="A31652" t="e">
        <v>#N/A</v>
      </c>
    </row>
    <row r="31653" spans="1:1" x14ac:dyDescent="0.25">
      <c r="A31653" t="e">
        <v>#N/A</v>
      </c>
    </row>
    <row r="31654" spans="1:1" x14ac:dyDescent="0.25">
      <c r="A31654" t="e">
        <v>#N/A</v>
      </c>
    </row>
    <row r="31655" spans="1:1" x14ac:dyDescent="0.25">
      <c r="A31655" t="e">
        <v>#N/A</v>
      </c>
    </row>
    <row r="31656" spans="1:1" x14ac:dyDescent="0.25">
      <c r="A31656" t="e">
        <v>#N/A</v>
      </c>
    </row>
    <row r="31657" spans="1:1" x14ac:dyDescent="0.25">
      <c r="A31657" t="e">
        <v>#N/A</v>
      </c>
    </row>
    <row r="31658" spans="1:1" x14ac:dyDescent="0.25">
      <c r="A31658" t="e">
        <v>#N/A</v>
      </c>
    </row>
    <row r="31659" spans="1:1" x14ac:dyDescent="0.25">
      <c r="A31659" t="e">
        <v>#N/A</v>
      </c>
    </row>
    <row r="31660" spans="1:1" x14ac:dyDescent="0.25">
      <c r="A31660" t="e">
        <v>#N/A</v>
      </c>
    </row>
    <row r="31661" spans="1:1" x14ac:dyDescent="0.25">
      <c r="A31661" t="e">
        <v>#N/A</v>
      </c>
    </row>
    <row r="31662" spans="1:1" x14ac:dyDescent="0.25">
      <c r="A31662" t="e">
        <v>#N/A</v>
      </c>
    </row>
    <row r="31663" spans="1:1" x14ac:dyDescent="0.25">
      <c r="A31663" t="e">
        <v>#N/A</v>
      </c>
    </row>
    <row r="31664" spans="1:1" x14ac:dyDescent="0.25">
      <c r="A31664" t="e">
        <v>#N/A</v>
      </c>
    </row>
    <row r="31665" spans="1:1" x14ac:dyDescent="0.25">
      <c r="A31665" t="e">
        <v>#N/A</v>
      </c>
    </row>
    <row r="31666" spans="1:1" x14ac:dyDescent="0.25">
      <c r="A31666" t="e">
        <v>#N/A</v>
      </c>
    </row>
    <row r="31667" spans="1:1" x14ac:dyDescent="0.25">
      <c r="A31667" t="e">
        <v>#N/A</v>
      </c>
    </row>
    <row r="31668" spans="1:1" x14ac:dyDescent="0.25">
      <c r="A31668" t="e">
        <v>#N/A</v>
      </c>
    </row>
    <row r="31669" spans="1:1" x14ac:dyDescent="0.25">
      <c r="A31669" t="e">
        <v>#N/A</v>
      </c>
    </row>
    <row r="31670" spans="1:1" x14ac:dyDescent="0.25">
      <c r="A31670" t="e">
        <v>#N/A</v>
      </c>
    </row>
    <row r="31671" spans="1:1" x14ac:dyDescent="0.25">
      <c r="A31671" t="e">
        <v>#N/A</v>
      </c>
    </row>
    <row r="31672" spans="1:1" x14ac:dyDescent="0.25">
      <c r="A31672" t="e">
        <v>#N/A</v>
      </c>
    </row>
    <row r="31673" spans="1:1" x14ac:dyDescent="0.25">
      <c r="A31673" t="e">
        <v>#N/A</v>
      </c>
    </row>
    <row r="31674" spans="1:1" x14ac:dyDescent="0.25">
      <c r="A31674" t="e">
        <v>#N/A</v>
      </c>
    </row>
    <row r="31675" spans="1:1" x14ac:dyDescent="0.25">
      <c r="A31675" t="e">
        <v>#N/A</v>
      </c>
    </row>
    <row r="31676" spans="1:1" x14ac:dyDescent="0.25">
      <c r="A31676" t="e">
        <v>#N/A</v>
      </c>
    </row>
    <row r="31677" spans="1:1" x14ac:dyDescent="0.25">
      <c r="A31677" t="e">
        <v>#N/A</v>
      </c>
    </row>
    <row r="31678" spans="1:1" x14ac:dyDescent="0.25">
      <c r="A31678" t="e">
        <v>#N/A</v>
      </c>
    </row>
    <row r="31679" spans="1:1" x14ac:dyDescent="0.25">
      <c r="A31679" t="e">
        <v>#N/A</v>
      </c>
    </row>
    <row r="31680" spans="1:1" x14ac:dyDescent="0.25">
      <c r="A31680" t="e">
        <v>#N/A</v>
      </c>
    </row>
    <row r="31681" spans="1:1" x14ac:dyDescent="0.25">
      <c r="A31681" t="e">
        <v>#N/A</v>
      </c>
    </row>
    <row r="31682" spans="1:1" x14ac:dyDescent="0.25">
      <c r="A31682" t="e">
        <v>#N/A</v>
      </c>
    </row>
    <row r="31683" spans="1:1" x14ac:dyDescent="0.25">
      <c r="A31683" t="e">
        <v>#N/A</v>
      </c>
    </row>
    <row r="31684" spans="1:1" x14ac:dyDescent="0.25">
      <c r="A31684" t="e">
        <v>#N/A</v>
      </c>
    </row>
    <row r="31685" spans="1:1" x14ac:dyDescent="0.25">
      <c r="A31685" t="e">
        <v>#N/A</v>
      </c>
    </row>
    <row r="31686" spans="1:1" x14ac:dyDescent="0.25">
      <c r="A31686" t="e">
        <v>#N/A</v>
      </c>
    </row>
    <row r="31687" spans="1:1" x14ac:dyDescent="0.25">
      <c r="A31687" t="e">
        <v>#N/A</v>
      </c>
    </row>
    <row r="31688" spans="1:1" x14ac:dyDescent="0.25">
      <c r="A31688" t="e">
        <v>#N/A</v>
      </c>
    </row>
    <row r="31689" spans="1:1" x14ac:dyDescent="0.25">
      <c r="A31689" t="e">
        <v>#N/A</v>
      </c>
    </row>
    <row r="31690" spans="1:1" x14ac:dyDescent="0.25">
      <c r="A31690" t="e">
        <v>#N/A</v>
      </c>
    </row>
    <row r="31691" spans="1:1" x14ac:dyDescent="0.25">
      <c r="A31691" t="e">
        <v>#N/A</v>
      </c>
    </row>
    <row r="31692" spans="1:1" x14ac:dyDescent="0.25">
      <c r="A31692" t="e">
        <v>#N/A</v>
      </c>
    </row>
    <row r="31693" spans="1:1" x14ac:dyDescent="0.25">
      <c r="A31693" t="e">
        <v>#N/A</v>
      </c>
    </row>
    <row r="31694" spans="1:1" x14ac:dyDescent="0.25">
      <c r="A31694" t="e">
        <v>#N/A</v>
      </c>
    </row>
    <row r="31695" spans="1:1" x14ac:dyDescent="0.25">
      <c r="A31695" t="e">
        <v>#N/A</v>
      </c>
    </row>
    <row r="31696" spans="1:1" x14ac:dyDescent="0.25">
      <c r="A31696" t="e">
        <v>#N/A</v>
      </c>
    </row>
    <row r="31697" spans="1:1" x14ac:dyDescent="0.25">
      <c r="A31697" t="e">
        <v>#N/A</v>
      </c>
    </row>
    <row r="31698" spans="1:1" x14ac:dyDescent="0.25">
      <c r="A31698" t="e">
        <v>#N/A</v>
      </c>
    </row>
    <row r="31699" spans="1:1" x14ac:dyDescent="0.25">
      <c r="A31699" t="e">
        <v>#N/A</v>
      </c>
    </row>
    <row r="31700" spans="1:1" x14ac:dyDescent="0.25">
      <c r="A31700" t="e">
        <v>#N/A</v>
      </c>
    </row>
    <row r="31701" spans="1:1" x14ac:dyDescent="0.25">
      <c r="A31701" t="e">
        <v>#N/A</v>
      </c>
    </row>
    <row r="31702" spans="1:1" x14ac:dyDescent="0.25">
      <c r="A31702" t="e">
        <v>#N/A</v>
      </c>
    </row>
    <row r="31703" spans="1:1" x14ac:dyDescent="0.25">
      <c r="A31703" t="e">
        <v>#N/A</v>
      </c>
    </row>
    <row r="31704" spans="1:1" x14ac:dyDescent="0.25">
      <c r="A31704" t="e">
        <v>#N/A</v>
      </c>
    </row>
    <row r="31705" spans="1:1" x14ac:dyDescent="0.25">
      <c r="A31705" t="e">
        <v>#N/A</v>
      </c>
    </row>
    <row r="31706" spans="1:1" x14ac:dyDescent="0.25">
      <c r="A31706" t="e">
        <v>#N/A</v>
      </c>
    </row>
    <row r="31707" spans="1:1" x14ac:dyDescent="0.25">
      <c r="A31707" t="e">
        <v>#N/A</v>
      </c>
    </row>
    <row r="31708" spans="1:1" x14ac:dyDescent="0.25">
      <c r="A31708" t="e">
        <v>#N/A</v>
      </c>
    </row>
    <row r="31709" spans="1:1" x14ac:dyDescent="0.25">
      <c r="A31709" t="e">
        <v>#N/A</v>
      </c>
    </row>
    <row r="31710" spans="1:1" x14ac:dyDescent="0.25">
      <c r="A31710" t="e">
        <v>#N/A</v>
      </c>
    </row>
    <row r="31711" spans="1:1" x14ac:dyDescent="0.25">
      <c r="A31711" t="e">
        <v>#N/A</v>
      </c>
    </row>
    <row r="31712" spans="1:1" x14ac:dyDescent="0.25">
      <c r="A31712" t="e">
        <v>#N/A</v>
      </c>
    </row>
    <row r="31713" spans="1:1" x14ac:dyDescent="0.25">
      <c r="A31713" t="e">
        <v>#N/A</v>
      </c>
    </row>
    <row r="31714" spans="1:1" x14ac:dyDescent="0.25">
      <c r="A31714" t="e">
        <v>#N/A</v>
      </c>
    </row>
    <row r="31715" spans="1:1" x14ac:dyDescent="0.25">
      <c r="A31715" t="e">
        <v>#N/A</v>
      </c>
    </row>
    <row r="31716" spans="1:1" x14ac:dyDescent="0.25">
      <c r="A31716" t="e">
        <v>#N/A</v>
      </c>
    </row>
    <row r="31717" spans="1:1" x14ac:dyDescent="0.25">
      <c r="A31717" t="e">
        <v>#N/A</v>
      </c>
    </row>
    <row r="31718" spans="1:1" x14ac:dyDescent="0.25">
      <c r="A31718" t="e">
        <v>#N/A</v>
      </c>
    </row>
    <row r="31719" spans="1:1" x14ac:dyDescent="0.25">
      <c r="A31719" t="e">
        <v>#N/A</v>
      </c>
    </row>
    <row r="31720" spans="1:1" x14ac:dyDescent="0.25">
      <c r="A31720" t="e">
        <v>#N/A</v>
      </c>
    </row>
    <row r="31721" spans="1:1" x14ac:dyDescent="0.25">
      <c r="A31721" t="e">
        <v>#N/A</v>
      </c>
    </row>
    <row r="31722" spans="1:1" x14ac:dyDescent="0.25">
      <c r="A31722" t="e">
        <v>#N/A</v>
      </c>
    </row>
    <row r="31723" spans="1:1" x14ac:dyDescent="0.25">
      <c r="A31723" t="e">
        <v>#N/A</v>
      </c>
    </row>
    <row r="31724" spans="1:1" x14ac:dyDescent="0.25">
      <c r="A31724" t="e">
        <v>#N/A</v>
      </c>
    </row>
    <row r="31725" spans="1:1" x14ac:dyDescent="0.25">
      <c r="A31725" t="e">
        <v>#N/A</v>
      </c>
    </row>
    <row r="31726" spans="1:1" x14ac:dyDescent="0.25">
      <c r="A31726" t="e">
        <v>#N/A</v>
      </c>
    </row>
    <row r="31727" spans="1:1" x14ac:dyDescent="0.25">
      <c r="A31727" t="e">
        <v>#N/A</v>
      </c>
    </row>
    <row r="31728" spans="1:1" x14ac:dyDescent="0.25">
      <c r="A31728" t="e">
        <v>#N/A</v>
      </c>
    </row>
    <row r="31729" spans="1:1" x14ac:dyDescent="0.25">
      <c r="A31729" t="e">
        <v>#N/A</v>
      </c>
    </row>
    <row r="31730" spans="1:1" x14ac:dyDescent="0.25">
      <c r="A31730" t="e">
        <v>#N/A</v>
      </c>
    </row>
    <row r="31731" spans="1:1" x14ac:dyDescent="0.25">
      <c r="A31731" t="e">
        <v>#N/A</v>
      </c>
    </row>
    <row r="31732" spans="1:1" x14ac:dyDescent="0.25">
      <c r="A31732" t="e">
        <v>#N/A</v>
      </c>
    </row>
    <row r="31733" spans="1:1" x14ac:dyDescent="0.25">
      <c r="A31733" t="e">
        <v>#N/A</v>
      </c>
    </row>
    <row r="31734" spans="1:1" x14ac:dyDescent="0.25">
      <c r="A31734" t="e">
        <v>#N/A</v>
      </c>
    </row>
    <row r="31735" spans="1:1" x14ac:dyDescent="0.25">
      <c r="A31735" t="e">
        <v>#N/A</v>
      </c>
    </row>
    <row r="31736" spans="1:1" x14ac:dyDescent="0.25">
      <c r="A31736" t="e">
        <v>#N/A</v>
      </c>
    </row>
    <row r="31737" spans="1:1" x14ac:dyDescent="0.25">
      <c r="A31737" t="e">
        <v>#N/A</v>
      </c>
    </row>
    <row r="31738" spans="1:1" x14ac:dyDescent="0.25">
      <c r="A31738" t="e">
        <v>#N/A</v>
      </c>
    </row>
    <row r="31739" spans="1:1" x14ac:dyDescent="0.25">
      <c r="A31739" t="e">
        <v>#N/A</v>
      </c>
    </row>
    <row r="31740" spans="1:1" x14ac:dyDescent="0.25">
      <c r="A31740" t="e">
        <v>#N/A</v>
      </c>
    </row>
    <row r="31741" spans="1:1" x14ac:dyDescent="0.25">
      <c r="A31741" t="e">
        <v>#N/A</v>
      </c>
    </row>
    <row r="31742" spans="1:1" x14ac:dyDescent="0.25">
      <c r="A31742" t="e">
        <v>#N/A</v>
      </c>
    </row>
    <row r="31743" spans="1:1" x14ac:dyDescent="0.25">
      <c r="A31743" t="e">
        <v>#N/A</v>
      </c>
    </row>
    <row r="31744" spans="1:1" x14ac:dyDescent="0.25">
      <c r="A31744" t="e">
        <v>#N/A</v>
      </c>
    </row>
    <row r="31745" spans="1:1" x14ac:dyDescent="0.25">
      <c r="A31745" t="e">
        <v>#N/A</v>
      </c>
    </row>
    <row r="31746" spans="1:1" x14ac:dyDescent="0.25">
      <c r="A31746" t="e">
        <v>#N/A</v>
      </c>
    </row>
    <row r="31747" spans="1:1" x14ac:dyDescent="0.25">
      <c r="A31747" t="e">
        <v>#N/A</v>
      </c>
    </row>
    <row r="31748" spans="1:1" x14ac:dyDescent="0.25">
      <c r="A31748" t="e">
        <v>#N/A</v>
      </c>
    </row>
    <row r="31749" spans="1:1" x14ac:dyDescent="0.25">
      <c r="A31749" t="e">
        <v>#N/A</v>
      </c>
    </row>
    <row r="31750" spans="1:1" x14ac:dyDescent="0.25">
      <c r="A31750" t="e">
        <v>#N/A</v>
      </c>
    </row>
    <row r="31751" spans="1:1" x14ac:dyDescent="0.25">
      <c r="A31751" t="e">
        <v>#N/A</v>
      </c>
    </row>
    <row r="31752" spans="1:1" x14ac:dyDescent="0.25">
      <c r="A31752" t="e">
        <v>#N/A</v>
      </c>
    </row>
    <row r="31753" spans="1:1" x14ac:dyDescent="0.25">
      <c r="A31753" t="e">
        <v>#N/A</v>
      </c>
    </row>
    <row r="31754" spans="1:1" x14ac:dyDescent="0.25">
      <c r="A31754" t="e">
        <v>#N/A</v>
      </c>
    </row>
    <row r="31755" spans="1:1" x14ac:dyDescent="0.25">
      <c r="A31755" t="e">
        <v>#N/A</v>
      </c>
    </row>
    <row r="31756" spans="1:1" x14ac:dyDescent="0.25">
      <c r="A31756" t="e">
        <v>#N/A</v>
      </c>
    </row>
    <row r="31757" spans="1:1" x14ac:dyDescent="0.25">
      <c r="A31757" t="e">
        <v>#N/A</v>
      </c>
    </row>
    <row r="31758" spans="1:1" x14ac:dyDescent="0.25">
      <c r="A31758" t="e">
        <v>#N/A</v>
      </c>
    </row>
    <row r="31759" spans="1:1" x14ac:dyDescent="0.25">
      <c r="A31759" t="e">
        <v>#N/A</v>
      </c>
    </row>
    <row r="31760" spans="1:1" x14ac:dyDescent="0.25">
      <c r="A31760" t="e">
        <v>#N/A</v>
      </c>
    </row>
    <row r="31761" spans="1:1" x14ac:dyDescent="0.25">
      <c r="A31761" t="e">
        <v>#N/A</v>
      </c>
    </row>
    <row r="31762" spans="1:1" x14ac:dyDescent="0.25">
      <c r="A31762" t="e">
        <v>#N/A</v>
      </c>
    </row>
    <row r="31763" spans="1:1" x14ac:dyDescent="0.25">
      <c r="A31763" t="e">
        <v>#N/A</v>
      </c>
    </row>
    <row r="31764" spans="1:1" x14ac:dyDescent="0.25">
      <c r="A31764" t="e">
        <v>#N/A</v>
      </c>
    </row>
    <row r="31765" spans="1:1" x14ac:dyDescent="0.25">
      <c r="A31765" t="e">
        <v>#N/A</v>
      </c>
    </row>
    <row r="31766" spans="1:1" x14ac:dyDescent="0.25">
      <c r="A31766" t="e">
        <v>#N/A</v>
      </c>
    </row>
    <row r="31767" spans="1:1" x14ac:dyDescent="0.25">
      <c r="A31767" t="e">
        <v>#N/A</v>
      </c>
    </row>
    <row r="31768" spans="1:1" x14ac:dyDescent="0.25">
      <c r="A31768" t="e">
        <v>#N/A</v>
      </c>
    </row>
    <row r="31769" spans="1:1" x14ac:dyDescent="0.25">
      <c r="A31769" t="e">
        <v>#N/A</v>
      </c>
    </row>
    <row r="31770" spans="1:1" x14ac:dyDescent="0.25">
      <c r="A31770" t="e">
        <v>#N/A</v>
      </c>
    </row>
    <row r="31771" spans="1:1" x14ac:dyDescent="0.25">
      <c r="A31771" t="e">
        <v>#N/A</v>
      </c>
    </row>
    <row r="31772" spans="1:1" x14ac:dyDescent="0.25">
      <c r="A31772" t="e">
        <v>#N/A</v>
      </c>
    </row>
    <row r="31773" spans="1:1" x14ac:dyDescent="0.25">
      <c r="A31773" t="e">
        <v>#N/A</v>
      </c>
    </row>
    <row r="31774" spans="1:1" x14ac:dyDescent="0.25">
      <c r="A31774" t="e">
        <v>#N/A</v>
      </c>
    </row>
    <row r="31775" spans="1:1" x14ac:dyDescent="0.25">
      <c r="A31775" t="e">
        <v>#N/A</v>
      </c>
    </row>
    <row r="31776" spans="1:1" x14ac:dyDescent="0.25">
      <c r="A31776" t="e">
        <v>#N/A</v>
      </c>
    </row>
    <row r="31777" spans="1:1" x14ac:dyDescent="0.25">
      <c r="A31777" t="e">
        <v>#N/A</v>
      </c>
    </row>
    <row r="31778" spans="1:1" x14ac:dyDescent="0.25">
      <c r="A31778" t="e">
        <v>#N/A</v>
      </c>
    </row>
    <row r="31779" spans="1:1" x14ac:dyDescent="0.25">
      <c r="A31779" t="e">
        <v>#N/A</v>
      </c>
    </row>
    <row r="31780" spans="1:1" x14ac:dyDescent="0.25">
      <c r="A31780" t="e">
        <v>#N/A</v>
      </c>
    </row>
    <row r="31781" spans="1:1" x14ac:dyDescent="0.25">
      <c r="A31781" t="e">
        <v>#N/A</v>
      </c>
    </row>
    <row r="31782" spans="1:1" x14ac:dyDescent="0.25">
      <c r="A31782" t="e">
        <v>#N/A</v>
      </c>
    </row>
    <row r="31783" spans="1:1" x14ac:dyDescent="0.25">
      <c r="A31783" t="e">
        <v>#N/A</v>
      </c>
    </row>
    <row r="31784" spans="1:1" x14ac:dyDescent="0.25">
      <c r="A31784" t="e">
        <v>#N/A</v>
      </c>
    </row>
    <row r="31785" spans="1:1" x14ac:dyDescent="0.25">
      <c r="A31785" t="e">
        <v>#N/A</v>
      </c>
    </row>
    <row r="31786" spans="1:1" x14ac:dyDescent="0.25">
      <c r="A31786" t="e">
        <v>#N/A</v>
      </c>
    </row>
    <row r="31787" spans="1:1" x14ac:dyDescent="0.25">
      <c r="A31787" t="e">
        <v>#N/A</v>
      </c>
    </row>
    <row r="31788" spans="1:1" x14ac:dyDescent="0.25">
      <c r="A31788" t="e">
        <v>#N/A</v>
      </c>
    </row>
    <row r="31789" spans="1:1" x14ac:dyDescent="0.25">
      <c r="A31789" t="e">
        <v>#N/A</v>
      </c>
    </row>
    <row r="31790" spans="1:1" x14ac:dyDescent="0.25">
      <c r="A31790" t="e">
        <v>#N/A</v>
      </c>
    </row>
    <row r="31791" spans="1:1" x14ac:dyDescent="0.25">
      <c r="A31791" t="e">
        <v>#N/A</v>
      </c>
    </row>
    <row r="31792" spans="1:1" x14ac:dyDescent="0.25">
      <c r="A31792" t="e">
        <v>#N/A</v>
      </c>
    </row>
    <row r="31793" spans="1:1" x14ac:dyDescent="0.25">
      <c r="A31793" t="e">
        <v>#N/A</v>
      </c>
    </row>
    <row r="31794" spans="1:1" x14ac:dyDescent="0.25">
      <c r="A31794" t="e">
        <v>#N/A</v>
      </c>
    </row>
    <row r="31795" spans="1:1" x14ac:dyDescent="0.25">
      <c r="A31795" t="e">
        <v>#N/A</v>
      </c>
    </row>
    <row r="31796" spans="1:1" x14ac:dyDescent="0.25">
      <c r="A31796" t="e">
        <v>#N/A</v>
      </c>
    </row>
    <row r="31797" spans="1:1" x14ac:dyDescent="0.25">
      <c r="A31797" t="e">
        <v>#N/A</v>
      </c>
    </row>
    <row r="31798" spans="1:1" x14ac:dyDescent="0.25">
      <c r="A31798" t="e">
        <v>#N/A</v>
      </c>
    </row>
    <row r="31799" spans="1:1" x14ac:dyDescent="0.25">
      <c r="A31799" t="e">
        <v>#N/A</v>
      </c>
    </row>
    <row r="31800" spans="1:1" x14ac:dyDescent="0.25">
      <c r="A31800" t="e">
        <v>#N/A</v>
      </c>
    </row>
    <row r="31801" spans="1:1" x14ac:dyDescent="0.25">
      <c r="A31801" t="e">
        <v>#N/A</v>
      </c>
    </row>
    <row r="31802" spans="1:1" x14ac:dyDescent="0.25">
      <c r="A31802" t="e">
        <v>#N/A</v>
      </c>
    </row>
    <row r="31803" spans="1:1" x14ac:dyDescent="0.25">
      <c r="A31803" t="e">
        <v>#N/A</v>
      </c>
    </row>
    <row r="31804" spans="1:1" x14ac:dyDescent="0.25">
      <c r="A31804" t="e">
        <v>#N/A</v>
      </c>
    </row>
    <row r="31805" spans="1:1" x14ac:dyDescent="0.25">
      <c r="A31805" t="e">
        <v>#N/A</v>
      </c>
    </row>
    <row r="31806" spans="1:1" x14ac:dyDescent="0.25">
      <c r="A31806" t="e">
        <v>#N/A</v>
      </c>
    </row>
    <row r="31807" spans="1:1" x14ac:dyDescent="0.25">
      <c r="A31807" t="e">
        <v>#N/A</v>
      </c>
    </row>
    <row r="31808" spans="1:1" x14ac:dyDescent="0.25">
      <c r="A31808" t="e">
        <v>#N/A</v>
      </c>
    </row>
    <row r="31809" spans="1:1" x14ac:dyDescent="0.25">
      <c r="A31809" t="e">
        <v>#N/A</v>
      </c>
    </row>
    <row r="31810" spans="1:1" x14ac:dyDescent="0.25">
      <c r="A31810" t="e">
        <v>#N/A</v>
      </c>
    </row>
    <row r="31811" spans="1:1" x14ac:dyDescent="0.25">
      <c r="A31811" t="e">
        <v>#N/A</v>
      </c>
    </row>
    <row r="31812" spans="1:1" x14ac:dyDescent="0.25">
      <c r="A31812" t="e">
        <v>#N/A</v>
      </c>
    </row>
    <row r="31813" spans="1:1" x14ac:dyDescent="0.25">
      <c r="A31813" t="e">
        <v>#N/A</v>
      </c>
    </row>
    <row r="31814" spans="1:1" x14ac:dyDescent="0.25">
      <c r="A31814" t="e">
        <v>#N/A</v>
      </c>
    </row>
    <row r="31815" spans="1:1" x14ac:dyDescent="0.25">
      <c r="A31815" t="e">
        <v>#N/A</v>
      </c>
    </row>
    <row r="31816" spans="1:1" x14ac:dyDescent="0.25">
      <c r="A31816" t="e">
        <v>#N/A</v>
      </c>
    </row>
    <row r="31817" spans="1:1" x14ac:dyDescent="0.25">
      <c r="A31817" t="e">
        <v>#N/A</v>
      </c>
    </row>
    <row r="31818" spans="1:1" x14ac:dyDescent="0.25">
      <c r="A31818" t="e">
        <v>#N/A</v>
      </c>
    </row>
    <row r="31819" spans="1:1" x14ac:dyDescent="0.25">
      <c r="A31819" t="e">
        <v>#N/A</v>
      </c>
    </row>
    <row r="31820" spans="1:1" x14ac:dyDescent="0.25">
      <c r="A31820" t="e">
        <v>#N/A</v>
      </c>
    </row>
    <row r="31821" spans="1:1" x14ac:dyDescent="0.25">
      <c r="A31821" t="e">
        <v>#N/A</v>
      </c>
    </row>
    <row r="31822" spans="1:1" x14ac:dyDescent="0.25">
      <c r="A31822" t="e">
        <v>#N/A</v>
      </c>
    </row>
    <row r="31823" spans="1:1" x14ac:dyDescent="0.25">
      <c r="A31823" t="e">
        <v>#N/A</v>
      </c>
    </row>
    <row r="31824" spans="1:1" x14ac:dyDescent="0.25">
      <c r="A31824" t="e">
        <v>#N/A</v>
      </c>
    </row>
    <row r="31825" spans="1:1" x14ac:dyDescent="0.25">
      <c r="A31825" t="e">
        <v>#N/A</v>
      </c>
    </row>
    <row r="31826" spans="1:1" x14ac:dyDescent="0.25">
      <c r="A31826" t="e">
        <v>#N/A</v>
      </c>
    </row>
    <row r="31827" spans="1:1" x14ac:dyDescent="0.25">
      <c r="A31827" t="e">
        <v>#N/A</v>
      </c>
    </row>
    <row r="31828" spans="1:1" x14ac:dyDescent="0.25">
      <c r="A31828" t="e">
        <v>#N/A</v>
      </c>
    </row>
    <row r="31829" spans="1:1" x14ac:dyDescent="0.25">
      <c r="A31829" t="e">
        <v>#N/A</v>
      </c>
    </row>
    <row r="31830" spans="1:1" x14ac:dyDescent="0.25">
      <c r="A31830" t="e">
        <v>#N/A</v>
      </c>
    </row>
    <row r="31831" spans="1:1" x14ac:dyDescent="0.25">
      <c r="A31831" t="e">
        <v>#N/A</v>
      </c>
    </row>
    <row r="31832" spans="1:1" x14ac:dyDescent="0.25">
      <c r="A31832" t="e">
        <v>#N/A</v>
      </c>
    </row>
    <row r="31833" spans="1:1" x14ac:dyDescent="0.25">
      <c r="A31833" t="e">
        <v>#N/A</v>
      </c>
    </row>
    <row r="31834" spans="1:1" x14ac:dyDescent="0.25">
      <c r="A31834" t="e">
        <v>#N/A</v>
      </c>
    </row>
    <row r="31835" spans="1:1" x14ac:dyDescent="0.25">
      <c r="A31835" t="e">
        <v>#N/A</v>
      </c>
    </row>
    <row r="31836" spans="1:1" x14ac:dyDescent="0.25">
      <c r="A31836" t="e">
        <v>#N/A</v>
      </c>
    </row>
    <row r="31837" spans="1:1" x14ac:dyDescent="0.25">
      <c r="A31837" t="e">
        <v>#N/A</v>
      </c>
    </row>
    <row r="31838" spans="1:1" x14ac:dyDescent="0.25">
      <c r="A31838" t="e">
        <v>#N/A</v>
      </c>
    </row>
    <row r="31839" spans="1:1" x14ac:dyDescent="0.25">
      <c r="A31839" t="e">
        <v>#N/A</v>
      </c>
    </row>
    <row r="31840" spans="1:1" x14ac:dyDescent="0.25">
      <c r="A31840" t="e">
        <v>#N/A</v>
      </c>
    </row>
    <row r="31841" spans="1:1" x14ac:dyDescent="0.25">
      <c r="A31841" t="e">
        <v>#N/A</v>
      </c>
    </row>
    <row r="31842" spans="1:1" x14ac:dyDescent="0.25">
      <c r="A31842" t="e">
        <v>#N/A</v>
      </c>
    </row>
    <row r="31843" spans="1:1" x14ac:dyDescent="0.25">
      <c r="A31843" t="e">
        <v>#N/A</v>
      </c>
    </row>
    <row r="31844" spans="1:1" x14ac:dyDescent="0.25">
      <c r="A31844" t="e">
        <v>#N/A</v>
      </c>
    </row>
    <row r="31845" spans="1:1" x14ac:dyDescent="0.25">
      <c r="A31845" t="e">
        <v>#N/A</v>
      </c>
    </row>
    <row r="31846" spans="1:1" x14ac:dyDescent="0.25">
      <c r="A31846" t="e">
        <v>#N/A</v>
      </c>
    </row>
    <row r="31847" spans="1:1" x14ac:dyDescent="0.25">
      <c r="A31847" t="e">
        <v>#N/A</v>
      </c>
    </row>
    <row r="31848" spans="1:1" x14ac:dyDescent="0.25">
      <c r="A31848" t="e">
        <v>#N/A</v>
      </c>
    </row>
    <row r="31849" spans="1:1" x14ac:dyDescent="0.25">
      <c r="A31849" t="e">
        <v>#N/A</v>
      </c>
    </row>
    <row r="31850" spans="1:1" x14ac:dyDescent="0.25">
      <c r="A31850" t="e">
        <v>#N/A</v>
      </c>
    </row>
    <row r="31851" spans="1:1" x14ac:dyDescent="0.25">
      <c r="A31851" t="e">
        <v>#N/A</v>
      </c>
    </row>
    <row r="31852" spans="1:1" x14ac:dyDescent="0.25">
      <c r="A31852" t="e">
        <v>#N/A</v>
      </c>
    </row>
    <row r="31853" spans="1:1" x14ac:dyDescent="0.25">
      <c r="A31853" t="e">
        <v>#N/A</v>
      </c>
    </row>
    <row r="31854" spans="1:1" x14ac:dyDescent="0.25">
      <c r="A31854" t="e">
        <v>#N/A</v>
      </c>
    </row>
    <row r="31855" spans="1:1" x14ac:dyDescent="0.25">
      <c r="A31855" t="e">
        <v>#N/A</v>
      </c>
    </row>
    <row r="31856" spans="1:1" x14ac:dyDescent="0.25">
      <c r="A31856" t="e">
        <v>#N/A</v>
      </c>
    </row>
    <row r="31857" spans="1:1" x14ac:dyDescent="0.25">
      <c r="A31857" t="e">
        <v>#N/A</v>
      </c>
    </row>
    <row r="31858" spans="1:1" x14ac:dyDescent="0.25">
      <c r="A31858" t="e">
        <v>#N/A</v>
      </c>
    </row>
    <row r="31859" spans="1:1" x14ac:dyDescent="0.25">
      <c r="A31859" t="e">
        <v>#N/A</v>
      </c>
    </row>
    <row r="31860" spans="1:1" x14ac:dyDescent="0.25">
      <c r="A31860" t="e">
        <v>#N/A</v>
      </c>
    </row>
    <row r="31861" spans="1:1" x14ac:dyDescent="0.25">
      <c r="A31861" t="e">
        <v>#N/A</v>
      </c>
    </row>
    <row r="31862" spans="1:1" x14ac:dyDescent="0.25">
      <c r="A31862" t="e">
        <v>#N/A</v>
      </c>
    </row>
    <row r="31863" spans="1:1" x14ac:dyDescent="0.25">
      <c r="A31863" t="e">
        <v>#N/A</v>
      </c>
    </row>
    <row r="31864" spans="1:1" x14ac:dyDescent="0.25">
      <c r="A31864" t="e">
        <v>#N/A</v>
      </c>
    </row>
    <row r="31865" spans="1:1" x14ac:dyDescent="0.25">
      <c r="A31865" t="e">
        <v>#N/A</v>
      </c>
    </row>
    <row r="31866" spans="1:1" x14ac:dyDescent="0.25">
      <c r="A31866" t="e">
        <v>#N/A</v>
      </c>
    </row>
    <row r="31867" spans="1:1" x14ac:dyDescent="0.25">
      <c r="A31867" t="e">
        <v>#N/A</v>
      </c>
    </row>
    <row r="31868" spans="1:1" x14ac:dyDescent="0.25">
      <c r="A31868" t="e">
        <v>#N/A</v>
      </c>
    </row>
    <row r="31869" spans="1:1" x14ac:dyDescent="0.25">
      <c r="A31869" t="e">
        <v>#N/A</v>
      </c>
    </row>
    <row r="31870" spans="1:1" x14ac:dyDescent="0.25">
      <c r="A31870" t="e">
        <v>#N/A</v>
      </c>
    </row>
    <row r="31871" spans="1:1" x14ac:dyDescent="0.25">
      <c r="A31871" t="e">
        <v>#N/A</v>
      </c>
    </row>
    <row r="31872" spans="1:1" x14ac:dyDescent="0.25">
      <c r="A31872" t="e">
        <v>#N/A</v>
      </c>
    </row>
    <row r="31873" spans="1:1" x14ac:dyDescent="0.25">
      <c r="A31873" t="e">
        <v>#N/A</v>
      </c>
    </row>
    <row r="31874" spans="1:1" x14ac:dyDescent="0.25">
      <c r="A31874" t="e">
        <v>#N/A</v>
      </c>
    </row>
    <row r="31875" spans="1:1" x14ac:dyDescent="0.25">
      <c r="A31875" t="e">
        <v>#N/A</v>
      </c>
    </row>
    <row r="31876" spans="1:1" x14ac:dyDescent="0.25">
      <c r="A31876" t="e">
        <v>#N/A</v>
      </c>
    </row>
    <row r="31877" spans="1:1" x14ac:dyDescent="0.25">
      <c r="A31877" t="e">
        <v>#N/A</v>
      </c>
    </row>
    <row r="31878" spans="1:1" x14ac:dyDescent="0.25">
      <c r="A31878" t="e">
        <v>#N/A</v>
      </c>
    </row>
    <row r="31879" spans="1:1" x14ac:dyDescent="0.25">
      <c r="A31879" t="e">
        <v>#N/A</v>
      </c>
    </row>
    <row r="31880" spans="1:1" x14ac:dyDescent="0.25">
      <c r="A31880" t="e">
        <v>#N/A</v>
      </c>
    </row>
    <row r="31881" spans="1:1" x14ac:dyDescent="0.25">
      <c r="A31881" t="e">
        <v>#N/A</v>
      </c>
    </row>
    <row r="31882" spans="1:1" x14ac:dyDescent="0.25">
      <c r="A31882" t="e">
        <v>#N/A</v>
      </c>
    </row>
    <row r="31883" spans="1:1" x14ac:dyDescent="0.25">
      <c r="A31883" t="e">
        <v>#N/A</v>
      </c>
    </row>
    <row r="31884" spans="1:1" x14ac:dyDescent="0.25">
      <c r="A31884" t="e">
        <v>#N/A</v>
      </c>
    </row>
    <row r="31885" spans="1:1" x14ac:dyDescent="0.25">
      <c r="A31885" t="e">
        <v>#N/A</v>
      </c>
    </row>
    <row r="31886" spans="1:1" x14ac:dyDescent="0.25">
      <c r="A31886" t="e">
        <v>#N/A</v>
      </c>
    </row>
    <row r="31887" spans="1:1" x14ac:dyDescent="0.25">
      <c r="A31887" t="e">
        <v>#N/A</v>
      </c>
    </row>
    <row r="31888" spans="1:1" x14ac:dyDescent="0.25">
      <c r="A31888" t="e">
        <v>#N/A</v>
      </c>
    </row>
    <row r="31889" spans="1:1" x14ac:dyDescent="0.25">
      <c r="A31889" t="e">
        <v>#N/A</v>
      </c>
    </row>
    <row r="31890" spans="1:1" x14ac:dyDescent="0.25">
      <c r="A31890" t="e">
        <v>#N/A</v>
      </c>
    </row>
    <row r="31891" spans="1:1" x14ac:dyDescent="0.25">
      <c r="A31891" t="e">
        <v>#N/A</v>
      </c>
    </row>
    <row r="31892" spans="1:1" x14ac:dyDescent="0.25">
      <c r="A31892" t="e">
        <v>#N/A</v>
      </c>
    </row>
    <row r="31893" spans="1:1" x14ac:dyDescent="0.25">
      <c r="A31893" t="e">
        <v>#N/A</v>
      </c>
    </row>
    <row r="31894" spans="1:1" x14ac:dyDescent="0.25">
      <c r="A31894" t="e">
        <v>#N/A</v>
      </c>
    </row>
    <row r="31895" spans="1:1" x14ac:dyDescent="0.25">
      <c r="A31895" t="e">
        <v>#N/A</v>
      </c>
    </row>
    <row r="31896" spans="1:1" x14ac:dyDescent="0.25">
      <c r="A31896" t="e">
        <v>#N/A</v>
      </c>
    </row>
    <row r="31897" spans="1:1" x14ac:dyDescent="0.25">
      <c r="A31897" t="e">
        <v>#N/A</v>
      </c>
    </row>
    <row r="31898" spans="1:1" x14ac:dyDescent="0.25">
      <c r="A31898" t="e">
        <v>#N/A</v>
      </c>
    </row>
    <row r="31899" spans="1:1" x14ac:dyDescent="0.25">
      <c r="A31899" t="e">
        <v>#N/A</v>
      </c>
    </row>
    <row r="31900" spans="1:1" x14ac:dyDescent="0.25">
      <c r="A31900" t="e">
        <v>#N/A</v>
      </c>
    </row>
    <row r="31901" spans="1:1" x14ac:dyDescent="0.25">
      <c r="A31901" t="e">
        <v>#N/A</v>
      </c>
    </row>
    <row r="31902" spans="1:1" x14ac:dyDescent="0.25">
      <c r="A31902" t="e">
        <v>#N/A</v>
      </c>
    </row>
    <row r="31903" spans="1:1" x14ac:dyDescent="0.25">
      <c r="A31903" t="e">
        <v>#N/A</v>
      </c>
    </row>
    <row r="31904" spans="1:1" x14ac:dyDescent="0.25">
      <c r="A31904" t="e">
        <v>#N/A</v>
      </c>
    </row>
    <row r="31905" spans="1:1" x14ac:dyDescent="0.25">
      <c r="A31905" t="e">
        <v>#N/A</v>
      </c>
    </row>
    <row r="31906" spans="1:1" x14ac:dyDescent="0.25">
      <c r="A31906" t="e">
        <v>#N/A</v>
      </c>
    </row>
    <row r="31907" spans="1:1" x14ac:dyDescent="0.25">
      <c r="A31907" t="e">
        <v>#N/A</v>
      </c>
    </row>
    <row r="31908" spans="1:1" x14ac:dyDescent="0.25">
      <c r="A31908" t="e">
        <v>#N/A</v>
      </c>
    </row>
    <row r="31909" spans="1:1" x14ac:dyDescent="0.25">
      <c r="A31909" t="e">
        <v>#N/A</v>
      </c>
    </row>
    <row r="31910" spans="1:1" x14ac:dyDescent="0.25">
      <c r="A31910" t="e">
        <v>#N/A</v>
      </c>
    </row>
    <row r="31911" spans="1:1" x14ac:dyDescent="0.25">
      <c r="A31911" t="e">
        <v>#N/A</v>
      </c>
    </row>
    <row r="31912" spans="1:1" x14ac:dyDescent="0.25">
      <c r="A31912" t="e">
        <v>#N/A</v>
      </c>
    </row>
    <row r="31913" spans="1:1" x14ac:dyDescent="0.25">
      <c r="A31913" t="e">
        <v>#N/A</v>
      </c>
    </row>
    <row r="31914" spans="1:1" x14ac:dyDescent="0.25">
      <c r="A31914" t="e">
        <v>#N/A</v>
      </c>
    </row>
    <row r="31915" spans="1:1" x14ac:dyDescent="0.25">
      <c r="A31915" t="e">
        <v>#N/A</v>
      </c>
    </row>
    <row r="31916" spans="1:1" x14ac:dyDescent="0.25">
      <c r="A31916" t="e">
        <v>#N/A</v>
      </c>
    </row>
    <row r="31917" spans="1:1" x14ac:dyDescent="0.25">
      <c r="A31917" t="e">
        <v>#N/A</v>
      </c>
    </row>
    <row r="31918" spans="1:1" x14ac:dyDescent="0.25">
      <c r="A31918" t="e">
        <v>#N/A</v>
      </c>
    </row>
    <row r="31919" spans="1:1" x14ac:dyDescent="0.25">
      <c r="A31919" t="e">
        <v>#N/A</v>
      </c>
    </row>
    <row r="31920" spans="1:1" x14ac:dyDescent="0.25">
      <c r="A31920" t="e">
        <v>#N/A</v>
      </c>
    </row>
    <row r="31921" spans="1:1" x14ac:dyDescent="0.25">
      <c r="A31921" t="e">
        <v>#N/A</v>
      </c>
    </row>
    <row r="31922" spans="1:1" x14ac:dyDescent="0.25">
      <c r="A31922" t="e">
        <v>#N/A</v>
      </c>
    </row>
    <row r="31923" spans="1:1" x14ac:dyDescent="0.25">
      <c r="A31923" t="e">
        <v>#N/A</v>
      </c>
    </row>
    <row r="31924" spans="1:1" x14ac:dyDescent="0.25">
      <c r="A31924" t="e">
        <v>#N/A</v>
      </c>
    </row>
    <row r="31925" spans="1:1" x14ac:dyDescent="0.25">
      <c r="A31925" t="e">
        <v>#N/A</v>
      </c>
    </row>
    <row r="31926" spans="1:1" x14ac:dyDescent="0.25">
      <c r="A31926" t="e">
        <v>#N/A</v>
      </c>
    </row>
    <row r="31927" spans="1:1" x14ac:dyDescent="0.25">
      <c r="A31927" t="e">
        <v>#N/A</v>
      </c>
    </row>
    <row r="31928" spans="1:1" x14ac:dyDescent="0.25">
      <c r="A31928" t="e">
        <v>#N/A</v>
      </c>
    </row>
    <row r="31929" spans="1:1" x14ac:dyDescent="0.25">
      <c r="A31929" t="e">
        <v>#N/A</v>
      </c>
    </row>
    <row r="31930" spans="1:1" x14ac:dyDescent="0.25">
      <c r="A31930" t="e">
        <v>#N/A</v>
      </c>
    </row>
    <row r="31931" spans="1:1" x14ac:dyDescent="0.25">
      <c r="A31931" t="e">
        <v>#N/A</v>
      </c>
    </row>
    <row r="31932" spans="1:1" x14ac:dyDescent="0.25">
      <c r="A31932" t="e">
        <v>#N/A</v>
      </c>
    </row>
    <row r="31933" spans="1:1" x14ac:dyDescent="0.25">
      <c r="A31933" t="e">
        <v>#N/A</v>
      </c>
    </row>
    <row r="31934" spans="1:1" x14ac:dyDescent="0.25">
      <c r="A31934" t="e">
        <v>#N/A</v>
      </c>
    </row>
    <row r="31935" spans="1:1" x14ac:dyDescent="0.25">
      <c r="A31935" t="e">
        <v>#N/A</v>
      </c>
    </row>
    <row r="31936" spans="1:1" x14ac:dyDescent="0.25">
      <c r="A31936" t="e">
        <v>#N/A</v>
      </c>
    </row>
    <row r="31937" spans="1:1" x14ac:dyDescent="0.25">
      <c r="A31937" t="e">
        <v>#N/A</v>
      </c>
    </row>
    <row r="31938" spans="1:1" x14ac:dyDescent="0.25">
      <c r="A31938" t="e">
        <v>#N/A</v>
      </c>
    </row>
    <row r="31939" spans="1:1" x14ac:dyDescent="0.25">
      <c r="A31939" t="e">
        <v>#N/A</v>
      </c>
    </row>
    <row r="31940" spans="1:1" x14ac:dyDescent="0.25">
      <c r="A31940" t="e">
        <v>#N/A</v>
      </c>
    </row>
    <row r="31941" spans="1:1" x14ac:dyDescent="0.25">
      <c r="A31941" t="e">
        <v>#N/A</v>
      </c>
    </row>
    <row r="31942" spans="1:1" x14ac:dyDescent="0.25">
      <c r="A31942" t="e">
        <v>#N/A</v>
      </c>
    </row>
    <row r="31943" spans="1:1" x14ac:dyDescent="0.25">
      <c r="A31943" t="e">
        <v>#N/A</v>
      </c>
    </row>
    <row r="31944" spans="1:1" x14ac:dyDescent="0.25">
      <c r="A31944" t="e">
        <v>#N/A</v>
      </c>
    </row>
    <row r="31945" spans="1:1" x14ac:dyDescent="0.25">
      <c r="A31945" t="e">
        <v>#N/A</v>
      </c>
    </row>
    <row r="31946" spans="1:1" x14ac:dyDescent="0.25">
      <c r="A31946" t="e">
        <v>#N/A</v>
      </c>
    </row>
    <row r="31947" spans="1:1" x14ac:dyDescent="0.25">
      <c r="A31947" t="e">
        <v>#N/A</v>
      </c>
    </row>
    <row r="31948" spans="1:1" x14ac:dyDescent="0.25">
      <c r="A31948" t="e">
        <v>#N/A</v>
      </c>
    </row>
    <row r="31949" spans="1:1" x14ac:dyDescent="0.25">
      <c r="A31949" t="e">
        <v>#N/A</v>
      </c>
    </row>
    <row r="31950" spans="1:1" x14ac:dyDescent="0.25">
      <c r="A31950" t="e">
        <v>#N/A</v>
      </c>
    </row>
    <row r="31951" spans="1:1" x14ac:dyDescent="0.25">
      <c r="A31951" t="e">
        <v>#N/A</v>
      </c>
    </row>
    <row r="31952" spans="1:1" x14ac:dyDescent="0.25">
      <c r="A31952" t="e">
        <v>#N/A</v>
      </c>
    </row>
    <row r="31953" spans="1:1" x14ac:dyDescent="0.25">
      <c r="A31953" t="e">
        <v>#N/A</v>
      </c>
    </row>
    <row r="31954" spans="1:1" x14ac:dyDescent="0.25">
      <c r="A31954" t="e">
        <v>#N/A</v>
      </c>
    </row>
    <row r="31955" spans="1:1" x14ac:dyDescent="0.25">
      <c r="A31955" t="e">
        <v>#N/A</v>
      </c>
    </row>
    <row r="31956" spans="1:1" x14ac:dyDescent="0.25">
      <c r="A31956" t="e">
        <v>#N/A</v>
      </c>
    </row>
    <row r="31957" spans="1:1" x14ac:dyDescent="0.25">
      <c r="A31957" t="e">
        <v>#N/A</v>
      </c>
    </row>
    <row r="31958" spans="1:1" x14ac:dyDescent="0.25">
      <c r="A31958" t="e">
        <v>#N/A</v>
      </c>
    </row>
    <row r="31959" spans="1:1" x14ac:dyDescent="0.25">
      <c r="A31959" t="e">
        <v>#N/A</v>
      </c>
    </row>
    <row r="31960" spans="1:1" x14ac:dyDescent="0.25">
      <c r="A31960" t="e">
        <v>#N/A</v>
      </c>
    </row>
    <row r="31961" spans="1:1" x14ac:dyDescent="0.25">
      <c r="A31961" t="e">
        <v>#N/A</v>
      </c>
    </row>
    <row r="31962" spans="1:1" x14ac:dyDescent="0.25">
      <c r="A31962" t="e">
        <v>#N/A</v>
      </c>
    </row>
    <row r="31963" spans="1:1" x14ac:dyDescent="0.25">
      <c r="A31963" t="e">
        <v>#N/A</v>
      </c>
    </row>
    <row r="31964" spans="1:1" x14ac:dyDescent="0.25">
      <c r="A31964" t="e">
        <v>#N/A</v>
      </c>
    </row>
    <row r="31965" spans="1:1" x14ac:dyDescent="0.25">
      <c r="A31965" t="e">
        <v>#N/A</v>
      </c>
    </row>
    <row r="31966" spans="1:1" x14ac:dyDescent="0.25">
      <c r="A31966" t="e">
        <v>#N/A</v>
      </c>
    </row>
    <row r="31967" spans="1:1" x14ac:dyDescent="0.25">
      <c r="A31967" t="e">
        <v>#N/A</v>
      </c>
    </row>
    <row r="31968" spans="1:1" x14ac:dyDescent="0.25">
      <c r="A31968" t="e">
        <v>#N/A</v>
      </c>
    </row>
    <row r="31969" spans="1:1" x14ac:dyDescent="0.25">
      <c r="A31969" t="e">
        <v>#N/A</v>
      </c>
    </row>
    <row r="31970" spans="1:1" x14ac:dyDescent="0.25">
      <c r="A31970" t="e">
        <v>#N/A</v>
      </c>
    </row>
    <row r="31971" spans="1:1" x14ac:dyDescent="0.25">
      <c r="A31971" t="e">
        <v>#N/A</v>
      </c>
    </row>
    <row r="31972" spans="1:1" x14ac:dyDescent="0.25">
      <c r="A31972" t="e">
        <v>#N/A</v>
      </c>
    </row>
    <row r="31973" spans="1:1" x14ac:dyDescent="0.25">
      <c r="A31973" t="e">
        <v>#N/A</v>
      </c>
    </row>
    <row r="31974" spans="1:1" x14ac:dyDescent="0.25">
      <c r="A31974" t="e">
        <v>#N/A</v>
      </c>
    </row>
    <row r="31975" spans="1:1" x14ac:dyDescent="0.25">
      <c r="A31975" t="e">
        <v>#N/A</v>
      </c>
    </row>
    <row r="31976" spans="1:1" x14ac:dyDescent="0.25">
      <c r="A31976" t="e">
        <v>#N/A</v>
      </c>
    </row>
    <row r="31977" spans="1:1" x14ac:dyDescent="0.25">
      <c r="A31977" t="e">
        <v>#N/A</v>
      </c>
    </row>
    <row r="31978" spans="1:1" x14ac:dyDescent="0.25">
      <c r="A31978" t="e">
        <v>#N/A</v>
      </c>
    </row>
    <row r="31979" spans="1:1" x14ac:dyDescent="0.25">
      <c r="A31979" t="e">
        <v>#N/A</v>
      </c>
    </row>
    <row r="31980" spans="1:1" x14ac:dyDescent="0.25">
      <c r="A31980" t="e">
        <v>#N/A</v>
      </c>
    </row>
    <row r="31981" spans="1:1" x14ac:dyDescent="0.25">
      <c r="A31981" t="e">
        <v>#N/A</v>
      </c>
    </row>
    <row r="31982" spans="1:1" x14ac:dyDescent="0.25">
      <c r="A31982" t="e">
        <v>#N/A</v>
      </c>
    </row>
    <row r="31983" spans="1:1" x14ac:dyDescent="0.25">
      <c r="A31983" t="e">
        <v>#N/A</v>
      </c>
    </row>
    <row r="31984" spans="1:1" x14ac:dyDescent="0.25">
      <c r="A31984" t="e">
        <v>#N/A</v>
      </c>
    </row>
    <row r="31985" spans="1:1" x14ac:dyDescent="0.25">
      <c r="A31985" t="e">
        <v>#N/A</v>
      </c>
    </row>
    <row r="31986" spans="1:1" x14ac:dyDescent="0.25">
      <c r="A31986" t="e">
        <v>#N/A</v>
      </c>
    </row>
    <row r="31987" spans="1:1" x14ac:dyDescent="0.25">
      <c r="A31987" t="e">
        <v>#N/A</v>
      </c>
    </row>
    <row r="31988" spans="1:1" x14ac:dyDescent="0.25">
      <c r="A31988" t="e">
        <v>#N/A</v>
      </c>
    </row>
    <row r="31989" spans="1:1" x14ac:dyDescent="0.25">
      <c r="A31989" t="e">
        <v>#N/A</v>
      </c>
    </row>
    <row r="31990" spans="1:1" x14ac:dyDescent="0.25">
      <c r="A31990" t="e">
        <v>#N/A</v>
      </c>
    </row>
    <row r="31991" spans="1:1" x14ac:dyDescent="0.25">
      <c r="A31991" t="e">
        <v>#N/A</v>
      </c>
    </row>
    <row r="31992" spans="1:1" x14ac:dyDescent="0.25">
      <c r="A31992" t="e">
        <v>#N/A</v>
      </c>
    </row>
    <row r="31993" spans="1:1" x14ac:dyDescent="0.25">
      <c r="A31993" t="e">
        <v>#N/A</v>
      </c>
    </row>
    <row r="31994" spans="1:1" x14ac:dyDescent="0.25">
      <c r="A31994" t="e">
        <v>#N/A</v>
      </c>
    </row>
    <row r="31995" spans="1:1" x14ac:dyDescent="0.25">
      <c r="A31995" t="e">
        <v>#N/A</v>
      </c>
    </row>
    <row r="31996" spans="1:1" x14ac:dyDescent="0.25">
      <c r="A31996" t="e">
        <v>#N/A</v>
      </c>
    </row>
    <row r="31997" spans="1:1" x14ac:dyDescent="0.25">
      <c r="A31997" t="e">
        <v>#N/A</v>
      </c>
    </row>
    <row r="31998" spans="1:1" x14ac:dyDescent="0.25">
      <c r="A31998" t="e">
        <v>#N/A</v>
      </c>
    </row>
    <row r="31999" spans="1:1" x14ac:dyDescent="0.25">
      <c r="A31999" t="e">
        <v>#N/A</v>
      </c>
    </row>
    <row r="32000" spans="1:1" x14ac:dyDescent="0.25">
      <c r="A32000" t="e">
        <v>#N/A</v>
      </c>
    </row>
    <row r="32001" spans="1:1" x14ac:dyDescent="0.25">
      <c r="A32001" t="e">
        <v>#N/A</v>
      </c>
    </row>
    <row r="32002" spans="1:1" x14ac:dyDescent="0.25">
      <c r="A32002" t="e">
        <v>#N/A</v>
      </c>
    </row>
    <row r="32003" spans="1:1" x14ac:dyDescent="0.25">
      <c r="A32003" t="e">
        <v>#N/A</v>
      </c>
    </row>
    <row r="32004" spans="1:1" x14ac:dyDescent="0.25">
      <c r="A32004" t="e">
        <v>#N/A</v>
      </c>
    </row>
    <row r="32005" spans="1:1" x14ac:dyDescent="0.25">
      <c r="A32005" t="e">
        <v>#N/A</v>
      </c>
    </row>
    <row r="32006" spans="1:1" x14ac:dyDescent="0.25">
      <c r="A32006" t="e">
        <v>#N/A</v>
      </c>
    </row>
    <row r="32007" spans="1:1" x14ac:dyDescent="0.25">
      <c r="A32007" t="e">
        <v>#N/A</v>
      </c>
    </row>
    <row r="32008" spans="1:1" x14ac:dyDescent="0.25">
      <c r="A32008" t="e">
        <v>#N/A</v>
      </c>
    </row>
    <row r="32009" spans="1:1" x14ac:dyDescent="0.25">
      <c r="A32009" t="e">
        <v>#N/A</v>
      </c>
    </row>
    <row r="32010" spans="1:1" x14ac:dyDescent="0.25">
      <c r="A32010" t="e">
        <v>#N/A</v>
      </c>
    </row>
    <row r="32011" spans="1:1" x14ac:dyDescent="0.25">
      <c r="A32011" t="e">
        <v>#N/A</v>
      </c>
    </row>
    <row r="32012" spans="1:1" x14ac:dyDescent="0.25">
      <c r="A32012" t="e">
        <v>#N/A</v>
      </c>
    </row>
    <row r="32013" spans="1:1" x14ac:dyDescent="0.25">
      <c r="A32013" t="e">
        <v>#N/A</v>
      </c>
    </row>
    <row r="32014" spans="1:1" x14ac:dyDescent="0.25">
      <c r="A32014" t="e">
        <v>#N/A</v>
      </c>
    </row>
    <row r="32015" spans="1:1" x14ac:dyDescent="0.25">
      <c r="A32015" t="e">
        <v>#N/A</v>
      </c>
    </row>
    <row r="32016" spans="1:1" x14ac:dyDescent="0.25">
      <c r="A32016" t="e">
        <v>#N/A</v>
      </c>
    </row>
    <row r="32017" spans="1:1" x14ac:dyDescent="0.25">
      <c r="A32017" t="e">
        <v>#N/A</v>
      </c>
    </row>
    <row r="32018" spans="1:1" x14ac:dyDescent="0.25">
      <c r="A32018" t="e">
        <v>#N/A</v>
      </c>
    </row>
    <row r="32019" spans="1:1" x14ac:dyDescent="0.25">
      <c r="A32019" t="e">
        <v>#N/A</v>
      </c>
    </row>
    <row r="32020" spans="1:1" x14ac:dyDescent="0.25">
      <c r="A32020" t="e">
        <v>#N/A</v>
      </c>
    </row>
    <row r="32021" spans="1:1" x14ac:dyDescent="0.25">
      <c r="A32021" t="e">
        <v>#N/A</v>
      </c>
    </row>
    <row r="32022" spans="1:1" x14ac:dyDescent="0.25">
      <c r="A32022" t="e">
        <v>#N/A</v>
      </c>
    </row>
    <row r="32023" spans="1:1" x14ac:dyDescent="0.25">
      <c r="A32023" t="e">
        <v>#N/A</v>
      </c>
    </row>
    <row r="32024" spans="1:1" x14ac:dyDescent="0.25">
      <c r="A32024" t="e">
        <v>#N/A</v>
      </c>
    </row>
    <row r="32025" spans="1:1" x14ac:dyDescent="0.25">
      <c r="A32025" t="e">
        <v>#N/A</v>
      </c>
    </row>
    <row r="32026" spans="1:1" x14ac:dyDescent="0.25">
      <c r="A32026" t="e">
        <v>#N/A</v>
      </c>
    </row>
    <row r="32027" spans="1:1" x14ac:dyDescent="0.25">
      <c r="A32027" t="e">
        <v>#N/A</v>
      </c>
    </row>
    <row r="32028" spans="1:1" x14ac:dyDescent="0.25">
      <c r="A32028" t="e">
        <v>#N/A</v>
      </c>
    </row>
    <row r="32029" spans="1:1" x14ac:dyDescent="0.25">
      <c r="A32029" t="e">
        <v>#N/A</v>
      </c>
    </row>
    <row r="32030" spans="1:1" x14ac:dyDescent="0.25">
      <c r="A32030" t="e">
        <v>#N/A</v>
      </c>
    </row>
    <row r="32031" spans="1:1" x14ac:dyDescent="0.25">
      <c r="A32031" t="e">
        <v>#N/A</v>
      </c>
    </row>
    <row r="32032" spans="1:1" x14ac:dyDescent="0.25">
      <c r="A32032" t="e">
        <v>#N/A</v>
      </c>
    </row>
    <row r="32033" spans="1:1" x14ac:dyDescent="0.25">
      <c r="A32033" t="e">
        <v>#N/A</v>
      </c>
    </row>
    <row r="32034" spans="1:1" x14ac:dyDescent="0.25">
      <c r="A32034" t="e">
        <v>#N/A</v>
      </c>
    </row>
    <row r="32035" spans="1:1" x14ac:dyDescent="0.25">
      <c r="A32035" t="e">
        <v>#N/A</v>
      </c>
    </row>
    <row r="32036" spans="1:1" x14ac:dyDescent="0.25">
      <c r="A32036" t="e">
        <v>#N/A</v>
      </c>
    </row>
    <row r="32037" spans="1:1" x14ac:dyDescent="0.25">
      <c r="A32037" t="e">
        <v>#N/A</v>
      </c>
    </row>
    <row r="32038" spans="1:1" x14ac:dyDescent="0.25">
      <c r="A32038" t="e">
        <v>#N/A</v>
      </c>
    </row>
    <row r="32039" spans="1:1" x14ac:dyDescent="0.25">
      <c r="A32039" t="e">
        <v>#N/A</v>
      </c>
    </row>
    <row r="32040" spans="1:1" x14ac:dyDescent="0.25">
      <c r="A32040" t="e">
        <v>#N/A</v>
      </c>
    </row>
    <row r="32041" spans="1:1" x14ac:dyDescent="0.25">
      <c r="A32041" t="e">
        <v>#N/A</v>
      </c>
    </row>
    <row r="32042" spans="1:1" x14ac:dyDescent="0.25">
      <c r="A32042" t="e">
        <v>#N/A</v>
      </c>
    </row>
    <row r="32043" spans="1:1" x14ac:dyDescent="0.25">
      <c r="A32043" t="e">
        <v>#N/A</v>
      </c>
    </row>
    <row r="32044" spans="1:1" x14ac:dyDescent="0.25">
      <c r="A32044" t="e">
        <v>#N/A</v>
      </c>
    </row>
    <row r="32045" spans="1:1" x14ac:dyDescent="0.25">
      <c r="A32045" t="e">
        <v>#N/A</v>
      </c>
    </row>
    <row r="32046" spans="1:1" x14ac:dyDescent="0.25">
      <c r="A32046" t="e">
        <v>#N/A</v>
      </c>
    </row>
    <row r="32047" spans="1:1" x14ac:dyDescent="0.25">
      <c r="A32047" t="e">
        <v>#N/A</v>
      </c>
    </row>
    <row r="32048" spans="1:1" x14ac:dyDescent="0.25">
      <c r="A32048" t="e">
        <v>#N/A</v>
      </c>
    </row>
    <row r="32049" spans="1:1" x14ac:dyDescent="0.25">
      <c r="A32049" t="e">
        <v>#N/A</v>
      </c>
    </row>
    <row r="32050" spans="1:1" x14ac:dyDescent="0.25">
      <c r="A32050" t="e">
        <v>#N/A</v>
      </c>
    </row>
    <row r="32051" spans="1:1" x14ac:dyDescent="0.25">
      <c r="A32051" t="e">
        <v>#N/A</v>
      </c>
    </row>
    <row r="32052" spans="1:1" x14ac:dyDescent="0.25">
      <c r="A32052" t="e">
        <v>#N/A</v>
      </c>
    </row>
    <row r="32053" spans="1:1" x14ac:dyDescent="0.25">
      <c r="A32053" t="e">
        <v>#N/A</v>
      </c>
    </row>
    <row r="32054" spans="1:1" x14ac:dyDescent="0.25">
      <c r="A32054" t="e">
        <v>#N/A</v>
      </c>
    </row>
    <row r="32055" spans="1:1" x14ac:dyDescent="0.25">
      <c r="A32055" t="e">
        <v>#N/A</v>
      </c>
    </row>
    <row r="32056" spans="1:1" x14ac:dyDescent="0.25">
      <c r="A32056" t="e">
        <v>#N/A</v>
      </c>
    </row>
    <row r="32057" spans="1:1" x14ac:dyDescent="0.25">
      <c r="A32057" t="e">
        <v>#N/A</v>
      </c>
    </row>
    <row r="32058" spans="1:1" x14ac:dyDescent="0.25">
      <c r="A32058" t="e">
        <v>#N/A</v>
      </c>
    </row>
    <row r="32059" spans="1:1" x14ac:dyDescent="0.25">
      <c r="A32059" t="e">
        <v>#N/A</v>
      </c>
    </row>
    <row r="32060" spans="1:1" x14ac:dyDescent="0.25">
      <c r="A32060" t="e">
        <v>#N/A</v>
      </c>
    </row>
    <row r="32061" spans="1:1" x14ac:dyDescent="0.25">
      <c r="A32061" t="e">
        <v>#N/A</v>
      </c>
    </row>
    <row r="32062" spans="1:1" x14ac:dyDescent="0.25">
      <c r="A32062" t="e">
        <v>#N/A</v>
      </c>
    </row>
    <row r="32063" spans="1:1" x14ac:dyDescent="0.25">
      <c r="A32063" t="e">
        <v>#N/A</v>
      </c>
    </row>
    <row r="32064" spans="1:1" x14ac:dyDescent="0.25">
      <c r="A32064" t="e">
        <v>#N/A</v>
      </c>
    </row>
    <row r="32065" spans="1:1" x14ac:dyDescent="0.25">
      <c r="A32065" t="e">
        <v>#N/A</v>
      </c>
    </row>
    <row r="32066" spans="1:1" x14ac:dyDescent="0.25">
      <c r="A32066" t="e">
        <v>#N/A</v>
      </c>
    </row>
    <row r="32067" spans="1:1" x14ac:dyDescent="0.25">
      <c r="A32067" t="e">
        <v>#N/A</v>
      </c>
    </row>
    <row r="32068" spans="1:1" x14ac:dyDescent="0.25">
      <c r="A32068" t="e">
        <v>#N/A</v>
      </c>
    </row>
    <row r="32069" spans="1:1" x14ac:dyDescent="0.25">
      <c r="A32069" t="e">
        <v>#N/A</v>
      </c>
    </row>
    <row r="32070" spans="1:1" x14ac:dyDescent="0.25">
      <c r="A32070" t="e">
        <v>#N/A</v>
      </c>
    </row>
    <row r="32071" spans="1:1" x14ac:dyDescent="0.25">
      <c r="A32071" t="e">
        <v>#N/A</v>
      </c>
    </row>
    <row r="32072" spans="1:1" x14ac:dyDescent="0.25">
      <c r="A32072" t="e">
        <v>#N/A</v>
      </c>
    </row>
    <row r="32073" spans="1:1" x14ac:dyDescent="0.25">
      <c r="A32073" t="e">
        <v>#N/A</v>
      </c>
    </row>
    <row r="32074" spans="1:1" x14ac:dyDescent="0.25">
      <c r="A32074" t="e">
        <v>#N/A</v>
      </c>
    </row>
    <row r="32075" spans="1:1" x14ac:dyDescent="0.25">
      <c r="A32075" t="e">
        <v>#N/A</v>
      </c>
    </row>
    <row r="32076" spans="1:1" x14ac:dyDescent="0.25">
      <c r="A32076" t="e">
        <v>#N/A</v>
      </c>
    </row>
    <row r="32077" spans="1:1" x14ac:dyDescent="0.25">
      <c r="A32077" t="e">
        <v>#N/A</v>
      </c>
    </row>
    <row r="32078" spans="1:1" x14ac:dyDescent="0.25">
      <c r="A32078" t="e">
        <v>#N/A</v>
      </c>
    </row>
    <row r="32079" spans="1:1" x14ac:dyDescent="0.25">
      <c r="A32079" t="e">
        <v>#N/A</v>
      </c>
    </row>
    <row r="32080" spans="1:1" x14ac:dyDescent="0.25">
      <c r="A32080" t="e">
        <v>#N/A</v>
      </c>
    </row>
    <row r="32081" spans="1:1" x14ac:dyDescent="0.25">
      <c r="A32081" t="e">
        <v>#N/A</v>
      </c>
    </row>
    <row r="32082" spans="1:1" x14ac:dyDescent="0.25">
      <c r="A32082" t="e">
        <v>#N/A</v>
      </c>
    </row>
    <row r="32083" spans="1:1" x14ac:dyDescent="0.25">
      <c r="A32083" t="e">
        <v>#N/A</v>
      </c>
    </row>
    <row r="32084" spans="1:1" x14ac:dyDescent="0.25">
      <c r="A32084" t="e">
        <v>#N/A</v>
      </c>
    </row>
    <row r="32085" spans="1:1" x14ac:dyDescent="0.25">
      <c r="A32085" t="e">
        <v>#N/A</v>
      </c>
    </row>
    <row r="32086" spans="1:1" x14ac:dyDescent="0.25">
      <c r="A32086" t="e">
        <v>#N/A</v>
      </c>
    </row>
    <row r="32087" spans="1:1" x14ac:dyDescent="0.25">
      <c r="A32087" t="e">
        <v>#N/A</v>
      </c>
    </row>
    <row r="32088" spans="1:1" x14ac:dyDescent="0.25">
      <c r="A32088" t="e">
        <v>#N/A</v>
      </c>
    </row>
    <row r="32089" spans="1:1" x14ac:dyDescent="0.25">
      <c r="A32089" t="e">
        <v>#N/A</v>
      </c>
    </row>
    <row r="32090" spans="1:1" x14ac:dyDescent="0.25">
      <c r="A32090" t="e">
        <v>#N/A</v>
      </c>
    </row>
    <row r="32091" spans="1:1" x14ac:dyDescent="0.25">
      <c r="A32091" t="e">
        <v>#N/A</v>
      </c>
    </row>
    <row r="32092" spans="1:1" x14ac:dyDescent="0.25">
      <c r="A32092" t="e">
        <v>#N/A</v>
      </c>
    </row>
    <row r="32093" spans="1:1" x14ac:dyDescent="0.25">
      <c r="A32093" t="e">
        <v>#N/A</v>
      </c>
    </row>
    <row r="32094" spans="1:1" x14ac:dyDescent="0.25">
      <c r="A32094" t="e">
        <v>#N/A</v>
      </c>
    </row>
    <row r="32095" spans="1:1" x14ac:dyDescent="0.25">
      <c r="A32095" t="e">
        <v>#N/A</v>
      </c>
    </row>
    <row r="32096" spans="1:1" x14ac:dyDescent="0.25">
      <c r="A32096" t="e">
        <v>#N/A</v>
      </c>
    </row>
    <row r="32097" spans="1:1" x14ac:dyDescent="0.25">
      <c r="A32097" t="e">
        <v>#N/A</v>
      </c>
    </row>
    <row r="32098" spans="1:1" x14ac:dyDescent="0.25">
      <c r="A32098" t="e">
        <v>#N/A</v>
      </c>
    </row>
    <row r="32099" spans="1:1" x14ac:dyDescent="0.25">
      <c r="A32099" t="e">
        <v>#N/A</v>
      </c>
    </row>
    <row r="32100" spans="1:1" x14ac:dyDescent="0.25">
      <c r="A32100" t="e">
        <v>#N/A</v>
      </c>
    </row>
    <row r="32101" spans="1:1" x14ac:dyDescent="0.25">
      <c r="A32101" t="e">
        <v>#N/A</v>
      </c>
    </row>
    <row r="32102" spans="1:1" x14ac:dyDescent="0.25">
      <c r="A32102" t="e">
        <v>#N/A</v>
      </c>
    </row>
    <row r="32103" spans="1:1" x14ac:dyDescent="0.25">
      <c r="A32103" t="e">
        <v>#N/A</v>
      </c>
    </row>
    <row r="32104" spans="1:1" x14ac:dyDescent="0.25">
      <c r="A32104" t="e">
        <v>#N/A</v>
      </c>
    </row>
    <row r="32105" spans="1:1" x14ac:dyDescent="0.25">
      <c r="A32105" t="e">
        <v>#N/A</v>
      </c>
    </row>
    <row r="32106" spans="1:1" x14ac:dyDescent="0.25">
      <c r="A32106" t="e">
        <v>#N/A</v>
      </c>
    </row>
    <row r="32107" spans="1:1" x14ac:dyDescent="0.25">
      <c r="A32107" t="e">
        <v>#N/A</v>
      </c>
    </row>
    <row r="32108" spans="1:1" x14ac:dyDescent="0.25">
      <c r="A32108" t="e">
        <v>#N/A</v>
      </c>
    </row>
    <row r="32109" spans="1:1" x14ac:dyDescent="0.25">
      <c r="A32109" t="e">
        <v>#N/A</v>
      </c>
    </row>
    <row r="32110" spans="1:1" x14ac:dyDescent="0.25">
      <c r="A32110" t="e">
        <v>#N/A</v>
      </c>
    </row>
    <row r="32111" spans="1:1" x14ac:dyDescent="0.25">
      <c r="A32111" t="e">
        <v>#N/A</v>
      </c>
    </row>
    <row r="32112" spans="1:1" x14ac:dyDescent="0.25">
      <c r="A32112" t="e">
        <v>#N/A</v>
      </c>
    </row>
    <row r="32113" spans="1:1" x14ac:dyDescent="0.25">
      <c r="A32113" t="e">
        <v>#N/A</v>
      </c>
    </row>
    <row r="32114" spans="1:1" x14ac:dyDescent="0.25">
      <c r="A32114" t="e">
        <v>#N/A</v>
      </c>
    </row>
    <row r="32115" spans="1:1" x14ac:dyDescent="0.25">
      <c r="A32115" t="e">
        <v>#N/A</v>
      </c>
    </row>
    <row r="32116" spans="1:1" x14ac:dyDescent="0.25">
      <c r="A32116" t="e">
        <v>#N/A</v>
      </c>
    </row>
    <row r="32117" spans="1:1" x14ac:dyDescent="0.25">
      <c r="A32117" t="e">
        <v>#N/A</v>
      </c>
    </row>
    <row r="32118" spans="1:1" x14ac:dyDescent="0.25">
      <c r="A32118" t="e">
        <v>#N/A</v>
      </c>
    </row>
    <row r="32119" spans="1:1" x14ac:dyDescent="0.25">
      <c r="A32119" t="e">
        <v>#N/A</v>
      </c>
    </row>
    <row r="32120" spans="1:1" x14ac:dyDescent="0.25">
      <c r="A32120" t="e">
        <v>#N/A</v>
      </c>
    </row>
    <row r="32121" spans="1:1" x14ac:dyDescent="0.25">
      <c r="A32121" t="e">
        <v>#N/A</v>
      </c>
    </row>
    <row r="32122" spans="1:1" x14ac:dyDescent="0.25">
      <c r="A32122" t="e">
        <v>#N/A</v>
      </c>
    </row>
    <row r="32123" spans="1:1" x14ac:dyDescent="0.25">
      <c r="A32123" t="e">
        <v>#N/A</v>
      </c>
    </row>
    <row r="32124" spans="1:1" x14ac:dyDescent="0.25">
      <c r="A32124" t="e">
        <v>#N/A</v>
      </c>
    </row>
    <row r="32125" spans="1:1" x14ac:dyDescent="0.25">
      <c r="A32125" t="e">
        <v>#N/A</v>
      </c>
    </row>
    <row r="32126" spans="1:1" x14ac:dyDescent="0.25">
      <c r="A32126" t="e">
        <v>#N/A</v>
      </c>
    </row>
    <row r="32127" spans="1:1" x14ac:dyDescent="0.25">
      <c r="A32127" t="e">
        <v>#N/A</v>
      </c>
    </row>
    <row r="32128" spans="1:1" x14ac:dyDescent="0.25">
      <c r="A32128" t="e">
        <v>#N/A</v>
      </c>
    </row>
    <row r="32129" spans="1:1" x14ac:dyDescent="0.25">
      <c r="A32129" t="e">
        <v>#N/A</v>
      </c>
    </row>
    <row r="32130" spans="1:1" x14ac:dyDescent="0.25">
      <c r="A32130" t="e">
        <v>#N/A</v>
      </c>
    </row>
    <row r="32131" spans="1:1" x14ac:dyDescent="0.25">
      <c r="A32131" t="e">
        <v>#N/A</v>
      </c>
    </row>
    <row r="32132" spans="1:1" x14ac:dyDescent="0.25">
      <c r="A32132" t="e">
        <v>#N/A</v>
      </c>
    </row>
    <row r="32133" spans="1:1" x14ac:dyDescent="0.25">
      <c r="A32133" t="e">
        <v>#N/A</v>
      </c>
    </row>
    <row r="32134" spans="1:1" x14ac:dyDescent="0.25">
      <c r="A32134" t="e">
        <v>#N/A</v>
      </c>
    </row>
    <row r="32135" spans="1:1" x14ac:dyDescent="0.25">
      <c r="A32135" t="e">
        <v>#N/A</v>
      </c>
    </row>
    <row r="32136" spans="1:1" x14ac:dyDescent="0.25">
      <c r="A32136" t="e">
        <v>#N/A</v>
      </c>
    </row>
    <row r="32137" spans="1:1" x14ac:dyDescent="0.25">
      <c r="A32137" t="e">
        <v>#N/A</v>
      </c>
    </row>
    <row r="32138" spans="1:1" x14ac:dyDescent="0.25">
      <c r="A32138" t="e">
        <v>#N/A</v>
      </c>
    </row>
    <row r="32139" spans="1:1" x14ac:dyDescent="0.25">
      <c r="A32139" t="e">
        <v>#N/A</v>
      </c>
    </row>
    <row r="32140" spans="1:1" x14ac:dyDescent="0.25">
      <c r="A32140" t="e">
        <v>#N/A</v>
      </c>
    </row>
    <row r="32141" spans="1:1" x14ac:dyDescent="0.25">
      <c r="A32141" t="e">
        <v>#N/A</v>
      </c>
    </row>
    <row r="32142" spans="1:1" x14ac:dyDescent="0.25">
      <c r="A32142" t="e">
        <v>#N/A</v>
      </c>
    </row>
    <row r="32143" spans="1:1" x14ac:dyDescent="0.25">
      <c r="A32143" t="e">
        <v>#N/A</v>
      </c>
    </row>
    <row r="32144" spans="1:1" x14ac:dyDescent="0.25">
      <c r="A32144" t="e">
        <v>#N/A</v>
      </c>
    </row>
    <row r="32145" spans="1:1" x14ac:dyDescent="0.25">
      <c r="A32145" t="e">
        <v>#N/A</v>
      </c>
    </row>
    <row r="32146" spans="1:1" x14ac:dyDescent="0.25">
      <c r="A32146" t="e">
        <v>#N/A</v>
      </c>
    </row>
    <row r="32147" spans="1:1" x14ac:dyDescent="0.25">
      <c r="A32147" t="e">
        <v>#N/A</v>
      </c>
    </row>
    <row r="32148" spans="1:1" x14ac:dyDescent="0.25">
      <c r="A32148" t="e">
        <v>#N/A</v>
      </c>
    </row>
    <row r="32149" spans="1:1" x14ac:dyDescent="0.25">
      <c r="A32149" t="e">
        <v>#N/A</v>
      </c>
    </row>
    <row r="32150" spans="1:1" x14ac:dyDescent="0.25">
      <c r="A32150" t="e">
        <v>#N/A</v>
      </c>
    </row>
    <row r="32151" spans="1:1" x14ac:dyDescent="0.25">
      <c r="A32151" t="e">
        <v>#N/A</v>
      </c>
    </row>
    <row r="32152" spans="1:1" x14ac:dyDescent="0.25">
      <c r="A32152" t="e">
        <v>#N/A</v>
      </c>
    </row>
    <row r="32153" spans="1:1" x14ac:dyDescent="0.25">
      <c r="A32153" t="e">
        <v>#N/A</v>
      </c>
    </row>
    <row r="32154" spans="1:1" x14ac:dyDescent="0.25">
      <c r="A32154" t="e">
        <v>#N/A</v>
      </c>
    </row>
    <row r="32155" spans="1:1" x14ac:dyDescent="0.25">
      <c r="A32155" t="e">
        <v>#N/A</v>
      </c>
    </row>
    <row r="32156" spans="1:1" x14ac:dyDescent="0.25">
      <c r="A32156" t="e">
        <v>#N/A</v>
      </c>
    </row>
    <row r="32157" spans="1:1" x14ac:dyDescent="0.25">
      <c r="A32157" t="e">
        <v>#N/A</v>
      </c>
    </row>
    <row r="32158" spans="1:1" x14ac:dyDescent="0.25">
      <c r="A32158" t="e">
        <v>#N/A</v>
      </c>
    </row>
    <row r="32159" spans="1:1" x14ac:dyDescent="0.25">
      <c r="A32159" t="e">
        <v>#N/A</v>
      </c>
    </row>
    <row r="32160" spans="1:1" x14ac:dyDescent="0.25">
      <c r="A32160" t="e">
        <v>#N/A</v>
      </c>
    </row>
    <row r="32161" spans="1:1" x14ac:dyDescent="0.25">
      <c r="A32161" t="e">
        <v>#N/A</v>
      </c>
    </row>
    <row r="32162" spans="1:1" x14ac:dyDescent="0.25">
      <c r="A32162" t="e">
        <v>#N/A</v>
      </c>
    </row>
    <row r="32163" spans="1:1" x14ac:dyDescent="0.25">
      <c r="A32163" t="e">
        <v>#N/A</v>
      </c>
    </row>
    <row r="32164" spans="1:1" x14ac:dyDescent="0.25">
      <c r="A32164" t="e">
        <v>#N/A</v>
      </c>
    </row>
    <row r="32165" spans="1:1" x14ac:dyDescent="0.25">
      <c r="A32165" t="e">
        <v>#N/A</v>
      </c>
    </row>
    <row r="32166" spans="1:1" x14ac:dyDescent="0.25">
      <c r="A32166" t="e">
        <v>#N/A</v>
      </c>
    </row>
    <row r="32167" spans="1:1" x14ac:dyDescent="0.25">
      <c r="A32167" t="e">
        <v>#N/A</v>
      </c>
    </row>
    <row r="32168" spans="1:1" x14ac:dyDescent="0.25">
      <c r="A32168" t="e">
        <v>#N/A</v>
      </c>
    </row>
    <row r="32169" spans="1:1" x14ac:dyDescent="0.25">
      <c r="A32169" t="e">
        <v>#N/A</v>
      </c>
    </row>
    <row r="32170" spans="1:1" x14ac:dyDescent="0.25">
      <c r="A32170" t="e">
        <v>#N/A</v>
      </c>
    </row>
    <row r="32171" spans="1:1" x14ac:dyDescent="0.25">
      <c r="A32171" t="e">
        <v>#N/A</v>
      </c>
    </row>
    <row r="32172" spans="1:1" x14ac:dyDescent="0.25">
      <c r="A32172" t="e">
        <v>#N/A</v>
      </c>
    </row>
    <row r="32173" spans="1:1" x14ac:dyDescent="0.25">
      <c r="A32173" t="e">
        <v>#N/A</v>
      </c>
    </row>
    <row r="32174" spans="1:1" x14ac:dyDescent="0.25">
      <c r="A32174" t="e">
        <v>#N/A</v>
      </c>
    </row>
    <row r="32175" spans="1:1" x14ac:dyDescent="0.25">
      <c r="A32175" t="e">
        <v>#N/A</v>
      </c>
    </row>
    <row r="32176" spans="1:1" x14ac:dyDescent="0.25">
      <c r="A32176" t="e">
        <v>#N/A</v>
      </c>
    </row>
    <row r="32177" spans="1:1" x14ac:dyDescent="0.25">
      <c r="A32177" t="e">
        <v>#N/A</v>
      </c>
    </row>
    <row r="32178" spans="1:1" x14ac:dyDescent="0.25">
      <c r="A32178" t="e">
        <v>#N/A</v>
      </c>
    </row>
    <row r="32179" spans="1:1" x14ac:dyDescent="0.25">
      <c r="A32179" t="e">
        <v>#N/A</v>
      </c>
    </row>
    <row r="32180" spans="1:1" x14ac:dyDescent="0.25">
      <c r="A32180" t="e">
        <v>#N/A</v>
      </c>
    </row>
    <row r="32181" spans="1:1" x14ac:dyDescent="0.25">
      <c r="A32181" t="e">
        <v>#N/A</v>
      </c>
    </row>
    <row r="32182" spans="1:1" x14ac:dyDescent="0.25">
      <c r="A32182" t="e">
        <v>#N/A</v>
      </c>
    </row>
    <row r="32183" spans="1:1" x14ac:dyDescent="0.25">
      <c r="A32183" t="e">
        <v>#N/A</v>
      </c>
    </row>
    <row r="32184" spans="1:1" x14ac:dyDescent="0.25">
      <c r="A32184" t="e">
        <v>#N/A</v>
      </c>
    </row>
    <row r="32185" spans="1:1" x14ac:dyDescent="0.25">
      <c r="A32185" t="e">
        <v>#N/A</v>
      </c>
    </row>
    <row r="32186" spans="1:1" x14ac:dyDescent="0.25">
      <c r="A32186" t="e">
        <v>#N/A</v>
      </c>
    </row>
    <row r="32187" spans="1:1" x14ac:dyDescent="0.25">
      <c r="A32187" t="e">
        <v>#N/A</v>
      </c>
    </row>
    <row r="32188" spans="1:1" x14ac:dyDescent="0.25">
      <c r="A32188" t="e">
        <v>#N/A</v>
      </c>
    </row>
    <row r="32189" spans="1:1" x14ac:dyDescent="0.25">
      <c r="A32189" t="e">
        <v>#N/A</v>
      </c>
    </row>
    <row r="32190" spans="1:1" x14ac:dyDescent="0.25">
      <c r="A32190" t="e">
        <v>#N/A</v>
      </c>
    </row>
    <row r="32191" spans="1:1" x14ac:dyDescent="0.25">
      <c r="A32191" t="e">
        <v>#N/A</v>
      </c>
    </row>
    <row r="32192" spans="1:1" x14ac:dyDescent="0.25">
      <c r="A32192" t="e">
        <v>#N/A</v>
      </c>
    </row>
    <row r="32193" spans="1:1" x14ac:dyDescent="0.25">
      <c r="A32193" t="e">
        <v>#N/A</v>
      </c>
    </row>
    <row r="32194" spans="1:1" x14ac:dyDescent="0.25">
      <c r="A32194" t="e">
        <v>#N/A</v>
      </c>
    </row>
    <row r="32195" spans="1:1" x14ac:dyDescent="0.25">
      <c r="A32195" t="e">
        <v>#N/A</v>
      </c>
    </row>
    <row r="32196" spans="1:1" x14ac:dyDescent="0.25">
      <c r="A32196" t="e">
        <v>#N/A</v>
      </c>
    </row>
    <row r="32197" spans="1:1" x14ac:dyDescent="0.25">
      <c r="A32197" t="e">
        <v>#N/A</v>
      </c>
    </row>
    <row r="32198" spans="1:1" x14ac:dyDescent="0.25">
      <c r="A32198" t="e">
        <v>#N/A</v>
      </c>
    </row>
    <row r="32199" spans="1:1" x14ac:dyDescent="0.25">
      <c r="A32199" t="e">
        <v>#N/A</v>
      </c>
    </row>
    <row r="32200" spans="1:1" x14ac:dyDescent="0.25">
      <c r="A32200" t="e">
        <v>#N/A</v>
      </c>
    </row>
    <row r="32201" spans="1:1" x14ac:dyDescent="0.25">
      <c r="A32201" t="e">
        <v>#N/A</v>
      </c>
    </row>
    <row r="32202" spans="1:1" x14ac:dyDescent="0.25">
      <c r="A32202" t="e">
        <v>#N/A</v>
      </c>
    </row>
    <row r="32203" spans="1:1" x14ac:dyDescent="0.25">
      <c r="A32203" t="e">
        <v>#N/A</v>
      </c>
    </row>
    <row r="32204" spans="1:1" x14ac:dyDescent="0.25">
      <c r="A32204" t="e">
        <v>#N/A</v>
      </c>
    </row>
    <row r="32205" spans="1:1" x14ac:dyDescent="0.25">
      <c r="A32205" t="e">
        <v>#N/A</v>
      </c>
    </row>
    <row r="32206" spans="1:1" x14ac:dyDescent="0.25">
      <c r="A32206" t="e">
        <v>#N/A</v>
      </c>
    </row>
    <row r="32207" spans="1:1" x14ac:dyDescent="0.25">
      <c r="A32207" t="e">
        <v>#N/A</v>
      </c>
    </row>
    <row r="32208" spans="1:1" x14ac:dyDescent="0.25">
      <c r="A32208" t="e">
        <v>#N/A</v>
      </c>
    </row>
    <row r="32209" spans="1:1" x14ac:dyDescent="0.25">
      <c r="A32209" t="e">
        <v>#N/A</v>
      </c>
    </row>
    <row r="32210" spans="1:1" x14ac:dyDescent="0.25">
      <c r="A32210" t="e">
        <v>#N/A</v>
      </c>
    </row>
    <row r="32211" spans="1:1" x14ac:dyDescent="0.25">
      <c r="A32211" t="e">
        <v>#N/A</v>
      </c>
    </row>
    <row r="32212" spans="1:1" x14ac:dyDescent="0.25">
      <c r="A32212" t="e">
        <v>#N/A</v>
      </c>
    </row>
    <row r="32213" spans="1:1" x14ac:dyDescent="0.25">
      <c r="A32213" t="e">
        <v>#N/A</v>
      </c>
    </row>
    <row r="32214" spans="1:1" x14ac:dyDescent="0.25">
      <c r="A32214" t="e">
        <v>#N/A</v>
      </c>
    </row>
    <row r="32215" spans="1:1" x14ac:dyDescent="0.25">
      <c r="A32215" t="e">
        <v>#N/A</v>
      </c>
    </row>
    <row r="32216" spans="1:1" x14ac:dyDescent="0.25">
      <c r="A32216" t="e">
        <v>#N/A</v>
      </c>
    </row>
    <row r="32217" spans="1:1" x14ac:dyDescent="0.25">
      <c r="A32217" t="e">
        <v>#N/A</v>
      </c>
    </row>
    <row r="32218" spans="1:1" x14ac:dyDescent="0.25">
      <c r="A32218" t="e">
        <v>#N/A</v>
      </c>
    </row>
    <row r="32219" spans="1:1" x14ac:dyDescent="0.25">
      <c r="A32219" t="e">
        <v>#N/A</v>
      </c>
    </row>
    <row r="32220" spans="1:1" x14ac:dyDescent="0.25">
      <c r="A32220" t="e">
        <v>#N/A</v>
      </c>
    </row>
    <row r="32221" spans="1:1" x14ac:dyDescent="0.25">
      <c r="A32221" t="e">
        <v>#N/A</v>
      </c>
    </row>
    <row r="32222" spans="1:1" x14ac:dyDescent="0.25">
      <c r="A32222" t="e">
        <v>#N/A</v>
      </c>
    </row>
    <row r="32223" spans="1:1" x14ac:dyDescent="0.25">
      <c r="A32223" t="e">
        <v>#N/A</v>
      </c>
    </row>
    <row r="32224" spans="1:1" x14ac:dyDescent="0.25">
      <c r="A32224" t="e">
        <v>#N/A</v>
      </c>
    </row>
    <row r="32225" spans="1:1" x14ac:dyDescent="0.25">
      <c r="A32225" t="e">
        <v>#N/A</v>
      </c>
    </row>
    <row r="32226" spans="1:1" x14ac:dyDescent="0.25">
      <c r="A32226" t="e">
        <v>#N/A</v>
      </c>
    </row>
    <row r="32227" spans="1:1" x14ac:dyDescent="0.25">
      <c r="A32227" t="e">
        <v>#N/A</v>
      </c>
    </row>
    <row r="32228" spans="1:1" x14ac:dyDescent="0.25">
      <c r="A32228" t="e">
        <v>#N/A</v>
      </c>
    </row>
    <row r="32229" spans="1:1" x14ac:dyDescent="0.25">
      <c r="A32229" t="e">
        <v>#N/A</v>
      </c>
    </row>
    <row r="32230" spans="1:1" x14ac:dyDescent="0.25">
      <c r="A32230" t="e">
        <v>#N/A</v>
      </c>
    </row>
    <row r="32231" spans="1:1" x14ac:dyDescent="0.25">
      <c r="A32231" t="e">
        <v>#N/A</v>
      </c>
    </row>
    <row r="32232" spans="1:1" x14ac:dyDescent="0.25">
      <c r="A32232" t="e">
        <v>#N/A</v>
      </c>
    </row>
    <row r="32233" spans="1:1" x14ac:dyDescent="0.25">
      <c r="A32233" t="e">
        <v>#N/A</v>
      </c>
    </row>
    <row r="32234" spans="1:1" x14ac:dyDescent="0.25">
      <c r="A32234" t="e">
        <v>#N/A</v>
      </c>
    </row>
    <row r="32235" spans="1:1" x14ac:dyDescent="0.25">
      <c r="A32235" t="e">
        <v>#N/A</v>
      </c>
    </row>
    <row r="32236" spans="1:1" x14ac:dyDescent="0.25">
      <c r="A32236" t="e">
        <v>#N/A</v>
      </c>
    </row>
    <row r="32237" spans="1:1" x14ac:dyDescent="0.25">
      <c r="A32237" t="e">
        <v>#N/A</v>
      </c>
    </row>
    <row r="32238" spans="1:1" x14ac:dyDescent="0.25">
      <c r="A32238" t="e">
        <v>#N/A</v>
      </c>
    </row>
    <row r="32239" spans="1:1" x14ac:dyDescent="0.25">
      <c r="A32239" t="e">
        <v>#N/A</v>
      </c>
    </row>
    <row r="32240" spans="1:1" x14ac:dyDescent="0.25">
      <c r="A32240" t="e">
        <v>#N/A</v>
      </c>
    </row>
    <row r="32241" spans="1:1" x14ac:dyDescent="0.25">
      <c r="A32241" t="e">
        <v>#N/A</v>
      </c>
    </row>
    <row r="32242" spans="1:1" x14ac:dyDescent="0.25">
      <c r="A32242" t="e">
        <v>#N/A</v>
      </c>
    </row>
    <row r="32243" spans="1:1" x14ac:dyDescent="0.25">
      <c r="A32243" t="e">
        <v>#N/A</v>
      </c>
    </row>
    <row r="32244" spans="1:1" x14ac:dyDescent="0.25">
      <c r="A32244" t="e">
        <v>#N/A</v>
      </c>
    </row>
    <row r="32245" spans="1:1" x14ac:dyDescent="0.25">
      <c r="A32245" t="e">
        <v>#N/A</v>
      </c>
    </row>
    <row r="32246" spans="1:1" x14ac:dyDescent="0.25">
      <c r="A32246" t="e">
        <v>#N/A</v>
      </c>
    </row>
    <row r="32247" spans="1:1" x14ac:dyDescent="0.25">
      <c r="A32247" t="e">
        <v>#N/A</v>
      </c>
    </row>
    <row r="32248" spans="1:1" x14ac:dyDescent="0.25">
      <c r="A32248" t="e">
        <v>#N/A</v>
      </c>
    </row>
    <row r="32249" spans="1:1" x14ac:dyDescent="0.25">
      <c r="A32249" t="e">
        <v>#N/A</v>
      </c>
    </row>
    <row r="32250" spans="1:1" x14ac:dyDescent="0.25">
      <c r="A32250" t="e">
        <v>#N/A</v>
      </c>
    </row>
    <row r="32251" spans="1:1" x14ac:dyDescent="0.25">
      <c r="A32251" t="e">
        <v>#N/A</v>
      </c>
    </row>
    <row r="32252" spans="1:1" x14ac:dyDescent="0.25">
      <c r="A32252" t="e">
        <v>#N/A</v>
      </c>
    </row>
    <row r="32253" spans="1:1" x14ac:dyDescent="0.25">
      <c r="A32253" t="e">
        <v>#N/A</v>
      </c>
    </row>
    <row r="32254" spans="1:1" x14ac:dyDescent="0.25">
      <c r="A32254" t="e">
        <v>#N/A</v>
      </c>
    </row>
    <row r="32255" spans="1:1" x14ac:dyDescent="0.25">
      <c r="A32255" t="e">
        <v>#N/A</v>
      </c>
    </row>
    <row r="32256" spans="1:1" x14ac:dyDescent="0.25">
      <c r="A32256" t="e">
        <v>#N/A</v>
      </c>
    </row>
    <row r="32257" spans="1:1" x14ac:dyDescent="0.25">
      <c r="A32257" t="e">
        <v>#N/A</v>
      </c>
    </row>
    <row r="32258" spans="1:1" x14ac:dyDescent="0.25">
      <c r="A32258" t="e">
        <v>#N/A</v>
      </c>
    </row>
    <row r="32259" spans="1:1" x14ac:dyDescent="0.25">
      <c r="A32259" t="e">
        <v>#N/A</v>
      </c>
    </row>
    <row r="32260" spans="1:1" x14ac:dyDescent="0.25">
      <c r="A32260" t="e">
        <v>#N/A</v>
      </c>
    </row>
    <row r="32261" spans="1:1" x14ac:dyDescent="0.25">
      <c r="A32261" t="e">
        <v>#N/A</v>
      </c>
    </row>
    <row r="32262" spans="1:1" x14ac:dyDescent="0.25">
      <c r="A32262" t="e">
        <v>#N/A</v>
      </c>
    </row>
    <row r="32263" spans="1:1" x14ac:dyDescent="0.25">
      <c r="A32263" t="e">
        <v>#N/A</v>
      </c>
    </row>
    <row r="32264" spans="1:1" x14ac:dyDescent="0.25">
      <c r="A32264" t="e">
        <v>#N/A</v>
      </c>
    </row>
    <row r="32265" spans="1:1" x14ac:dyDescent="0.25">
      <c r="A32265" t="e">
        <v>#N/A</v>
      </c>
    </row>
    <row r="32266" spans="1:1" x14ac:dyDescent="0.25">
      <c r="A32266" t="e">
        <v>#N/A</v>
      </c>
    </row>
    <row r="32267" spans="1:1" x14ac:dyDescent="0.25">
      <c r="A32267" t="e">
        <v>#N/A</v>
      </c>
    </row>
    <row r="32268" spans="1:1" x14ac:dyDescent="0.25">
      <c r="A32268" t="e">
        <v>#N/A</v>
      </c>
    </row>
    <row r="32269" spans="1:1" x14ac:dyDescent="0.25">
      <c r="A32269" t="e">
        <v>#N/A</v>
      </c>
    </row>
    <row r="32270" spans="1:1" x14ac:dyDescent="0.25">
      <c r="A32270" t="e">
        <v>#N/A</v>
      </c>
    </row>
    <row r="32271" spans="1:1" x14ac:dyDescent="0.25">
      <c r="A32271" t="e">
        <v>#N/A</v>
      </c>
    </row>
    <row r="32272" spans="1:1" x14ac:dyDescent="0.25">
      <c r="A32272" t="e">
        <v>#N/A</v>
      </c>
    </row>
    <row r="32273" spans="1:1" x14ac:dyDescent="0.25">
      <c r="A32273" t="e">
        <v>#N/A</v>
      </c>
    </row>
    <row r="32274" spans="1:1" x14ac:dyDescent="0.25">
      <c r="A32274" t="e">
        <v>#N/A</v>
      </c>
    </row>
    <row r="32275" spans="1:1" x14ac:dyDescent="0.25">
      <c r="A32275" t="e">
        <v>#N/A</v>
      </c>
    </row>
    <row r="32276" spans="1:1" x14ac:dyDescent="0.25">
      <c r="A32276" t="e">
        <v>#N/A</v>
      </c>
    </row>
    <row r="32277" spans="1:1" x14ac:dyDescent="0.25">
      <c r="A32277" t="e">
        <v>#N/A</v>
      </c>
    </row>
    <row r="32278" spans="1:1" x14ac:dyDescent="0.25">
      <c r="A32278" t="e">
        <v>#N/A</v>
      </c>
    </row>
    <row r="32279" spans="1:1" x14ac:dyDescent="0.25">
      <c r="A32279" t="e">
        <v>#N/A</v>
      </c>
    </row>
    <row r="32280" spans="1:1" x14ac:dyDescent="0.25">
      <c r="A32280" t="e">
        <v>#N/A</v>
      </c>
    </row>
    <row r="32281" spans="1:1" x14ac:dyDescent="0.25">
      <c r="A32281" t="e">
        <v>#N/A</v>
      </c>
    </row>
    <row r="32282" spans="1:1" x14ac:dyDescent="0.25">
      <c r="A32282" t="e">
        <v>#N/A</v>
      </c>
    </row>
    <row r="32283" spans="1:1" x14ac:dyDescent="0.25">
      <c r="A32283" t="e">
        <v>#N/A</v>
      </c>
    </row>
    <row r="32284" spans="1:1" x14ac:dyDescent="0.25">
      <c r="A32284" t="e">
        <v>#N/A</v>
      </c>
    </row>
    <row r="32285" spans="1:1" x14ac:dyDescent="0.25">
      <c r="A32285" t="e">
        <v>#N/A</v>
      </c>
    </row>
    <row r="32286" spans="1:1" x14ac:dyDescent="0.25">
      <c r="A32286" t="e">
        <v>#N/A</v>
      </c>
    </row>
    <row r="32287" spans="1:1" x14ac:dyDescent="0.25">
      <c r="A32287" t="e">
        <v>#N/A</v>
      </c>
    </row>
    <row r="32288" spans="1:1" x14ac:dyDescent="0.25">
      <c r="A32288" t="e">
        <v>#N/A</v>
      </c>
    </row>
    <row r="32289" spans="1:1" x14ac:dyDescent="0.25">
      <c r="A32289" t="e">
        <v>#N/A</v>
      </c>
    </row>
    <row r="32290" spans="1:1" x14ac:dyDescent="0.25">
      <c r="A32290" t="e">
        <v>#N/A</v>
      </c>
    </row>
    <row r="32291" spans="1:1" x14ac:dyDescent="0.25">
      <c r="A32291" t="e">
        <v>#N/A</v>
      </c>
    </row>
    <row r="32292" spans="1:1" x14ac:dyDescent="0.25">
      <c r="A32292" t="e">
        <v>#N/A</v>
      </c>
    </row>
    <row r="32293" spans="1:1" x14ac:dyDescent="0.25">
      <c r="A32293" t="e">
        <v>#N/A</v>
      </c>
    </row>
    <row r="32294" spans="1:1" x14ac:dyDescent="0.25">
      <c r="A32294" t="e">
        <v>#N/A</v>
      </c>
    </row>
    <row r="32295" spans="1:1" x14ac:dyDescent="0.25">
      <c r="A32295" t="e">
        <v>#N/A</v>
      </c>
    </row>
    <row r="32296" spans="1:1" x14ac:dyDescent="0.25">
      <c r="A32296" t="e">
        <v>#N/A</v>
      </c>
    </row>
    <row r="32297" spans="1:1" x14ac:dyDescent="0.25">
      <c r="A32297" t="e">
        <v>#N/A</v>
      </c>
    </row>
    <row r="32298" spans="1:1" x14ac:dyDescent="0.25">
      <c r="A32298" t="e">
        <v>#N/A</v>
      </c>
    </row>
    <row r="32299" spans="1:1" x14ac:dyDescent="0.25">
      <c r="A32299" t="e">
        <v>#N/A</v>
      </c>
    </row>
    <row r="32300" spans="1:1" x14ac:dyDescent="0.25">
      <c r="A32300" t="e">
        <v>#N/A</v>
      </c>
    </row>
    <row r="32301" spans="1:1" x14ac:dyDescent="0.25">
      <c r="A32301" t="e">
        <v>#N/A</v>
      </c>
    </row>
    <row r="32302" spans="1:1" x14ac:dyDescent="0.25">
      <c r="A32302" t="e">
        <v>#N/A</v>
      </c>
    </row>
    <row r="32303" spans="1:1" x14ac:dyDescent="0.25">
      <c r="A32303" t="e">
        <v>#N/A</v>
      </c>
    </row>
    <row r="32304" spans="1:1" x14ac:dyDescent="0.25">
      <c r="A32304" t="e">
        <v>#N/A</v>
      </c>
    </row>
    <row r="32305" spans="1:1" x14ac:dyDescent="0.25">
      <c r="A32305" t="e">
        <v>#N/A</v>
      </c>
    </row>
    <row r="32306" spans="1:1" x14ac:dyDescent="0.25">
      <c r="A32306" t="e">
        <v>#N/A</v>
      </c>
    </row>
    <row r="32307" spans="1:1" x14ac:dyDescent="0.25">
      <c r="A32307" t="e">
        <v>#N/A</v>
      </c>
    </row>
    <row r="32308" spans="1:1" x14ac:dyDescent="0.25">
      <c r="A32308" t="e">
        <v>#N/A</v>
      </c>
    </row>
    <row r="32309" spans="1:1" x14ac:dyDescent="0.25">
      <c r="A32309" t="e">
        <v>#N/A</v>
      </c>
    </row>
    <row r="32310" spans="1:1" x14ac:dyDescent="0.25">
      <c r="A32310" t="e">
        <v>#N/A</v>
      </c>
    </row>
    <row r="32311" spans="1:1" x14ac:dyDescent="0.25">
      <c r="A32311" t="e">
        <v>#N/A</v>
      </c>
    </row>
    <row r="32312" spans="1:1" x14ac:dyDescent="0.25">
      <c r="A32312" t="e">
        <v>#N/A</v>
      </c>
    </row>
    <row r="32313" spans="1:1" x14ac:dyDescent="0.25">
      <c r="A32313" t="e">
        <v>#N/A</v>
      </c>
    </row>
    <row r="32314" spans="1:1" x14ac:dyDescent="0.25">
      <c r="A32314" t="e">
        <v>#N/A</v>
      </c>
    </row>
    <row r="32315" spans="1:1" x14ac:dyDescent="0.25">
      <c r="A32315" t="e">
        <v>#N/A</v>
      </c>
    </row>
    <row r="32316" spans="1:1" x14ac:dyDescent="0.25">
      <c r="A32316" t="e">
        <v>#N/A</v>
      </c>
    </row>
    <row r="32317" spans="1:1" x14ac:dyDescent="0.25">
      <c r="A32317" t="e">
        <v>#N/A</v>
      </c>
    </row>
    <row r="32318" spans="1:1" x14ac:dyDescent="0.25">
      <c r="A32318" t="e">
        <v>#N/A</v>
      </c>
    </row>
    <row r="32319" spans="1:1" x14ac:dyDescent="0.25">
      <c r="A32319" t="e">
        <v>#N/A</v>
      </c>
    </row>
    <row r="32320" spans="1:1" x14ac:dyDescent="0.25">
      <c r="A32320" t="e">
        <v>#N/A</v>
      </c>
    </row>
    <row r="32321" spans="1:1" x14ac:dyDescent="0.25">
      <c r="A32321" t="e">
        <v>#N/A</v>
      </c>
    </row>
    <row r="32322" spans="1:1" x14ac:dyDescent="0.25">
      <c r="A32322" t="e">
        <v>#N/A</v>
      </c>
    </row>
    <row r="32323" spans="1:1" x14ac:dyDescent="0.25">
      <c r="A32323" t="e">
        <v>#N/A</v>
      </c>
    </row>
    <row r="32324" spans="1:1" x14ac:dyDescent="0.25">
      <c r="A32324" t="e">
        <v>#N/A</v>
      </c>
    </row>
    <row r="32325" spans="1:1" x14ac:dyDescent="0.25">
      <c r="A32325" t="e">
        <v>#N/A</v>
      </c>
    </row>
    <row r="32326" spans="1:1" x14ac:dyDescent="0.25">
      <c r="A32326" t="e">
        <v>#N/A</v>
      </c>
    </row>
    <row r="32327" spans="1:1" x14ac:dyDescent="0.25">
      <c r="A32327" t="e">
        <v>#N/A</v>
      </c>
    </row>
    <row r="32328" spans="1:1" x14ac:dyDescent="0.25">
      <c r="A32328" t="e">
        <v>#N/A</v>
      </c>
    </row>
    <row r="32329" spans="1:1" x14ac:dyDescent="0.25">
      <c r="A32329" t="e">
        <v>#N/A</v>
      </c>
    </row>
    <row r="32330" spans="1:1" x14ac:dyDescent="0.25">
      <c r="A32330" t="e">
        <v>#N/A</v>
      </c>
    </row>
    <row r="32331" spans="1:1" x14ac:dyDescent="0.25">
      <c r="A32331" t="e">
        <v>#N/A</v>
      </c>
    </row>
    <row r="32332" spans="1:1" x14ac:dyDescent="0.25">
      <c r="A32332" t="e">
        <v>#N/A</v>
      </c>
    </row>
    <row r="32333" spans="1:1" x14ac:dyDescent="0.25">
      <c r="A32333" t="e">
        <v>#N/A</v>
      </c>
    </row>
    <row r="32334" spans="1:1" x14ac:dyDescent="0.25">
      <c r="A32334" t="e">
        <v>#N/A</v>
      </c>
    </row>
    <row r="32335" spans="1:1" x14ac:dyDescent="0.25">
      <c r="A32335" t="e">
        <v>#N/A</v>
      </c>
    </row>
    <row r="32336" spans="1:1" x14ac:dyDescent="0.25">
      <c r="A32336" t="e">
        <v>#N/A</v>
      </c>
    </row>
    <row r="32337" spans="1:1" x14ac:dyDescent="0.25">
      <c r="A32337" t="e">
        <v>#N/A</v>
      </c>
    </row>
    <row r="32338" spans="1:1" x14ac:dyDescent="0.25">
      <c r="A32338" t="e">
        <v>#N/A</v>
      </c>
    </row>
    <row r="32339" spans="1:1" x14ac:dyDescent="0.25">
      <c r="A32339" t="e">
        <v>#N/A</v>
      </c>
    </row>
    <row r="32340" spans="1:1" x14ac:dyDescent="0.25">
      <c r="A32340" t="e">
        <v>#N/A</v>
      </c>
    </row>
    <row r="32341" spans="1:1" x14ac:dyDescent="0.25">
      <c r="A32341" t="e">
        <v>#N/A</v>
      </c>
    </row>
    <row r="32342" spans="1:1" x14ac:dyDescent="0.25">
      <c r="A32342" t="e">
        <v>#N/A</v>
      </c>
    </row>
    <row r="32343" spans="1:1" x14ac:dyDescent="0.25">
      <c r="A32343" t="e">
        <v>#N/A</v>
      </c>
    </row>
    <row r="32344" spans="1:1" x14ac:dyDescent="0.25">
      <c r="A32344" t="e">
        <v>#N/A</v>
      </c>
    </row>
    <row r="32345" spans="1:1" x14ac:dyDescent="0.25">
      <c r="A32345" t="e">
        <v>#N/A</v>
      </c>
    </row>
    <row r="32346" spans="1:1" x14ac:dyDescent="0.25">
      <c r="A32346" t="e">
        <v>#N/A</v>
      </c>
    </row>
    <row r="32347" spans="1:1" x14ac:dyDescent="0.25">
      <c r="A32347" t="e">
        <v>#N/A</v>
      </c>
    </row>
    <row r="32348" spans="1:1" x14ac:dyDescent="0.25">
      <c r="A32348" t="e">
        <v>#N/A</v>
      </c>
    </row>
    <row r="32349" spans="1:1" x14ac:dyDescent="0.25">
      <c r="A32349" t="e">
        <v>#N/A</v>
      </c>
    </row>
    <row r="32350" spans="1:1" x14ac:dyDescent="0.25">
      <c r="A32350" t="e">
        <v>#N/A</v>
      </c>
    </row>
    <row r="32351" spans="1:1" x14ac:dyDescent="0.25">
      <c r="A32351" t="e">
        <v>#N/A</v>
      </c>
    </row>
    <row r="32352" spans="1:1" x14ac:dyDescent="0.25">
      <c r="A32352" t="e">
        <v>#N/A</v>
      </c>
    </row>
    <row r="32353" spans="1:1" x14ac:dyDescent="0.25">
      <c r="A32353" t="e">
        <v>#N/A</v>
      </c>
    </row>
    <row r="32354" spans="1:1" x14ac:dyDescent="0.25">
      <c r="A32354" t="e">
        <v>#N/A</v>
      </c>
    </row>
    <row r="32355" spans="1:1" x14ac:dyDescent="0.25">
      <c r="A32355" t="e">
        <v>#N/A</v>
      </c>
    </row>
    <row r="32356" spans="1:1" x14ac:dyDescent="0.25">
      <c r="A32356" t="e">
        <v>#N/A</v>
      </c>
    </row>
    <row r="32357" spans="1:1" x14ac:dyDescent="0.25">
      <c r="A32357" t="e">
        <v>#N/A</v>
      </c>
    </row>
    <row r="32358" spans="1:1" x14ac:dyDescent="0.25">
      <c r="A32358" t="e">
        <v>#N/A</v>
      </c>
    </row>
    <row r="32359" spans="1:1" x14ac:dyDescent="0.25">
      <c r="A32359" t="e">
        <v>#N/A</v>
      </c>
    </row>
    <row r="32360" spans="1:1" x14ac:dyDescent="0.25">
      <c r="A32360" t="e">
        <v>#N/A</v>
      </c>
    </row>
    <row r="32361" spans="1:1" x14ac:dyDescent="0.25">
      <c r="A32361" t="e">
        <v>#N/A</v>
      </c>
    </row>
    <row r="32362" spans="1:1" x14ac:dyDescent="0.25">
      <c r="A32362" t="e">
        <v>#N/A</v>
      </c>
    </row>
    <row r="32363" spans="1:1" x14ac:dyDescent="0.25">
      <c r="A32363" t="e">
        <v>#N/A</v>
      </c>
    </row>
    <row r="32364" spans="1:1" x14ac:dyDescent="0.25">
      <c r="A32364" t="e">
        <v>#N/A</v>
      </c>
    </row>
    <row r="32365" spans="1:1" x14ac:dyDescent="0.25">
      <c r="A32365" t="e">
        <v>#N/A</v>
      </c>
    </row>
    <row r="32366" spans="1:1" x14ac:dyDescent="0.25">
      <c r="A32366" t="e">
        <v>#N/A</v>
      </c>
    </row>
    <row r="32367" spans="1:1" x14ac:dyDescent="0.25">
      <c r="A32367" t="e">
        <v>#N/A</v>
      </c>
    </row>
    <row r="32368" spans="1:1" x14ac:dyDescent="0.25">
      <c r="A32368" t="e">
        <v>#N/A</v>
      </c>
    </row>
    <row r="32369" spans="1:1" x14ac:dyDescent="0.25">
      <c r="A32369" t="e">
        <v>#N/A</v>
      </c>
    </row>
    <row r="32370" spans="1:1" x14ac:dyDescent="0.25">
      <c r="A32370" t="e">
        <v>#N/A</v>
      </c>
    </row>
    <row r="32371" spans="1:1" x14ac:dyDescent="0.25">
      <c r="A32371" t="e">
        <v>#N/A</v>
      </c>
    </row>
    <row r="32372" spans="1:1" x14ac:dyDescent="0.25">
      <c r="A32372" t="e">
        <v>#N/A</v>
      </c>
    </row>
    <row r="32373" spans="1:1" x14ac:dyDescent="0.25">
      <c r="A32373" t="e">
        <v>#N/A</v>
      </c>
    </row>
    <row r="32374" spans="1:1" x14ac:dyDescent="0.25">
      <c r="A32374" t="e">
        <v>#N/A</v>
      </c>
    </row>
    <row r="32375" spans="1:1" x14ac:dyDescent="0.25">
      <c r="A32375" t="e">
        <v>#N/A</v>
      </c>
    </row>
    <row r="32376" spans="1:1" x14ac:dyDescent="0.25">
      <c r="A32376" t="e">
        <v>#N/A</v>
      </c>
    </row>
    <row r="32377" spans="1:1" x14ac:dyDescent="0.25">
      <c r="A32377" t="e">
        <v>#N/A</v>
      </c>
    </row>
    <row r="32378" spans="1:1" x14ac:dyDescent="0.25">
      <c r="A32378" t="e">
        <v>#N/A</v>
      </c>
    </row>
    <row r="32379" spans="1:1" x14ac:dyDescent="0.25">
      <c r="A32379" t="e">
        <v>#N/A</v>
      </c>
    </row>
    <row r="32380" spans="1:1" x14ac:dyDescent="0.25">
      <c r="A32380" t="e">
        <v>#N/A</v>
      </c>
    </row>
    <row r="32381" spans="1:1" x14ac:dyDescent="0.25">
      <c r="A32381" t="e">
        <v>#N/A</v>
      </c>
    </row>
    <row r="32382" spans="1:1" x14ac:dyDescent="0.25">
      <c r="A32382" t="e">
        <v>#N/A</v>
      </c>
    </row>
    <row r="32383" spans="1:1" x14ac:dyDescent="0.25">
      <c r="A32383" t="e">
        <v>#N/A</v>
      </c>
    </row>
    <row r="32384" spans="1:1" x14ac:dyDescent="0.25">
      <c r="A32384" t="e">
        <v>#N/A</v>
      </c>
    </row>
    <row r="32385" spans="1:1" x14ac:dyDescent="0.25">
      <c r="A32385" t="e">
        <v>#N/A</v>
      </c>
    </row>
    <row r="32386" spans="1:1" x14ac:dyDescent="0.25">
      <c r="A32386" t="e">
        <v>#N/A</v>
      </c>
    </row>
    <row r="32387" spans="1:1" x14ac:dyDescent="0.25">
      <c r="A32387" t="e">
        <v>#N/A</v>
      </c>
    </row>
    <row r="32388" spans="1:1" x14ac:dyDescent="0.25">
      <c r="A32388" t="e">
        <v>#N/A</v>
      </c>
    </row>
    <row r="32389" spans="1:1" x14ac:dyDescent="0.25">
      <c r="A32389" t="e">
        <v>#N/A</v>
      </c>
    </row>
    <row r="32390" spans="1:1" x14ac:dyDescent="0.25">
      <c r="A32390" t="e">
        <v>#N/A</v>
      </c>
    </row>
    <row r="32391" spans="1:1" x14ac:dyDescent="0.25">
      <c r="A32391" t="e">
        <v>#N/A</v>
      </c>
    </row>
    <row r="32392" spans="1:1" x14ac:dyDescent="0.25">
      <c r="A32392" t="e">
        <v>#N/A</v>
      </c>
    </row>
    <row r="32393" spans="1:1" x14ac:dyDescent="0.25">
      <c r="A32393" t="e">
        <v>#N/A</v>
      </c>
    </row>
    <row r="32394" spans="1:1" x14ac:dyDescent="0.25">
      <c r="A32394" t="e">
        <v>#N/A</v>
      </c>
    </row>
    <row r="32395" spans="1:1" x14ac:dyDescent="0.25">
      <c r="A32395" t="e">
        <v>#N/A</v>
      </c>
    </row>
    <row r="32396" spans="1:1" x14ac:dyDescent="0.25">
      <c r="A32396" t="e">
        <v>#N/A</v>
      </c>
    </row>
    <row r="32397" spans="1:1" x14ac:dyDescent="0.25">
      <c r="A32397" t="e">
        <v>#N/A</v>
      </c>
    </row>
    <row r="32398" spans="1:1" x14ac:dyDescent="0.25">
      <c r="A32398" t="e">
        <v>#N/A</v>
      </c>
    </row>
    <row r="32399" spans="1:1" x14ac:dyDescent="0.25">
      <c r="A32399" t="e">
        <v>#N/A</v>
      </c>
    </row>
    <row r="32400" spans="1:1" x14ac:dyDescent="0.25">
      <c r="A32400" t="e">
        <v>#N/A</v>
      </c>
    </row>
    <row r="32401" spans="1:1" x14ac:dyDescent="0.25">
      <c r="A32401" t="e">
        <v>#N/A</v>
      </c>
    </row>
    <row r="32402" spans="1:1" x14ac:dyDescent="0.25">
      <c r="A32402" t="e">
        <v>#N/A</v>
      </c>
    </row>
    <row r="32403" spans="1:1" x14ac:dyDescent="0.25">
      <c r="A32403" t="e">
        <v>#N/A</v>
      </c>
    </row>
    <row r="32404" spans="1:1" x14ac:dyDescent="0.25">
      <c r="A32404" t="e">
        <v>#N/A</v>
      </c>
    </row>
    <row r="32405" spans="1:1" x14ac:dyDescent="0.25">
      <c r="A32405" t="e">
        <v>#N/A</v>
      </c>
    </row>
    <row r="32406" spans="1:1" x14ac:dyDescent="0.25">
      <c r="A32406" t="e">
        <v>#N/A</v>
      </c>
    </row>
    <row r="32407" spans="1:1" x14ac:dyDescent="0.25">
      <c r="A32407" t="e">
        <v>#N/A</v>
      </c>
    </row>
    <row r="32408" spans="1:1" x14ac:dyDescent="0.25">
      <c r="A32408" t="e">
        <v>#N/A</v>
      </c>
    </row>
    <row r="32409" spans="1:1" x14ac:dyDescent="0.25">
      <c r="A32409" t="e">
        <v>#N/A</v>
      </c>
    </row>
    <row r="32410" spans="1:1" x14ac:dyDescent="0.25">
      <c r="A32410" t="e">
        <v>#N/A</v>
      </c>
    </row>
    <row r="32411" spans="1:1" x14ac:dyDescent="0.25">
      <c r="A32411" t="e">
        <v>#N/A</v>
      </c>
    </row>
    <row r="32412" spans="1:1" x14ac:dyDescent="0.25">
      <c r="A32412" t="e">
        <v>#N/A</v>
      </c>
    </row>
    <row r="32413" spans="1:1" x14ac:dyDescent="0.25">
      <c r="A32413" t="e">
        <v>#N/A</v>
      </c>
    </row>
    <row r="32414" spans="1:1" x14ac:dyDescent="0.25">
      <c r="A32414" t="e">
        <v>#N/A</v>
      </c>
    </row>
    <row r="32415" spans="1:1" x14ac:dyDescent="0.25">
      <c r="A32415" t="e">
        <v>#N/A</v>
      </c>
    </row>
    <row r="32416" spans="1:1" x14ac:dyDescent="0.25">
      <c r="A32416" t="e">
        <v>#N/A</v>
      </c>
    </row>
    <row r="32417" spans="1:1" x14ac:dyDescent="0.25">
      <c r="A32417" t="e">
        <v>#N/A</v>
      </c>
    </row>
    <row r="32418" spans="1:1" x14ac:dyDescent="0.25">
      <c r="A32418" t="e">
        <v>#N/A</v>
      </c>
    </row>
    <row r="32419" spans="1:1" x14ac:dyDescent="0.25">
      <c r="A32419" t="e">
        <v>#N/A</v>
      </c>
    </row>
    <row r="32420" spans="1:1" x14ac:dyDescent="0.25">
      <c r="A32420" t="e">
        <v>#N/A</v>
      </c>
    </row>
    <row r="32421" spans="1:1" x14ac:dyDescent="0.25">
      <c r="A32421" t="e">
        <v>#N/A</v>
      </c>
    </row>
    <row r="32422" spans="1:1" x14ac:dyDescent="0.25">
      <c r="A32422" t="e">
        <v>#N/A</v>
      </c>
    </row>
    <row r="32423" spans="1:1" x14ac:dyDescent="0.25">
      <c r="A32423" t="e">
        <v>#N/A</v>
      </c>
    </row>
    <row r="32424" spans="1:1" x14ac:dyDescent="0.25">
      <c r="A32424" t="e">
        <v>#N/A</v>
      </c>
    </row>
    <row r="32425" spans="1:1" x14ac:dyDescent="0.25">
      <c r="A32425" t="e">
        <v>#N/A</v>
      </c>
    </row>
    <row r="32426" spans="1:1" x14ac:dyDescent="0.25">
      <c r="A32426" t="e">
        <v>#N/A</v>
      </c>
    </row>
    <row r="32427" spans="1:1" x14ac:dyDescent="0.25">
      <c r="A32427" t="e">
        <v>#N/A</v>
      </c>
    </row>
    <row r="32428" spans="1:1" x14ac:dyDescent="0.25">
      <c r="A32428" t="e">
        <v>#N/A</v>
      </c>
    </row>
    <row r="32429" spans="1:1" x14ac:dyDescent="0.25">
      <c r="A32429" t="e">
        <v>#N/A</v>
      </c>
    </row>
    <row r="32430" spans="1:1" x14ac:dyDescent="0.25">
      <c r="A32430" t="e">
        <v>#N/A</v>
      </c>
    </row>
    <row r="32431" spans="1:1" x14ac:dyDescent="0.25">
      <c r="A32431" t="e">
        <v>#N/A</v>
      </c>
    </row>
    <row r="32432" spans="1:1" x14ac:dyDescent="0.25">
      <c r="A32432" t="e">
        <v>#N/A</v>
      </c>
    </row>
    <row r="32433" spans="1:1" x14ac:dyDescent="0.25">
      <c r="A32433" t="e">
        <v>#N/A</v>
      </c>
    </row>
    <row r="32434" spans="1:1" x14ac:dyDescent="0.25">
      <c r="A32434" t="e">
        <v>#N/A</v>
      </c>
    </row>
    <row r="32435" spans="1:1" x14ac:dyDescent="0.25">
      <c r="A32435" t="e">
        <v>#N/A</v>
      </c>
    </row>
    <row r="32436" spans="1:1" x14ac:dyDescent="0.25">
      <c r="A32436" t="e">
        <v>#N/A</v>
      </c>
    </row>
    <row r="32437" spans="1:1" x14ac:dyDescent="0.25">
      <c r="A32437" t="e">
        <v>#N/A</v>
      </c>
    </row>
    <row r="32438" spans="1:1" x14ac:dyDescent="0.25">
      <c r="A32438" t="e">
        <v>#N/A</v>
      </c>
    </row>
    <row r="32439" spans="1:1" x14ac:dyDescent="0.25">
      <c r="A32439" t="e">
        <v>#N/A</v>
      </c>
    </row>
    <row r="32440" spans="1:1" x14ac:dyDescent="0.25">
      <c r="A32440" t="e">
        <v>#N/A</v>
      </c>
    </row>
    <row r="32441" spans="1:1" x14ac:dyDescent="0.25">
      <c r="A32441" t="e">
        <v>#N/A</v>
      </c>
    </row>
    <row r="32442" spans="1:1" x14ac:dyDescent="0.25">
      <c r="A32442" t="e">
        <v>#N/A</v>
      </c>
    </row>
    <row r="32443" spans="1:1" x14ac:dyDescent="0.25">
      <c r="A32443" t="e">
        <v>#N/A</v>
      </c>
    </row>
    <row r="32444" spans="1:1" x14ac:dyDescent="0.25">
      <c r="A32444" t="e">
        <v>#N/A</v>
      </c>
    </row>
    <row r="32445" spans="1:1" x14ac:dyDescent="0.25">
      <c r="A32445" t="e">
        <v>#N/A</v>
      </c>
    </row>
    <row r="32446" spans="1:1" x14ac:dyDescent="0.25">
      <c r="A32446" t="e">
        <v>#N/A</v>
      </c>
    </row>
    <row r="32447" spans="1:1" x14ac:dyDescent="0.25">
      <c r="A32447" t="e">
        <v>#N/A</v>
      </c>
    </row>
    <row r="32448" spans="1:1" x14ac:dyDescent="0.25">
      <c r="A32448" t="e">
        <v>#N/A</v>
      </c>
    </row>
    <row r="32449" spans="1:1" x14ac:dyDescent="0.25">
      <c r="A32449" t="e">
        <v>#N/A</v>
      </c>
    </row>
    <row r="32450" spans="1:1" x14ac:dyDescent="0.25">
      <c r="A32450" t="e">
        <v>#N/A</v>
      </c>
    </row>
    <row r="32451" spans="1:1" x14ac:dyDescent="0.25">
      <c r="A32451" t="e">
        <v>#N/A</v>
      </c>
    </row>
    <row r="32452" spans="1:1" x14ac:dyDescent="0.25">
      <c r="A32452" t="e">
        <v>#N/A</v>
      </c>
    </row>
    <row r="32453" spans="1:1" x14ac:dyDescent="0.25">
      <c r="A32453" t="e">
        <v>#N/A</v>
      </c>
    </row>
    <row r="32454" spans="1:1" x14ac:dyDescent="0.25">
      <c r="A32454" t="e">
        <v>#N/A</v>
      </c>
    </row>
    <row r="32455" spans="1:1" x14ac:dyDescent="0.25">
      <c r="A32455" t="e">
        <v>#N/A</v>
      </c>
    </row>
    <row r="32456" spans="1:1" x14ac:dyDescent="0.25">
      <c r="A32456" t="e">
        <v>#N/A</v>
      </c>
    </row>
    <row r="32457" spans="1:1" x14ac:dyDescent="0.25">
      <c r="A32457" t="e">
        <v>#N/A</v>
      </c>
    </row>
    <row r="32458" spans="1:1" x14ac:dyDescent="0.25">
      <c r="A32458" t="e">
        <v>#N/A</v>
      </c>
    </row>
    <row r="32459" spans="1:1" x14ac:dyDescent="0.25">
      <c r="A32459" t="e">
        <v>#N/A</v>
      </c>
    </row>
    <row r="32460" spans="1:1" x14ac:dyDescent="0.25">
      <c r="A32460" t="e">
        <v>#N/A</v>
      </c>
    </row>
    <row r="32461" spans="1:1" x14ac:dyDescent="0.25">
      <c r="A32461" t="e">
        <v>#N/A</v>
      </c>
    </row>
    <row r="32462" spans="1:1" x14ac:dyDescent="0.25">
      <c r="A32462" t="e">
        <v>#N/A</v>
      </c>
    </row>
    <row r="32463" spans="1:1" x14ac:dyDescent="0.25">
      <c r="A32463" t="e">
        <v>#N/A</v>
      </c>
    </row>
    <row r="32464" spans="1:1" x14ac:dyDescent="0.25">
      <c r="A32464" t="e">
        <v>#N/A</v>
      </c>
    </row>
    <row r="32465" spans="1:1" x14ac:dyDescent="0.25">
      <c r="A32465" t="e">
        <v>#N/A</v>
      </c>
    </row>
    <row r="32466" spans="1:1" x14ac:dyDescent="0.25">
      <c r="A32466" t="e">
        <v>#N/A</v>
      </c>
    </row>
    <row r="32467" spans="1:1" x14ac:dyDescent="0.25">
      <c r="A32467" t="e">
        <v>#N/A</v>
      </c>
    </row>
    <row r="32468" spans="1:1" x14ac:dyDescent="0.25">
      <c r="A32468" t="e">
        <v>#N/A</v>
      </c>
    </row>
    <row r="32469" spans="1:1" x14ac:dyDescent="0.25">
      <c r="A32469" t="e">
        <v>#N/A</v>
      </c>
    </row>
    <row r="32470" spans="1:1" x14ac:dyDescent="0.25">
      <c r="A32470" t="e">
        <v>#N/A</v>
      </c>
    </row>
    <row r="32471" spans="1:1" x14ac:dyDescent="0.25">
      <c r="A32471" t="e">
        <v>#N/A</v>
      </c>
    </row>
    <row r="32472" spans="1:1" x14ac:dyDescent="0.25">
      <c r="A32472" t="e">
        <v>#N/A</v>
      </c>
    </row>
    <row r="32473" spans="1:1" x14ac:dyDescent="0.25">
      <c r="A32473" t="e">
        <v>#N/A</v>
      </c>
    </row>
    <row r="32474" spans="1:1" x14ac:dyDescent="0.25">
      <c r="A32474" t="e">
        <v>#N/A</v>
      </c>
    </row>
    <row r="32475" spans="1:1" x14ac:dyDescent="0.25">
      <c r="A32475" t="e">
        <v>#N/A</v>
      </c>
    </row>
    <row r="32476" spans="1:1" x14ac:dyDescent="0.25">
      <c r="A32476" t="e">
        <v>#N/A</v>
      </c>
    </row>
    <row r="32477" spans="1:1" x14ac:dyDescent="0.25">
      <c r="A32477" t="e">
        <v>#N/A</v>
      </c>
    </row>
    <row r="32478" spans="1:1" x14ac:dyDescent="0.25">
      <c r="A32478" t="e">
        <v>#N/A</v>
      </c>
    </row>
    <row r="32479" spans="1:1" x14ac:dyDescent="0.25">
      <c r="A32479" t="e">
        <v>#N/A</v>
      </c>
    </row>
    <row r="32480" spans="1:1" x14ac:dyDescent="0.25">
      <c r="A32480" t="e">
        <v>#N/A</v>
      </c>
    </row>
    <row r="32481" spans="1:1" x14ac:dyDescent="0.25">
      <c r="A32481" t="e">
        <v>#N/A</v>
      </c>
    </row>
    <row r="32482" spans="1:1" x14ac:dyDescent="0.25">
      <c r="A32482" t="e">
        <v>#N/A</v>
      </c>
    </row>
    <row r="32483" spans="1:1" x14ac:dyDescent="0.25">
      <c r="A32483" t="e">
        <v>#N/A</v>
      </c>
    </row>
    <row r="32484" spans="1:1" x14ac:dyDescent="0.25">
      <c r="A32484" t="e">
        <v>#N/A</v>
      </c>
    </row>
    <row r="32485" spans="1:1" x14ac:dyDescent="0.25">
      <c r="A32485" t="e">
        <v>#N/A</v>
      </c>
    </row>
    <row r="32486" spans="1:1" x14ac:dyDescent="0.25">
      <c r="A32486" t="e">
        <v>#N/A</v>
      </c>
    </row>
    <row r="32487" spans="1:1" x14ac:dyDescent="0.25">
      <c r="A32487" t="e">
        <v>#N/A</v>
      </c>
    </row>
    <row r="32488" spans="1:1" x14ac:dyDescent="0.25">
      <c r="A32488" t="e">
        <v>#N/A</v>
      </c>
    </row>
    <row r="32489" spans="1:1" x14ac:dyDescent="0.25">
      <c r="A32489" t="e">
        <v>#N/A</v>
      </c>
    </row>
    <row r="32490" spans="1:1" x14ac:dyDescent="0.25">
      <c r="A32490" t="e">
        <v>#N/A</v>
      </c>
    </row>
    <row r="32491" spans="1:1" x14ac:dyDescent="0.25">
      <c r="A32491" t="e">
        <v>#N/A</v>
      </c>
    </row>
    <row r="32492" spans="1:1" x14ac:dyDescent="0.25">
      <c r="A32492" t="e">
        <v>#N/A</v>
      </c>
    </row>
    <row r="32493" spans="1:1" x14ac:dyDescent="0.25">
      <c r="A32493" t="e">
        <v>#N/A</v>
      </c>
    </row>
    <row r="32494" spans="1:1" x14ac:dyDescent="0.25">
      <c r="A32494" t="e">
        <v>#N/A</v>
      </c>
    </row>
    <row r="32495" spans="1:1" x14ac:dyDescent="0.25">
      <c r="A32495" t="e">
        <v>#N/A</v>
      </c>
    </row>
    <row r="32496" spans="1:1" x14ac:dyDescent="0.25">
      <c r="A32496" t="e">
        <v>#N/A</v>
      </c>
    </row>
    <row r="32497" spans="1:1" x14ac:dyDescent="0.25">
      <c r="A32497" t="e">
        <v>#N/A</v>
      </c>
    </row>
    <row r="32498" spans="1:1" x14ac:dyDescent="0.25">
      <c r="A32498" t="e">
        <v>#N/A</v>
      </c>
    </row>
    <row r="32499" spans="1:1" x14ac:dyDescent="0.25">
      <c r="A32499" t="e">
        <v>#N/A</v>
      </c>
    </row>
    <row r="32500" spans="1:1" x14ac:dyDescent="0.25">
      <c r="A32500" t="e">
        <v>#N/A</v>
      </c>
    </row>
    <row r="32501" spans="1:1" x14ac:dyDescent="0.25">
      <c r="A32501" t="e">
        <v>#N/A</v>
      </c>
    </row>
    <row r="32502" spans="1:1" x14ac:dyDescent="0.25">
      <c r="A32502" t="e">
        <v>#N/A</v>
      </c>
    </row>
    <row r="32503" spans="1:1" x14ac:dyDescent="0.25">
      <c r="A32503" t="e">
        <v>#N/A</v>
      </c>
    </row>
    <row r="32504" spans="1:1" x14ac:dyDescent="0.25">
      <c r="A32504" t="e">
        <v>#N/A</v>
      </c>
    </row>
    <row r="32505" spans="1:1" x14ac:dyDescent="0.25">
      <c r="A32505" t="e">
        <v>#N/A</v>
      </c>
    </row>
    <row r="32506" spans="1:1" x14ac:dyDescent="0.25">
      <c r="A32506" t="e">
        <v>#N/A</v>
      </c>
    </row>
    <row r="32507" spans="1:1" x14ac:dyDescent="0.25">
      <c r="A32507" t="e">
        <v>#N/A</v>
      </c>
    </row>
    <row r="32508" spans="1:1" x14ac:dyDescent="0.25">
      <c r="A32508" t="e">
        <v>#N/A</v>
      </c>
    </row>
    <row r="32509" spans="1:1" x14ac:dyDescent="0.25">
      <c r="A32509" t="e">
        <v>#N/A</v>
      </c>
    </row>
    <row r="32510" spans="1:1" x14ac:dyDescent="0.25">
      <c r="A32510" t="e">
        <v>#N/A</v>
      </c>
    </row>
    <row r="32511" spans="1:1" x14ac:dyDescent="0.25">
      <c r="A32511" t="e">
        <v>#N/A</v>
      </c>
    </row>
    <row r="32512" spans="1:1" x14ac:dyDescent="0.25">
      <c r="A32512" t="e">
        <v>#N/A</v>
      </c>
    </row>
    <row r="32513" spans="1:1" x14ac:dyDescent="0.25">
      <c r="A32513" t="e">
        <v>#N/A</v>
      </c>
    </row>
    <row r="32514" spans="1:1" x14ac:dyDescent="0.25">
      <c r="A32514" t="e">
        <v>#N/A</v>
      </c>
    </row>
    <row r="32515" spans="1:1" x14ac:dyDescent="0.25">
      <c r="A32515" t="e">
        <v>#N/A</v>
      </c>
    </row>
    <row r="32516" spans="1:1" x14ac:dyDescent="0.25">
      <c r="A32516" t="e">
        <v>#N/A</v>
      </c>
    </row>
    <row r="32517" spans="1:1" x14ac:dyDescent="0.25">
      <c r="A32517" t="e">
        <v>#N/A</v>
      </c>
    </row>
    <row r="32518" spans="1:1" x14ac:dyDescent="0.25">
      <c r="A32518" t="e">
        <v>#N/A</v>
      </c>
    </row>
    <row r="32519" spans="1:1" x14ac:dyDescent="0.25">
      <c r="A32519" t="e">
        <v>#N/A</v>
      </c>
    </row>
    <row r="32520" spans="1:1" x14ac:dyDescent="0.25">
      <c r="A32520" t="e">
        <v>#N/A</v>
      </c>
    </row>
    <row r="32521" spans="1:1" x14ac:dyDescent="0.25">
      <c r="A32521" t="e">
        <v>#N/A</v>
      </c>
    </row>
    <row r="32522" spans="1:1" x14ac:dyDescent="0.25">
      <c r="A32522" t="e">
        <v>#N/A</v>
      </c>
    </row>
    <row r="32523" spans="1:1" x14ac:dyDescent="0.25">
      <c r="A32523" t="e">
        <v>#N/A</v>
      </c>
    </row>
    <row r="32524" spans="1:1" x14ac:dyDescent="0.25">
      <c r="A32524" t="e">
        <v>#N/A</v>
      </c>
    </row>
    <row r="32525" spans="1:1" x14ac:dyDescent="0.25">
      <c r="A32525" t="e">
        <v>#N/A</v>
      </c>
    </row>
    <row r="32526" spans="1:1" x14ac:dyDescent="0.25">
      <c r="A32526" t="e">
        <v>#N/A</v>
      </c>
    </row>
    <row r="32527" spans="1:1" x14ac:dyDescent="0.25">
      <c r="A32527" t="e">
        <v>#N/A</v>
      </c>
    </row>
    <row r="32528" spans="1:1" x14ac:dyDescent="0.25">
      <c r="A32528" t="e">
        <v>#N/A</v>
      </c>
    </row>
    <row r="32529" spans="1:1" x14ac:dyDescent="0.25">
      <c r="A32529" t="e">
        <v>#N/A</v>
      </c>
    </row>
    <row r="32530" spans="1:1" x14ac:dyDescent="0.25">
      <c r="A32530" t="e">
        <v>#N/A</v>
      </c>
    </row>
    <row r="32531" spans="1:1" x14ac:dyDescent="0.25">
      <c r="A32531" t="e">
        <v>#N/A</v>
      </c>
    </row>
    <row r="32532" spans="1:1" x14ac:dyDescent="0.25">
      <c r="A32532" t="e">
        <v>#N/A</v>
      </c>
    </row>
    <row r="32533" spans="1:1" x14ac:dyDescent="0.25">
      <c r="A32533" t="e">
        <v>#N/A</v>
      </c>
    </row>
    <row r="32534" spans="1:1" x14ac:dyDescent="0.25">
      <c r="A32534" t="e">
        <v>#N/A</v>
      </c>
    </row>
    <row r="32535" spans="1:1" x14ac:dyDescent="0.25">
      <c r="A32535" t="e">
        <v>#N/A</v>
      </c>
    </row>
    <row r="32536" spans="1:1" x14ac:dyDescent="0.25">
      <c r="A32536" t="e">
        <v>#N/A</v>
      </c>
    </row>
    <row r="32537" spans="1:1" x14ac:dyDescent="0.25">
      <c r="A32537" t="e">
        <v>#N/A</v>
      </c>
    </row>
    <row r="32538" spans="1:1" x14ac:dyDescent="0.25">
      <c r="A32538" t="e">
        <v>#N/A</v>
      </c>
    </row>
    <row r="32539" spans="1:1" x14ac:dyDescent="0.25">
      <c r="A32539" t="e">
        <v>#N/A</v>
      </c>
    </row>
    <row r="32540" spans="1:1" x14ac:dyDescent="0.25">
      <c r="A32540" t="e">
        <v>#N/A</v>
      </c>
    </row>
    <row r="32541" spans="1:1" x14ac:dyDescent="0.25">
      <c r="A32541" t="e">
        <v>#N/A</v>
      </c>
    </row>
    <row r="32542" spans="1:1" x14ac:dyDescent="0.25">
      <c r="A32542" t="e">
        <v>#N/A</v>
      </c>
    </row>
    <row r="32543" spans="1:1" x14ac:dyDescent="0.25">
      <c r="A32543" t="e">
        <v>#N/A</v>
      </c>
    </row>
    <row r="32544" spans="1:1" x14ac:dyDescent="0.25">
      <c r="A32544" t="e">
        <v>#N/A</v>
      </c>
    </row>
    <row r="32545" spans="1:1" x14ac:dyDescent="0.25">
      <c r="A32545" t="e">
        <v>#N/A</v>
      </c>
    </row>
    <row r="32546" spans="1:1" x14ac:dyDescent="0.25">
      <c r="A32546" t="e">
        <v>#N/A</v>
      </c>
    </row>
    <row r="32547" spans="1:1" x14ac:dyDescent="0.25">
      <c r="A32547" t="e">
        <v>#N/A</v>
      </c>
    </row>
    <row r="32548" spans="1:1" x14ac:dyDescent="0.25">
      <c r="A32548" t="e">
        <v>#N/A</v>
      </c>
    </row>
    <row r="32549" spans="1:1" x14ac:dyDescent="0.25">
      <c r="A32549" t="e">
        <v>#N/A</v>
      </c>
    </row>
    <row r="32550" spans="1:1" x14ac:dyDescent="0.25">
      <c r="A32550" t="e">
        <v>#N/A</v>
      </c>
    </row>
    <row r="32551" spans="1:1" x14ac:dyDescent="0.25">
      <c r="A32551" t="e">
        <v>#N/A</v>
      </c>
    </row>
    <row r="32552" spans="1:1" x14ac:dyDescent="0.25">
      <c r="A32552" t="e">
        <v>#N/A</v>
      </c>
    </row>
    <row r="32553" spans="1:1" x14ac:dyDescent="0.25">
      <c r="A32553" t="e">
        <v>#N/A</v>
      </c>
    </row>
    <row r="32554" spans="1:1" x14ac:dyDescent="0.25">
      <c r="A32554" t="e">
        <v>#N/A</v>
      </c>
    </row>
    <row r="32555" spans="1:1" x14ac:dyDescent="0.25">
      <c r="A32555" t="e">
        <v>#N/A</v>
      </c>
    </row>
    <row r="32556" spans="1:1" x14ac:dyDescent="0.25">
      <c r="A32556" t="e">
        <v>#N/A</v>
      </c>
    </row>
    <row r="32557" spans="1:1" x14ac:dyDescent="0.25">
      <c r="A32557" t="e">
        <v>#N/A</v>
      </c>
    </row>
    <row r="32558" spans="1:1" x14ac:dyDescent="0.25">
      <c r="A32558" t="e">
        <v>#N/A</v>
      </c>
    </row>
    <row r="32559" spans="1:1" x14ac:dyDescent="0.25">
      <c r="A32559" t="e">
        <v>#N/A</v>
      </c>
    </row>
    <row r="32560" spans="1:1" x14ac:dyDescent="0.25">
      <c r="A32560" t="e">
        <v>#N/A</v>
      </c>
    </row>
    <row r="32561" spans="1:1" x14ac:dyDescent="0.25">
      <c r="A32561" t="e">
        <v>#N/A</v>
      </c>
    </row>
    <row r="32562" spans="1:1" x14ac:dyDescent="0.25">
      <c r="A32562" t="e">
        <v>#N/A</v>
      </c>
    </row>
    <row r="32563" spans="1:1" x14ac:dyDescent="0.25">
      <c r="A32563" t="e">
        <v>#N/A</v>
      </c>
    </row>
    <row r="32564" spans="1:1" x14ac:dyDescent="0.25">
      <c r="A32564" t="e">
        <v>#N/A</v>
      </c>
    </row>
    <row r="32565" spans="1:1" x14ac:dyDescent="0.25">
      <c r="A32565" t="e">
        <v>#N/A</v>
      </c>
    </row>
    <row r="32566" spans="1:1" x14ac:dyDescent="0.25">
      <c r="A32566" t="e">
        <v>#N/A</v>
      </c>
    </row>
    <row r="32567" spans="1:1" x14ac:dyDescent="0.25">
      <c r="A32567" t="e">
        <v>#N/A</v>
      </c>
    </row>
    <row r="32568" spans="1:1" x14ac:dyDescent="0.25">
      <c r="A32568" t="e">
        <v>#N/A</v>
      </c>
    </row>
    <row r="32569" spans="1:1" x14ac:dyDescent="0.25">
      <c r="A32569" t="e">
        <v>#N/A</v>
      </c>
    </row>
    <row r="32570" spans="1:1" x14ac:dyDescent="0.25">
      <c r="A32570" t="e">
        <v>#N/A</v>
      </c>
    </row>
    <row r="32571" spans="1:1" x14ac:dyDescent="0.25">
      <c r="A32571" t="e">
        <v>#N/A</v>
      </c>
    </row>
    <row r="32572" spans="1:1" x14ac:dyDescent="0.25">
      <c r="A32572" t="e">
        <v>#N/A</v>
      </c>
    </row>
    <row r="32573" spans="1:1" x14ac:dyDescent="0.25">
      <c r="A32573" t="e">
        <v>#N/A</v>
      </c>
    </row>
    <row r="32574" spans="1:1" x14ac:dyDescent="0.25">
      <c r="A32574" t="e">
        <v>#N/A</v>
      </c>
    </row>
    <row r="32575" spans="1:1" x14ac:dyDescent="0.25">
      <c r="A32575" t="e">
        <v>#N/A</v>
      </c>
    </row>
    <row r="32576" spans="1:1" x14ac:dyDescent="0.25">
      <c r="A32576" t="e">
        <v>#N/A</v>
      </c>
    </row>
    <row r="32577" spans="1:1" x14ac:dyDescent="0.25">
      <c r="A32577" t="e">
        <v>#N/A</v>
      </c>
    </row>
    <row r="32578" spans="1:1" x14ac:dyDescent="0.25">
      <c r="A32578" t="e">
        <v>#N/A</v>
      </c>
    </row>
    <row r="32579" spans="1:1" x14ac:dyDescent="0.25">
      <c r="A32579" t="e">
        <v>#N/A</v>
      </c>
    </row>
    <row r="32580" spans="1:1" x14ac:dyDescent="0.25">
      <c r="A32580" t="e">
        <v>#N/A</v>
      </c>
    </row>
    <row r="32581" spans="1:1" x14ac:dyDescent="0.25">
      <c r="A32581" t="e">
        <v>#N/A</v>
      </c>
    </row>
    <row r="32582" spans="1:1" x14ac:dyDescent="0.25">
      <c r="A32582" t="e">
        <v>#N/A</v>
      </c>
    </row>
    <row r="32583" spans="1:1" x14ac:dyDescent="0.25">
      <c r="A32583" t="e">
        <v>#N/A</v>
      </c>
    </row>
    <row r="32584" spans="1:1" x14ac:dyDescent="0.25">
      <c r="A32584" t="e">
        <v>#N/A</v>
      </c>
    </row>
    <row r="32585" spans="1:1" x14ac:dyDescent="0.25">
      <c r="A32585" t="e">
        <v>#N/A</v>
      </c>
    </row>
    <row r="32586" spans="1:1" x14ac:dyDescent="0.25">
      <c r="A32586" t="e">
        <v>#N/A</v>
      </c>
    </row>
    <row r="32587" spans="1:1" x14ac:dyDescent="0.25">
      <c r="A32587" t="e">
        <v>#N/A</v>
      </c>
    </row>
    <row r="32588" spans="1:1" x14ac:dyDescent="0.25">
      <c r="A32588" t="e">
        <v>#N/A</v>
      </c>
    </row>
    <row r="32589" spans="1:1" x14ac:dyDescent="0.25">
      <c r="A32589" t="e">
        <v>#N/A</v>
      </c>
    </row>
    <row r="32590" spans="1:1" x14ac:dyDescent="0.25">
      <c r="A32590" t="e">
        <v>#N/A</v>
      </c>
    </row>
    <row r="32591" spans="1:1" x14ac:dyDescent="0.25">
      <c r="A32591" t="e">
        <v>#N/A</v>
      </c>
    </row>
    <row r="32592" spans="1:1" x14ac:dyDescent="0.25">
      <c r="A32592" t="e">
        <v>#N/A</v>
      </c>
    </row>
    <row r="32593" spans="1:1" x14ac:dyDescent="0.25">
      <c r="A32593" t="e">
        <v>#N/A</v>
      </c>
    </row>
    <row r="32594" spans="1:1" x14ac:dyDescent="0.25">
      <c r="A32594" t="e">
        <v>#N/A</v>
      </c>
    </row>
    <row r="32595" spans="1:1" x14ac:dyDescent="0.25">
      <c r="A32595" t="e">
        <v>#N/A</v>
      </c>
    </row>
    <row r="32596" spans="1:1" x14ac:dyDescent="0.25">
      <c r="A32596" t="e">
        <v>#N/A</v>
      </c>
    </row>
    <row r="32597" spans="1:1" x14ac:dyDescent="0.25">
      <c r="A32597" t="e">
        <v>#N/A</v>
      </c>
    </row>
    <row r="32598" spans="1:1" x14ac:dyDescent="0.25">
      <c r="A32598" t="e">
        <v>#N/A</v>
      </c>
    </row>
    <row r="32599" spans="1:1" x14ac:dyDescent="0.25">
      <c r="A32599" t="e">
        <v>#N/A</v>
      </c>
    </row>
    <row r="32600" spans="1:1" x14ac:dyDescent="0.25">
      <c r="A32600" t="e">
        <v>#N/A</v>
      </c>
    </row>
    <row r="32601" spans="1:1" x14ac:dyDescent="0.25">
      <c r="A32601" t="e">
        <v>#N/A</v>
      </c>
    </row>
    <row r="32602" spans="1:1" x14ac:dyDescent="0.25">
      <c r="A32602" t="e">
        <v>#N/A</v>
      </c>
    </row>
    <row r="32603" spans="1:1" x14ac:dyDescent="0.25">
      <c r="A32603" t="e">
        <v>#N/A</v>
      </c>
    </row>
    <row r="32604" spans="1:1" x14ac:dyDescent="0.25">
      <c r="A32604" t="e">
        <v>#N/A</v>
      </c>
    </row>
    <row r="32605" spans="1:1" x14ac:dyDescent="0.25">
      <c r="A32605" t="e">
        <v>#N/A</v>
      </c>
    </row>
    <row r="32606" spans="1:1" x14ac:dyDescent="0.25">
      <c r="A32606" t="e">
        <v>#N/A</v>
      </c>
    </row>
    <row r="32607" spans="1:1" x14ac:dyDescent="0.25">
      <c r="A32607" t="e">
        <v>#N/A</v>
      </c>
    </row>
    <row r="32608" spans="1:1" x14ac:dyDescent="0.25">
      <c r="A32608" t="e">
        <v>#N/A</v>
      </c>
    </row>
    <row r="32609" spans="1:1" x14ac:dyDescent="0.25">
      <c r="A32609" t="e">
        <v>#N/A</v>
      </c>
    </row>
    <row r="32610" spans="1:1" x14ac:dyDescent="0.25">
      <c r="A32610" t="e">
        <v>#N/A</v>
      </c>
    </row>
    <row r="32611" spans="1:1" x14ac:dyDescent="0.25">
      <c r="A32611" t="e">
        <v>#N/A</v>
      </c>
    </row>
    <row r="32612" spans="1:1" x14ac:dyDescent="0.25">
      <c r="A32612" t="e">
        <v>#N/A</v>
      </c>
    </row>
    <row r="32613" spans="1:1" x14ac:dyDescent="0.25">
      <c r="A32613" t="e">
        <v>#N/A</v>
      </c>
    </row>
    <row r="32614" spans="1:1" x14ac:dyDescent="0.25">
      <c r="A32614" t="e">
        <v>#N/A</v>
      </c>
    </row>
    <row r="32615" spans="1:1" x14ac:dyDescent="0.25">
      <c r="A32615" t="e">
        <v>#N/A</v>
      </c>
    </row>
    <row r="32616" spans="1:1" x14ac:dyDescent="0.25">
      <c r="A32616" t="e">
        <v>#N/A</v>
      </c>
    </row>
    <row r="32617" spans="1:1" x14ac:dyDescent="0.25">
      <c r="A32617" t="e">
        <v>#N/A</v>
      </c>
    </row>
    <row r="32618" spans="1:1" x14ac:dyDescent="0.25">
      <c r="A32618" t="e">
        <v>#N/A</v>
      </c>
    </row>
    <row r="32619" spans="1:1" x14ac:dyDescent="0.25">
      <c r="A32619" t="e">
        <v>#N/A</v>
      </c>
    </row>
    <row r="32620" spans="1:1" x14ac:dyDescent="0.25">
      <c r="A32620" t="e">
        <v>#N/A</v>
      </c>
    </row>
    <row r="32621" spans="1:1" x14ac:dyDescent="0.25">
      <c r="A32621" t="e">
        <v>#N/A</v>
      </c>
    </row>
    <row r="32622" spans="1:1" x14ac:dyDescent="0.25">
      <c r="A32622" t="e">
        <v>#N/A</v>
      </c>
    </row>
    <row r="32623" spans="1:1" x14ac:dyDescent="0.25">
      <c r="A32623" t="e">
        <v>#N/A</v>
      </c>
    </row>
    <row r="32624" spans="1:1" x14ac:dyDescent="0.25">
      <c r="A32624" t="e">
        <v>#N/A</v>
      </c>
    </row>
    <row r="32625" spans="1:1" x14ac:dyDescent="0.25">
      <c r="A32625" t="e">
        <v>#N/A</v>
      </c>
    </row>
    <row r="32626" spans="1:1" x14ac:dyDescent="0.25">
      <c r="A32626" t="e">
        <v>#N/A</v>
      </c>
    </row>
    <row r="32627" spans="1:1" x14ac:dyDescent="0.25">
      <c r="A32627" t="e">
        <v>#N/A</v>
      </c>
    </row>
    <row r="32628" spans="1:1" x14ac:dyDescent="0.25">
      <c r="A32628" t="e">
        <v>#N/A</v>
      </c>
    </row>
    <row r="32629" spans="1:1" x14ac:dyDescent="0.25">
      <c r="A32629" t="e">
        <v>#N/A</v>
      </c>
    </row>
    <row r="32630" spans="1:1" x14ac:dyDescent="0.25">
      <c r="A32630" t="e">
        <v>#N/A</v>
      </c>
    </row>
    <row r="32631" spans="1:1" x14ac:dyDescent="0.25">
      <c r="A32631" t="e">
        <v>#N/A</v>
      </c>
    </row>
    <row r="32632" spans="1:1" x14ac:dyDescent="0.25">
      <c r="A32632" t="e">
        <v>#N/A</v>
      </c>
    </row>
    <row r="32633" spans="1:1" x14ac:dyDescent="0.25">
      <c r="A32633" t="e">
        <v>#N/A</v>
      </c>
    </row>
    <row r="32634" spans="1:1" x14ac:dyDescent="0.25">
      <c r="A32634" t="e">
        <v>#N/A</v>
      </c>
    </row>
    <row r="32635" spans="1:1" x14ac:dyDescent="0.25">
      <c r="A32635" t="e">
        <v>#N/A</v>
      </c>
    </row>
    <row r="32636" spans="1:1" x14ac:dyDescent="0.25">
      <c r="A32636" t="e">
        <v>#N/A</v>
      </c>
    </row>
    <row r="32637" spans="1:1" x14ac:dyDescent="0.25">
      <c r="A32637" t="e">
        <v>#N/A</v>
      </c>
    </row>
    <row r="32638" spans="1:1" x14ac:dyDescent="0.25">
      <c r="A32638" t="e">
        <v>#N/A</v>
      </c>
    </row>
    <row r="32639" spans="1:1" x14ac:dyDescent="0.25">
      <c r="A32639" t="e">
        <v>#N/A</v>
      </c>
    </row>
    <row r="32640" spans="1:1" x14ac:dyDescent="0.25">
      <c r="A32640" t="e">
        <v>#N/A</v>
      </c>
    </row>
    <row r="32641" spans="1:1" x14ac:dyDescent="0.25">
      <c r="A32641" t="e">
        <v>#N/A</v>
      </c>
    </row>
    <row r="32642" spans="1:1" x14ac:dyDescent="0.25">
      <c r="A32642" t="e">
        <v>#N/A</v>
      </c>
    </row>
    <row r="32643" spans="1:1" x14ac:dyDescent="0.25">
      <c r="A32643" t="e">
        <v>#N/A</v>
      </c>
    </row>
    <row r="32644" spans="1:1" x14ac:dyDescent="0.25">
      <c r="A32644" t="e">
        <v>#N/A</v>
      </c>
    </row>
    <row r="32645" spans="1:1" x14ac:dyDescent="0.25">
      <c r="A32645" t="e">
        <v>#N/A</v>
      </c>
    </row>
    <row r="32646" spans="1:1" x14ac:dyDescent="0.25">
      <c r="A32646" t="e">
        <v>#N/A</v>
      </c>
    </row>
    <row r="32647" spans="1:1" x14ac:dyDescent="0.25">
      <c r="A32647" t="e">
        <v>#N/A</v>
      </c>
    </row>
    <row r="32648" spans="1:1" x14ac:dyDescent="0.25">
      <c r="A32648" t="e">
        <v>#N/A</v>
      </c>
    </row>
    <row r="32649" spans="1:1" x14ac:dyDescent="0.25">
      <c r="A32649" t="e">
        <v>#N/A</v>
      </c>
    </row>
    <row r="32650" spans="1:1" x14ac:dyDescent="0.25">
      <c r="A32650" t="e">
        <v>#N/A</v>
      </c>
    </row>
    <row r="32651" spans="1:1" x14ac:dyDescent="0.25">
      <c r="A32651" t="e">
        <v>#N/A</v>
      </c>
    </row>
    <row r="32652" spans="1:1" x14ac:dyDescent="0.25">
      <c r="A32652" t="e">
        <v>#N/A</v>
      </c>
    </row>
    <row r="32653" spans="1:1" x14ac:dyDescent="0.25">
      <c r="A32653" t="e">
        <v>#N/A</v>
      </c>
    </row>
    <row r="32654" spans="1:1" x14ac:dyDescent="0.25">
      <c r="A32654" t="e">
        <v>#N/A</v>
      </c>
    </row>
    <row r="32655" spans="1:1" x14ac:dyDescent="0.25">
      <c r="A32655" t="e">
        <v>#N/A</v>
      </c>
    </row>
    <row r="32656" spans="1:1" x14ac:dyDescent="0.25">
      <c r="A32656" t="e">
        <v>#N/A</v>
      </c>
    </row>
    <row r="32657" spans="1:1" x14ac:dyDescent="0.25">
      <c r="A32657" t="e">
        <v>#N/A</v>
      </c>
    </row>
    <row r="32658" spans="1:1" x14ac:dyDescent="0.25">
      <c r="A32658" t="e">
        <v>#N/A</v>
      </c>
    </row>
    <row r="32659" spans="1:1" x14ac:dyDescent="0.25">
      <c r="A32659" t="e">
        <v>#N/A</v>
      </c>
    </row>
    <row r="32660" spans="1:1" x14ac:dyDescent="0.25">
      <c r="A32660" t="e">
        <v>#N/A</v>
      </c>
    </row>
    <row r="32661" spans="1:1" x14ac:dyDescent="0.25">
      <c r="A32661" t="e">
        <v>#N/A</v>
      </c>
    </row>
    <row r="32662" spans="1:1" x14ac:dyDescent="0.25">
      <c r="A32662" t="e">
        <v>#N/A</v>
      </c>
    </row>
    <row r="32663" spans="1:1" x14ac:dyDescent="0.25">
      <c r="A32663" t="e">
        <v>#N/A</v>
      </c>
    </row>
    <row r="32664" spans="1:1" x14ac:dyDescent="0.25">
      <c r="A32664" t="e">
        <v>#N/A</v>
      </c>
    </row>
    <row r="32665" spans="1:1" x14ac:dyDescent="0.25">
      <c r="A32665" t="e">
        <v>#N/A</v>
      </c>
    </row>
    <row r="32666" spans="1:1" x14ac:dyDescent="0.25">
      <c r="A32666" t="e">
        <v>#N/A</v>
      </c>
    </row>
    <row r="32667" spans="1:1" x14ac:dyDescent="0.25">
      <c r="A32667" t="e">
        <v>#N/A</v>
      </c>
    </row>
    <row r="32668" spans="1:1" x14ac:dyDescent="0.25">
      <c r="A32668" t="e">
        <v>#N/A</v>
      </c>
    </row>
    <row r="32669" spans="1:1" x14ac:dyDescent="0.25">
      <c r="A32669" t="e">
        <v>#N/A</v>
      </c>
    </row>
    <row r="32670" spans="1:1" x14ac:dyDescent="0.25">
      <c r="A32670" t="e">
        <v>#N/A</v>
      </c>
    </row>
    <row r="32671" spans="1:1" x14ac:dyDescent="0.25">
      <c r="A32671" t="e">
        <v>#N/A</v>
      </c>
    </row>
    <row r="32672" spans="1:1" x14ac:dyDescent="0.25">
      <c r="A32672" t="e">
        <v>#N/A</v>
      </c>
    </row>
    <row r="32673" spans="1:1" x14ac:dyDescent="0.25">
      <c r="A32673" t="e">
        <v>#N/A</v>
      </c>
    </row>
    <row r="32674" spans="1:1" x14ac:dyDescent="0.25">
      <c r="A32674" t="e">
        <v>#N/A</v>
      </c>
    </row>
    <row r="32675" spans="1:1" x14ac:dyDescent="0.25">
      <c r="A32675" t="e">
        <v>#N/A</v>
      </c>
    </row>
    <row r="32676" spans="1:1" x14ac:dyDescent="0.25">
      <c r="A32676" t="e">
        <v>#N/A</v>
      </c>
    </row>
    <row r="32677" spans="1:1" x14ac:dyDescent="0.25">
      <c r="A32677" t="e">
        <v>#N/A</v>
      </c>
    </row>
    <row r="32678" spans="1:1" x14ac:dyDescent="0.25">
      <c r="A32678" t="e">
        <v>#N/A</v>
      </c>
    </row>
    <row r="32679" spans="1:1" x14ac:dyDescent="0.25">
      <c r="A32679" t="e">
        <v>#N/A</v>
      </c>
    </row>
    <row r="32680" spans="1:1" x14ac:dyDescent="0.25">
      <c r="A32680" t="e">
        <v>#N/A</v>
      </c>
    </row>
    <row r="32681" spans="1:1" x14ac:dyDescent="0.25">
      <c r="A32681" t="e">
        <v>#N/A</v>
      </c>
    </row>
    <row r="32682" spans="1:1" x14ac:dyDescent="0.25">
      <c r="A32682" t="e">
        <v>#N/A</v>
      </c>
    </row>
    <row r="32683" spans="1:1" x14ac:dyDescent="0.25">
      <c r="A32683" t="e">
        <v>#N/A</v>
      </c>
    </row>
    <row r="32684" spans="1:1" x14ac:dyDescent="0.25">
      <c r="A32684" t="e">
        <v>#N/A</v>
      </c>
    </row>
    <row r="32685" spans="1:1" x14ac:dyDescent="0.25">
      <c r="A32685" t="e">
        <v>#N/A</v>
      </c>
    </row>
    <row r="32686" spans="1:1" x14ac:dyDescent="0.25">
      <c r="A32686" t="e">
        <v>#N/A</v>
      </c>
    </row>
    <row r="32687" spans="1:1" x14ac:dyDescent="0.25">
      <c r="A32687" t="e">
        <v>#N/A</v>
      </c>
    </row>
    <row r="32688" spans="1:1" x14ac:dyDescent="0.25">
      <c r="A32688" t="e">
        <v>#N/A</v>
      </c>
    </row>
    <row r="32689" spans="1:1" x14ac:dyDescent="0.25">
      <c r="A32689" t="e">
        <v>#N/A</v>
      </c>
    </row>
    <row r="32690" spans="1:1" x14ac:dyDescent="0.25">
      <c r="A32690" t="e">
        <v>#N/A</v>
      </c>
    </row>
    <row r="32691" spans="1:1" x14ac:dyDescent="0.25">
      <c r="A32691" t="e">
        <v>#N/A</v>
      </c>
    </row>
    <row r="32692" spans="1:1" x14ac:dyDescent="0.25">
      <c r="A32692" t="e">
        <v>#N/A</v>
      </c>
    </row>
    <row r="32693" spans="1:1" x14ac:dyDescent="0.25">
      <c r="A32693" t="e">
        <v>#N/A</v>
      </c>
    </row>
    <row r="32694" spans="1:1" x14ac:dyDescent="0.25">
      <c r="A32694" t="e">
        <v>#N/A</v>
      </c>
    </row>
    <row r="32695" spans="1:1" x14ac:dyDescent="0.25">
      <c r="A32695" t="e">
        <v>#N/A</v>
      </c>
    </row>
    <row r="32696" spans="1:1" x14ac:dyDescent="0.25">
      <c r="A32696" t="e">
        <v>#N/A</v>
      </c>
    </row>
    <row r="32697" spans="1:1" x14ac:dyDescent="0.25">
      <c r="A32697" t="e">
        <v>#N/A</v>
      </c>
    </row>
    <row r="32698" spans="1:1" x14ac:dyDescent="0.25">
      <c r="A32698" t="e">
        <v>#N/A</v>
      </c>
    </row>
    <row r="32699" spans="1:1" x14ac:dyDescent="0.25">
      <c r="A32699" t="e">
        <v>#N/A</v>
      </c>
    </row>
    <row r="32700" spans="1:1" x14ac:dyDescent="0.25">
      <c r="A32700" t="e">
        <v>#N/A</v>
      </c>
    </row>
    <row r="32701" spans="1:1" x14ac:dyDescent="0.25">
      <c r="A32701" t="e">
        <v>#N/A</v>
      </c>
    </row>
    <row r="32702" spans="1:1" x14ac:dyDescent="0.25">
      <c r="A32702" t="e">
        <v>#N/A</v>
      </c>
    </row>
    <row r="32703" spans="1:1" x14ac:dyDescent="0.25">
      <c r="A32703" t="e">
        <v>#N/A</v>
      </c>
    </row>
    <row r="32704" spans="1:1" x14ac:dyDescent="0.25">
      <c r="A32704" t="e">
        <v>#N/A</v>
      </c>
    </row>
    <row r="32705" spans="1:1" x14ac:dyDescent="0.25">
      <c r="A32705" t="e">
        <v>#N/A</v>
      </c>
    </row>
    <row r="32706" spans="1:1" x14ac:dyDescent="0.25">
      <c r="A32706" t="e">
        <v>#N/A</v>
      </c>
    </row>
    <row r="32707" spans="1:1" x14ac:dyDescent="0.25">
      <c r="A32707" t="e">
        <v>#N/A</v>
      </c>
    </row>
    <row r="32708" spans="1:1" x14ac:dyDescent="0.25">
      <c r="A32708" t="e">
        <v>#N/A</v>
      </c>
    </row>
    <row r="32709" spans="1:1" x14ac:dyDescent="0.25">
      <c r="A32709" t="e">
        <v>#N/A</v>
      </c>
    </row>
    <row r="32710" spans="1:1" x14ac:dyDescent="0.25">
      <c r="A32710" t="e">
        <v>#N/A</v>
      </c>
    </row>
    <row r="32711" spans="1:1" x14ac:dyDescent="0.25">
      <c r="A32711" t="e">
        <v>#N/A</v>
      </c>
    </row>
    <row r="32712" spans="1:1" x14ac:dyDescent="0.25">
      <c r="A32712" t="e">
        <v>#N/A</v>
      </c>
    </row>
    <row r="32713" spans="1:1" x14ac:dyDescent="0.25">
      <c r="A32713" t="e">
        <v>#N/A</v>
      </c>
    </row>
    <row r="32714" spans="1:1" x14ac:dyDescent="0.25">
      <c r="A32714" t="e">
        <v>#N/A</v>
      </c>
    </row>
  </sheetData>
  <autoFilter ref="A1:L1" xr:uid="{205081A8-3AAA-49ED-9EA9-32A4145A1BE0}"/>
  <sortState xmlns:xlrd2="http://schemas.microsoft.com/office/spreadsheetml/2017/richdata2" ref="A2:M2024">
    <sortCondition ref="E2:E2024"/>
    <sortCondition ref="C2:C2024"/>
  </sortSt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Sheet6.BtnTripGenrator_Click">
                <anchor moveWithCells="1" sizeWithCells="1">
                  <from>
                    <xdr:col>2</xdr:col>
                    <xdr:colOff>19050</xdr:colOff>
                    <xdr:row>4</xdr:row>
                    <xdr:rowOff>19050</xdr:rowOff>
                  </from>
                  <to>
                    <xdr:col>4</xdr:col>
                    <xdr:colOff>104775</xdr:colOff>
                    <xdr:row>5</xdr:row>
                    <xdr:rowOff>142875</xdr:rowOff>
                  </to>
                </anchor>
              </controlPr>
            </control>
          </mc:Choice>
        </mc:AlternateContent>
        <mc:AlternateContent xmlns:mc="http://schemas.openxmlformats.org/markup-compatibility/2006">
          <mc:Choice Requires="x14">
            <control shapeId="14338" r:id="rId5" name="Button 2">
              <controlPr defaultSize="0" print="0" autoFill="0" autoPict="0" macro="[0]!Sheet6.BtnTripGenrator_Click">
                <anchor moveWithCells="1" sizeWithCells="1">
                  <from>
                    <xdr:col>2</xdr:col>
                    <xdr:colOff>19050</xdr:colOff>
                    <xdr:row>4</xdr:row>
                    <xdr:rowOff>19050</xdr:rowOff>
                  </from>
                  <to>
                    <xdr:col>4</xdr:col>
                    <xdr:colOff>104775</xdr:colOff>
                    <xdr:row>5</xdr:row>
                    <xdr:rowOff>142875</xdr:rowOff>
                  </to>
                </anchor>
              </controlPr>
            </control>
          </mc:Choice>
        </mc:AlternateContent>
        <mc:AlternateContent xmlns:mc="http://schemas.openxmlformats.org/markup-compatibility/2006">
          <mc:Choice Requires="x14">
            <control shapeId="14339" r:id="rId6" name="Button 3">
              <controlPr defaultSize="0" print="0" autoFill="0" autoPict="0" macro="[0]!Sheet6.BtnTripGenrator_Click">
                <anchor moveWithCells="1" sizeWithCells="1">
                  <from>
                    <xdr:col>2</xdr:col>
                    <xdr:colOff>19050</xdr:colOff>
                    <xdr:row>4</xdr:row>
                    <xdr:rowOff>19050</xdr:rowOff>
                  </from>
                  <to>
                    <xdr:col>4</xdr:col>
                    <xdr:colOff>104775</xdr:colOff>
                    <xdr:row>5</xdr:row>
                    <xdr:rowOff>142875</xdr:rowOff>
                  </to>
                </anchor>
              </controlPr>
            </control>
          </mc:Choice>
        </mc:AlternateContent>
        <mc:AlternateContent xmlns:mc="http://schemas.openxmlformats.org/markup-compatibility/2006">
          <mc:Choice Requires="x14">
            <control shapeId="14340" r:id="rId7" name="Button 4">
              <controlPr defaultSize="0" print="0" autoFill="0" autoPict="0" macro="[0]!Sheet6.BtnTripGenrator_Click">
                <anchor moveWithCells="1" sizeWithCells="1">
                  <from>
                    <xdr:col>2</xdr:col>
                    <xdr:colOff>19050</xdr:colOff>
                    <xdr:row>4</xdr:row>
                    <xdr:rowOff>19050</xdr:rowOff>
                  </from>
                  <to>
                    <xdr:col>4</xdr:col>
                    <xdr:colOff>104775</xdr:colOff>
                    <xdr:row>5</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7A1EF-6EBA-4DB8-8041-98C117B8813B}">
  <sheetPr codeName="Sheet7"/>
  <dimension ref="A1:Y3653"/>
  <sheetViews>
    <sheetView topLeftCell="A3" workbookViewId="0">
      <selection activeCell="E3" sqref="E3"/>
    </sheetView>
  </sheetViews>
  <sheetFormatPr defaultRowHeight="15" x14ac:dyDescent="0.25"/>
  <cols>
    <col min="2" max="2" width="13.7109375" bestFit="1" customWidth="1"/>
    <col min="3" max="3" width="16" bestFit="1" customWidth="1"/>
    <col min="4" max="4" width="10.140625" bestFit="1" customWidth="1"/>
    <col min="5" max="5" width="16.85546875" bestFit="1" customWidth="1"/>
    <col min="6" max="6" width="16.85546875" customWidth="1"/>
    <col min="7" max="7" width="12.42578125" bestFit="1" customWidth="1"/>
    <col min="8" max="8" width="15.7109375" bestFit="1" customWidth="1"/>
    <col min="9" max="9" width="10.5703125" bestFit="1" customWidth="1"/>
    <col min="10" max="10" width="15.5703125" bestFit="1" customWidth="1"/>
    <col min="11" max="11" width="12.28515625" bestFit="1" customWidth="1"/>
    <col min="12" max="12" width="18.5703125" bestFit="1" customWidth="1"/>
    <col min="13" max="13" width="18.5703125" customWidth="1"/>
    <col min="14" max="14" width="15.85546875" customWidth="1"/>
    <col min="15" max="15" width="10" bestFit="1" customWidth="1"/>
    <col min="16" max="16" width="12.85546875" bestFit="1" customWidth="1"/>
  </cols>
  <sheetData>
    <row r="1" spans="1:25" ht="14.65" customHeight="1" thickBot="1" x14ac:dyDescent="0.3">
      <c r="A1" s="116"/>
      <c r="B1" s="145" t="s">
        <v>184</v>
      </c>
      <c r="C1" s="145"/>
      <c r="D1" s="145"/>
      <c r="E1" s="145"/>
      <c r="F1" s="145"/>
      <c r="G1" s="129" t="s">
        <v>146</v>
      </c>
      <c r="H1" s="130"/>
      <c r="I1" s="130"/>
      <c r="J1" s="130"/>
      <c r="K1" s="130"/>
      <c r="L1" s="130"/>
      <c r="M1" s="130"/>
      <c r="N1" s="131"/>
      <c r="O1" s="146" t="s">
        <v>95</v>
      </c>
      <c r="P1" s="146"/>
      <c r="Q1" s="146"/>
      <c r="R1" s="146"/>
      <c r="S1" s="146"/>
      <c r="T1" s="146"/>
      <c r="U1" s="146"/>
      <c r="V1" s="146"/>
      <c r="W1" s="146"/>
      <c r="X1" s="146"/>
      <c r="Y1" s="146"/>
    </row>
    <row r="2" spans="1:25" ht="56.25" customHeight="1" thickBot="1" x14ac:dyDescent="0.3">
      <c r="A2" s="16" t="s">
        <v>183</v>
      </c>
      <c r="B2" s="117" t="s">
        <v>193</v>
      </c>
      <c r="C2" s="118" t="s">
        <v>192</v>
      </c>
      <c r="D2" s="119" t="s">
        <v>191</v>
      </c>
      <c r="E2" s="120" t="s">
        <v>194</v>
      </c>
      <c r="F2" s="120" t="s">
        <v>200</v>
      </c>
      <c r="G2" s="121" t="s">
        <v>186</v>
      </c>
      <c r="H2" s="121" t="s">
        <v>185</v>
      </c>
      <c r="I2" s="121" t="s">
        <v>187</v>
      </c>
      <c r="J2" s="121" t="s">
        <v>188</v>
      </c>
      <c r="K2" s="121" t="s">
        <v>189</v>
      </c>
      <c r="L2" s="122" t="s">
        <v>203</v>
      </c>
      <c r="M2" s="122" t="s">
        <v>190</v>
      </c>
      <c r="N2" s="122" t="s">
        <v>215</v>
      </c>
      <c r="O2" s="123" t="s">
        <v>201</v>
      </c>
      <c r="P2" s="122" t="s">
        <v>205</v>
      </c>
      <c r="Q2" s="122" t="s">
        <v>206</v>
      </c>
      <c r="R2" s="122" t="s">
        <v>204</v>
      </c>
      <c r="S2" s="122" t="s">
        <v>207</v>
      </c>
      <c r="T2" s="122" t="s">
        <v>208</v>
      </c>
      <c r="U2" s="122" t="s">
        <v>209</v>
      </c>
      <c r="V2" s="122" t="s">
        <v>211</v>
      </c>
      <c r="W2" s="122" t="s">
        <v>210</v>
      </c>
      <c r="X2" s="122" t="s">
        <v>212</v>
      </c>
      <c r="Y2" s="122" t="s">
        <v>145</v>
      </c>
    </row>
    <row r="3" spans="1:25" ht="15.75" thickBot="1" x14ac:dyDescent="0.3">
      <c r="A3" s="113" t="s">
        <v>630</v>
      </c>
      <c r="B3" s="114">
        <f ca="1">OFFSET(Main!$K$9,COLUMN(B3)-COLUMN($B$3),0)</f>
        <v>198.5</v>
      </c>
      <c r="C3" s="114">
        <f ca="1">OFFSET(Main!$K$9,COLUMN(C3)-COLUMN($B$3),0)</f>
        <v>0</v>
      </c>
      <c r="D3" s="114">
        <f ca="1">OFFSET(Main!$K$9,COLUMN(D3)-COLUMN($B$3),0)</f>
        <v>0</v>
      </c>
      <c r="E3" s="114">
        <f ca="1">OFFSET(Main!$K$9,COLUMN(E3)-COLUMN($B$3),0)</f>
        <v>0</v>
      </c>
      <c r="F3" s="114">
        <f ca="1">OFFSET(Main!$K$9,COLUMN(F3)-COLUMN($B$3),0)</f>
        <v>0</v>
      </c>
      <c r="G3" s="115">
        <f ca="1">OFFSET(Main!$K$17,COLUMN(G3)-COLUMN($G$3),0)</f>
        <v>0</v>
      </c>
      <c r="H3" s="115">
        <f ca="1">OFFSET(Main!$K$17,COLUMN(H3)-COLUMN($G$3),0)</f>
        <v>0</v>
      </c>
      <c r="I3" s="115">
        <f ca="1">OFFSET(Main!$K$17,COLUMN(I3)-COLUMN($G$3),0)</f>
        <v>0</v>
      </c>
      <c r="J3" s="115">
        <f ca="1">OFFSET(Main!$K$17,COLUMN(J3)-COLUMN($G$3),0)</f>
        <v>0</v>
      </c>
      <c r="K3" s="115">
        <f ca="1">OFFSET(Main!$K$17,COLUMN(K3)-COLUMN($G$3),0)</f>
        <v>0</v>
      </c>
      <c r="L3" s="115">
        <f ca="1">OFFSET(Main!$K$17,COLUMN(L3)-COLUMN($G$3),0)</f>
        <v>0</v>
      </c>
      <c r="M3" s="115">
        <f ca="1">OFFSET(Main!$K$17,COLUMN(M3)-COLUMN($G$3),0)</f>
        <v>0</v>
      </c>
      <c r="N3" s="115" t="str">
        <f ca="1">IF(OFFSET(Main!$K$17,COLUMN(N3)-COLUMN($G$3),0)=0,"",OFFSET(Main!$K$17,COLUMN(N3)-COLUMN($G$3),0))</f>
        <v/>
      </c>
      <c r="O3" s="127">
        <f ca="1">OFFSET(Main!$E$8,COLUMN(O3)-COLUMN($O$3),0)</f>
        <v>0.8</v>
      </c>
      <c r="P3" s="127">
        <f ca="1">OFFSET(Main!$E$8,COLUMN(P3)-COLUMN($O$3),0)</f>
        <v>25</v>
      </c>
      <c r="Q3" s="127">
        <f ca="1">OFFSET(Main!$E$8,COLUMN(Q3)-COLUMN($O$3),0)</f>
        <v>25</v>
      </c>
      <c r="R3" s="127">
        <f ca="1">OFFSET(Main!$E$8,COLUMN(R3)-COLUMN($O$3),0)</f>
        <v>25</v>
      </c>
      <c r="S3" s="127">
        <f ca="1">OFFSET(Main!$E$8,COLUMN(S3)-COLUMN($O$3),0)</f>
        <v>1</v>
      </c>
      <c r="T3" s="127">
        <f ca="1">OFFSET(Main!$E$8,COLUMN(T3)-COLUMN($O$3),0)</f>
        <v>5</v>
      </c>
      <c r="U3" s="127">
        <f ca="1">OFFSET(Main!$E$8,COLUMN(U3)-COLUMN($O$3),0)</f>
        <v>60</v>
      </c>
      <c r="V3" s="127" t="str">
        <f ca="1">OFFSET(Main!$E$16,COLUMN(V3)-COLUMN($V$3),0)</f>
        <v>Off</v>
      </c>
      <c r="W3" s="127" t="str">
        <f ca="1">OFFSET(Main!$E$16,COLUMN(W3)-COLUMN($V$3),0)</f>
        <v>Off</v>
      </c>
      <c r="X3" s="127" t="str">
        <f ca="1">OFFSET(Main!$E$16,COLUMN(X3)-COLUMN($V$3),0)</f>
        <v>Off</v>
      </c>
      <c r="Y3" s="127" t="str">
        <f ca="1">OFFSET(Main!$E$16,COLUMN(Y3)-COLUMN($V$3),0)</f>
        <v>Level 1</v>
      </c>
    </row>
    <row r="4" spans="1:25" x14ac:dyDescent="0.25">
      <c r="B4" s="124"/>
      <c r="C4" s="124"/>
      <c r="D4" s="124"/>
      <c r="E4" s="124"/>
      <c r="F4" s="124"/>
      <c r="G4" s="124"/>
      <c r="H4" s="124"/>
      <c r="I4" s="124"/>
      <c r="J4" s="124"/>
      <c r="K4" s="124"/>
      <c r="L4" s="124"/>
      <c r="M4" s="124"/>
      <c r="N4" s="124"/>
      <c r="O4" s="124"/>
      <c r="P4" s="124"/>
      <c r="Q4" s="124"/>
      <c r="R4" s="124"/>
      <c r="S4" s="124"/>
      <c r="T4" s="124"/>
      <c r="U4" s="124"/>
      <c r="V4" s="124"/>
      <c r="W4" s="124"/>
      <c r="X4" s="124"/>
      <c r="Y4" s="124"/>
    </row>
    <row r="5" spans="1:25" x14ac:dyDescent="0.25">
      <c r="B5" s="124"/>
      <c r="C5" s="124"/>
      <c r="D5" s="124"/>
      <c r="E5" s="124"/>
      <c r="F5" s="124"/>
      <c r="G5" s="124"/>
      <c r="H5" s="124"/>
      <c r="I5" s="124"/>
      <c r="J5" s="124"/>
      <c r="K5" s="124"/>
      <c r="L5" s="124"/>
      <c r="M5" s="124"/>
      <c r="N5" s="124"/>
      <c r="O5" s="124"/>
      <c r="P5" s="124"/>
      <c r="Q5" s="124"/>
      <c r="R5" s="124"/>
      <c r="S5" s="124"/>
      <c r="T5" s="124"/>
      <c r="U5" s="124"/>
      <c r="V5" s="124"/>
      <c r="W5" s="124"/>
      <c r="X5" s="124"/>
      <c r="Y5" s="124"/>
    </row>
    <row r="6" spans="1:25" x14ac:dyDescent="0.25">
      <c r="B6" s="124"/>
      <c r="C6" s="124"/>
      <c r="D6" s="124"/>
      <c r="E6" s="124"/>
      <c r="F6" s="124"/>
      <c r="G6" s="124"/>
      <c r="H6" s="124"/>
      <c r="I6" s="124"/>
      <c r="J6" s="124"/>
      <c r="K6" s="124"/>
      <c r="L6" s="124"/>
      <c r="M6" s="124"/>
      <c r="N6" s="124"/>
      <c r="O6" s="124"/>
      <c r="P6" s="124"/>
      <c r="Q6" s="124"/>
      <c r="R6" s="124"/>
      <c r="S6" s="124"/>
      <c r="T6" s="124"/>
      <c r="U6" s="124"/>
      <c r="V6" s="124"/>
      <c r="W6" s="124"/>
      <c r="X6" s="124"/>
      <c r="Y6" s="124"/>
    </row>
    <row r="7" spans="1:25" x14ac:dyDescent="0.25">
      <c r="B7" s="124"/>
      <c r="C7" s="124"/>
      <c r="D7" s="124"/>
      <c r="E7" s="124"/>
      <c r="F7" s="124"/>
      <c r="G7" s="124"/>
      <c r="H7" s="124"/>
      <c r="I7" s="124"/>
      <c r="J7" s="124"/>
      <c r="K7" s="124"/>
      <c r="L7" s="124"/>
      <c r="M7" s="124"/>
      <c r="N7" s="124"/>
      <c r="O7" s="124"/>
      <c r="P7" s="124"/>
      <c r="Q7" s="124"/>
      <c r="R7" s="124"/>
      <c r="S7" s="124"/>
      <c r="T7" s="124"/>
      <c r="U7" s="124"/>
      <c r="V7" s="124"/>
      <c r="W7" s="124"/>
      <c r="X7" s="124"/>
      <c r="Y7" s="124"/>
    </row>
    <row r="8" spans="1:25" x14ac:dyDescent="0.25">
      <c r="B8" s="124"/>
      <c r="C8" s="124"/>
      <c r="D8" s="124"/>
      <c r="E8" s="124"/>
      <c r="F8" s="124"/>
      <c r="G8" s="124"/>
      <c r="H8" s="124"/>
      <c r="I8" s="124"/>
      <c r="J8" s="124"/>
      <c r="K8" s="124"/>
      <c r="L8" s="124"/>
      <c r="M8" s="124"/>
      <c r="N8" s="124"/>
      <c r="O8" s="124"/>
      <c r="P8" s="124"/>
      <c r="Q8" s="124"/>
      <c r="R8" s="124"/>
      <c r="S8" s="124"/>
      <c r="T8" s="124"/>
      <c r="U8" s="124"/>
      <c r="V8" s="124"/>
      <c r="W8" s="124"/>
      <c r="X8" s="124"/>
      <c r="Y8" s="124"/>
    </row>
    <row r="9" spans="1:25" x14ac:dyDescent="0.25">
      <c r="B9" s="124"/>
      <c r="C9" s="124"/>
      <c r="D9" s="124"/>
      <c r="E9" s="124"/>
      <c r="F9" s="124"/>
      <c r="G9" s="124"/>
      <c r="H9" s="124"/>
      <c r="I9" s="124"/>
      <c r="J9" s="124"/>
      <c r="K9" s="124"/>
      <c r="L9" s="124"/>
      <c r="M9" s="124"/>
      <c r="N9" s="124"/>
      <c r="O9" s="124"/>
      <c r="P9" s="124"/>
      <c r="Q9" s="124"/>
      <c r="R9" s="124"/>
      <c r="S9" s="124"/>
      <c r="T9" s="124"/>
      <c r="U9" s="124"/>
      <c r="V9" s="124"/>
      <c r="W9" s="124"/>
      <c r="X9" s="124"/>
      <c r="Y9" s="124"/>
    </row>
    <row r="10" spans="1:25" x14ac:dyDescent="0.25">
      <c r="B10" s="124"/>
      <c r="C10" s="124"/>
      <c r="D10" s="124"/>
      <c r="E10" s="124"/>
      <c r="F10" s="124"/>
      <c r="G10" s="124"/>
      <c r="H10" s="124"/>
      <c r="I10" s="124"/>
      <c r="J10" s="124"/>
      <c r="K10" s="124"/>
      <c r="L10" s="124"/>
      <c r="M10" s="124"/>
      <c r="N10" s="124"/>
      <c r="O10" s="124"/>
      <c r="P10" s="124"/>
      <c r="Q10" s="124"/>
      <c r="R10" s="124"/>
      <c r="S10" s="124"/>
      <c r="T10" s="124"/>
      <c r="U10" s="124"/>
      <c r="V10" s="124"/>
      <c r="W10" s="124"/>
      <c r="X10" s="124"/>
      <c r="Y10" s="124"/>
    </row>
    <row r="11" spans="1:25" x14ac:dyDescent="0.25">
      <c r="B11" s="124"/>
      <c r="C11" s="124"/>
      <c r="D11" s="124"/>
      <c r="E11" s="124"/>
      <c r="F11" s="124"/>
      <c r="G11" s="124"/>
      <c r="H11" s="124"/>
      <c r="I11" s="124"/>
      <c r="J11" s="124"/>
      <c r="K11" s="124"/>
      <c r="L11" s="124"/>
      <c r="M11" s="124"/>
      <c r="N11" s="124"/>
      <c r="O11" s="124"/>
      <c r="P11" s="124"/>
      <c r="Q11" s="124"/>
      <c r="R11" s="124"/>
      <c r="S11" s="124"/>
      <c r="T11" s="124"/>
      <c r="U11" s="124"/>
      <c r="V11" s="124"/>
      <c r="W11" s="124"/>
      <c r="X11" s="124"/>
      <c r="Y11" s="124"/>
    </row>
    <row r="12" spans="1:25" x14ac:dyDescent="0.25">
      <c r="B12" s="124"/>
      <c r="C12" s="124"/>
      <c r="D12" s="124"/>
      <c r="E12" s="124"/>
      <c r="F12" s="124"/>
      <c r="G12" s="124"/>
      <c r="H12" s="124"/>
      <c r="I12" s="124"/>
      <c r="J12" s="124"/>
      <c r="K12" s="124"/>
      <c r="L12" s="124"/>
      <c r="M12" s="124"/>
      <c r="N12" s="124"/>
      <c r="O12" s="124"/>
      <c r="P12" s="124"/>
      <c r="Q12" s="124"/>
      <c r="R12" s="124"/>
      <c r="S12" s="124"/>
      <c r="T12" s="124"/>
      <c r="U12" s="124"/>
      <c r="V12" s="124"/>
      <c r="W12" s="124"/>
      <c r="X12" s="124"/>
      <c r="Y12" s="124"/>
    </row>
    <row r="13" spans="1:25" x14ac:dyDescent="0.25">
      <c r="B13" s="124"/>
      <c r="C13" s="124"/>
      <c r="D13" s="124"/>
      <c r="E13" s="124"/>
      <c r="F13" s="124"/>
      <c r="G13" s="124"/>
      <c r="H13" s="124"/>
      <c r="I13" s="124"/>
      <c r="J13" s="124"/>
      <c r="K13" s="124"/>
      <c r="L13" s="124"/>
      <c r="M13" s="124"/>
      <c r="N13" s="124"/>
      <c r="O13" s="124"/>
      <c r="P13" s="124"/>
      <c r="Q13" s="124"/>
      <c r="R13" s="124"/>
      <c r="S13" s="124"/>
      <c r="T13" s="124"/>
      <c r="U13" s="124"/>
      <c r="V13" s="124"/>
      <c r="W13" s="124"/>
      <c r="X13" s="124"/>
      <c r="Y13" s="124"/>
    </row>
    <row r="14" spans="1:25" x14ac:dyDescent="0.25">
      <c r="B14" s="124"/>
      <c r="C14" s="124"/>
      <c r="D14" s="124"/>
      <c r="E14" s="124"/>
      <c r="F14" s="124"/>
      <c r="G14" s="124"/>
      <c r="H14" s="124"/>
      <c r="I14" s="124"/>
      <c r="J14" s="124"/>
      <c r="K14" s="124"/>
      <c r="L14" s="124"/>
      <c r="M14" s="124"/>
      <c r="N14" s="124"/>
      <c r="O14" s="124"/>
      <c r="P14" s="124"/>
      <c r="Q14" s="124"/>
      <c r="R14" s="124"/>
      <c r="S14" s="124"/>
      <c r="T14" s="124"/>
      <c r="U14" s="124"/>
      <c r="V14" s="124"/>
      <c r="W14" s="124"/>
      <c r="X14" s="124"/>
      <c r="Y14" s="124"/>
    </row>
    <row r="15" spans="1:25" x14ac:dyDescent="0.25">
      <c r="B15" s="124"/>
      <c r="C15" s="124"/>
      <c r="D15" s="124"/>
      <c r="E15" s="124"/>
      <c r="F15" s="124"/>
      <c r="G15" s="124"/>
      <c r="H15" s="124"/>
      <c r="I15" s="124"/>
      <c r="J15" s="124"/>
      <c r="K15" s="124"/>
      <c r="L15" s="124"/>
      <c r="M15" s="124"/>
      <c r="N15" s="124"/>
      <c r="O15" s="124"/>
      <c r="P15" s="124"/>
      <c r="Q15" s="124"/>
      <c r="R15" s="124"/>
      <c r="S15" s="124"/>
      <c r="T15" s="124"/>
      <c r="U15" s="124"/>
      <c r="V15" s="124"/>
      <c r="W15" s="124"/>
      <c r="X15" s="124"/>
      <c r="Y15" s="124"/>
    </row>
    <row r="16" spans="1:25" x14ac:dyDescent="0.25">
      <c r="B16" s="124"/>
      <c r="C16" s="124"/>
      <c r="D16" s="124"/>
      <c r="E16" s="124"/>
      <c r="F16" s="124"/>
      <c r="G16" s="124"/>
      <c r="H16" s="124"/>
      <c r="I16" s="124"/>
      <c r="J16" s="124"/>
      <c r="K16" s="124"/>
      <c r="L16" s="124"/>
      <c r="M16" s="124"/>
      <c r="N16" s="124"/>
      <c r="O16" s="124"/>
      <c r="P16" s="124"/>
      <c r="Q16" s="124"/>
      <c r="R16" s="124"/>
      <c r="S16" s="124"/>
      <c r="T16" s="124"/>
      <c r="U16" s="124"/>
      <c r="V16" s="124"/>
      <c r="W16" s="124"/>
      <c r="X16" s="124"/>
      <c r="Y16" s="124"/>
    </row>
    <row r="17" spans="2:25" x14ac:dyDescent="0.25">
      <c r="B17" s="124"/>
      <c r="C17" s="124"/>
      <c r="D17" s="124"/>
      <c r="E17" s="124"/>
      <c r="F17" s="124"/>
      <c r="G17" s="124"/>
      <c r="H17" s="124"/>
      <c r="I17" s="124"/>
      <c r="J17" s="124"/>
      <c r="K17" s="124"/>
      <c r="L17" s="124"/>
      <c r="M17" s="124"/>
      <c r="N17" s="124"/>
      <c r="O17" s="124"/>
      <c r="P17" s="124"/>
      <c r="Q17" s="124"/>
      <c r="R17" s="124"/>
      <c r="S17" s="124"/>
      <c r="T17" s="124"/>
      <c r="U17" s="124"/>
      <c r="V17" s="124"/>
      <c r="W17" s="124"/>
      <c r="X17" s="124"/>
      <c r="Y17" s="124"/>
    </row>
    <row r="18" spans="2:25" x14ac:dyDescent="0.25">
      <c r="B18" s="124"/>
      <c r="C18" s="124"/>
      <c r="D18" s="124"/>
      <c r="E18" s="124"/>
      <c r="F18" s="124"/>
      <c r="G18" s="124"/>
      <c r="H18" s="124"/>
      <c r="I18" s="124"/>
      <c r="J18" s="124"/>
      <c r="K18" s="124"/>
      <c r="L18" s="124"/>
      <c r="M18" s="124"/>
      <c r="N18" s="124"/>
      <c r="O18" s="124"/>
      <c r="P18" s="124"/>
      <c r="Q18" s="124"/>
      <c r="R18" s="124"/>
      <c r="S18" s="124"/>
      <c r="T18" s="124"/>
      <c r="U18" s="124"/>
      <c r="V18" s="124"/>
      <c r="W18" s="124"/>
      <c r="X18" s="124"/>
      <c r="Y18" s="124"/>
    </row>
    <row r="19" spans="2:25" x14ac:dyDescent="0.25">
      <c r="B19" s="124"/>
      <c r="C19" s="124"/>
      <c r="D19" s="124"/>
      <c r="E19" s="124"/>
      <c r="F19" s="124"/>
      <c r="G19" s="124"/>
      <c r="H19" s="124"/>
      <c r="I19" s="124"/>
      <c r="J19" s="124"/>
      <c r="K19" s="124"/>
      <c r="L19" s="124"/>
      <c r="M19" s="124"/>
      <c r="N19" s="124"/>
      <c r="O19" s="124"/>
      <c r="P19" s="124"/>
      <c r="Q19" s="124"/>
      <c r="R19" s="124"/>
      <c r="S19" s="124"/>
      <c r="T19" s="124"/>
      <c r="U19" s="124"/>
      <c r="V19" s="124"/>
      <c r="W19" s="124"/>
      <c r="X19" s="124"/>
      <c r="Y19" s="124"/>
    </row>
    <row r="20" spans="2:25" x14ac:dyDescent="0.25">
      <c r="B20" s="124"/>
      <c r="C20" s="124"/>
      <c r="D20" s="124"/>
      <c r="E20" s="124"/>
      <c r="F20" s="124"/>
      <c r="G20" s="124"/>
      <c r="H20" s="124"/>
      <c r="I20" s="124"/>
      <c r="J20" s="124"/>
      <c r="K20" s="124"/>
      <c r="L20" s="124"/>
      <c r="M20" s="124"/>
      <c r="N20" s="124"/>
      <c r="O20" s="124"/>
      <c r="P20" s="124"/>
      <c r="Q20" s="124"/>
      <c r="R20" s="124"/>
      <c r="S20" s="124"/>
      <c r="T20" s="124"/>
      <c r="U20" s="124"/>
      <c r="V20" s="124"/>
      <c r="W20" s="124"/>
      <c r="X20" s="124"/>
      <c r="Y20" s="124"/>
    </row>
    <row r="21" spans="2:25" x14ac:dyDescent="0.25">
      <c r="B21" s="124"/>
      <c r="C21" s="124"/>
      <c r="D21" s="124"/>
      <c r="E21" s="124"/>
      <c r="F21" s="124"/>
      <c r="G21" s="124"/>
      <c r="H21" s="124"/>
      <c r="I21" s="124"/>
      <c r="J21" s="124"/>
      <c r="K21" s="124"/>
      <c r="L21" s="124"/>
      <c r="M21" s="124"/>
      <c r="N21" s="124"/>
      <c r="O21" s="124"/>
      <c r="P21" s="124"/>
      <c r="Q21" s="124"/>
      <c r="R21" s="124"/>
      <c r="S21" s="124"/>
      <c r="T21" s="124"/>
      <c r="U21" s="124"/>
      <c r="V21" s="124"/>
      <c r="W21" s="124"/>
      <c r="X21" s="124"/>
      <c r="Y21" s="124"/>
    </row>
    <row r="22" spans="2:25" x14ac:dyDescent="0.25">
      <c r="B22" s="124"/>
      <c r="C22" s="124"/>
      <c r="D22" s="124"/>
      <c r="E22" s="124"/>
      <c r="F22" s="124"/>
      <c r="G22" s="124"/>
      <c r="H22" s="124"/>
      <c r="I22" s="124"/>
      <c r="J22" s="124"/>
      <c r="K22" s="124"/>
      <c r="L22" s="124"/>
      <c r="M22" s="124"/>
      <c r="N22" s="124"/>
      <c r="O22" s="124"/>
      <c r="P22" s="124"/>
      <c r="Q22" s="124"/>
      <c r="R22" s="124"/>
      <c r="S22" s="124"/>
      <c r="T22" s="124"/>
      <c r="U22" s="124"/>
      <c r="V22" s="124"/>
      <c r="W22" s="124"/>
      <c r="X22" s="124"/>
      <c r="Y22" s="124"/>
    </row>
    <row r="23" spans="2:25" x14ac:dyDescent="0.25">
      <c r="B23" s="124"/>
      <c r="C23" s="124"/>
      <c r="D23" s="124"/>
      <c r="E23" s="124"/>
      <c r="F23" s="124"/>
      <c r="G23" s="124"/>
      <c r="H23" s="124"/>
      <c r="I23" s="124"/>
      <c r="J23" s="124"/>
      <c r="K23" s="124"/>
      <c r="L23" s="124"/>
      <c r="M23" s="124"/>
      <c r="N23" s="124"/>
      <c r="O23" s="124"/>
      <c r="P23" s="124"/>
      <c r="Q23" s="124"/>
      <c r="R23" s="124"/>
      <c r="S23" s="124"/>
      <c r="T23" s="124"/>
      <c r="U23" s="124"/>
      <c r="V23" s="124"/>
      <c r="W23" s="124"/>
      <c r="X23" s="124"/>
      <c r="Y23" s="124"/>
    </row>
    <row r="24" spans="2:25" x14ac:dyDescent="0.25">
      <c r="B24" s="124"/>
      <c r="C24" s="124"/>
      <c r="D24" s="124"/>
      <c r="E24" s="124"/>
      <c r="F24" s="124"/>
      <c r="G24" s="124"/>
      <c r="H24" s="124"/>
      <c r="I24" s="124"/>
      <c r="J24" s="124"/>
      <c r="K24" s="124"/>
      <c r="L24" s="124"/>
      <c r="M24" s="124"/>
      <c r="N24" s="124"/>
      <c r="O24" s="124"/>
      <c r="P24" s="124"/>
      <c r="Q24" s="124"/>
      <c r="R24" s="124"/>
      <c r="S24" s="124"/>
      <c r="T24" s="124"/>
      <c r="U24" s="124"/>
      <c r="V24" s="124"/>
      <c r="W24" s="124"/>
      <c r="X24" s="124"/>
      <c r="Y24" s="124"/>
    </row>
    <row r="25" spans="2:25" x14ac:dyDescent="0.25">
      <c r="B25" s="124"/>
      <c r="C25" s="124"/>
      <c r="D25" s="124"/>
      <c r="E25" s="124"/>
      <c r="F25" s="124"/>
      <c r="G25" s="124"/>
      <c r="H25" s="124"/>
      <c r="I25" s="124"/>
      <c r="J25" s="124"/>
      <c r="K25" s="124"/>
      <c r="L25" s="124"/>
      <c r="M25" s="124"/>
      <c r="N25" s="124"/>
      <c r="O25" s="124"/>
      <c r="P25" s="124"/>
      <c r="Q25" s="124"/>
      <c r="R25" s="124"/>
      <c r="S25" s="124"/>
      <c r="T25" s="124"/>
      <c r="U25" s="124"/>
      <c r="V25" s="124"/>
      <c r="W25" s="124"/>
      <c r="X25" s="124"/>
      <c r="Y25" s="124"/>
    </row>
    <row r="26" spans="2:25" x14ac:dyDescent="0.25">
      <c r="B26" s="124"/>
      <c r="C26" s="124"/>
      <c r="D26" s="124"/>
      <c r="E26" s="124"/>
      <c r="F26" s="124"/>
      <c r="G26" s="124"/>
      <c r="H26" s="124"/>
      <c r="I26" s="124"/>
      <c r="J26" s="124"/>
      <c r="K26" s="124"/>
      <c r="L26" s="124"/>
      <c r="M26" s="124"/>
      <c r="N26" s="124"/>
      <c r="O26" s="124"/>
      <c r="P26" s="124"/>
      <c r="Q26" s="124"/>
      <c r="R26" s="124"/>
      <c r="S26" s="124"/>
      <c r="T26" s="124"/>
      <c r="U26" s="124"/>
      <c r="V26" s="124"/>
      <c r="W26" s="124"/>
      <c r="X26" s="124"/>
      <c r="Y26" s="124"/>
    </row>
    <row r="27" spans="2:25" x14ac:dyDescent="0.25">
      <c r="B27" s="124"/>
      <c r="C27" s="124"/>
      <c r="D27" s="124"/>
      <c r="E27" s="124"/>
      <c r="F27" s="124"/>
      <c r="G27" s="124"/>
      <c r="H27" s="124"/>
      <c r="I27" s="124"/>
      <c r="J27" s="124"/>
      <c r="K27" s="124"/>
      <c r="L27" s="124"/>
      <c r="M27" s="124"/>
      <c r="N27" s="124"/>
      <c r="O27" s="124"/>
      <c r="P27" s="124"/>
      <c r="Q27" s="124"/>
      <c r="R27" s="124"/>
      <c r="S27" s="124"/>
      <c r="T27" s="124"/>
      <c r="U27" s="124"/>
      <c r="V27" s="124"/>
      <c r="W27" s="124"/>
      <c r="X27" s="124"/>
      <c r="Y27" s="124"/>
    </row>
    <row r="28" spans="2:25" x14ac:dyDescent="0.25">
      <c r="B28" s="124"/>
      <c r="C28" s="124"/>
      <c r="D28" s="124"/>
      <c r="E28" s="124"/>
      <c r="F28" s="124"/>
      <c r="G28" s="124"/>
      <c r="H28" s="124"/>
      <c r="I28" s="124"/>
      <c r="J28" s="124"/>
      <c r="K28" s="124"/>
      <c r="L28" s="124"/>
      <c r="M28" s="124"/>
      <c r="N28" s="124"/>
      <c r="O28" s="124"/>
      <c r="P28" s="124"/>
      <c r="Q28" s="124"/>
      <c r="R28" s="124"/>
      <c r="S28" s="124"/>
      <c r="T28" s="124"/>
      <c r="U28" s="124"/>
      <c r="V28" s="124"/>
      <c r="W28" s="124"/>
      <c r="X28" s="124"/>
      <c r="Y28" s="124"/>
    </row>
    <row r="29" spans="2:25" x14ac:dyDescent="0.25">
      <c r="B29" s="124"/>
      <c r="C29" s="124"/>
      <c r="D29" s="124"/>
      <c r="E29" s="124"/>
      <c r="F29" s="124"/>
      <c r="G29" s="124"/>
      <c r="H29" s="124"/>
      <c r="I29" s="124"/>
      <c r="J29" s="124"/>
      <c r="K29" s="124"/>
      <c r="L29" s="124"/>
      <c r="M29" s="124"/>
      <c r="N29" s="124"/>
      <c r="O29" s="124"/>
      <c r="P29" s="124"/>
      <c r="Q29" s="124"/>
      <c r="R29" s="124"/>
      <c r="S29" s="124"/>
      <c r="T29" s="124"/>
      <c r="U29" s="124"/>
      <c r="V29" s="124"/>
      <c r="W29" s="124"/>
      <c r="X29" s="124"/>
      <c r="Y29" s="124"/>
    </row>
    <row r="30" spans="2:25" x14ac:dyDescent="0.25">
      <c r="B30" s="124"/>
      <c r="C30" s="124"/>
      <c r="D30" s="124"/>
      <c r="E30" s="124"/>
      <c r="F30" s="124"/>
      <c r="G30" s="124"/>
      <c r="H30" s="124"/>
      <c r="I30" s="124"/>
      <c r="J30" s="124"/>
      <c r="K30" s="124"/>
      <c r="L30" s="124"/>
      <c r="M30" s="124"/>
      <c r="N30" s="124"/>
      <c r="O30" s="124"/>
      <c r="P30" s="124"/>
      <c r="Q30" s="124"/>
      <c r="R30" s="124"/>
      <c r="S30" s="124"/>
      <c r="T30" s="124"/>
      <c r="U30" s="124"/>
      <c r="V30" s="124"/>
      <c r="W30" s="124"/>
      <c r="X30" s="124"/>
      <c r="Y30" s="124"/>
    </row>
    <row r="31" spans="2:25" x14ac:dyDescent="0.25">
      <c r="B31" s="124"/>
      <c r="C31" s="124"/>
      <c r="D31" s="124"/>
      <c r="E31" s="124"/>
      <c r="F31" s="124"/>
      <c r="G31" s="124"/>
      <c r="H31" s="124"/>
      <c r="I31" s="124"/>
      <c r="J31" s="124"/>
      <c r="K31" s="124"/>
      <c r="L31" s="124"/>
      <c r="M31" s="124"/>
      <c r="N31" s="124"/>
      <c r="O31" s="124"/>
      <c r="P31" s="124"/>
      <c r="Q31" s="124"/>
      <c r="R31" s="124"/>
      <c r="S31" s="124"/>
      <c r="T31" s="124"/>
      <c r="U31" s="124"/>
      <c r="V31" s="124"/>
      <c r="W31" s="124"/>
      <c r="X31" s="124"/>
      <c r="Y31" s="124"/>
    </row>
    <row r="32" spans="2:25" x14ac:dyDescent="0.25">
      <c r="B32" s="124"/>
      <c r="C32" s="124"/>
      <c r="D32" s="124"/>
      <c r="E32" s="124"/>
      <c r="F32" s="124"/>
      <c r="G32" s="124"/>
      <c r="H32" s="124"/>
      <c r="I32" s="124"/>
      <c r="J32" s="124"/>
      <c r="K32" s="124"/>
      <c r="L32" s="124"/>
      <c r="M32" s="124"/>
      <c r="N32" s="124"/>
      <c r="O32" s="124"/>
      <c r="P32" s="124"/>
      <c r="Q32" s="124"/>
      <c r="R32" s="124"/>
      <c r="S32" s="124"/>
      <c r="T32" s="124"/>
      <c r="U32" s="124"/>
      <c r="V32" s="124"/>
      <c r="W32" s="124"/>
      <c r="X32" s="124"/>
      <c r="Y32" s="124"/>
    </row>
    <row r="33" spans="2:25" x14ac:dyDescent="0.25">
      <c r="B33" s="124"/>
      <c r="C33" s="124"/>
      <c r="D33" s="124"/>
      <c r="E33" s="124"/>
      <c r="F33" s="124"/>
      <c r="G33" s="124"/>
      <c r="H33" s="124"/>
      <c r="I33" s="124"/>
      <c r="J33" s="124"/>
      <c r="K33" s="124"/>
      <c r="L33" s="124"/>
      <c r="M33" s="124"/>
      <c r="N33" s="124"/>
      <c r="O33" s="124"/>
      <c r="P33" s="124"/>
      <c r="Q33" s="124"/>
      <c r="R33" s="124"/>
      <c r="S33" s="124"/>
      <c r="T33" s="124"/>
      <c r="U33" s="124"/>
      <c r="V33" s="124"/>
      <c r="W33" s="124"/>
      <c r="X33" s="124"/>
      <c r="Y33" s="124"/>
    </row>
    <row r="34" spans="2:25" x14ac:dyDescent="0.25">
      <c r="B34" s="124"/>
      <c r="C34" s="124"/>
      <c r="D34" s="124"/>
      <c r="E34" s="124"/>
      <c r="F34" s="124"/>
      <c r="G34" s="124"/>
      <c r="H34" s="124"/>
      <c r="I34" s="124"/>
      <c r="J34" s="124"/>
      <c r="K34" s="124"/>
      <c r="L34" s="124"/>
      <c r="M34" s="124"/>
      <c r="N34" s="124"/>
      <c r="O34" s="124"/>
      <c r="P34" s="124"/>
      <c r="Q34" s="124"/>
      <c r="R34" s="124"/>
      <c r="S34" s="124"/>
      <c r="T34" s="124"/>
      <c r="U34" s="124"/>
      <c r="V34" s="124"/>
      <c r="W34" s="124"/>
      <c r="X34" s="124"/>
      <c r="Y34" s="124"/>
    </row>
    <row r="35" spans="2:25" x14ac:dyDescent="0.25">
      <c r="B35" s="124"/>
      <c r="C35" s="124"/>
      <c r="D35" s="124"/>
      <c r="E35" s="124"/>
      <c r="F35" s="124"/>
      <c r="G35" s="124"/>
      <c r="H35" s="124"/>
      <c r="I35" s="124"/>
      <c r="J35" s="124"/>
      <c r="K35" s="124"/>
      <c r="L35" s="124"/>
      <c r="M35" s="124"/>
      <c r="N35" s="124"/>
      <c r="O35" s="124"/>
      <c r="P35" s="124"/>
      <c r="Q35" s="124"/>
      <c r="R35" s="124"/>
      <c r="S35" s="124"/>
      <c r="T35" s="124"/>
      <c r="U35" s="124"/>
      <c r="V35" s="124"/>
      <c r="W35" s="124"/>
      <c r="X35" s="124"/>
      <c r="Y35" s="124"/>
    </row>
    <row r="36" spans="2:25" x14ac:dyDescent="0.25">
      <c r="B36" s="124"/>
      <c r="C36" s="124"/>
      <c r="D36" s="124"/>
      <c r="E36" s="124"/>
      <c r="F36" s="124"/>
      <c r="G36" s="124"/>
      <c r="H36" s="124"/>
      <c r="I36" s="124"/>
      <c r="J36" s="124"/>
      <c r="K36" s="124"/>
      <c r="L36" s="124"/>
      <c r="M36" s="124"/>
      <c r="N36" s="124"/>
      <c r="O36" s="124"/>
      <c r="P36" s="124"/>
      <c r="Q36" s="124"/>
      <c r="R36" s="124"/>
      <c r="S36" s="124"/>
      <c r="T36" s="124"/>
      <c r="U36" s="124"/>
      <c r="V36" s="124"/>
      <c r="W36" s="124"/>
      <c r="X36" s="124"/>
      <c r="Y36" s="124"/>
    </row>
    <row r="37" spans="2:25" x14ac:dyDescent="0.25">
      <c r="B37" s="124"/>
      <c r="C37" s="124"/>
      <c r="D37" s="124"/>
      <c r="E37" s="124"/>
      <c r="F37" s="124"/>
      <c r="G37" s="124"/>
      <c r="H37" s="124"/>
      <c r="I37" s="124"/>
      <c r="J37" s="124"/>
      <c r="K37" s="124"/>
      <c r="L37" s="124"/>
      <c r="M37" s="124"/>
      <c r="N37" s="124"/>
      <c r="O37" s="124"/>
      <c r="P37" s="124"/>
      <c r="Q37" s="124"/>
      <c r="R37" s="124"/>
      <c r="S37" s="124"/>
      <c r="T37" s="124"/>
      <c r="U37" s="124"/>
      <c r="V37" s="124"/>
      <c r="W37" s="124"/>
      <c r="X37" s="124"/>
      <c r="Y37" s="124"/>
    </row>
    <row r="38" spans="2:25" x14ac:dyDescent="0.25">
      <c r="B38" s="124"/>
      <c r="C38" s="124"/>
      <c r="D38" s="124"/>
      <c r="E38" s="124"/>
      <c r="F38" s="124"/>
      <c r="G38" s="124"/>
      <c r="H38" s="124"/>
      <c r="I38" s="124"/>
      <c r="J38" s="124"/>
      <c r="K38" s="124"/>
      <c r="L38" s="124"/>
      <c r="M38" s="124"/>
      <c r="N38" s="124"/>
      <c r="O38" s="124"/>
      <c r="P38" s="124"/>
      <c r="Q38" s="124"/>
      <c r="R38" s="124"/>
      <c r="S38" s="124"/>
      <c r="T38" s="124"/>
      <c r="U38" s="124"/>
      <c r="V38" s="124"/>
      <c r="W38" s="124"/>
      <c r="X38" s="124"/>
      <c r="Y38" s="124"/>
    </row>
    <row r="39" spans="2:25" x14ac:dyDescent="0.25">
      <c r="B39" s="124"/>
      <c r="C39" s="124"/>
      <c r="D39" s="124"/>
      <c r="E39" s="124"/>
      <c r="F39" s="124"/>
      <c r="G39" s="124"/>
      <c r="H39" s="124"/>
      <c r="I39" s="124"/>
      <c r="J39" s="124"/>
      <c r="K39" s="124"/>
      <c r="L39" s="124"/>
      <c r="M39" s="124"/>
      <c r="N39" s="124"/>
      <c r="O39" s="124"/>
      <c r="P39" s="124"/>
      <c r="Q39" s="124"/>
      <c r="R39" s="124"/>
      <c r="S39" s="124"/>
      <c r="T39" s="124"/>
      <c r="U39" s="124"/>
      <c r="V39" s="124"/>
      <c r="W39" s="124"/>
      <c r="X39" s="124"/>
      <c r="Y39" s="124"/>
    </row>
    <row r="40" spans="2:25" x14ac:dyDescent="0.25">
      <c r="B40" s="124"/>
      <c r="C40" s="124"/>
      <c r="D40" s="124"/>
      <c r="E40" s="124"/>
      <c r="F40" s="124"/>
      <c r="G40" s="124"/>
      <c r="H40" s="124"/>
      <c r="I40" s="124"/>
      <c r="J40" s="124"/>
      <c r="K40" s="124"/>
      <c r="L40" s="124"/>
      <c r="M40" s="124"/>
      <c r="N40" s="124"/>
      <c r="O40" s="124"/>
      <c r="P40" s="124"/>
      <c r="Q40" s="124"/>
      <c r="R40" s="124"/>
      <c r="S40" s="124"/>
      <c r="T40" s="124"/>
      <c r="U40" s="124"/>
      <c r="V40" s="124"/>
      <c r="W40" s="124"/>
      <c r="X40" s="124"/>
      <c r="Y40" s="124"/>
    </row>
    <row r="41" spans="2:25" x14ac:dyDescent="0.25">
      <c r="B41" s="124"/>
      <c r="C41" s="124"/>
      <c r="D41" s="124"/>
      <c r="E41" s="124"/>
      <c r="F41" s="124"/>
      <c r="G41" s="124"/>
      <c r="H41" s="124"/>
      <c r="I41" s="124"/>
      <c r="J41" s="124"/>
      <c r="K41" s="124"/>
      <c r="L41" s="124"/>
      <c r="M41" s="124"/>
      <c r="N41" s="124"/>
      <c r="O41" s="124"/>
      <c r="P41" s="124"/>
      <c r="Q41" s="124"/>
      <c r="R41" s="124"/>
      <c r="S41" s="124"/>
      <c r="T41" s="124"/>
      <c r="U41" s="124"/>
      <c r="V41" s="124"/>
      <c r="W41" s="124"/>
      <c r="X41" s="124"/>
      <c r="Y41" s="124"/>
    </row>
    <row r="42" spans="2:25" x14ac:dyDescent="0.25">
      <c r="B42" s="124"/>
      <c r="C42" s="124"/>
      <c r="D42" s="124"/>
      <c r="E42" s="124"/>
      <c r="F42" s="124"/>
      <c r="G42" s="124"/>
      <c r="H42" s="124"/>
      <c r="I42" s="124"/>
      <c r="J42" s="124"/>
      <c r="K42" s="124"/>
      <c r="L42" s="124"/>
      <c r="M42" s="124"/>
      <c r="N42" s="124"/>
      <c r="O42" s="124"/>
      <c r="P42" s="124"/>
      <c r="Q42" s="124"/>
      <c r="R42" s="124"/>
      <c r="S42" s="124"/>
      <c r="T42" s="124"/>
      <c r="U42" s="124"/>
      <c r="V42" s="124"/>
      <c r="W42" s="124"/>
      <c r="X42" s="124"/>
      <c r="Y42" s="124"/>
    </row>
    <row r="43" spans="2:25" x14ac:dyDescent="0.25">
      <c r="B43" s="124"/>
      <c r="C43" s="124"/>
      <c r="D43" s="124"/>
      <c r="E43" s="124"/>
      <c r="F43" s="124"/>
      <c r="G43" s="124"/>
      <c r="H43" s="124"/>
      <c r="I43" s="124"/>
      <c r="J43" s="124"/>
      <c r="K43" s="124"/>
      <c r="L43" s="124"/>
      <c r="M43" s="124"/>
      <c r="N43" s="124"/>
      <c r="O43" s="124"/>
      <c r="P43" s="124"/>
      <c r="Q43" s="124"/>
      <c r="R43" s="124"/>
      <c r="S43" s="124"/>
      <c r="T43" s="124"/>
      <c r="U43" s="124"/>
      <c r="V43" s="124"/>
      <c r="W43" s="124"/>
      <c r="X43" s="124"/>
      <c r="Y43" s="124"/>
    </row>
    <row r="44" spans="2:25" x14ac:dyDescent="0.25">
      <c r="B44" s="124"/>
      <c r="C44" s="124"/>
      <c r="D44" s="124"/>
      <c r="E44" s="124"/>
      <c r="F44" s="124"/>
      <c r="G44" s="124"/>
      <c r="H44" s="124"/>
      <c r="I44" s="124"/>
      <c r="J44" s="124"/>
      <c r="K44" s="124"/>
      <c r="L44" s="124"/>
      <c r="M44" s="124"/>
      <c r="N44" s="124"/>
      <c r="O44" s="124"/>
      <c r="P44" s="124"/>
      <c r="Q44" s="124"/>
      <c r="R44" s="124"/>
      <c r="S44" s="124"/>
      <c r="T44" s="124"/>
      <c r="U44" s="124"/>
      <c r="V44" s="124"/>
      <c r="W44" s="124"/>
      <c r="X44" s="124"/>
      <c r="Y44" s="124"/>
    </row>
    <row r="45" spans="2:25" x14ac:dyDescent="0.25">
      <c r="B45" s="124"/>
      <c r="C45" s="124"/>
      <c r="D45" s="124"/>
      <c r="E45" s="124"/>
      <c r="F45" s="124"/>
      <c r="G45" s="124"/>
      <c r="H45" s="124"/>
      <c r="I45" s="124"/>
      <c r="J45" s="124"/>
      <c r="K45" s="124"/>
      <c r="L45" s="124"/>
      <c r="M45" s="124"/>
      <c r="N45" s="124"/>
      <c r="O45" s="124"/>
      <c r="P45" s="124"/>
      <c r="Q45" s="124"/>
      <c r="R45" s="124"/>
      <c r="S45" s="124"/>
      <c r="T45" s="124"/>
      <c r="U45" s="124"/>
      <c r="V45" s="124"/>
      <c r="W45" s="124"/>
      <c r="X45" s="124"/>
      <c r="Y45" s="124"/>
    </row>
    <row r="46" spans="2:25" x14ac:dyDescent="0.25">
      <c r="B46" s="124"/>
      <c r="C46" s="124"/>
      <c r="D46" s="124"/>
      <c r="E46" s="124"/>
      <c r="F46" s="124"/>
      <c r="G46" s="124"/>
      <c r="H46" s="124"/>
      <c r="I46" s="124"/>
      <c r="J46" s="124"/>
      <c r="K46" s="124"/>
      <c r="L46" s="124"/>
      <c r="M46" s="124"/>
      <c r="N46" s="124"/>
      <c r="O46" s="124"/>
      <c r="P46" s="124"/>
      <c r="Q46" s="124"/>
      <c r="R46" s="124"/>
      <c r="S46" s="124"/>
      <c r="T46" s="124"/>
      <c r="U46" s="124"/>
      <c r="V46" s="124"/>
      <c r="W46" s="124"/>
      <c r="X46" s="124"/>
      <c r="Y46" s="124"/>
    </row>
    <row r="47" spans="2:25" x14ac:dyDescent="0.25">
      <c r="B47" s="124"/>
      <c r="C47" s="124"/>
      <c r="D47" s="124"/>
      <c r="E47" s="124"/>
      <c r="F47" s="124"/>
      <c r="G47" s="124"/>
      <c r="H47" s="124"/>
      <c r="I47" s="124"/>
      <c r="J47" s="124"/>
      <c r="K47" s="124"/>
      <c r="L47" s="124"/>
      <c r="M47" s="124"/>
      <c r="N47" s="124"/>
      <c r="O47" s="124"/>
      <c r="P47" s="124"/>
      <c r="Q47" s="124"/>
      <c r="R47" s="124"/>
      <c r="S47" s="124"/>
      <c r="T47" s="124"/>
      <c r="U47" s="124"/>
      <c r="V47" s="124"/>
      <c r="W47" s="124"/>
      <c r="X47" s="124"/>
      <c r="Y47" s="124"/>
    </row>
    <row r="48" spans="2:25" x14ac:dyDescent="0.25">
      <c r="B48" s="124"/>
      <c r="C48" s="124"/>
      <c r="D48" s="124"/>
      <c r="E48" s="124"/>
      <c r="F48" s="124"/>
      <c r="G48" s="124"/>
      <c r="H48" s="124"/>
      <c r="I48" s="124"/>
      <c r="J48" s="124"/>
      <c r="K48" s="124"/>
      <c r="L48" s="124"/>
      <c r="M48" s="124"/>
      <c r="N48" s="124"/>
      <c r="O48" s="124"/>
      <c r="P48" s="124"/>
      <c r="Q48" s="124"/>
      <c r="R48" s="124"/>
      <c r="S48" s="124"/>
      <c r="T48" s="124"/>
      <c r="U48" s="124"/>
      <c r="V48" s="124"/>
      <c r="W48" s="124"/>
      <c r="X48" s="124"/>
      <c r="Y48" s="124"/>
    </row>
    <row r="49" spans="2:25" x14ac:dyDescent="0.25">
      <c r="B49" s="124"/>
      <c r="C49" s="124"/>
      <c r="D49" s="124"/>
      <c r="E49" s="124"/>
      <c r="F49" s="124"/>
      <c r="G49" s="124"/>
      <c r="H49" s="124"/>
      <c r="I49" s="124"/>
      <c r="J49" s="124"/>
      <c r="K49" s="124"/>
      <c r="L49" s="124"/>
      <c r="M49" s="124"/>
      <c r="N49" s="124"/>
      <c r="O49" s="124"/>
      <c r="P49" s="124"/>
      <c r="Q49" s="124"/>
      <c r="R49" s="124"/>
      <c r="S49" s="124"/>
      <c r="T49" s="124"/>
      <c r="U49" s="124"/>
      <c r="V49" s="124"/>
      <c r="W49" s="124"/>
      <c r="X49" s="124"/>
      <c r="Y49" s="124"/>
    </row>
    <row r="50" spans="2:25" x14ac:dyDescent="0.25">
      <c r="B50" s="124"/>
      <c r="C50" s="124"/>
      <c r="D50" s="124"/>
      <c r="E50" s="124"/>
      <c r="F50" s="124"/>
      <c r="G50" s="124"/>
      <c r="H50" s="124"/>
      <c r="I50" s="124"/>
      <c r="J50" s="124"/>
      <c r="K50" s="124"/>
      <c r="L50" s="124"/>
      <c r="M50" s="124"/>
      <c r="N50" s="124"/>
      <c r="O50" s="124"/>
      <c r="P50" s="124"/>
      <c r="Q50" s="124"/>
      <c r="R50" s="124"/>
      <c r="S50" s="124"/>
      <c r="T50" s="124"/>
      <c r="U50" s="124"/>
      <c r="V50" s="124"/>
      <c r="W50" s="124"/>
      <c r="X50" s="124"/>
      <c r="Y50" s="124"/>
    </row>
    <row r="51" spans="2:25" x14ac:dyDescent="0.25">
      <c r="B51" s="124"/>
      <c r="C51" s="124"/>
      <c r="D51" s="124"/>
      <c r="E51" s="124"/>
      <c r="F51" s="124"/>
      <c r="G51" s="124"/>
      <c r="H51" s="124"/>
      <c r="I51" s="124"/>
      <c r="J51" s="124"/>
      <c r="K51" s="124"/>
      <c r="L51" s="124"/>
      <c r="M51" s="124"/>
      <c r="N51" s="124"/>
      <c r="O51" s="124"/>
      <c r="P51" s="124"/>
      <c r="Q51" s="124"/>
      <c r="R51" s="124"/>
      <c r="S51" s="124"/>
      <c r="T51" s="124"/>
      <c r="U51" s="124"/>
      <c r="V51" s="124"/>
      <c r="W51" s="124"/>
      <c r="X51" s="124"/>
      <c r="Y51" s="124"/>
    </row>
    <row r="52" spans="2:25" x14ac:dyDescent="0.25">
      <c r="B52" s="124"/>
      <c r="C52" s="124"/>
      <c r="D52" s="124"/>
      <c r="E52" s="124"/>
      <c r="F52" s="124"/>
      <c r="G52" s="124"/>
      <c r="H52" s="124"/>
      <c r="I52" s="124"/>
      <c r="J52" s="124"/>
      <c r="K52" s="124"/>
      <c r="L52" s="124"/>
      <c r="M52" s="124"/>
      <c r="N52" s="124"/>
      <c r="O52" s="124"/>
      <c r="P52" s="124"/>
      <c r="Q52" s="124"/>
      <c r="R52" s="124"/>
      <c r="S52" s="124"/>
      <c r="T52" s="124"/>
      <c r="U52" s="124"/>
      <c r="V52" s="124"/>
      <c r="W52" s="124"/>
      <c r="X52" s="124"/>
      <c r="Y52" s="124"/>
    </row>
    <row r="53" spans="2:25" x14ac:dyDescent="0.25">
      <c r="B53" s="124"/>
      <c r="C53" s="124"/>
      <c r="D53" s="124"/>
      <c r="E53" s="124"/>
      <c r="F53" s="124"/>
      <c r="G53" s="124"/>
      <c r="H53" s="124"/>
      <c r="I53" s="124"/>
      <c r="J53" s="124"/>
      <c r="K53" s="124"/>
      <c r="L53" s="124"/>
      <c r="M53" s="124"/>
      <c r="N53" s="124"/>
      <c r="O53" s="124"/>
      <c r="P53" s="124"/>
      <c r="Q53" s="124"/>
      <c r="R53" s="124"/>
      <c r="S53" s="124"/>
      <c r="T53" s="124"/>
      <c r="U53" s="124"/>
      <c r="V53" s="124"/>
      <c r="W53" s="124"/>
      <c r="X53" s="124"/>
      <c r="Y53" s="124"/>
    </row>
    <row r="54" spans="2:25" x14ac:dyDescent="0.25">
      <c r="B54" s="124"/>
      <c r="C54" s="124"/>
      <c r="D54" s="124"/>
      <c r="E54" s="124"/>
      <c r="F54" s="124"/>
      <c r="G54" s="124"/>
      <c r="H54" s="124"/>
      <c r="I54" s="124"/>
      <c r="J54" s="124"/>
      <c r="K54" s="124"/>
      <c r="L54" s="124"/>
      <c r="M54" s="124"/>
      <c r="N54" s="124"/>
      <c r="O54" s="124"/>
      <c r="P54" s="124"/>
      <c r="Q54" s="124"/>
      <c r="R54" s="124"/>
      <c r="S54" s="124"/>
      <c r="T54" s="124"/>
      <c r="U54" s="124"/>
      <c r="V54" s="124"/>
      <c r="W54" s="124"/>
      <c r="X54" s="124"/>
      <c r="Y54" s="124"/>
    </row>
    <row r="55" spans="2:25" x14ac:dyDescent="0.25">
      <c r="B55" s="124"/>
      <c r="C55" s="124"/>
      <c r="D55" s="124"/>
      <c r="E55" s="124"/>
      <c r="F55" s="124"/>
      <c r="G55" s="124"/>
      <c r="H55" s="124"/>
      <c r="I55" s="124"/>
      <c r="J55" s="124"/>
      <c r="K55" s="124"/>
      <c r="L55" s="124"/>
      <c r="M55" s="124"/>
      <c r="N55" s="124"/>
      <c r="O55" s="124"/>
      <c r="P55" s="124"/>
      <c r="Q55" s="124"/>
      <c r="R55" s="124"/>
      <c r="S55" s="124"/>
      <c r="T55" s="124"/>
      <c r="U55" s="124"/>
      <c r="V55" s="124"/>
      <c r="W55" s="124"/>
      <c r="X55" s="124"/>
      <c r="Y55" s="124"/>
    </row>
    <row r="56" spans="2:25" x14ac:dyDescent="0.25">
      <c r="B56" s="124"/>
      <c r="C56" s="124"/>
      <c r="D56" s="124"/>
      <c r="E56" s="124"/>
      <c r="F56" s="124"/>
      <c r="G56" s="124"/>
      <c r="H56" s="124"/>
      <c r="I56" s="124"/>
      <c r="J56" s="124"/>
      <c r="K56" s="124"/>
      <c r="L56" s="124"/>
      <c r="M56" s="124"/>
      <c r="N56" s="124"/>
      <c r="O56" s="124"/>
      <c r="P56" s="124"/>
      <c r="Q56" s="124"/>
      <c r="R56" s="124"/>
      <c r="S56" s="124"/>
      <c r="T56" s="124"/>
      <c r="U56" s="124"/>
      <c r="V56" s="124"/>
      <c r="W56" s="124"/>
      <c r="X56" s="124"/>
      <c r="Y56" s="124"/>
    </row>
    <row r="57" spans="2:25" x14ac:dyDescent="0.25">
      <c r="B57" s="124"/>
      <c r="C57" s="124"/>
      <c r="D57" s="124"/>
      <c r="E57" s="124"/>
      <c r="F57" s="124"/>
      <c r="G57" s="124"/>
      <c r="H57" s="124"/>
      <c r="I57" s="124"/>
      <c r="J57" s="124"/>
      <c r="K57" s="124"/>
      <c r="L57" s="124"/>
      <c r="M57" s="124"/>
      <c r="N57" s="124"/>
      <c r="O57" s="124"/>
      <c r="P57" s="124"/>
      <c r="Q57" s="124"/>
      <c r="R57" s="124"/>
      <c r="S57" s="124"/>
      <c r="T57" s="124"/>
      <c r="U57" s="124"/>
      <c r="V57" s="124"/>
      <c r="W57" s="124"/>
      <c r="X57" s="124"/>
      <c r="Y57" s="124"/>
    </row>
    <row r="58" spans="2:25" x14ac:dyDescent="0.25">
      <c r="B58" s="124"/>
      <c r="C58" s="124"/>
      <c r="D58" s="124"/>
      <c r="E58" s="124"/>
      <c r="F58" s="124"/>
      <c r="G58" s="124"/>
      <c r="H58" s="124"/>
      <c r="I58" s="124"/>
      <c r="J58" s="124"/>
      <c r="K58" s="124"/>
      <c r="L58" s="124"/>
      <c r="M58" s="124"/>
      <c r="N58" s="124"/>
      <c r="O58" s="124"/>
      <c r="P58" s="124"/>
      <c r="Q58" s="124"/>
      <c r="R58" s="124"/>
      <c r="S58" s="124"/>
      <c r="T58" s="124"/>
      <c r="U58" s="124"/>
      <c r="V58" s="124"/>
      <c r="W58" s="124"/>
      <c r="X58" s="124"/>
      <c r="Y58" s="124"/>
    </row>
    <row r="59" spans="2:25" x14ac:dyDescent="0.25">
      <c r="B59" s="124"/>
      <c r="C59" s="124"/>
      <c r="D59" s="124"/>
      <c r="E59" s="124"/>
      <c r="F59" s="124"/>
      <c r="G59" s="124"/>
      <c r="H59" s="124"/>
      <c r="I59" s="124"/>
      <c r="J59" s="124"/>
      <c r="K59" s="124"/>
      <c r="L59" s="124"/>
      <c r="M59" s="124"/>
      <c r="N59" s="124"/>
      <c r="O59" s="124"/>
      <c r="P59" s="124"/>
      <c r="Q59" s="124"/>
      <c r="R59" s="124"/>
      <c r="S59" s="124"/>
      <c r="T59" s="124"/>
      <c r="U59" s="124"/>
      <c r="V59" s="124"/>
      <c r="W59" s="124"/>
      <c r="X59" s="124"/>
      <c r="Y59" s="124"/>
    </row>
    <row r="60" spans="2:25" x14ac:dyDescent="0.25">
      <c r="B60" s="124"/>
      <c r="C60" s="124"/>
      <c r="D60" s="124"/>
      <c r="E60" s="124"/>
      <c r="F60" s="124"/>
      <c r="G60" s="124"/>
      <c r="H60" s="124"/>
      <c r="I60" s="124"/>
      <c r="J60" s="124"/>
      <c r="K60" s="124"/>
      <c r="L60" s="124"/>
      <c r="M60" s="124"/>
      <c r="N60" s="124"/>
      <c r="O60" s="124"/>
      <c r="P60" s="124"/>
      <c r="Q60" s="124"/>
      <c r="R60" s="124"/>
      <c r="S60" s="124"/>
      <c r="T60" s="124"/>
      <c r="U60" s="124"/>
      <c r="V60" s="124"/>
      <c r="W60" s="124"/>
      <c r="X60" s="124"/>
      <c r="Y60" s="124"/>
    </row>
    <row r="61" spans="2:25" x14ac:dyDescent="0.25">
      <c r="B61" s="124"/>
      <c r="C61" s="124"/>
      <c r="D61" s="124"/>
      <c r="E61" s="124"/>
      <c r="F61" s="124"/>
      <c r="G61" s="124"/>
      <c r="H61" s="124"/>
      <c r="I61" s="124"/>
      <c r="J61" s="124"/>
      <c r="K61" s="124"/>
      <c r="L61" s="124"/>
      <c r="M61" s="124"/>
      <c r="N61" s="124"/>
      <c r="O61" s="124"/>
      <c r="P61" s="124"/>
      <c r="Q61" s="124"/>
      <c r="R61" s="124"/>
      <c r="S61" s="124"/>
      <c r="T61" s="124"/>
      <c r="U61" s="124"/>
      <c r="V61" s="124"/>
      <c r="W61" s="124"/>
      <c r="X61" s="124"/>
      <c r="Y61" s="124"/>
    </row>
    <row r="62" spans="2:25" x14ac:dyDescent="0.25">
      <c r="B62" s="124"/>
      <c r="C62" s="124"/>
      <c r="D62" s="124"/>
      <c r="E62" s="124"/>
      <c r="F62" s="124"/>
      <c r="G62" s="124"/>
      <c r="H62" s="124"/>
      <c r="I62" s="124"/>
      <c r="J62" s="124"/>
      <c r="K62" s="124"/>
      <c r="L62" s="124"/>
      <c r="M62" s="124"/>
      <c r="N62" s="124"/>
      <c r="O62" s="124"/>
      <c r="P62" s="124"/>
      <c r="Q62" s="124"/>
      <c r="R62" s="124"/>
      <c r="S62" s="124"/>
      <c r="T62" s="124"/>
      <c r="U62" s="124"/>
      <c r="V62" s="124"/>
      <c r="W62" s="124"/>
      <c r="X62" s="124"/>
      <c r="Y62" s="124"/>
    </row>
    <row r="63" spans="2:25" x14ac:dyDescent="0.25">
      <c r="B63" s="124"/>
      <c r="C63" s="124"/>
      <c r="D63" s="124"/>
      <c r="E63" s="124"/>
      <c r="F63" s="124"/>
      <c r="G63" s="124"/>
      <c r="H63" s="124"/>
      <c r="I63" s="124"/>
      <c r="J63" s="124"/>
      <c r="K63" s="124"/>
      <c r="L63" s="124"/>
      <c r="M63" s="124"/>
      <c r="N63" s="124"/>
      <c r="O63" s="124"/>
      <c r="P63" s="124"/>
      <c r="Q63" s="124"/>
      <c r="R63" s="124"/>
      <c r="S63" s="124"/>
      <c r="T63" s="124"/>
      <c r="U63" s="124"/>
      <c r="V63" s="124"/>
      <c r="W63" s="124"/>
      <c r="X63" s="124"/>
      <c r="Y63" s="124"/>
    </row>
    <row r="64" spans="2:25" x14ac:dyDescent="0.25">
      <c r="B64" s="124"/>
      <c r="C64" s="124"/>
      <c r="D64" s="124"/>
      <c r="E64" s="124"/>
      <c r="F64" s="124"/>
      <c r="G64" s="124"/>
      <c r="H64" s="124"/>
      <c r="I64" s="124"/>
      <c r="J64" s="124"/>
      <c r="K64" s="124"/>
      <c r="L64" s="124"/>
      <c r="M64" s="124"/>
      <c r="N64" s="124"/>
      <c r="O64" s="124"/>
      <c r="P64" s="124"/>
      <c r="Q64" s="124"/>
      <c r="R64" s="124"/>
      <c r="S64" s="124"/>
      <c r="T64" s="124"/>
      <c r="U64" s="124"/>
      <c r="V64" s="124"/>
      <c r="W64" s="124"/>
      <c r="X64" s="124"/>
      <c r="Y64" s="124"/>
    </row>
    <row r="65" spans="2:25" x14ac:dyDescent="0.25">
      <c r="B65" s="124"/>
      <c r="C65" s="124"/>
      <c r="D65" s="124"/>
      <c r="E65" s="124"/>
      <c r="F65" s="124"/>
      <c r="G65" s="124"/>
      <c r="H65" s="124"/>
      <c r="I65" s="124"/>
      <c r="J65" s="124"/>
      <c r="K65" s="124"/>
      <c r="L65" s="124"/>
      <c r="M65" s="124"/>
      <c r="N65" s="124"/>
      <c r="O65" s="124"/>
      <c r="P65" s="124"/>
      <c r="Q65" s="124"/>
      <c r="R65" s="124"/>
      <c r="S65" s="124"/>
      <c r="T65" s="124"/>
      <c r="U65" s="124"/>
      <c r="V65" s="124"/>
      <c r="W65" s="124"/>
      <c r="X65" s="124"/>
      <c r="Y65" s="124"/>
    </row>
    <row r="66" spans="2:25" x14ac:dyDescent="0.25">
      <c r="B66" s="124"/>
      <c r="C66" s="124"/>
      <c r="D66" s="124"/>
      <c r="E66" s="124"/>
      <c r="F66" s="124"/>
      <c r="G66" s="124"/>
      <c r="H66" s="124"/>
      <c r="I66" s="124"/>
      <c r="J66" s="124"/>
      <c r="K66" s="124"/>
      <c r="L66" s="124"/>
      <c r="M66" s="124"/>
      <c r="N66" s="124"/>
      <c r="O66" s="124"/>
      <c r="P66" s="124"/>
      <c r="Q66" s="124"/>
      <c r="R66" s="124"/>
      <c r="S66" s="124"/>
      <c r="T66" s="124"/>
      <c r="U66" s="124"/>
      <c r="V66" s="124"/>
      <c r="W66" s="124"/>
      <c r="X66" s="124"/>
      <c r="Y66" s="124"/>
    </row>
    <row r="67" spans="2:25" x14ac:dyDescent="0.25">
      <c r="B67" s="124"/>
      <c r="C67" s="124"/>
      <c r="D67" s="124"/>
      <c r="E67" s="124"/>
      <c r="F67" s="124"/>
      <c r="G67" s="124"/>
      <c r="H67" s="124"/>
      <c r="I67" s="124"/>
      <c r="J67" s="124"/>
      <c r="K67" s="124"/>
      <c r="L67" s="124"/>
      <c r="M67" s="124"/>
      <c r="N67" s="124"/>
      <c r="O67" s="124"/>
      <c r="P67" s="124"/>
      <c r="Q67" s="124"/>
      <c r="R67" s="124"/>
      <c r="S67" s="124"/>
      <c r="T67" s="124"/>
      <c r="U67" s="124"/>
      <c r="V67" s="124"/>
      <c r="W67" s="124"/>
      <c r="X67" s="124"/>
      <c r="Y67" s="124"/>
    </row>
    <row r="68" spans="2:25" x14ac:dyDescent="0.25">
      <c r="B68" s="124"/>
      <c r="C68" s="124"/>
      <c r="D68" s="124"/>
      <c r="E68" s="124"/>
      <c r="F68" s="124"/>
      <c r="G68" s="124"/>
      <c r="H68" s="124"/>
      <c r="I68" s="124"/>
      <c r="J68" s="124"/>
      <c r="K68" s="124"/>
      <c r="L68" s="124"/>
      <c r="M68" s="124"/>
      <c r="N68" s="124"/>
      <c r="O68" s="124"/>
      <c r="P68" s="124"/>
      <c r="Q68" s="124"/>
      <c r="R68" s="124"/>
      <c r="S68" s="124"/>
      <c r="T68" s="124"/>
      <c r="U68" s="124"/>
      <c r="V68" s="124"/>
      <c r="W68" s="124"/>
      <c r="X68" s="124"/>
      <c r="Y68" s="124"/>
    </row>
    <row r="69" spans="2:25" x14ac:dyDescent="0.25">
      <c r="B69" s="124"/>
      <c r="C69" s="124"/>
      <c r="D69" s="124"/>
      <c r="E69" s="124"/>
      <c r="F69" s="124"/>
      <c r="G69" s="124"/>
      <c r="H69" s="124"/>
      <c r="I69" s="124"/>
      <c r="J69" s="124"/>
      <c r="K69" s="124"/>
      <c r="L69" s="124"/>
      <c r="M69" s="124"/>
      <c r="N69" s="124"/>
      <c r="O69" s="124"/>
      <c r="P69" s="124"/>
      <c r="Q69" s="124"/>
      <c r="R69" s="124"/>
      <c r="S69" s="124"/>
      <c r="T69" s="124"/>
      <c r="U69" s="124"/>
      <c r="V69" s="124"/>
      <c r="W69" s="124"/>
      <c r="X69" s="124"/>
      <c r="Y69" s="124"/>
    </row>
    <row r="70" spans="2:25" x14ac:dyDescent="0.25">
      <c r="B70" s="124"/>
      <c r="C70" s="124"/>
      <c r="D70" s="124"/>
      <c r="E70" s="124"/>
      <c r="F70" s="124"/>
      <c r="G70" s="124"/>
      <c r="H70" s="124"/>
      <c r="I70" s="124"/>
      <c r="J70" s="124"/>
      <c r="K70" s="124"/>
      <c r="L70" s="124"/>
      <c r="M70" s="124"/>
      <c r="N70" s="124"/>
      <c r="O70" s="124"/>
      <c r="P70" s="124"/>
      <c r="Q70" s="124"/>
      <c r="R70" s="124"/>
      <c r="S70" s="124"/>
      <c r="T70" s="124"/>
      <c r="U70" s="124"/>
      <c r="V70" s="124"/>
      <c r="W70" s="124"/>
      <c r="X70" s="124"/>
      <c r="Y70" s="124"/>
    </row>
    <row r="71" spans="2:25" x14ac:dyDescent="0.25">
      <c r="B71" s="124"/>
      <c r="C71" s="124"/>
      <c r="D71" s="124"/>
      <c r="E71" s="124"/>
      <c r="F71" s="124"/>
      <c r="G71" s="124"/>
      <c r="H71" s="124"/>
      <c r="I71" s="124"/>
      <c r="J71" s="124"/>
      <c r="K71" s="124"/>
      <c r="L71" s="124"/>
      <c r="M71" s="124"/>
      <c r="N71" s="124"/>
      <c r="O71" s="124"/>
      <c r="P71" s="124"/>
      <c r="Q71" s="124"/>
      <c r="R71" s="124"/>
      <c r="S71" s="124"/>
      <c r="T71" s="124"/>
      <c r="U71" s="124"/>
      <c r="V71" s="124"/>
      <c r="W71" s="124"/>
      <c r="X71" s="124"/>
      <c r="Y71" s="124"/>
    </row>
    <row r="72" spans="2:25" x14ac:dyDescent="0.25">
      <c r="B72" s="124"/>
      <c r="C72" s="124"/>
      <c r="D72" s="124"/>
      <c r="E72" s="124"/>
      <c r="F72" s="124"/>
      <c r="G72" s="124"/>
      <c r="H72" s="124"/>
      <c r="I72" s="124"/>
      <c r="J72" s="124"/>
      <c r="K72" s="124"/>
      <c r="L72" s="124"/>
      <c r="M72" s="124"/>
      <c r="N72" s="124"/>
      <c r="O72" s="124"/>
      <c r="P72" s="124"/>
      <c r="Q72" s="124"/>
      <c r="R72" s="124"/>
      <c r="S72" s="124"/>
      <c r="T72" s="124"/>
      <c r="U72" s="124"/>
      <c r="V72" s="124"/>
      <c r="W72" s="124"/>
      <c r="X72" s="124"/>
      <c r="Y72" s="124"/>
    </row>
    <row r="73" spans="2:25" x14ac:dyDescent="0.25">
      <c r="B73" s="124"/>
      <c r="C73" s="124"/>
      <c r="D73" s="124"/>
      <c r="E73" s="124"/>
      <c r="F73" s="124"/>
      <c r="G73" s="124"/>
      <c r="H73" s="124"/>
      <c r="I73" s="124"/>
      <c r="J73" s="124"/>
      <c r="K73" s="124"/>
      <c r="L73" s="124"/>
      <c r="M73" s="124"/>
      <c r="N73" s="124"/>
      <c r="O73" s="124"/>
      <c r="P73" s="124"/>
      <c r="Q73" s="124"/>
      <c r="R73" s="124"/>
      <c r="S73" s="124"/>
      <c r="T73" s="124"/>
      <c r="U73" s="124"/>
      <c r="V73" s="124"/>
      <c r="W73" s="124"/>
      <c r="X73" s="124"/>
      <c r="Y73" s="124"/>
    </row>
    <row r="74" spans="2:25" x14ac:dyDescent="0.25">
      <c r="B74" s="124"/>
      <c r="C74" s="124"/>
      <c r="D74" s="124"/>
      <c r="E74" s="124"/>
      <c r="F74" s="124"/>
      <c r="G74" s="124"/>
      <c r="H74" s="124"/>
      <c r="I74" s="124"/>
      <c r="J74" s="124"/>
      <c r="K74" s="124"/>
      <c r="L74" s="124"/>
      <c r="M74" s="124"/>
      <c r="N74" s="124"/>
      <c r="O74" s="124"/>
      <c r="P74" s="124"/>
      <c r="Q74" s="124"/>
      <c r="R74" s="124"/>
      <c r="S74" s="124"/>
      <c r="T74" s="124"/>
      <c r="U74" s="124"/>
      <c r="V74" s="124"/>
      <c r="W74" s="124"/>
      <c r="X74" s="124"/>
      <c r="Y74" s="124"/>
    </row>
    <row r="75" spans="2:25" x14ac:dyDescent="0.25">
      <c r="B75" s="124"/>
      <c r="C75" s="124"/>
      <c r="D75" s="124"/>
      <c r="E75" s="124"/>
      <c r="F75" s="124"/>
      <c r="G75" s="124"/>
      <c r="H75" s="124"/>
      <c r="I75" s="124"/>
      <c r="J75" s="124"/>
      <c r="K75" s="124"/>
      <c r="L75" s="124"/>
      <c r="M75" s="124"/>
      <c r="N75" s="124"/>
      <c r="O75" s="124"/>
      <c r="P75" s="124"/>
      <c r="Q75" s="124"/>
      <c r="R75" s="124"/>
      <c r="S75" s="124"/>
      <c r="T75" s="124"/>
      <c r="U75" s="124"/>
      <c r="V75" s="124"/>
      <c r="W75" s="124"/>
      <c r="X75" s="124"/>
      <c r="Y75" s="124"/>
    </row>
    <row r="76" spans="2:25" x14ac:dyDescent="0.25">
      <c r="B76" s="124"/>
      <c r="C76" s="124"/>
      <c r="D76" s="124"/>
      <c r="E76" s="124"/>
      <c r="F76" s="124"/>
      <c r="G76" s="124"/>
      <c r="H76" s="124"/>
      <c r="I76" s="124"/>
      <c r="J76" s="124"/>
      <c r="K76" s="124"/>
      <c r="L76" s="124"/>
      <c r="M76" s="124"/>
      <c r="N76" s="124"/>
      <c r="O76" s="124"/>
      <c r="P76" s="124"/>
      <c r="Q76" s="124"/>
      <c r="R76" s="124"/>
      <c r="S76" s="124"/>
      <c r="T76" s="124"/>
      <c r="U76" s="124"/>
      <c r="V76" s="124"/>
      <c r="W76" s="124"/>
      <c r="X76" s="124"/>
      <c r="Y76" s="124"/>
    </row>
    <row r="77" spans="2:25" x14ac:dyDescent="0.25">
      <c r="B77" s="124"/>
      <c r="C77" s="124"/>
      <c r="D77" s="124"/>
      <c r="E77" s="124"/>
      <c r="F77" s="124"/>
      <c r="G77" s="124"/>
      <c r="H77" s="124"/>
      <c r="I77" s="124"/>
      <c r="J77" s="124"/>
      <c r="K77" s="124"/>
      <c r="L77" s="124"/>
      <c r="M77" s="124"/>
      <c r="N77" s="124"/>
      <c r="O77" s="124"/>
      <c r="P77" s="124"/>
      <c r="Q77" s="124"/>
      <c r="R77" s="124"/>
      <c r="S77" s="124"/>
      <c r="T77" s="124"/>
      <c r="U77" s="124"/>
      <c r="V77" s="124"/>
      <c r="W77" s="124"/>
      <c r="X77" s="124"/>
      <c r="Y77" s="124"/>
    </row>
    <row r="78" spans="2:25" x14ac:dyDescent="0.25">
      <c r="B78" s="124"/>
      <c r="C78" s="124"/>
      <c r="D78" s="124"/>
      <c r="E78" s="124"/>
      <c r="F78" s="124"/>
      <c r="G78" s="124"/>
      <c r="H78" s="124"/>
      <c r="I78" s="124"/>
      <c r="J78" s="124"/>
      <c r="K78" s="124"/>
      <c r="L78" s="124"/>
      <c r="M78" s="124"/>
      <c r="N78" s="124"/>
      <c r="O78" s="124"/>
      <c r="P78" s="124"/>
      <c r="Q78" s="124"/>
      <c r="R78" s="124"/>
      <c r="S78" s="124"/>
      <c r="T78" s="124"/>
      <c r="U78" s="124"/>
      <c r="V78" s="124"/>
      <c r="W78" s="124"/>
      <c r="X78" s="124"/>
      <c r="Y78" s="124"/>
    </row>
    <row r="79" spans="2:25" x14ac:dyDescent="0.25">
      <c r="B79" s="124"/>
      <c r="C79" s="124"/>
      <c r="D79" s="124"/>
      <c r="E79" s="124"/>
      <c r="F79" s="124"/>
      <c r="G79" s="124"/>
      <c r="H79" s="124"/>
      <c r="I79" s="124"/>
      <c r="J79" s="124"/>
      <c r="K79" s="124"/>
      <c r="L79" s="124"/>
      <c r="M79" s="124"/>
      <c r="N79" s="124"/>
      <c r="O79" s="124"/>
      <c r="P79" s="124"/>
      <c r="Q79" s="124"/>
      <c r="R79" s="124"/>
      <c r="S79" s="124"/>
      <c r="T79" s="124"/>
      <c r="U79" s="124"/>
      <c r="V79" s="124"/>
      <c r="W79" s="124"/>
      <c r="X79" s="124"/>
      <c r="Y79" s="124"/>
    </row>
    <row r="80" spans="2:25" x14ac:dyDescent="0.25">
      <c r="B80" s="124"/>
      <c r="C80" s="124"/>
      <c r="D80" s="124"/>
      <c r="E80" s="124"/>
      <c r="F80" s="124"/>
      <c r="G80" s="124"/>
      <c r="H80" s="124"/>
      <c r="I80" s="124"/>
      <c r="J80" s="124"/>
      <c r="K80" s="124"/>
      <c r="L80" s="124"/>
      <c r="M80" s="124"/>
      <c r="N80" s="124"/>
      <c r="O80" s="124"/>
      <c r="P80" s="124"/>
      <c r="Q80" s="124"/>
      <c r="R80" s="124"/>
      <c r="S80" s="124"/>
      <c r="T80" s="124"/>
      <c r="U80" s="124"/>
      <c r="V80" s="124"/>
      <c r="W80" s="124"/>
      <c r="X80" s="124"/>
      <c r="Y80" s="124"/>
    </row>
    <row r="81" spans="2:25" x14ac:dyDescent="0.25">
      <c r="B81" s="124"/>
      <c r="C81" s="124"/>
      <c r="D81" s="124"/>
      <c r="E81" s="124"/>
      <c r="F81" s="124"/>
      <c r="G81" s="124"/>
      <c r="H81" s="124"/>
      <c r="I81" s="124"/>
      <c r="J81" s="124"/>
      <c r="K81" s="124"/>
      <c r="L81" s="124"/>
      <c r="M81" s="124"/>
      <c r="N81" s="124"/>
      <c r="O81" s="124"/>
      <c r="P81" s="124"/>
      <c r="Q81" s="124"/>
      <c r="R81" s="124"/>
      <c r="S81" s="124"/>
      <c r="T81" s="124"/>
      <c r="U81" s="124"/>
      <c r="V81" s="124"/>
      <c r="W81" s="124"/>
      <c r="X81" s="124"/>
      <c r="Y81" s="124"/>
    </row>
    <row r="82" spans="2:25" x14ac:dyDescent="0.25">
      <c r="B82" s="124"/>
      <c r="C82" s="124"/>
      <c r="D82" s="124"/>
      <c r="E82" s="124"/>
      <c r="F82" s="124"/>
      <c r="G82" s="124"/>
      <c r="H82" s="124"/>
      <c r="I82" s="124"/>
      <c r="J82" s="124"/>
      <c r="K82" s="124"/>
      <c r="L82" s="124"/>
      <c r="M82" s="124"/>
      <c r="N82" s="124"/>
      <c r="O82" s="124"/>
      <c r="P82" s="124"/>
      <c r="Q82" s="124"/>
      <c r="R82" s="124"/>
      <c r="S82" s="124"/>
      <c r="T82" s="124"/>
      <c r="U82" s="124"/>
      <c r="V82" s="124"/>
      <c r="W82" s="124"/>
      <c r="X82" s="124"/>
      <c r="Y82" s="124"/>
    </row>
    <row r="83" spans="2:25" x14ac:dyDescent="0.25">
      <c r="B83" s="124"/>
      <c r="C83" s="124"/>
      <c r="D83" s="124"/>
      <c r="E83" s="124"/>
      <c r="F83" s="124"/>
      <c r="G83" s="124"/>
      <c r="H83" s="124"/>
      <c r="I83" s="124"/>
      <c r="J83" s="124"/>
      <c r="K83" s="124"/>
      <c r="L83" s="124"/>
      <c r="M83" s="124"/>
      <c r="N83" s="124"/>
      <c r="O83" s="124"/>
      <c r="P83" s="124"/>
      <c r="Q83" s="124"/>
      <c r="R83" s="124"/>
      <c r="S83" s="124"/>
      <c r="T83" s="124"/>
      <c r="U83" s="124"/>
      <c r="V83" s="124"/>
      <c r="W83" s="124"/>
      <c r="X83" s="124"/>
      <c r="Y83" s="124"/>
    </row>
    <row r="84" spans="2:25" x14ac:dyDescent="0.25">
      <c r="B84" s="124"/>
      <c r="C84" s="124"/>
      <c r="D84" s="124"/>
      <c r="E84" s="124"/>
      <c r="F84" s="124"/>
      <c r="G84" s="124"/>
      <c r="H84" s="124"/>
      <c r="I84" s="124"/>
      <c r="J84" s="124"/>
      <c r="K84" s="124"/>
      <c r="L84" s="124"/>
      <c r="M84" s="124"/>
      <c r="N84" s="124"/>
      <c r="O84" s="124"/>
      <c r="P84" s="124"/>
      <c r="Q84" s="124"/>
      <c r="R84" s="124"/>
      <c r="S84" s="124"/>
      <c r="T84" s="124"/>
      <c r="U84" s="124"/>
      <c r="V84" s="124"/>
      <c r="W84" s="124"/>
      <c r="X84" s="124"/>
      <c r="Y84" s="124"/>
    </row>
    <row r="85" spans="2:25" x14ac:dyDescent="0.25">
      <c r="B85" s="124"/>
      <c r="C85" s="124"/>
      <c r="D85" s="124"/>
      <c r="E85" s="124"/>
      <c r="F85" s="124"/>
      <c r="G85" s="124"/>
      <c r="H85" s="124"/>
      <c r="I85" s="124"/>
      <c r="J85" s="124"/>
      <c r="K85" s="124"/>
      <c r="L85" s="124"/>
      <c r="M85" s="124"/>
      <c r="N85" s="124"/>
      <c r="O85" s="124"/>
      <c r="P85" s="124"/>
      <c r="Q85" s="124"/>
      <c r="R85" s="124"/>
      <c r="S85" s="124"/>
      <c r="T85" s="124"/>
      <c r="U85" s="124"/>
      <c r="V85" s="124"/>
      <c r="W85" s="124"/>
      <c r="X85" s="124"/>
      <c r="Y85" s="124"/>
    </row>
    <row r="86" spans="2:25" x14ac:dyDescent="0.25">
      <c r="B86" s="124"/>
      <c r="C86" s="124"/>
      <c r="D86" s="124"/>
      <c r="E86" s="124"/>
      <c r="F86" s="124"/>
      <c r="G86" s="124"/>
      <c r="H86" s="124"/>
      <c r="I86" s="124"/>
      <c r="J86" s="124"/>
      <c r="K86" s="124"/>
      <c r="L86" s="124"/>
      <c r="M86" s="124"/>
      <c r="N86" s="124"/>
      <c r="O86" s="124"/>
      <c r="P86" s="124"/>
      <c r="Q86" s="124"/>
      <c r="R86" s="124"/>
      <c r="S86" s="124"/>
      <c r="T86" s="124"/>
      <c r="U86" s="124"/>
      <c r="V86" s="124"/>
      <c r="W86" s="124"/>
      <c r="X86" s="124"/>
      <c r="Y86" s="124"/>
    </row>
    <row r="87" spans="2:25" x14ac:dyDescent="0.25">
      <c r="B87" s="124"/>
      <c r="C87" s="124"/>
      <c r="D87" s="124"/>
      <c r="E87" s="124"/>
      <c r="F87" s="124"/>
      <c r="G87" s="124"/>
      <c r="H87" s="124"/>
      <c r="I87" s="124"/>
      <c r="J87" s="124"/>
      <c r="K87" s="124"/>
      <c r="L87" s="124"/>
      <c r="M87" s="124"/>
      <c r="N87" s="124"/>
      <c r="O87" s="124"/>
      <c r="P87" s="124"/>
      <c r="Q87" s="124"/>
      <c r="R87" s="124"/>
      <c r="S87" s="124"/>
      <c r="T87" s="124"/>
      <c r="U87" s="124"/>
      <c r="V87" s="124"/>
      <c r="W87" s="124"/>
      <c r="X87" s="124"/>
      <c r="Y87" s="124"/>
    </row>
    <row r="88" spans="2:25" x14ac:dyDescent="0.25">
      <c r="B88" s="124"/>
      <c r="C88" s="124"/>
      <c r="D88" s="124"/>
      <c r="E88" s="124"/>
      <c r="F88" s="124"/>
      <c r="G88" s="124"/>
      <c r="H88" s="124"/>
      <c r="I88" s="124"/>
      <c r="J88" s="124"/>
      <c r="K88" s="124"/>
      <c r="L88" s="124"/>
      <c r="M88" s="124"/>
      <c r="N88" s="124"/>
      <c r="O88" s="124"/>
      <c r="P88" s="124"/>
      <c r="Q88" s="124"/>
      <c r="R88" s="124"/>
      <c r="S88" s="124"/>
      <c r="T88" s="124"/>
      <c r="U88" s="124"/>
      <c r="V88" s="124"/>
      <c r="W88" s="124"/>
      <c r="X88" s="124"/>
      <c r="Y88" s="124"/>
    </row>
    <row r="89" spans="2:25" x14ac:dyDescent="0.25">
      <c r="B89" s="124"/>
      <c r="C89" s="124"/>
      <c r="D89" s="124"/>
      <c r="E89" s="124"/>
      <c r="F89" s="124"/>
      <c r="G89" s="124"/>
      <c r="H89" s="124"/>
      <c r="I89" s="124"/>
      <c r="J89" s="124"/>
      <c r="K89" s="124"/>
      <c r="L89" s="124"/>
      <c r="M89" s="124"/>
      <c r="N89" s="124"/>
      <c r="O89" s="124"/>
      <c r="P89" s="124"/>
      <c r="Q89" s="124"/>
      <c r="R89" s="124"/>
      <c r="S89" s="124"/>
      <c r="T89" s="124"/>
      <c r="U89" s="124"/>
      <c r="V89" s="124"/>
      <c r="W89" s="124"/>
      <c r="X89" s="124"/>
      <c r="Y89" s="124"/>
    </row>
    <row r="90" spans="2:25" x14ac:dyDescent="0.25">
      <c r="B90" s="124"/>
      <c r="C90" s="124"/>
      <c r="D90" s="124"/>
      <c r="E90" s="124"/>
      <c r="F90" s="124"/>
      <c r="G90" s="124"/>
      <c r="H90" s="124"/>
      <c r="I90" s="124"/>
      <c r="J90" s="124"/>
      <c r="K90" s="124"/>
      <c r="L90" s="124"/>
      <c r="M90" s="124"/>
      <c r="N90" s="124"/>
      <c r="O90" s="124"/>
      <c r="P90" s="124"/>
      <c r="Q90" s="124"/>
      <c r="R90" s="124"/>
      <c r="S90" s="124"/>
      <c r="T90" s="124"/>
      <c r="U90" s="124"/>
      <c r="V90" s="124"/>
      <c r="W90" s="124"/>
      <c r="X90" s="124"/>
      <c r="Y90" s="124"/>
    </row>
    <row r="91" spans="2:25" x14ac:dyDescent="0.25">
      <c r="B91" s="124"/>
      <c r="C91" s="124"/>
      <c r="D91" s="124"/>
      <c r="E91" s="124"/>
      <c r="F91" s="124"/>
      <c r="G91" s="124"/>
      <c r="H91" s="124"/>
      <c r="I91" s="124"/>
      <c r="J91" s="124"/>
      <c r="K91" s="124"/>
      <c r="L91" s="124"/>
      <c r="M91" s="124"/>
      <c r="N91" s="124"/>
      <c r="O91" s="124"/>
      <c r="P91" s="124"/>
      <c r="Q91" s="124"/>
      <c r="R91" s="124"/>
      <c r="S91" s="124"/>
      <c r="T91" s="124"/>
      <c r="U91" s="124"/>
      <c r="V91" s="124"/>
      <c r="W91" s="124"/>
      <c r="X91" s="124"/>
      <c r="Y91" s="124"/>
    </row>
    <row r="92" spans="2:25" x14ac:dyDescent="0.25">
      <c r="B92" s="124"/>
      <c r="C92" s="124"/>
      <c r="D92" s="124"/>
      <c r="E92" s="124"/>
      <c r="F92" s="124"/>
      <c r="G92" s="124"/>
      <c r="H92" s="124"/>
      <c r="I92" s="124"/>
      <c r="J92" s="124"/>
      <c r="K92" s="124"/>
      <c r="L92" s="124"/>
      <c r="M92" s="124"/>
      <c r="N92" s="124"/>
      <c r="O92" s="124"/>
      <c r="P92" s="124"/>
      <c r="Q92" s="124"/>
      <c r="R92" s="124"/>
      <c r="S92" s="124"/>
      <c r="T92" s="124"/>
      <c r="U92" s="124"/>
      <c r="V92" s="124"/>
      <c r="W92" s="124"/>
      <c r="X92" s="124"/>
      <c r="Y92" s="124"/>
    </row>
    <row r="93" spans="2:25" x14ac:dyDescent="0.25">
      <c r="B93" s="124"/>
      <c r="C93" s="124"/>
      <c r="D93" s="124"/>
      <c r="E93" s="124"/>
      <c r="F93" s="124"/>
      <c r="G93" s="124"/>
      <c r="H93" s="124"/>
      <c r="I93" s="124"/>
      <c r="J93" s="124"/>
      <c r="K93" s="124"/>
      <c r="L93" s="124"/>
      <c r="M93" s="124"/>
      <c r="N93" s="124"/>
      <c r="O93" s="124"/>
      <c r="P93" s="124"/>
      <c r="Q93" s="124"/>
      <c r="R93" s="124"/>
      <c r="S93" s="124"/>
      <c r="T93" s="124"/>
      <c r="U93" s="124"/>
      <c r="V93" s="124"/>
      <c r="W93" s="124"/>
      <c r="X93" s="124"/>
      <c r="Y93" s="124"/>
    </row>
    <row r="94" spans="2:25" x14ac:dyDescent="0.25">
      <c r="B94" s="124"/>
      <c r="C94" s="124"/>
      <c r="D94" s="124"/>
      <c r="E94" s="124"/>
      <c r="F94" s="124"/>
      <c r="G94" s="124"/>
      <c r="H94" s="124"/>
      <c r="I94" s="124"/>
      <c r="J94" s="124"/>
      <c r="K94" s="124"/>
      <c r="L94" s="124"/>
      <c r="M94" s="124"/>
      <c r="N94" s="124"/>
      <c r="O94" s="124"/>
      <c r="P94" s="124"/>
      <c r="Q94" s="124"/>
      <c r="R94" s="124"/>
      <c r="S94" s="124"/>
      <c r="T94" s="124"/>
      <c r="U94" s="124"/>
      <c r="V94" s="124"/>
      <c r="W94" s="124"/>
      <c r="X94" s="124"/>
      <c r="Y94" s="124"/>
    </row>
    <row r="95" spans="2:25" x14ac:dyDescent="0.25">
      <c r="B95" s="124"/>
      <c r="C95" s="124"/>
      <c r="D95" s="124"/>
      <c r="E95" s="124"/>
      <c r="F95" s="124"/>
      <c r="G95" s="124"/>
      <c r="H95" s="124"/>
      <c r="I95" s="124"/>
      <c r="J95" s="124"/>
      <c r="K95" s="124"/>
      <c r="L95" s="124"/>
      <c r="M95" s="124"/>
      <c r="N95" s="124"/>
      <c r="O95" s="124"/>
      <c r="P95" s="124"/>
      <c r="Q95" s="124"/>
      <c r="R95" s="124"/>
      <c r="S95" s="124"/>
      <c r="T95" s="124"/>
      <c r="U95" s="124"/>
      <c r="V95" s="124"/>
      <c r="W95" s="124"/>
      <c r="X95" s="124"/>
      <c r="Y95" s="124"/>
    </row>
    <row r="96" spans="2:25" x14ac:dyDescent="0.25">
      <c r="B96" s="124"/>
      <c r="C96" s="124"/>
      <c r="D96" s="124"/>
      <c r="E96" s="124"/>
      <c r="F96" s="124"/>
      <c r="G96" s="124"/>
      <c r="H96" s="124"/>
      <c r="I96" s="124"/>
      <c r="J96" s="124"/>
      <c r="K96" s="124"/>
      <c r="L96" s="124"/>
      <c r="M96" s="124"/>
      <c r="N96" s="124"/>
      <c r="O96" s="124"/>
      <c r="P96" s="124"/>
      <c r="Q96" s="124"/>
      <c r="R96" s="124"/>
      <c r="S96" s="124"/>
      <c r="T96" s="124"/>
      <c r="U96" s="124"/>
      <c r="V96" s="124"/>
      <c r="W96" s="124"/>
      <c r="X96" s="124"/>
      <c r="Y96" s="124"/>
    </row>
    <row r="97" spans="2:25" x14ac:dyDescent="0.25">
      <c r="B97" s="124"/>
      <c r="C97" s="124"/>
      <c r="D97" s="124"/>
      <c r="E97" s="124"/>
      <c r="F97" s="124"/>
      <c r="G97" s="124"/>
      <c r="H97" s="124"/>
      <c r="I97" s="124"/>
      <c r="J97" s="124"/>
      <c r="K97" s="124"/>
      <c r="L97" s="124"/>
      <c r="M97" s="124"/>
      <c r="N97" s="124"/>
      <c r="O97" s="124"/>
      <c r="P97" s="124"/>
      <c r="Q97" s="124"/>
      <c r="R97" s="124"/>
      <c r="S97" s="124"/>
      <c r="T97" s="124"/>
      <c r="U97" s="124"/>
      <c r="V97" s="124"/>
      <c r="W97" s="124"/>
      <c r="X97" s="124"/>
      <c r="Y97" s="124"/>
    </row>
    <row r="98" spans="2:25" x14ac:dyDescent="0.25">
      <c r="B98" s="124"/>
      <c r="C98" s="124"/>
      <c r="D98" s="124"/>
      <c r="E98" s="124"/>
      <c r="F98" s="124"/>
      <c r="G98" s="124"/>
      <c r="H98" s="124"/>
      <c r="I98" s="124"/>
      <c r="J98" s="124"/>
      <c r="K98" s="124"/>
      <c r="L98" s="124"/>
      <c r="M98" s="124"/>
      <c r="N98" s="124"/>
      <c r="O98" s="124"/>
      <c r="P98" s="124"/>
      <c r="Q98" s="124"/>
      <c r="R98" s="124"/>
      <c r="S98" s="124"/>
      <c r="T98" s="124"/>
      <c r="U98" s="124"/>
      <c r="V98" s="124"/>
      <c r="W98" s="124"/>
      <c r="X98" s="124"/>
      <c r="Y98" s="124"/>
    </row>
    <row r="99" spans="2:25" x14ac:dyDescent="0.25">
      <c r="B99" s="124"/>
      <c r="C99" s="124"/>
      <c r="D99" s="124"/>
      <c r="E99" s="124"/>
      <c r="F99" s="124"/>
      <c r="G99" s="124"/>
      <c r="H99" s="124"/>
      <c r="I99" s="124"/>
      <c r="J99" s="124"/>
      <c r="K99" s="124"/>
      <c r="L99" s="124"/>
      <c r="M99" s="124"/>
      <c r="N99" s="124"/>
      <c r="O99" s="124"/>
      <c r="P99" s="124"/>
      <c r="Q99" s="124"/>
      <c r="R99" s="124"/>
      <c r="S99" s="124"/>
      <c r="T99" s="124"/>
      <c r="U99" s="124"/>
      <c r="V99" s="124"/>
      <c r="W99" s="124"/>
      <c r="X99" s="124"/>
      <c r="Y99" s="124"/>
    </row>
    <row r="100" spans="2:25" x14ac:dyDescent="0.25">
      <c r="B100" s="124"/>
      <c r="C100" s="124"/>
      <c r="D100" s="124"/>
      <c r="E100" s="124"/>
      <c r="F100" s="124"/>
      <c r="G100" s="124"/>
      <c r="H100" s="124"/>
      <c r="I100" s="124"/>
      <c r="J100" s="124"/>
      <c r="K100" s="124"/>
      <c r="L100" s="124"/>
      <c r="M100" s="124"/>
      <c r="N100" s="124"/>
      <c r="O100" s="124"/>
      <c r="P100" s="124"/>
      <c r="Q100" s="124"/>
      <c r="R100" s="124"/>
      <c r="S100" s="124"/>
      <c r="T100" s="124"/>
      <c r="U100" s="124"/>
      <c r="V100" s="124"/>
      <c r="W100" s="124"/>
      <c r="X100" s="124"/>
      <c r="Y100" s="124"/>
    </row>
    <row r="101" spans="2:25" x14ac:dyDescent="0.25">
      <c r="B101" s="124"/>
      <c r="C101" s="124"/>
      <c r="D101" s="124"/>
      <c r="E101" s="124"/>
      <c r="F101" s="124"/>
      <c r="G101" s="124"/>
      <c r="H101" s="124"/>
      <c r="I101" s="124"/>
      <c r="J101" s="124"/>
      <c r="K101" s="124"/>
      <c r="L101" s="124"/>
      <c r="M101" s="124"/>
      <c r="N101" s="124"/>
      <c r="O101" s="124"/>
      <c r="P101" s="124"/>
      <c r="Q101" s="124"/>
      <c r="R101" s="124"/>
      <c r="S101" s="124"/>
      <c r="T101" s="124"/>
      <c r="U101" s="124"/>
      <c r="V101" s="124"/>
      <c r="W101" s="124"/>
      <c r="X101" s="124"/>
      <c r="Y101" s="124"/>
    </row>
    <row r="102" spans="2:25" x14ac:dyDescent="0.25">
      <c r="B102" s="124"/>
      <c r="C102" s="124"/>
      <c r="D102" s="124"/>
      <c r="E102" s="124"/>
      <c r="F102" s="124"/>
      <c r="G102" s="124"/>
      <c r="H102" s="124"/>
      <c r="I102" s="124"/>
      <c r="J102" s="124"/>
      <c r="K102" s="124"/>
      <c r="L102" s="124"/>
      <c r="M102" s="124"/>
      <c r="N102" s="124"/>
      <c r="O102" s="124"/>
      <c r="P102" s="124"/>
      <c r="Q102" s="124"/>
      <c r="R102" s="124"/>
      <c r="S102" s="124"/>
      <c r="T102" s="124"/>
      <c r="U102" s="124"/>
      <c r="V102" s="124"/>
      <c r="W102" s="124"/>
      <c r="X102" s="124"/>
      <c r="Y102" s="124"/>
    </row>
    <row r="103" spans="2:25" x14ac:dyDescent="0.25">
      <c r="B103" s="124"/>
      <c r="C103" s="124"/>
      <c r="D103" s="124"/>
      <c r="E103" s="124"/>
      <c r="F103" s="124"/>
      <c r="G103" s="124"/>
      <c r="H103" s="124"/>
      <c r="I103" s="124"/>
      <c r="J103" s="124"/>
      <c r="K103" s="124"/>
      <c r="L103" s="124"/>
      <c r="M103" s="124"/>
      <c r="N103" s="124"/>
      <c r="O103" s="124"/>
      <c r="P103" s="124"/>
      <c r="Q103" s="124"/>
      <c r="R103" s="124"/>
      <c r="S103" s="124"/>
      <c r="T103" s="124"/>
      <c r="U103" s="124"/>
      <c r="V103" s="124"/>
      <c r="W103" s="124"/>
      <c r="X103" s="124"/>
      <c r="Y103" s="124"/>
    </row>
    <row r="104" spans="2:25" x14ac:dyDescent="0.25">
      <c r="B104" s="124"/>
      <c r="C104" s="124"/>
      <c r="D104" s="124"/>
      <c r="E104" s="124"/>
      <c r="F104" s="124"/>
      <c r="G104" s="124"/>
      <c r="H104" s="124"/>
      <c r="I104" s="124"/>
      <c r="J104" s="124"/>
      <c r="K104" s="124"/>
      <c r="L104" s="124"/>
      <c r="M104" s="124"/>
      <c r="N104" s="124"/>
      <c r="O104" s="124"/>
      <c r="P104" s="124"/>
      <c r="Q104" s="124"/>
      <c r="R104" s="124"/>
      <c r="S104" s="124"/>
      <c r="T104" s="124"/>
      <c r="U104" s="124"/>
      <c r="V104" s="124"/>
      <c r="W104" s="124"/>
      <c r="X104" s="124"/>
      <c r="Y104" s="124"/>
    </row>
    <row r="105" spans="2:25" x14ac:dyDescent="0.25">
      <c r="B105" s="124"/>
      <c r="C105" s="124"/>
      <c r="D105" s="124"/>
      <c r="E105" s="124"/>
      <c r="F105" s="124"/>
      <c r="G105" s="124"/>
      <c r="H105" s="124"/>
      <c r="I105" s="124"/>
      <c r="J105" s="124"/>
      <c r="K105" s="124"/>
      <c r="L105" s="124"/>
      <c r="M105" s="124"/>
      <c r="N105" s="124"/>
      <c r="O105" s="124"/>
      <c r="P105" s="124"/>
      <c r="Q105" s="124"/>
      <c r="R105" s="124"/>
      <c r="S105" s="124"/>
      <c r="T105" s="124"/>
      <c r="U105" s="124"/>
      <c r="V105" s="124"/>
      <c r="W105" s="124"/>
      <c r="X105" s="124"/>
      <c r="Y105" s="124"/>
    </row>
    <row r="106" spans="2:25" x14ac:dyDescent="0.25">
      <c r="B106" s="124"/>
      <c r="C106" s="124"/>
      <c r="D106" s="124"/>
      <c r="E106" s="124"/>
      <c r="F106" s="124"/>
      <c r="G106" s="124"/>
      <c r="H106" s="124"/>
      <c r="I106" s="124"/>
      <c r="J106" s="124"/>
      <c r="K106" s="124"/>
      <c r="L106" s="124"/>
      <c r="M106" s="124"/>
      <c r="N106" s="124"/>
      <c r="O106" s="124"/>
      <c r="P106" s="124"/>
      <c r="Q106" s="124"/>
      <c r="R106" s="124"/>
      <c r="S106" s="124"/>
      <c r="T106" s="124"/>
      <c r="U106" s="124"/>
      <c r="V106" s="124"/>
      <c r="W106" s="124"/>
      <c r="X106" s="124"/>
      <c r="Y106" s="124"/>
    </row>
    <row r="107" spans="2:25" x14ac:dyDescent="0.25">
      <c r="B107" s="124"/>
      <c r="C107" s="124"/>
      <c r="D107" s="124"/>
      <c r="E107" s="124"/>
      <c r="F107" s="124"/>
      <c r="G107" s="124"/>
      <c r="H107" s="124"/>
      <c r="I107" s="124"/>
      <c r="J107" s="124"/>
      <c r="K107" s="124"/>
      <c r="L107" s="124"/>
      <c r="M107" s="124"/>
      <c r="N107" s="124"/>
      <c r="O107" s="124"/>
      <c r="P107" s="124"/>
      <c r="Q107" s="124"/>
      <c r="R107" s="124"/>
      <c r="S107" s="124"/>
      <c r="T107" s="124"/>
      <c r="U107" s="124"/>
      <c r="V107" s="124"/>
      <c r="W107" s="124"/>
      <c r="X107" s="124"/>
      <c r="Y107" s="124"/>
    </row>
    <row r="108" spans="2:25" x14ac:dyDescent="0.25">
      <c r="B108" s="124"/>
      <c r="C108" s="124"/>
      <c r="D108" s="124"/>
      <c r="E108" s="124"/>
      <c r="F108" s="124"/>
      <c r="G108" s="124"/>
      <c r="H108" s="124"/>
      <c r="I108" s="124"/>
      <c r="J108" s="124"/>
      <c r="K108" s="124"/>
      <c r="L108" s="124"/>
      <c r="M108" s="124"/>
      <c r="N108" s="124"/>
      <c r="O108" s="124"/>
      <c r="P108" s="124"/>
      <c r="Q108" s="124"/>
      <c r="R108" s="124"/>
      <c r="S108" s="124"/>
      <c r="T108" s="124"/>
      <c r="U108" s="124"/>
      <c r="V108" s="124"/>
      <c r="W108" s="124"/>
      <c r="X108" s="124"/>
      <c r="Y108" s="124"/>
    </row>
    <row r="109" spans="2:25" x14ac:dyDescent="0.25">
      <c r="B109" s="124"/>
      <c r="C109" s="124"/>
      <c r="D109" s="124"/>
      <c r="E109" s="124"/>
      <c r="F109" s="124"/>
      <c r="G109" s="124"/>
      <c r="H109" s="124"/>
      <c r="I109" s="124"/>
      <c r="J109" s="124"/>
      <c r="K109" s="124"/>
      <c r="L109" s="124"/>
      <c r="M109" s="124"/>
      <c r="N109" s="124"/>
      <c r="O109" s="124"/>
      <c r="P109" s="124"/>
      <c r="Q109" s="124"/>
      <c r="R109" s="124"/>
      <c r="S109" s="124"/>
      <c r="T109" s="124"/>
      <c r="U109" s="124"/>
      <c r="V109" s="124"/>
      <c r="W109" s="124"/>
      <c r="X109" s="124"/>
      <c r="Y109" s="124"/>
    </row>
    <row r="110" spans="2:25" x14ac:dyDescent="0.25">
      <c r="B110" s="124"/>
      <c r="C110" s="124"/>
      <c r="D110" s="124"/>
      <c r="E110" s="124"/>
      <c r="F110" s="124"/>
      <c r="G110" s="124"/>
      <c r="H110" s="124"/>
      <c r="I110" s="124"/>
      <c r="J110" s="124"/>
      <c r="K110" s="124"/>
      <c r="L110" s="124"/>
      <c r="M110" s="124"/>
      <c r="N110" s="124"/>
      <c r="O110" s="124"/>
      <c r="P110" s="124"/>
      <c r="Q110" s="124"/>
      <c r="R110" s="124"/>
      <c r="S110" s="124"/>
      <c r="T110" s="124"/>
      <c r="U110" s="124"/>
      <c r="V110" s="124"/>
      <c r="W110" s="124"/>
      <c r="X110" s="124"/>
      <c r="Y110" s="124"/>
    </row>
    <row r="111" spans="2:25" x14ac:dyDescent="0.25">
      <c r="B111" s="124"/>
      <c r="C111" s="124"/>
      <c r="D111" s="124"/>
      <c r="E111" s="124"/>
      <c r="F111" s="124"/>
      <c r="G111" s="124"/>
      <c r="H111" s="124"/>
      <c r="I111" s="124"/>
      <c r="J111" s="124"/>
      <c r="K111" s="124"/>
      <c r="L111" s="124"/>
      <c r="M111" s="124"/>
      <c r="N111" s="124"/>
      <c r="O111" s="124"/>
      <c r="P111" s="124"/>
      <c r="Q111" s="124"/>
      <c r="R111" s="124"/>
      <c r="S111" s="124"/>
      <c r="T111" s="124"/>
      <c r="U111" s="124"/>
      <c r="V111" s="124"/>
      <c r="W111" s="124"/>
      <c r="X111" s="124"/>
      <c r="Y111" s="124"/>
    </row>
    <row r="112" spans="2:25" x14ac:dyDescent="0.25">
      <c r="B112" s="124"/>
      <c r="C112" s="124"/>
      <c r="D112" s="124"/>
      <c r="E112" s="124"/>
      <c r="F112" s="124"/>
      <c r="G112" s="124"/>
      <c r="H112" s="124"/>
      <c r="I112" s="124"/>
      <c r="J112" s="124"/>
      <c r="K112" s="124"/>
      <c r="L112" s="124"/>
      <c r="M112" s="124"/>
      <c r="N112" s="124"/>
      <c r="O112" s="124"/>
      <c r="P112" s="124"/>
      <c r="Q112" s="124"/>
      <c r="R112" s="124"/>
      <c r="S112" s="124"/>
      <c r="T112" s="124"/>
      <c r="U112" s="124"/>
      <c r="V112" s="124"/>
      <c r="W112" s="124"/>
      <c r="X112" s="124"/>
      <c r="Y112" s="124"/>
    </row>
    <row r="113" spans="2:25" x14ac:dyDescent="0.25">
      <c r="B113" s="124"/>
      <c r="C113" s="124"/>
      <c r="D113" s="124"/>
      <c r="E113" s="124"/>
      <c r="F113" s="124"/>
      <c r="G113" s="124"/>
      <c r="H113" s="124"/>
      <c r="I113" s="124"/>
      <c r="J113" s="124"/>
      <c r="K113" s="124"/>
      <c r="L113" s="124"/>
      <c r="M113" s="124"/>
      <c r="N113" s="124"/>
      <c r="O113" s="124"/>
      <c r="P113" s="124"/>
      <c r="Q113" s="124"/>
      <c r="R113" s="124"/>
      <c r="S113" s="124"/>
      <c r="T113" s="124"/>
      <c r="U113" s="124"/>
      <c r="V113" s="124"/>
      <c r="W113" s="124"/>
      <c r="X113" s="124"/>
      <c r="Y113" s="124"/>
    </row>
    <row r="114" spans="2:25" x14ac:dyDescent="0.25">
      <c r="B114" s="124"/>
      <c r="C114" s="124"/>
      <c r="D114" s="124"/>
      <c r="E114" s="124"/>
      <c r="F114" s="124"/>
      <c r="G114" s="124"/>
      <c r="H114" s="124"/>
      <c r="I114" s="124"/>
      <c r="J114" s="124"/>
      <c r="K114" s="124"/>
      <c r="L114" s="124"/>
      <c r="M114" s="124"/>
      <c r="N114" s="124"/>
      <c r="O114" s="124"/>
      <c r="P114" s="124"/>
      <c r="Q114" s="124"/>
      <c r="R114" s="124"/>
      <c r="S114" s="124"/>
      <c r="T114" s="124"/>
      <c r="U114" s="124"/>
      <c r="V114" s="124"/>
      <c r="W114" s="124"/>
      <c r="X114" s="124"/>
      <c r="Y114" s="124"/>
    </row>
    <row r="115" spans="2:25" x14ac:dyDescent="0.25">
      <c r="B115" s="124"/>
      <c r="C115" s="124"/>
      <c r="D115" s="124"/>
      <c r="E115" s="124"/>
      <c r="F115" s="124"/>
      <c r="G115" s="124"/>
      <c r="H115" s="124"/>
      <c r="I115" s="124"/>
      <c r="J115" s="124"/>
      <c r="K115" s="124"/>
      <c r="L115" s="124"/>
      <c r="M115" s="124"/>
      <c r="N115" s="124"/>
      <c r="O115" s="124"/>
      <c r="P115" s="124"/>
      <c r="Q115" s="124"/>
      <c r="R115" s="124"/>
      <c r="S115" s="124"/>
      <c r="T115" s="124"/>
      <c r="U115" s="124"/>
      <c r="V115" s="124"/>
      <c r="W115" s="124"/>
      <c r="X115" s="124"/>
      <c r="Y115" s="124"/>
    </row>
    <row r="116" spans="2:25" x14ac:dyDescent="0.25">
      <c r="B116" s="124"/>
      <c r="C116" s="124"/>
      <c r="D116" s="124"/>
      <c r="E116" s="124"/>
      <c r="F116" s="124"/>
      <c r="G116" s="124"/>
      <c r="H116" s="124"/>
      <c r="I116" s="124"/>
      <c r="J116" s="124"/>
      <c r="K116" s="124"/>
      <c r="L116" s="124"/>
      <c r="M116" s="124"/>
      <c r="N116" s="124"/>
      <c r="O116" s="124"/>
      <c r="P116" s="124"/>
      <c r="Q116" s="124"/>
      <c r="R116" s="124"/>
      <c r="S116" s="124"/>
      <c r="T116" s="124"/>
      <c r="U116" s="124"/>
      <c r="V116" s="124"/>
      <c r="W116" s="124"/>
      <c r="X116" s="124"/>
      <c r="Y116" s="124"/>
    </row>
    <row r="117" spans="2:25" x14ac:dyDescent="0.25">
      <c r="B117" s="124"/>
      <c r="C117" s="124"/>
      <c r="D117" s="124"/>
      <c r="E117" s="124"/>
      <c r="F117" s="124"/>
      <c r="G117" s="124"/>
      <c r="H117" s="124"/>
      <c r="I117" s="124"/>
      <c r="J117" s="124"/>
      <c r="K117" s="124"/>
      <c r="L117" s="124"/>
      <c r="M117" s="124"/>
      <c r="N117" s="124"/>
      <c r="O117" s="124"/>
      <c r="P117" s="124"/>
      <c r="Q117" s="124"/>
      <c r="R117" s="124"/>
      <c r="S117" s="124"/>
      <c r="T117" s="124"/>
      <c r="U117" s="124"/>
      <c r="V117" s="124"/>
      <c r="W117" s="124"/>
      <c r="X117" s="124"/>
      <c r="Y117" s="124"/>
    </row>
    <row r="118" spans="2:25" x14ac:dyDescent="0.25">
      <c r="B118" s="124"/>
      <c r="C118" s="124"/>
      <c r="D118" s="124"/>
      <c r="E118" s="124"/>
      <c r="F118" s="124"/>
      <c r="G118" s="124"/>
      <c r="H118" s="124"/>
      <c r="I118" s="124"/>
      <c r="J118" s="124"/>
      <c r="K118" s="124"/>
      <c r="L118" s="124"/>
      <c r="M118" s="124"/>
      <c r="N118" s="124"/>
      <c r="O118" s="124"/>
      <c r="P118" s="124"/>
      <c r="Q118" s="124"/>
      <c r="R118" s="124"/>
      <c r="S118" s="124"/>
      <c r="T118" s="124"/>
      <c r="U118" s="124"/>
      <c r="V118" s="124"/>
      <c r="W118" s="124"/>
      <c r="X118" s="124"/>
      <c r="Y118" s="124"/>
    </row>
    <row r="119" spans="2:25" x14ac:dyDescent="0.25">
      <c r="B119" s="124"/>
      <c r="C119" s="124"/>
      <c r="D119" s="124"/>
      <c r="E119" s="124"/>
      <c r="F119" s="124"/>
      <c r="G119" s="124"/>
      <c r="H119" s="124"/>
      <c r="I119" s="124"/>
      <c r="J119" s="124"/>
      <c r="K119" s="124"/>
      <c r="L119" s="124"/>
      <c r="M119" s="124"/>
      <c r="N119" s="124"/>
      <c r="O119" s="124"/>
      <c r="P119" s="124"/>
      <c r="Q119" s="124"/>
      <c r="R119" s="124"/>
      <c r="S119" s="124"/>
      <c r="T119" s="124"/>
      <c r="U119" s="124"/>
      <c r="V119" s="124"/>
      <c r="W119" s="124"/>
      <c r="X119" s="124"/>
      <c r="Y119" s="124"/>
    </row>
    <row r="120" spans="2:25" x14ac:dyDescent="0.25">
      <c r="B120" s="124"/>
      <c r="C120" s="124"/>
      <c r="D120" s="124"/>
      <c r="E120" s="124"/>
      <c r="F120" s="124"/>
      <c r="G120" s="124"/>
      <c r="H120" s="124"/>
      <c r="I120" s="124"/>
      <c r="J120" s="124"/>
      <c r="K120" s="124"/>
      <c r="L120" s="124"/>
      <c r="M120" s="124"/>
      <c r="N120" s="124"/>
      <c r="O120" s="124"/>
      <c r="P120" s="124"/>
      <c r="Q120" s="124"/>
      <c r="R120" s="124"/>
      <c r="S120" s="124"/>
      <c r="T120" s="124"/>
      <c r="U120" s="124"/>
      <c r="V120" s="124"/>
      <c r="W120" s="124"/>
      <c r="X120" s="124"/>
      <c r="Y120" s="124"/>
    </row>
    <row r="121" spans="2:25" x14ac:dyDescent="0.25">
      <c r="B121" s="124"/>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row>
    <row r="122" spans="2:25" x14ac:dyDescent="0.25">
      <c r="B122" s="124"/>
      <c r="C122" s="124"/>
      <c r="D122" s="124"/>
      <c r="E122" s="124"/>
      <c r="F122" s="124"/>
      <c r="G122" s="124"/>
      <c r="H122" s="124"/>
      <c r="I122" s="124"/>
      <c r="J122" s="124"/>
      <c r="K122" s="124"/>
      <c r="L122" s="124"/>
      <c r="M122" s="124"/>
      <c r="N122" s="124"/>
      <c r="O122" s="124"/>
      <c r="P122" s="124"/>
      <c r="Q122" s="124"/>
      <c r="R122" s="124"/>
      <c r="S122" s="124"/>
      <c r="T122" s="124"/>
      <c r="U122" s="124"/>
      <c r="V122" s="124"/>
      <c r="W122" s="124"/>
      <c r="X122" s="124"/>
      <c r="Y122" s="124"/>
    </row>
    <row r="123" spans="2:25" x14ac:dyDescent="0.25">
      <c r="B123" s="124"/>
      <c r="C123" s="124"/>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row>
    <row r="124" spans="2:25" x14ac:dyDescent="0.25">
      <c r="B124" s="124"/>
      <c r="C124" s="124"/>
      <c r="D124" s="124"/>
      <c r="E124" s="124"/>
      <c r="F124" s="124"/>
      <c r="G124" s="124"/>
      <c r="H124" s="124"/>
      <c r="I124" s="124"/>
      <c r="J124" s="124"/>
      <c r="K124" s="124"/>
      <c r="L124" s="124"/>
      <c r="M124" s="124"/>
      <c r="N124" s="124"/>
      <c r="O124" s="124"/>
      <c r="P124" s="124"/>
      <c r="Q124" s="124"/>
      <c r="R124" s="124"/>
      <c r="S124" s="124"/>
      <c r="T124" s="124"/>
      <c r="U124" s="124"/>
      <c r="V124" s="124"/>
      <c r="W124" s="124"/>
      <c r="X124" s="124"/>
      <c r="Y124" s="124"/>
    </row>
    <row r="125" spans="2:25" x14ac:dyDescent="0.25">
      <c r="B125" s="124"/>
      <c r="C125" s="124"/>
      <c r="D125" s="124"/>
      <c r="E125" s="124"/>
      <c r="F125" s="124"/>
      <c r="G125" s="124"/>
      <c r="H125" s="124"/>
      <c r="I125" s="124"/>
      <c r="J125" s="124"/>
      <c r="K125" s="124"/>
      <c r="L125" s="124"/>
      <c r="M125" s="124"/>
      <c r="N125" s="124"/>
      <c r="O125" s="124"/>
      <c r="P125" s="124"/>
      <c r="Q125" s="124"/>
      <c r="R125" s="124"/>
      <c r="S125" s="124"/>
      <c r="T125" s="124"/>
      <c r="U125" s="124"/>
      <c r="V125" s="124"/>
      <c r="W125" s="124"/>
      <c r="X125" s="124"/>
      <c r="Y125" s="124"/>
    </row>
    <row r="126" spans="2:25" x14ac:dyDescent="0.25">
      <c r="B126" s="124"/>
      <c r="C126" s="124"/>
      <c r="D126" s="124"/>
      <c r="E126" s="124"/>
      <c r="F126" s="124"/>
      <c r="G126" s="124"/>
      <c r="H126" s="124"/>
      <c r="I126" s="124"/>
      <c r="J126" s="124"/>
      <c r="K126" s="124"/>
      <c r="L126" s="124"/>
      <c r="M126" s="124"/>
      <c r="N126" s="124"/>
      <c r="O126" s="124"/>
      <c r="P126" s="124"/>
      <c r="Q126" s="124"/>
      <c r="R126" s="124"/>
      <c r="S126" s="124"/>
      <c r="T126" s="124"/>
      <c r="U126" s="124"/>
      <c r="V126" s="124"/>
      <c r="W126" s="124"/>
      <c r="X126" s="124"/>
      <c r="Y126" s="124"/>
    </row>
    <row r="127" spans="2:25" x14ac:dyDescent="0.25">
      <c r="B127" s="124"/>
      <c r="C127" s="124"/>
      <c r="D127" s="124"/>
      <c r="E127" s="124"/>
      <c r="F127" s="124"/>
      <c r="G127" s="124"/>
      <c r="H127" s="124"/>
      <c r="I127" s="124"/>
      <c r="J127" s="124"/>
      <c r="K127" s="124"/>
      <c r="L127" s="124"/>
      <c r="M127" s="124"/>
      <c r="N127" s="124"/>
      <c r="O127" s="124"/>
      <c r="P127" s="124"/>
      <c r="Q127" s="124"/>
      <c r="R127" s="124"/>
      <c r="S127" s="124"/>
      <c r="T127" s="124"/>
      <c r="U127" s="124"/>
      <c r="V127" s="124"/>
      <c r="W127" s="124"/>
      <c r="X127" s="124"/>
      <c r="Y127" s="124"/>
    </row>
    <row r="128" spans="2:25" x14ac:dyDescent="0.25">
      <c r="B128" s="124"/>
      <c r="C128" s="124"/>
      <c r="D128" s="124"/>
      <c r="E128" s="124"/>
      <c r="F128" s="124"/>
      <c r="G128" s="124"/>
      <c r="H128" s="124"/>
      <c r="I128" s="124"/>
      <c r="J128" s="124"/>
      <c r="K128" s="124"/>
      <c r="L128" s="124"/>
      <c r="M128" s="124"/>
      <c r="N128" s="124"/>
      <c r="O128" s="124"/>
      <c r="P128" s="124"/>
      <c r="Q128" s="124"/>
      <c r="R128" s="124"/>
      <c r="S128" s="124"/>
      <c r="T128" s="124"/>
      <c r="U128" s="124"/>
      <c r="V128" s="124"/>
      <c r="W128" s="124"/>
      <c r="X128" s="124"/>
      <c r="Y128" s="124"/>
    </row>
    <row r="129" spans="2:25" x14ac:dyDescent="0.25">
      <c r="B129" s="124"/>
      <c r="C129" s="124"/>
      <c r="D129" s="124"/>
      <c r="E129" s="124"/>
      <c r="F129" s="124"/>
      <c r="G129" s="124"/>
      <c r="H129" s="124"/>
      <c r="I129" s="124"/>
      <c r="J129" s="124"/>
      <c r="K129" s="124"/>
      <c r="L129" s="124"/>
      <c r="M129" s="124"/>
      <c r="N129" s="124"/>
      <c r="O129" s="124"/>
      <c r="P129" s="124"/>
      <c r="Q129" s="124"/>
      <c r="R129" s="124"/>
      <c r="S129" s="124"/>
      <c r="T129" s="124"/>
      <c r="U129" s="124"/>
      <c r="V129" s="124"/>
      <c r="W129" s="124"/>
      <c r="X129" s="124"/>
      <c r="Y129" s="124"/>
    </row>
    <row r="130" spans="2:25" x14ac:dyDescent="0.25">
      <c r="B130" s="124"/>
      <c r="C130" s="124"/>
      <c r="D130" s="124"/>
      <c r="E130" s="124"/>
      <c r="F130" s="124"/>
      <c r="G130" s="124"/>
      <c r="H130" s="124"/>
      <c r="I130" s="124"/>
      <c r="J130" s="124"/>
      <c r="K130" s="124"/>
      <c r="L130" s="124"/>
      <c r="M130" s="124"/>
      <c r="N130" s="124"/>
      <c r="O130" s="124"/>
      <c r="P130" s="124"/>
      <c r="Q130" s="124"/>
      <c r="R130" s="124"/>
      <c r="S130" s="124"/>
      <c r="T130" s="124"/>
      <c r="U130" s="124"/>
      <c r="V130" s="124"/>
      <c r="W130" s="124"/>
      <c r="X130" s="124"/>
      <c r="Y130" s="124"/>
    </row>
    <row r="131" spans="2:25" x14ac:dyDescent="0.25">
      <c r="B131" s="124"/>
      <c r="C131" s="124"/>
      <c r="D131" s="124"/>
      <c r="E131" s="124"/>
      <c r="F131" s="124"/>
      <c r="G131" s="124"/>
      <c r="H131" s="124"/>
      <c r="I131" s="124"/>
      <c r="J131" s="124"/>
      <c r="K131" s="124"/>
      <c r="L131" s="124"/>
      <c r="M131" s="124"/>
      <c r="N131" s="124"/>
      <c r="O131" s="124"/>
      <c r="P131" s="124"/>
      <c r="Q131" s="124"/>
      <c r="R131" s="124"/>
      <c r="S131" s="124"/>
      <c r="T131" s="124"/>
      <c r="U131" s="124"/>
      <c r="V131" s="124"/>
      <c r="W131" s="124"/>
      <c r="X131" s="124"/>
      <c r="Y131" s="124"/>
    </row>
    <row r="132" spans="2:25" x14ac:dyDescent="0.25">
      <c r="B132" s="124"/>
      <c r="C132" s="124"/>
      <c r="D132" s="124"/>
      <c r="E132" s="124"/>
      <c r="F132" s="124"/>
      <c r="G132" s="124"/>
      <c r="H132" s="124"/>
      <c r="I132" s="124"/>
      <c r="J132" s="124"/>
      <c r="K132" s="124"/>
      <c r="L132" s="124"/>
      <c r="M132" s="124"/>
      <c r="N132" s="124"/>
      <c r="O132" s="124"/>
      <c r="P132" s="124"/>
      <c r="Q132" s="124"/>
      <c r="R132" s="124"/>
      <c r="S132" s="124"/>
      <c r="T132" s="124"/>
      <c r="U132" s="124"/>
      <c r="V132" s="124"/>
      <c r="W132" s="124"/>
      <c r="X132" s="124"/>
      <c r="Y132" s="124"/>
    </row>
    <row r="133" spans="2:25" x14ac:dyDescent="0.25">
      <c r="B133" s="124"/>
      <c r="C133" s="124"/>
      <c r="D133" s="124"/>
      <c r="E133" s="124"/>
      <c r="F133" s="124"/>
      <c r="G133" s="124"/>
      <c r="H133" s="124"/>
      <c r="I133" s="124"/>
      <c r="J133" s="124"/>
      <c r="K133" s="124"/>
      <c r="L133" s="124"/>
      <c r="M133" s="124"/>
      <c r="N133" s="124"/>
      <c r="O133" s="124"/>
      <c r="P133" s="124"/>
      <c r="Q133" s="124"/>
      <c r="R133" s="124"/>
      <c r="S133" s="124"/>
      <c r="T133" s="124"/>
      <c r="U133" s="124"/>
      <c r="V133" s="124"/>
      <c r="W133" s="124"/>
      <c r="X133" s="124"/>
      <c r="Y133" s="124"/>
    </row>
    <row r="134" spans="2:25" x14ac:dyDescent="0.25">
      <c r="B134" s="124"/>
      <c r="C134" s="124"/>
      <c r="D134" s="124"/>
      <c r="E134" s="124"/>
      <c r="F134" s="124"/>
      <c r="G134" s="124"/>
      <c r="H134" s="124"/>
      <c r="I134" s="124"/>
      <c r="J134" s="124"/>
      <c r="K134" s="124"/>
      <c r="L134" s="124"/>
      <c r="M134" s="124"/>
      <c r="N134" s="124"/>
      <c r="O134" s="124"/>
      <c r="P134" s="124"/>
      <c r="Q134" s="124"/>
      <c r="R134" s="124"/>
      <c r="S134" s="124"/>
      <c r="T134" s="124"/>
      <c r="U134" s="124"/>
      <c r="V134" s="124"/>
      <c r="W134" s="124"/>
      <c r="X134" s="124"/>
      <c r="Y134" s="124"/>
    </row>
    <row r="135" spans="2:25" x14ac:dyDescent="0.25">
      <c r="B135" s="124"/>
      <c r="C135" s="124"/>
      <c r="D135" s="124"/>
      <c r="E135" s="124"/>
      <c r="F135" s="124"/>
      <c r="G135" s="124"/>
      <c r="H135" s="124"/>
      <c r="I135" s="124"/>
      <c r="J135" s="124"/>
      <c r="K135" s="124"/>
      <c r="L135" s="124"/>
      <c r="M135" s="124"/>
      <c r="N135" s="124"/>
      <c r="O135" s="124"/>
      <c r="P135" s="124"/>
      <c r="Q135" s="124"/>
      <c r="R135" s="124"/>
      <c r="S135" s="124"/>
      <c r="T135" s="124"/>
      <c r="U135" s="124"/>
      <c r="V135" s="124"/>
      <c r="W135" s="124"/>
      <c r="X135" s="124"/>
      <c r="Y135" s="124"/>
    </row>
    <row r="136" spans="2:25" x14ac:dyDescent="0.25">
      <c r="B136" s="124"/>
      <c r="C136" s="124"/>
      <c r="D136" s="124"/>
      <c r="E136" s="124"/>
      <c r="F136" s="124"/>
      <c r="G136" s="124"/>
      <c r="H136" s="124"/>
      <c r="I136" s="124"/>
      <c r="J136" s="124"/>
      <c r="K136" s="124"/>
      <c r="L136" s="124"/>
      <c r="M136" s="124"/>
      <c r="N136" s="124"/>
      <c r="O136" s="124"/>
      <c r="P136" s="124"/>
      <c r="Q136" s="124"/>
      <c r="R136" s="124"/>
      <c r="S136" s="124"/>
      <c r="T136" s="124"/>
      <c r="U136" s="124"/>
      <c r="V136" s="124"/>
      <c r="W136" s="124"/>
      <c r="X136" s="124"/>
      <c r="Y136" s="124"/>
    </row>
    <row r="137" spans="2:25" x14ac:dyDescent="0.25">
      <c r="B137" s="124"/>
      <c r="C137" s="124"/>
      <c r="D137" s="124"/>
      <c r="E137" s="124"/>
      <c r="F137" s="124"/>
      <c r="G137" s="124"/>
      <c r="H137" s="124"/>
      <c r="I137" s="124"/>
      <c r="J137" s="124"/>
      <c r="K137" s="124"/>
      <c r="L137" s="124"/>
      <c r="M137" s="124"/>
      <c r="N137" s="124"/>
      <c r="O137" s="124"/>
      <c r="P137" s="124"/>
      <c r="Q137" s="124"/>
      <c r="R137" s="124"/>
      <c r="S137" s="124"/>
      <c r="T137" s="124"/>
      <c r="U137" s="124"/>
      <c r="V137" s="124"/>
      <c r="W137" s="124"/>
      <c r="X137" s="124"/>
      <c r="Y137" s="124"/>
    </row>
    <row r="138" spans="2:25" x14ac:dyDescent="0.25">
      <c r="B138" s="124"/>
      <c r="C138" s="124"/>
      <c r="D138" s="124"/>
      <c r="E138" s="124"/>
      <c r="F138" s="124"/>
      <c r="G138" s="124"/>
      <c r="H138" s="124"/>
      <c r="I138" s="124"/>
      <c r="J138" s="124"/>
      <c r="K138" s="124"/>
      <c r="L138" s="124"/>
      <c r="M138" s="124"/>
      <c r="N138" s="124"/>
      <c r="O138" s="124"/>
      <c r="P138" s="124"/>
      <c r="Q138" s="124"/>
      <c r="R138" s="124"/>
      <c r="S138" s="124"/>
      <c r="T138" s="124"/>
      <c r="U138" s="124"/>
      <c r="V138" s="124"/>
      <c r="W138" s="124"/>
      <c r="X138" s="124"/>
      <c r="Y138" s="124"/>
    </row>
    <row r="139" spans="2:25" x14ac:dyDescent="0.25">
      <c r="B139" s="124"/>
      <c r="C139" s="124"/>
      <c r="D139" s="124"/>
      <c r="E139" s="124"/>
      <c r="F139" s="124"/>
      <c r="G139" s="124"/>
      <c r="H139" s="124"/>
      <c r="I139" s="124"/>
      <c r="J139" s="124"/>
      <c r="K139" s="124"/>
      <c r="L139" s="124"/>
      <c r="M139" s="124"/>
      <c r="N139" s="124"/>
      <c r="O139" s="124"/>
      <c r="P139" s="124"/>
      <c r="Q139" s="124"/>
      <c r="R139" s="124"/>
      <c r="S139" s="124"/>
      <c r="T139" s="124"/>
      <c r="U139" s="124"/>
      <c r="V139" s="124"/>
      <c r="W139" s="124"/>
      <c r="X139" s="124"/>
      <c r="Y139" s="124"/>
    </row>
    <row r="140" spans="2:25" x14ac:dyDescent="0.25">
      <c r="B140" s="124"/>
      <c r="C140" s="124"/>
      <c r="D140" s="124"/>
      <c r="E140" s="124"/>
      <c r="F140" s="124"/>
      <c r="G140" s="124"/>
      <c r="H140" s="124"/>
      <c r="I140" s="124"/>
      <c r="J140" s="124"/>
      <c r="K140" s="124"/>
      <c r="L140" s="124"/>
      <c r="M140" s="124"/>
      <c r="N140" s="124"/>
      <c r="O140" s="124"/>
      <c r="P140" s="124"/>
      <c r="Q140" s="124"/>
      <c r="R140" s="124"/>
      <c r="S140" s="124"/>
      <c r="T140" s="124"/>
      <c r="U140" s="124"/>
      <c r="V140" s="124"/>
      <c r="W140" s="124"/>
      <c r="X140" s="124"/>
      <c r="Y140" s="124"/>
    </row>
    <row r="141" spans="2:25" x14ac:dyDescent="0.25">
      <c r="B141" s="124"/>
      <c r="C141" s="124"/>
      <c r="D141" s="124"/>
      <c r="E141" s="124"/>
      <c r="F141" s="124"/>
      <c r="G141" s="124"/>
      <c r="H141" s="124"/>
      <c r="I141" s="124"/>
      <c r="J141" s="124"/>
      <c r="K141" s="124"/>
      <c r="L141" s="124"/>
      <c r="M141" s="124"/>
      <c r="N141" s="124"/>
      <c r="O141" s="124"/>
      <c r="P141" s="124"/>
      <c r="Q141" s="124"/>
      <c r="R141" s="124"/>
      <c r="S141" s="124"/>
      <c r="T141" s="124"/>
      <c r="U141" s="124"/>
      <c r="V141" s="124"/>
      <c r="W141" s="124"/>
      <c r="X141" s="124"/>
      <c r="Y141" s="124"/>
    </row>
    <row r="142" spans="2:25" x14ac:dyDescent="0.25">
      <c r="B142" s="124"/>
      <c r="C142" s="124"/>
      <c r="D142" s="124"/>
      <c r="E142" s="124"/>
      <c r="F142" s="124"/>
      <c r="G142" s="124"/>
      <c r="H142" s="124"/>
      <c r="I142" s="124"/>
      <c r="J142" s="124"/>
      <c r="K142" s="124"/>
      <c r="L142" s="124"/>
      <c r="M142" s="124"/>
      <c r="N142" s="124"/>
      <c r="O142" s="124"/>
      <c r="P142" s="124"/>
      <c r="Q142" s="124"/>
      <c r="R142" s="124"/>
      <c r="S142" s="124"/>
      <c r="T142" s="124"/>
      <c r="U142" s="124"/>
      <c r="V142" s="124"/>
      <c r="W142" s="124"/>
      <c r="X142" s="124"/>
      <c r="Y142" s="124"/>
    </row>
    <row r="143" spans="2:25" x14ac:dyDescent="0.25">
      <c r="B143" s="124"/>
      <c r="C143" s="124"/>
      <c r="D143" s="124"/>
      <c r="E143" s="124"/>
      <c r="F143" s="124"/>
      <c r="G143" s="124"/>
      <c r="H143" s="124"/>
      <c r="I143" s="124"/>
      <c r="J143" s="124"/>
      <c r="K143" s="124"/>
      <c r="L143" s="124"/>
      <c r="M143" s="124"/>
      <c r="N143" s="124"/>
      <c r="O143" s="124"/>
      <c r="P143" s="124"/>
      <c r="Q143" s="124"/>
      <c r="R143" s="124"/>
      <c r="S143" s="124"/>
      <c r="T143" s="124"/>
      <c r="U143" s="124"/>
      <c r="V143" s="124"/>
      <c r="W143" s="124"/>
      <c r="X143" s="124"/>
      <c r="Y143" s="124"/>
    </row>
    <row r="144" spans="2:25" x14ac:dyDescent="0.25">
      <c r="B144" s="124"/>
      <c r="C144" s="124"/>
      <c r="D144" s="124"/>
      <c r="E144" s="124"/>
      <c r="F144" s="124"/>
      <c r="G144" s="124"/>
      <c r="H144" s="124"/>
      <c r="I144" s="124"/>
      <c r="J144" s="124"/>
      <c r="K144" s="124"/>
      <c r="L144" s="124"/>
      <c r="M144" s="124"/>
      <c r="N144" s="124"/>
      <c r="O144" s="124"/>
      <c r="P144" s="124"/>
      <c r="Q144" s="124"/>
      <c r="R144" s="124"/>
      <c r="S144" s="124"/>
      <c r="T144" s="124"/>
      <c r="U144" s="124"/>
      <c r="V144" s="124"/>
      <c r="W144" s="124"/>
      <c r="X144" s="124"/>
      <c r="Y144" s="124"/>
    </row>
    <row r="145" spans="2:25" x14ac:dyDescent="0.25">
      <c r="B145" s="124"/>
      <c r="C145" s="124"/>
      <c r="D145" s="124"/>
      <c r="E145" s="124"/>
      <c r="F145" s="124"/>
      <c r="G145" s="124"/>
      <c r="H145" s="124"/>
      <c r="I145" s="124"/>
      <c r="J145" s="124"/>
      <c r="K145" s="124"/>
      <c r="L145" s="124"/>
      <c r="M145" s="124"/>
      <c r="N145" s="124"/>
      <c r="O145" s="124"/>
      <c r="P145" s="124"/>
      <c r="Q145" s="124"/>
      <c r="R145" s="124"/>
      <c r="S145" s="124"/>
      <c r="T145" s="124"/>
      <c r="U145" s="124"/>
      <c r="V145" s="124"/>
      <c r="W145" s="124"/>
      <c r="X145" s="124"/>
      <c r="Y145" s="124"/>
    </row>
    <row r="146" spans="2:25" x14ac:dyDescent="0.25">
      <c r="B146" s="124"/>
      <c r="C146" s="124"/>
      <c r="D146" s="124"/>
      <c r="E146" s="124"/>
      <c r="F146" s="124"/>
      <c r="G146" s="124"/>
      <c r="H146" s="124"/>
      <c r="I146" s="124"/>
      <c r="J146" s="124"/>
      <c r="K146" s="124"/>
      <c r="L146" s="124"/>
      <c r="M146" s="124"/>
      <c r="N146" s="124"/>
      <c r="O146" s="124"/>
      <c r="P146" s="124"/>
      <c r="Q146" s="124"/>
      <c r="R146" s="124"/>
      <c r="S146" s="124"/>
      <c r="T146" s="124"/>
      <c r="U146" s="124"/>
      <c r="V146" s="124"/>
      <c r="W146" s="124"/>
      <c r="X146" s="124"/>
      <c r="Y146" s="124"/>
    </row>
    <row r="147" spans="2:25" x14ac:dyDescent="0.25">
      <c r="B147" s="124"/>
      <c r="C147" s="124"/>
      <c r="D147" s="124"/>
      <c r="E147" s="124"/>
      <c r="F147" s="124"/>
      <c r="G147" s="124"/>
      <c r="H147" s="124"/>
      <c r="I147" s="124"/>
      <c r="J147" s="124"/>
      <c r="K147" s="124"/>
      <c r="L147" s="124"/>
      <c r="M147" s="124"/>
      <c r="N147" s="124"/>
      <c r="O147" s="124"/>
      <c r="P147" s="124"/>
      <c r="Q147" s="124"/>
      <c r="R147" s="124"/>
      <c r="S147" s="124"/>
      <c r="T147" s="124"/>
      <c r="U147" s="124"/>
      <c r="V147" s="124"/>
      <c r="W147" s="124"/>
      <c r="X147" s="124"/>
      <c r="Y147" s="124"/>
    </row>
    <row r="148" spans="2:25" x14ac:dyDescent="0.25">
      <c r="B148" s="124"/>
      <c r="C148" s="124"/>
      <c r="D148" s="124"/>
      <c r="E148" s="124"/>
      <c r="F148" s="124"/>
      <c r="G148" s="124"/>
      <c r="H148" s="124"/>
      <c r="I148" s="124"/>
      <c r="J148" s="124"/>
      <c r="K148" s="124"/>
      <c r="L148" s="124"/>
      <c r="M148" s="124"/>
      <c r="N148" s="124"/>
      <c r="O148" s="124"/>
      <c r="P148" s="124"/>
      <c r="Q148" s="124"/>
      <c r="R148" s="124"/>
      <c r="S148" s="124"/>
      <c r="T148" s="124"/>
      <c r="U148" s="124"/>
      <c r="V148" s="124"/>
      <c r="W148" s="124"/>
      <c r="X148" s="124"/>
      <c r="Y148" s="124"/>
    </row>
    <row r="149" spans="2:25" x14ac:dyDescent="0.25">
      <c r="B149" s="124"/>
      <c r="C149" s="124"/>
      <c r="D149" s="124"/>
      <c r="E149" s="124"/>
      <c r="F149" s="124"/>
      <c r="G149" s="124"/>
      <c r="H149" s="124"/>
      <c r="I149" s="124"/>
      <c r="J149" s="124"/>
      <c r="K149" s="124"/>
      <c r="L149" s="124"/>
      <c r="M149" s="124"/>
      <c r="N149" s="124"/>
      <c r="O149" s="124"/>
      <c r="P149" s="124"/>
      <c r="Q149" s="124"/>
      <c r="R149" s="124"/>
      <c r="S149" s="124"/>
      <c r="T149" s="124"/>
      <c r="U149" s="124"/>
      <c r="V149" s="124"/>
      <c r="W149" s="124"/>
      <c r="X149" s="124"/>
      <c r="Y149" s="124"/>
    </row>
    <row r="150" spans="2:25" x14ac:dyDescent="0.25">
      <c r="B150" s="124"/>
      <c r="C150" s="124"/>
      <c r="D150" s="124"/>
      <c r="E150" s="124"/>
      <c r="F150" s="124"/>
      <c r="G150" s="124"/>
      <c r="H150" s="124"/>
      <c r="I150" s="124"/>
      <c r="J150" s="124"/>
      <c r="K150" s="124"/>
      <c r="L150" s="124"/>
      <c r="M150" s="124"/>
      <c r="N150" s="124"/>
      <c r="O150" s="124"/>
      <c r="P150" s="124"/>
      <c r="Q150" s="124"/>
      <c r="R150" s="124"/>
      <c r="S150" s="124"/>
      <c r="T150" s="124"/>
      <c r="U150" s="124"/>
      <c r="V150" s="124"/>
      <c r="W150" s="124"/>
      <c r="X150" s="124"/>
      <c r="Y150" s="124"/>
    </row>
    <row r="151" spans="2:25" x14ac:dyDescent="0.25">
      <c r="B151" s="124"/>
      <c r="C151" s="124"/>
      <c r="D151" s="124"/>
      <c r="E151" s="124"/>
      <c r="F151" s="124"/>
      <c r="G151" s="124"/>
      <c r="H151" s="124"/>
      <c r="I151" s="124"/>
      <c r="J151" s="124"/>
      <c r="K151" s="124"/>
      <c r="L151" s="124"/>
      <c r="M151" s="124"/>
      <c r="N151" s="124"/>
      <c r="O151" s="124"/>
      <c r="P151" s="124"/>
      <c r="Q151" s="124"/>
      <c r="R151" s="124"/>
      <c r="S151" s="124"/>
      <c r="T151" s="124"/>
      <c r="U151" s="124"/>
      <c r="V151" s="124"/>
      <c r="W151" s="124"/>
      <c r="X151" s="124"/>
      <c r="Y151" s="124"/>
    </row>
    <row r="152" spans="2:25" x14ac:dyDescent="0.25">
      <c r="B152" s="124"/>
      <c r="C152" s="124"/>
      <c r="D152" s="124"/>
      <c r="E152" s="124"/>
      <c r="F152" s="124"/>
      <c r="G152" s="124"/>
      <c r="H152" s="124"/>
      <c r="I152" s="124"/>
      <c r="J152" s="124"/>
      <c r="K152" s="124"/>
      <c r="L152" s="124"/>
      <c r="M152" s="124"/>
      <c r="N152" s="124"/>
      <c r="O152" s="124"/>
      <c r="P152" s="124"/>
      <c r="Q152" s="124"/>
      <c r="R152" s="124"/>
      <c r="S152" s="124"/>
      <c r="T152" s="124"/>
      <c r="U152" s="124"/>
      <c r="V152" s="124"/>
      <c r="W152" s="124"/>
      <c r="X152" s="124"/>
      <c r="Y152" s="124"/>
    </row>
    <row r="153" spans="2:25" x14ac:dyDescent="0.25">
      <c r="B153" s="124"/>
      <c r="C153" s="124"/>
      <c r="D153" s="124"/>
      <c r="E153" s="124"/>
      <c r="F153" s="124"/>
      <c r="G153" s="124"/>
      <c r="H153" s="124"/>
      <c r="I153" s="124"/>
      <c r="J153" s="124"/>
      <c r="K153" s="124"/>
      <c r="L153" s="124"/>
      <c r="M153" s="124"/>
      <c r="N153" s="124"/>
      <c r="O153" s="124"/>
      <c r="P153" s="124"/>
      <c r="Q153" s="124"/>
      <c r="R153" s="124"/>
      <c r="S153" s="124"/>
      <c r="T153" s="124"/>
      <c r="U153" s="124"/>
      <c r="V153" s="124"/>
      <c r="W153" s="124"/>
      <c r="X153" s="124"/>
      <c r="Y153" s="124"/>
    </row>
    <row r="154" spans="2:25" x14ac:dyDescent="0.25">
      <c r="B154" s="124"/>
      <c r="C154" s="124"/>
      <c r="D154" s="124"/>
      <c r="E154" s="124"/>
      <c r="F154" s="124"/>
      <c r="G154" s="124"/>
      <c r="H154" s="124"/>
      <c r="I154" s="124"/>
      <c r="J154" s="124"/>
      <c r="K154" s="124"/>
      <c r="L154" s="124"/>
      <c r="M154" s="124"/>
      <c r="N154" s="124"/>
      <c r="O154" s="124"/>
      <c r="P154" s="124"/>
      <c r="Q154" s="124"/>
      <c r="R154" s="124"/>
      <c r="S154" s="124"/>
      <c r="T154" s="124"/>
      <c r="U154" s="124"/>
      <c r="V154" s="124"/>
      <c r="W154" s="124"/>
      <c r="X154" s="124"/>
      <c r="Y154" s="124"/>
    </row>
    <row r="155" spans="2:25" x14ac:dyDescent="0.25">
      <c r="B155" s="124"/>
      <c r="C155" s="124"/>
      <c r="D155" s="124"/>
      <c r="E155" s="124"/>
      <c r="F155" s="124"/>
      <c r="G155" s="124"/>
      <c r="H155" s="124"/>
      <c r="I155" s="124"/>
      <c r="J155" s="124"/>
      <c r="K155" s="124"/>
      <c r="L155" s="124"/>
      <c r="M155" s="124"/>
      <c r="N155" s="124"/>
      <c r="O155" s="124"/>
      <c r="P155" s="124"/>
      <c r="Q155" s="124"/>
      <c r="R155" s="124"/>
      <c r="S155" s="124"/>
      <c r="T155" s="124"/>
      <c r="U155" s="124"/>
      <c r="V155" s="124"/>
      <c r="W155" s="124"/>
      <c r="X155" s="124"/>
      <c r="Y155" s="124"/>
    </row>
    <row r="156" spans="2:25" x14ac:dyDescent="0.25">
      <c r="B156" s="124"/>
      <c r="C156" s="124"/>
      <c r="D156" s="124"/>
      <c r="E156" s="124"/>
      <c r="F156" s="124"/>
      <c r="G156" s="124"/>
      <c r="H156" s="124"/>
      <c r="I156" s="124"/>
      <c r="J156" s="124"/>
      <c r="K156" s="124"/>
      <c r="L156" s="124"/>
      <c r="M156" s="124"/>
      <c r="N156" s="124"/>
      <c r="O156" s="124"/>
      <c r="P156" s="124"/>
      <c r="Q156" s="124"/>
      <c r="R156" s="124"/>
      <c r="S156" s="124"/>
      <c r="T156" s="124"/>
      <c r="U156" s="124"/>
      <c r="V156" s="124"/>
      <c r="W156" s="124"/>
      <c r="X156" s="124"/>
      <c r="Y156" s="124"/>
    </row>
    <row r="157" spans="2:25" x14ac:dyDescent="0.25">
      <c r="B157" s="124"/>
      <c r="C157" s="124"/>
      <c r="D157" s="124"/>
      <c r="E157" s="124"/>
      <c r="F157" s="124"/>
      <c r="G157" s="124"/>
      <c r="H157" s="124"/>
      <c r="I157" s="124"/>
      <c r="J157" s="124"/>
      <c r="K157" s="124"/>
      <c r="L157" s="124"/>
      <c r="M157" s="124"/>
      <c r="N157" s="124"/>
      <c r="O157" s="124"/>
      <c r="P157" s="124"/>
      <c r="Q157" s="124"/>
      <c r="R157" s="124"/>
      <c r="S157" s="124"/>
      <c r="T157" s="124"/>
      <c r="U157" s="124"/>
      <c r="V157" s="124"/>
      <c r="W157" s="124"/>
      <c r="X157" s="124"/>
      <c r="Y157" s="124"/>
    </row>
    <row r="158" spans="2:25" x14ac:dyDescent="0.25">
      <c r="B158" s="124"/>
      <c r="C158" s="124"/>
      <c r="D158" s="124"/>
      <c r="E158" s="124"/>
      <c r="F158" s="124"/>
      <c r="G158" s="124"/>
      <c r="H158" s="124"/>
      <c r="I158" s="124"/>
      <c r="J158" s="124"/>
      <c r="K158" s="124"/>
      <c r="L158" s="124"/>
      <c r="M158" s="124"/>
      <c r="N158" s="124"/>
      <c r="O158" s="124"/>
      <c r="P158" s="124"/>
      <c r="Q158" s="124"/>
      <c r="R158" s="124"/>
      <c r="S158" s="124"/>
      <c r="T158" s="124"/>
      <c r="U158" s="124"/>
      <c r="V158" s="124"/>
      <c r="W158" s="124"/>
      <c r="X158" s="124"/>
      <c r="Y158" s="124"/>
    </row>
    <row r="159" spans="2:25" x14ac:dyDescent="0.25">
      <c r="B159" s="124"/>
      <c r="C159" s="124"/>
      <c r="D159" s="124"/>
      <c r="E159" s="124"/>
      <c r="F159" s="124"/>
      <c r="G159" s="124"/>
      <c r="H159" s="124"/>
      <c r="I159" s="124"/>
      <c r="J159" s="124"/>
      <c r="K159" s="124"/>
      <c r="L159" s="124"/>
      <c r="M159" s="124"/>
      <c r="N159" s="124"/>
      <c r="O159" s="124"/>
      <c r="P159" s="124"/>
      <c r="Q159" s="124"/>
      <c r="R159" s="124"/>
      <c r="S159" s="124"/>
      <c r="T159" s="124"/>
      <c r="U159" s="124"/>
      <c r="V159" s="124"/>
      <c r="W159" s="124"/>
      <c r="X159" s="124"/>
      <c r="Y159" s="124"/>
    </row>
    <row r="160" spans="2:25" x14ac:dyDescent="0.25">
      <c r="B160" s="124"/>
      <c r="C160" s="124"/>
      <c r="D160" s="124"/>
      <c r="E160" s="124"/>
      <c r="F160" s="124"/>
      <c r="G160" s="124"/>
      <c r="H160" s="124"/>
      <c r="I160" s="124"/>
      <c r="J160" s="124"/>
      <c r="K160" s="124"/>
      <c r="L160" s="124"/>
      <c r="M160" s="124"/>
      <c r="N160" s="124"/>
      <c r="O160" s="124"/>
      <c r="P160" s="124"/>
      <c r="Q160" s="124"/>
      <c r="R160" s="124"/>
      <c r="S160" s="124"/>
      <c r="T160" s="124"/>
      <c r="U160" s="124"/>
      <c r="V160" s="124"/>
      <c r="W160" s="124"/>
      <c r="X160" s="124"/>
      <c r="Y160" s="124"/>
    </row>
    <row r="161" spans="2:25" x14ac:dyDescent="0.25">
      <c r="B161" s="124"/>
      <c r="C161" s="124"/>
      <c r="D161" s="124"/>
      <c r="E161" s="124"/>
      <c r="F161" s="124"/>
      <c r="G161" s="124"/>
      <c r="H161" s="124"/>
      <c r="I161" s="124"/>
      <c r="J161" s="124"/>
      <c r="K161" s="124"/>
      <c r="L161" s="124"/>
      <c r="M161" s="124"/>
      <c r="N161" s="124"/>
      <c r="O161" s="124"/>
      <c r="P161" s="124"/>
      <c r="Q161" s="124"/>
      <c r="R161" s="124"/>
      <c r="S161" s="124"/>
      <c r="T161" s="124"/>
      <c r="U161" s="124"/>
      <c r="V161" s="124"/>
      <c r="W161" s="124"/>
      <c r="X161" s="124"/>
      <c r="Y161" s="124"/>
    </row>
    <row r="162" spans="2:25" x14ac:dyDescent="0.25">
      <c r="B162" s="124"/>
      <c r="C162" s="124"/>
      <c r="D162" s="124"/>
      <c r="E162" s="124"/>
      <c r="F162" s="124"/>
      <c r="G162" s="124"/>
      <c r="H162" s="124"/>
      <c r="I162" s="124"/>
      <c r="J162" s="124"/>
      <c r="K162" s="124"/>
      <c r="L162" s="124"/>
      <c r="M162" s="124"/>
      <c r="N162" s="124"/>
      <c r="O162" s="124"/>
      <c r="P162" s="124"/>
      <c r="Q162" s="124"/>
      <c r="R162" s="124"/>
      <c r="S162" s="124"/>
      <c r="T162" s="124"/>
      <c r="U162" s="124"/>
      <c r="V162" s="124"/>
      <c r="W162" s="124"/>
      <c r="X162" s="124"/>
      <c r="Y162" s="124"/>
    </row>
    <row r="163" spans="2:25" x14ac:dyDescent="0.25">
      <c r="B163" s="124"/>
      <c r="C163" s="124"/>
      <c r="D163" s="124"/>
      <c r="E163" s="124"/>
      <c r="F163" s="124"/>
      <c r="G163" s="124"/>
      <c r="H163" s="124"/>
      <c r="I163" s="124"/>
      <c r="J163" s="124"/>
      <c r="K163" s="124"/>
      <c r="L163" s="124"/>
      <c r="M163" s="124"/>
      <c r="N163" s="124"/>
      <c r="O163" s="124"/>
      <c r="P163" s="124"/>
      <c r="Q163" s="124"/>
      <c r="R163" s="124"/>
      <c r="S163" s="124"/>
      <c r="T163" s="124"/>
      <c r="U163" s="124"/>
      <c r="V163" s="124"/>
      <c r="W163" s="124"/>
      <c r="X163" s="124"/>
      <c r="Y163" s="124"/>
    </row>
    <row r="164" spans="2:25" x14ac:dyDescent="0.25">
      <c r="B164" s="124"/>
      <c r="C164" s="124"/>
      <c r="D164" s="124"/>
      <c r="E164" s="124"/>
      <c r="F164" s="124"/>
      <c r="G164" s="124"/>
      <c r="H164" s="124"/>
      <c r="I164" s="124"/>
      <c r="J164" s="124"/>
      <c r="K164" s="124"/>
      <c r="L164" s="124"/>
      <c r="M164" s="124"/>
      <c r="N164" s="124"/>
      <c r="O164" s="124"/>
      <c r="P164" s="124"/>
      <c r="Q164" s="124"/>
      <c r="R164" s="124"/>
      <c r="S164" s="124"/>
      <c r="T164" s="124"/>
      <c r="U164" s="124"/>
      <c r="V164" s="124"/>
      <c r="W164" s="124"/>
      <c r="X164" s="124"/>
      <c r="Y164" s="124"/>
    </row>
    <row r="165" spans="2:25" x14ac:dyDescent="0.25">
      <c r="B165" s="124"/>
      <c r="C165" s="124"/>
      <c r="D165" s="124"/>
      <c r="E165" s="124"/>
      <c r="F165" s="124"/>
      <c r="G165" s="124"/>
      <c r="H165" s="124"/>
      <c r="I165" s="124"/>
      <c r="J165" s="124"/>
      <c r="K165" s="124"/>
      <c r="L165" s="124"/>
      <c r="M165" s="124"/>
      <c r="N165" s="124"/>
      <c r="O165" s="124"/>
      <c r="P165" s="124"/>
      <c r="Q165" s="124"/>
      <c r="R165" s="124"/>
      <c r="S165" s="124"/>
      <c r="T165" s="124"/>
      <c r="U165" s="124"/>
      <c r="V165" s="124"/>
      <c r="W165" s="124"/>
      <c r="X165" s="124"/>
      <c r="Y165" s="124"/>
    </row>
    <row r="166" spans="2:25" x14ac:dyDescent="0.25">
      <c r="B166" s="124"/>
      <c r="C166" s="124"/>
      <c r="D166" s="124"/>
      <c r="E166" s="124"/>
      <c r="F166" s="124"/>
      <c r="G166" s="124"/>
      <c r="H166" s="124"/>
      <c r="I166" s="124"/>
      <c r="J166" s="124"/>
      <c r="K166" s="124"/>
      <c r="L166" s="124"/>
      <c r="M166" s="124"/>
      <c r="N166" s="124"/>
      <c r="O166" s="124"/>
      <c r="P166" s="124"/>
      <c r="Q166" s="124"/>
      <c r="R166" s="124"/>
      <c r="S166" s="124"/>
      <c r="T166" s="124"/>
      <c r="U166" s="124"/>
      <c r="V166" s="124"/>
      <c r="W166" s="124"/>
      <c r="X166" s="124"/>
      <c r="Y166" s="124"/>
    </row>
    <row r="167" spans="2:25" x14ac:dyDescent="0.25">
      <c r="B167" s="124"/>
      <c r="C167" s="124"/>
      <c r="D167" s="124"/>
      <c r="E167" s="124"/>
      <c r="F167" s="124"/>
      <c r="G167" s="124"/>
      <c r="H167" s="124"/>
      <c r="I167" s="124"/>
      <c r="J167" s="124"/>
      <c r="K167" s="124"/>
      <c r="L167" s="124"/>
      <c r="M167" s="124"/>
      <c r="N167" s="124"/>
      <c r="O167" s="124"/>
      <c r="P167" s="124"/>
      <c r="Q167" s="124"/>
      <c r="R167" s="124"/>
      <c r="S167" s="124"/>
      <c r="T167" s="124"/>
      <c r="U167" s="124"/>
      <c r="V167" s="124"/>
      <c r="W167" s="124"/>
      <c r="X167" s="124"/>
      <c r="Y167" s="124"/>
    </row>
    <row r="168" spans="2:25" x14ac:dyDescent="0.25">
      <c r="B168" s="124"/>
      <c r="C168" s="124"/>
      <c r="D168" s="124"/>
      <c r="E168" s="124"/>
      <c r="F168" s="124"/>
      <c r="G168" s="124"/>
      <c r="H168" s="124"/>
      <c r="I168" s="124"/>
      <c r="J168" s="124"/>
      <c r="K168" s="124"/>
      <c r="L168" s="124"/>
      <c r="M168" s="124"/>
      <c r="N168" s="124"/>
      <c r="O168" s="124"/>
      <c r="P168" s="124"/>
      <c r="Q168" s="124"/>
      <c r="R168" s="124"/>
      <c r="S168" s="124"/>
      <c r="T168" s="124"/>
      <c r="U168" s="124"/>
      <c r="V168" s="124"/>
      <c r="W168" s="124"/>
      <c r="X168" s="124"/>
      <c r="Y168" s="124"/>
    </row>
    <row r="169" spans="2:25" x14ac:dyDescent="0.25">
      <c r="B169" s="124"/>
      <c r="C169" s="124"/>
      <c r="D169" s="124"/>
      <c r="E169" s="124"/>
      <c r="F169" s="124"/>
      <c r="G169" s="124"/>
      <c r="H169" s="124"/>
      <c r="I169" s="124"/>
      <c r="J169" s="124"/>
      <c r="K169" s="124"/>
      <c r="L169" s="124"/>
      <c r="M169" s="124"/>
      <c r="N169" s="124"/>
      <c r="O169" s="124"/>
      <c r="P169" s="124"/>
      <c r="Q169" s="124"/>
      <c r="R169" s="124"/>
      <c r="S169" s="124"/>
      <c r="T169" s="124"/>
      <c r="U169" s="124"/>
      <c r="V169" s="124"/>
      <c r="W169" s="124"/>
      <c r="X169" s="124"/>
      <c r="Y169" s="124"/>
    </row>
    <row r="170" spans="2:25" x14ac:dyDescent="0.25">
      <c r="B170" s="124"/>
      <c r="C170" s="124"/>
      <c r="D170" s="124"/>
      <c r="E170" s="124"/>
      <c r="F170" s="124"/>
      <c r="G170" s="124"/>
      <c r="H170" s="124"/>
      <c r="I170" s="124"/>
      <c r="J170" s="124"/>
      <c r="K170" s="124"/>
      <c r="L170" s="124"/>
      <c r="M170" s="124"/>
      <c r="N170" s="124"/>
      <c r="O170" s="124"/>
      <c r="P170" s="124"/>
      <c r="Q170" s="124"/>
      <c r="R170" s="124"/>
      <c r="S170" s="124"/>
      <c r="T170" s="124"/>
      <c r="U170" s="124"/>
      <c r="V170" s="124"/>
      <c r="W170" s="124"/>
      <c r="X170" s="124"/>
      <c r="Y170" s="124"/>
    </row>
    <row r="171" spans="2:25" x14ac:dyDescent="0.25">
      <c r="B171" s="124"/>
      <c r="C171" s="124"/>
      <c r="D171" s="124"/>
      <c r="E171" s="124"/>
      <c r="F171" s="124"/>
      <c r="G171" s="124"/>
      <c r="H171" s="124"/>
      <c r="I171" s="124"/>
      <c r="J171" s="124"/>
      <c r="K171" s="124"/>
      <c r="L171" s="124"/>
      <c r="M171" s="124"/>
      <c r="N171" s="124"/>
      <c r="O171" s="124"/>
      <c r="P171" s="124"/>
      <c r="Q171" s="124"/>
      <c r="R171" s="124"/>
      <c r="S171" s="124"/>
      <c r="T171" s="124"/>
      <c r="U171" s="124"/>
      <c r="V171" s="124"/>
      <c r="W171" s="124"/>
      <c r="X171" s="124"/>
      <c r="Y171" s="124"/>
    </row>
    <row r="172" spans="2:25" x14ac:dyDescent="0.25">
      <c r="B172" s="124"/>
      <c r="C172" s="124"/>
      <c r="D172" s="124"/>
      <c r="E172" s="124"/>
      <c r="F172" s="124"/>
      <c r="G172" s="124"/>
      <c r="H172" s="124"/>
      <c r="I172" s="124"/>
      <c r="J172" s="124"/>
      <c r="K172" s="124"/>
      <c r="L172" s="124"/>
      <c r="M172" s="124"/>
      <c r="N172" s="124"/>
      <c r="O172" s="124"/>
      <c r="P172" s="124"/>
      <c r="Q172" s="124"/>
      <c r="R172" s="124"/>
      <c r="S172" s="124"/>
      <c r="T172" s="124"/>
      <c r="U172" s="124"/>
      <c r="V172" s="124"/>
      <c r="W172" s="124"/>
      <c r="X172" s="124"/>
      <c r="Y172" s="124"/>
    </row>
    <row r="173" spans="2:25" x14ac:dyDescent="0.25">
      <c r="B173" s="124"/>
      <c r="C173" s="124"/>
      <c r="D173" s="124"/>
      <c r="E173" s="124"/>
      <c r="F173" s="124"/>
      <c r="G173" s="124"/>
      <c r="H173" s="124"/>
      <c r="I173" s="124"/>
      <c r="J173" s="124"/>
      <c r="K173" s="124"/>
      <c r="L173" s="124"/>
      <c r="M173" s="124"/>
      <c r="N173" s="124"/>
      <c r="O173" s="124"/>
      <c r="P173" s="124"/>
      <c r="Q173" s="124"/>
      <c r="R173" s="124"/>
      <c r="S173" s="124"/>
      <c r="T173" s="124"/>
      <c r="U173" s="124"/>
      <c r="V173" s="124"/>
      <c r="W173" s="124"/>
      <c r="X173" s="124"/>
      <c r="Y173" s="124"/>
    </row>
    <row r="174" spans="2:25" x14ac:dyDescent="0.25">
      <c r="B174" s="124"/>
      <c r="C174" s="124"/>
      <c r="D174" s="124"/>
      <c r="E174" s="124"/>
      <c r="F174" s="124"/>
      <c r="G174" s="124"/>
      <c r="H174" s="124"/>
      <c r="I174" s="124"/>
      <c r="J174" s="124"/>
      <c r="K174" s="124"/>
      <c r="L174" s="124"/>
      <c r="M174" s="124"/>
      <c r="N174" s="124"/>
      <c r="O174" s="124"/>
      <c r="P174" s="124"/>
      <c r="Q174" s="124"/>
      <c r="R174" s="124"/>
      <c r="S174" s="124"/>
      <c r="T174" s="124"/>
      <c r="U174" s="124"/>
      <c r="V174" s="124"/>
      <c r="W174" s="124"/>
      <c r="X174" s="124"/>
      <c r="Y174" s="124"/>
    </row>
    <row r="175" spans="2:25" x14ac:dyDescent="0.25">
      <c r="B175" s="124"/>
      <c r="C175" s="124"/>
      <c r="D175" s="124"/>
      <c r="E175" s="124"/>
      <c r="F175" s="124"/>
      <c r="G175" s="124"/>
      <c r="H175" s="124"/>
      <c r="I175" s="124"/>
      <c r="J175" s="124"/>
      <c r="K175" s="124"/>
      <c r="L175" s="124"/>
      <c r="M175" s="124"/>
      <c r="N175" s="124"/>
      <c r="O175" s="124"/>
      <c r="P175" s="124"/>
      <c r="Q175" s="124"/>
      <c r="R175" s="124"/>
      <c r="S175" s="124"/>
      <c r="T175" s="124"/>
      <c r="U175" s="124"/>
      <c r="V175" s="124"/>
      <c r="W175" s="124"/>
      <c r="X175" s="124"/>
      <c r="Y175" s="124"/>
    </row>
    <row r="176" spans="2:25" x14ac:dyDescent="0.25">
      <c r="B176" s="124"/>
      <c r="C176" s="124"/>
      <c r="D176" s="124"/>
      <c r="E176" s="124"/>
      <c r="F176" s="124"/>
      <c r="G176" s="124"/>
      <c r="H176" s="124"/>
      <c r="I176" s="124"/>
      <c r="J176" s="124"/>
      <c r="K176" s="124"/>
      <c r="L176" s="124"/>
      <c r="M176" s="124"/>
      <c r="N176" s="124"/>
      <c r="O176" s="124"/>
      <c r="P176" s="124"/>
      <c r="Q176" s="124"/>
      <c r="R176" s="124"/>
      <c r="S176" s="124"/>
      <c r="T176" s="124"/>
      <c r="U176" s="124"/>
      <c r="V176" s="124"/>
      <c r="W176" s="124"/>
      <c r="X176" s="124"/>
      <c r="Y176" s="124"/>
    </row>
    <row r="177" spans="2:25" x14ac:dyDescent="0.25">
      <c r="B177" s="124"/>
      <c r="C177" s="124"/>
      <c r="D177" s="124"/>
      <c r="E177" s="124"/>
      <c r="F177" s="124"/>
      <c r="G177" s="124"/>
      <c r="H177" s="124"/>
      <c r="I177" s="124"/>
      <c r="J177" s="124"/>
      <c r="K177" s="124"/>
      <c r="L177" s="124"/>
      <c r="M177" s="124"/>
      <c r="N177" s="124"/>
      <c r="O177" s="124"/>
      <c r="P177" s="124"/>
      <c r="Q177" s="124"/>
      <c r="R177" s="124"/>
      <c r="S177" s="124"/>
      <c r="T177" s="124"/>
      <c r="U177" s="124"/>
      <c r="V177" s="124"/>
      <c r="W177" s="124"/>
      <c r="X177" s="124"/>
      <c r="Y177" s="124"/>
    </row>
    <row r="178" spans="2:25" x14ac:dyDescent="0.25">
      <c r="B178" s="124"/>
      <c r="C178" s="124"/>
      <c r="D178" s="124"/>
      <c r="E178" s="124"/>
      <c r="F178" s="124"/>
      <c r="G178" s="124"/>
      <c r="H178" s="124"/>
      <c r="I178" s="124"/>
      <c r="J178" s="124"/>
      <c r="K178" s="124"/>
      <c r="L178" s="124"/>
      <c r="M178" s="124"/>
      <c r="N178" s="124"/>
      <c r="O178" s="124"/>
      <c r="P178" s="124"/>
      <c r="Q178" s="124"/>
      <c r="R178" s="124"/>
      <c r="S178" s="124"/>
      <c r="T178" s="124"/>
      <c r="U178" s="124"/>
      <c r="V178" s="124"/>
      <c r="W178" s="124"/>
      <c r="X178" s="124"/>
      <c r="Y178" s="124"/>
    </row>
    <row r="179" spans="2:25" x14ac:dyDescent="0.25">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row>
    <row r="180" spans="2:25" x14ac:dyDescent="0.25">
      <c r="B180" s="124"/>
      <c r="C180" s="124"/>
      <c r="D180" s="124"/>
      <c r="E180" s="124"/>
      <c r="F180" s="124"/>
      <c r="G180" s="124"/>
      <c r="H180" s="124"/>
      <c r="I180" s="124"/>
      <c r="J180" s="124"/>
      <c r="K180" s="124"/>
      <c r="L180" s="124"/>
      <c r="M180" s="124"/>
      <c r="N180" s="124"/>
      <c r="O180" s="124"/>
      <c r="P180" s="124"/>
      <c r="Q180" s="124"/>
      <c r="R180" s="124"/>
      <c r="S180" s="124"/>
      <c r="T180" s="124"/>
      <c r="U180" s="124"/>
      <c r="V180" s="124"/>
      <c r="W180" s="124"/>
      <c r="X180" s="124"/>
      <c r="Y180" s="124"/>
    </row>
    <row r="181" spans="2:25" x14ac:dyDescent="0.25">
      <c r="B181" s="124"/>
      <c r="C181" s="124"/>
      <c r="D181" s="124"/>
      <c r="E181" s="124"/>
      <c r="F181" s="124"/>
      <c r="G181" s="124"/>
      <c r="H181" s="124"/>
      <c r="I181" s="124"/>
      <c r="J181" s="124"/>
      <c r="K181" s="124"/>
      <c r="L181" s="124"/>
      <c r="M181" s="124"/>
      <c r="N181" s="124"/>
      <c r="O181" s="124"/>
      <c r="P181" s="124"/>
      <c r="Q181" s="124"/>
      <c r="R181" s="124"/>
      <c r="S181" s="124"/>
      <c r="T181" s="124"/>
      <c r="U181" s="124"/>
      <c r="V181" s="124"/>
      <c r="W181" s="124"/>
      <c r="X181" s="124"/>
      <c r="Y181" s="124"/>
    </row>
    <row r="182" spans="2:25" x14ac:dyDescent="0.25">
      <c r="B182" s="124"/>
      <c r="C182" s="124"/>
      <c r="D182" s="124"/>
      <c r="E182" s="124"/>
      <c r="F182" s="124"/>
      <c r="G182" s="124"/>
      <c r="H182" s="124"/>
      <c r="I182" s="124"/>
      <c r="J182" s="124"/>
      <c r="K182" s="124"/>
      <c r="L182" s="124"/>
      <c r="M182" s="124"/>
      <c r="N182" s="124"/>
      <c r="O182" s="124"/>
      <c r="P182" s="124"/>
      <c r="Q182" s="124"/>
      <c r="R182" s="124"/>
      <c r="S182" s="124"/>
      <c r="T182" s="124"/>
      <c r="U182" s="124"/>
      <c r="V182" s="124"/>
      <c r="W182" s="124"/>
      <c r="X182" s="124"/>
      <c r="Y182" s="124"/>
    </row>
    <row r="183" spans="2:25" x14ac:dyDescent="0.25">
      <c r="B183" s="124"/>
      <c r="C183" s="124"/>
      <c r="D183" s="124"/>
      <c r="E183" s="124"/>
      <c r="F183" s="124"/>
      <c r="G183" s="124"/>
      <c r="H183" s="124"/>
      <c r="I183" s="124"/>
      <c r="J183" s="124"/>
      <c r="K183" s="124"/>
      <c r="L183" s="124"/>
      <c r="M183" s="124"/>
      <c r="N183" s="124"/>
      <c r="O183" s="124"/>
      <c r="P183" s="124"/>
      <c r="Q183" s="124"/>
      <c r="R183" s="124"/>
      <c r="S183" s="124"/>
      <c r="T183" s="124"/>
      <c r="U183" s="124"/>
      <c r="V183" s="124"/>
      <c r="W183" s="124"/>
      <c r="X183" s="124"/>
      <c r="Y183" s="124"/>
    </row>
    <row r="184" spans="2:25" x14ac:dyDescent="0.25">
      <c r="B184" s="124"/>
      <c r="C184" s="124"/>
      <c r="D184" s="124"/>
      <c r="E184" s="124"/>
      <c r="F184" s="124"/>
      <c r="G184" s="124"/>
      <c r="H184" s="124"/>
      <c r="I184" s="124"/>
      <c r="J184" s="124"/>
      <c r="K184" s="124"/>
      <c r="L184" s="124"/>
      <c r="M184" s="124"/>
      <c r="N184" s="124"/>
      <c r="O184" s="124"/>
      <c r="P184" s="124"/>
      <c r="Q184" s="124"/>
      <c r="R184" s="124"/>
      <c r="S184" s="124"/>
      <c r="T184" s="124"/>
      <c r="U184" s="124"/>
      <c r="V184" s="124"/>
      <c r="W184" s="124"/>
      <c r="X184" s="124"/>
      <c r="Y184" s="124"/>
    </row>
    <row r="185" spans="2:25" x14ac:dyDescent="0.25">
      <c r="B185" s="124"/>
      <c r="C185" s="124"/>
      <c r="D185" s="124"/>
      <c r="E185" s="124"/>
      <c r="F185" s="124"/>
      <c r="G185" s="124"/>
      <c r="H185" s="124"/>
      <c r="I185" s="124"/>
      <c r="J185" s="124"/>
      <c r="K185" s="124"/>
      <c r="L185" s="124"/>
      <c r="M185" s="124"/>
      <c r="N185" s="124"/>
      <c r="O185" s="124"/>
      <c r="P185" s="124"/>
      <c r="Q185" s="124"/>
      <c r="R185" s="124"/>
      <c r="S185" s="124"/>
      <c r="T185" s="124"/>
      <c r="U185" s="124"/>
      <c r="V185" s="124"/>
      <c r="W185" s="124"/>
      <c r="X185" s="124"/>
      <c r="Y185" s="124"/>
    </row>
    <row r="186" spans="2:25" x14ac:dyDescent="0.25">
      <c r="B186" s="124"/>
      <c r="C186" s="124"/>
      <c r="D186" s="124"/>
      <c r="E186" s="124"/>
      <c r="F186" s="124"/>
      <c r="G186" s="124"/>
      <c r="H186" s="124"/>
      <c r="I186" s="124"/>
      <c r="J186" s="124"/>
      <c r="K186" s="124"/>
      <c r="L186" s="124"/>
      <c r="M186" s="124"/>
      <c r="N186" s="124"/>
      <c r="O186" s="124"/>
      <c r="P186" s="124"/>
      <c r="Q186" s="124"/>
      <c r="R186" s="124"/>
      <c r="S186" s="124"/>
      <c r="T186" s="124"/>
      <c r="U186" s="124"/>
      <c r="V186" s="124"/>
      <c r="W186" s="124"/>
      <c r="X186" s="124"/>
      <c r="Y186" s="124"/>
    </row>
    <row r="187" spans="2:25" x14ac:dyDescent="0.25">
      <c r="B187" s="124"/>
      <c r="C187" s="124"/>
      <c r="D187" s="124"/>
      <c r="E187" s="124"/>
      <c r="F187" s="124"/>
      <c r="G187" s="124"/>
      <c r="H187" s="124"/>
      <c r="I187" s="124"/>
      <c r="J187" s="124"/>
      <c r="K187" s="124"/>
      <c r="L187" s="124"/>
      <c r="M187" s="124"/>
      <c r="N187" s="124"/>
      <c r="O187" s="124"/>
      <c r="P187" s="124"/>
      <c r="Q187" s="124"/>
      <c r="R187" s="124"/>
      <c r="S187" s="124"/>
      <c r="T187" s="124"/>
      <c r="U187" s="124"/>
      <c r="V187" s="124"/>
      <c r="W187" s="124"/>
      <c r="X187" s="124"/>
      <c r="Y187" s="124"/>
    </row>
    <row r="188" spans="2:25" x14ac:dyDescent="0.25">
      <c r="B188" s="124"/>
      <c r="C188" s="124"/>
      <c r="D188" s="124"/>
      <c r="E188" s="124"/>
      <c r="F188" s="124"/>
      <c r="G188" s="124"/>
      <c r="H188" s="124"/>
      <c r="I188" s="124"/>
      <c r="J188" s="124"/>
      <c r="K188" s="124"/>
      <c r="L188" s="124"/>
      <c r="M188" s="124"/>
      <c r="N188" s="124"/>
      <c r="O188" s="124"/>
      <c r="P188" s="124"/>
      <c r="Q188" s="124"/>
      <c r="R188" s="124"/>
      <c r="S188" s="124"/>
      <c r="T188" s="124"/>
      <c r="U188" s="124"/>
      <c r="V188" s="124"/>
      <c r="W188" s="124"/>
      <c r="X188" s="124"/>
      <c r="Y188" s="124"/>
    </row>
    <row r="189" spans="2:25" x14ac:dyDescent="0.25">
      <c r="B189" s="124"/>
      <c r="C189" s="124"/>
      <c r="D189" s="124"/>
      <c r="E189" s="124"/>
      <c r="F189" s="124"/>
      <c r="G189" s="124"/>
      <c r="H189" s="124"/>
      <c r="I189" s="124"/>
      <c r="J189" s="124"/>
      <c r="K189" s="124"/>
      <c r="L189" s="124"/>
      <c r="M189" s="124"/>
      <c r="N189" s="124"/>
      <c r="O189" s="124"/>
      <c r="P189" s="124"/>
      <c r="Q189" s="124"/>
      <c r="R189" s="124"/>
      <c r="S189" s="124"/>
      <c r="T189" s="124"/>
      <c r="U189" s="124"/>
      <c r="V189" s="124"/>
      <c r="W189" s="124"/>
      <c r="X189" s="124"/>
      <c r="Y189" s="124"/>
    </row>
    <row r="190" spans="2:25" x14ac:dyDescent="0.25">
      <c r="B190" s="124"/>
      <c r="C190" s="124"/>
      <c r="D190" s="124"/>
      <c r="E190" s="124"/>
      <c r="F190" s="124"/>
      <c r="G190" s="124"/>
      <c r="H190" s="124"/>
      <c r="I190" s="124"/>
      <c r="J190" s="124"/>
      <c r="K190" s="124"/>
      <c r="L190" s="124"/>
      <c r="M190" s="124"/>
      <c r="N190" s="124"/>
      <c r="O190" s="124"/>
      <c r="P190" s="124"/>
      <c r="Q190" s="124"/>
      <c r="R190" s="124"/>
      <c r="S190" s="124"/>
      <c r="T190" s="124"/>
      <c r="U190" s="124"/>
      <c r="V190" s="124"/>
      <c r="W190" s="124"/>
      <c r="X190" s="124"/>
      <c r="Y190" s="124"/>
    </row>
    <row r="191" spans="2:25" x14ac:dyDescent="0.25">
      <c r="B191" s="124"/>
      <c r="C191" s="124"/>
      <c r="D191" s="124"/>
      <c r="E191" s="124"/>
      <c r="F191" s="124"/>
      <c r="G191" s="124"/>
      <c r="H191" s="124"/>
      <c r="I191" s="124"/>
      <c r="J191" s="124"/>
      <c r="K191" s="124"/>
      <c r="L191" s="124"/>
      <c r="M191" s="124"/>
      <c r="N191" s="124"/>
      <c r="O191" s="124"/>
      <c r="P191" s="124"/>
      <c r="Q191" s="124"/>
      <c r="R191" s="124"/>
      <c r="S191" s="124"/>
      <c r="T191" s="124"/>
      <c r="U191" s="124"/>
      <c r="V191" s="124"/>
      <c r="W191" s="124"/>
      <c r="X191" s="124"/>
      <c r="Y191" s="124"/>
    </row>
    <row r="192" spans="2:25" x14ac:dyDescent="0.25">
      <c r="B192" s="124"/>
      <c r="C192" s="124"/>
      <c r="D192" s="124"/>
      <c r="E192" s="124"/>
      <c r="F192" s="124"/>
      <c r="G192" s="124"/>
      <c r="H192" s="124"/>
      <c r="I192" s="124"/>
      <c r="J192" s="124"/>
      <c r="K192" s="124"/>
      <c r="L192" s="124"/>
      <c r="M192" s="124"/>
      <c r="N192" s="124"/>
      <c r="O192" s="124"/>
      <c r="P192" s="124"/>
      <c r="Q192" s="124"/>
      <c r="R192" s="124"/>
      <c r="S192" s="124"/>
      <c r="T192" s="124"/>
      <c r="U192" s="124"/>
      <c r="V192" s="124"/>
      <c r="W192" s="124"/>
      <c r="X192" s="124"/>
      <c r="Y192" s="124"/>
    </row>
    <row r="193" spans="2:25" x14ac:dyDescent="0.25">
      <c r="B193" s="124"/>
      <c r="C193" s="124"/>
      <c r="D193" s="124"/>
      <c r="E193" s="124"/>
      <c r="F193" s="124"/>
      <c r="G193" s="124"/>
      <c r="H193" s="124"/>
      <c r="I193" s="124"/>
      <c r="J193" s="124"/>
      <c r="K193" s="124"/>
      <c r="L193" s="124"/>
      <c r="M193" s="124"/>
      <c r="N193" s="124"/>
      <c r="O193" s="124"/>
      <c r="P193" s="124"/>
      <c r="Q193" s="124"/>
      <c r="R193" s="124"/>
      <c r="S193" s="124"/>
      <c r="T193" s="124"/>
      <c r="U193" s="124"/>
      <c r="V193" s="124"/>
      <c r="W193" s="124"/>
      <c r="X193" s="124"/>
      <c r="Y193" s="124"/>
    </row>
    <row r="194" spans="2:25" x14ac:dyDescent="0.25">
      <c r="B194" s="124"/>
      <c r="C194" s="124"/>
      <c r="D194" s="124"/>
      <c r="E194" s="124"/>
      <c r="F194" s="124"/>
      <c r="G194" s="124"/>
      <c r="H194" s="124"/>
      <c r="I194" s="124"/>
      <c r="J194" s="124"/>
      <c r="K194" s="124"/>
      <c r="L194" s="124"/>
      <c r="M194" s="124"/>
      <c r="N194" s="124"/>
      <c r="O194" s="124"/>
      <c r="P194" s="124"/>
      <c r="Q194" s="124"/>
      <c r="R194" s="124"/>
      <c r="S194" s="124"/>
      <c r="T194" s="124"/>
      <c r="U194" s="124"/>
      <c r="V194" s="124"/>
      <c r="W194" s="124"/>
      <c r="X194" s="124"/>
      <c r="Y194" s="124"/>
    </row>
    <row r="195" spans="2:25" x14ac:dyDescent="0.25">
      <c r="B195" s="124"/>
      <c r="C195" s="124"/>
      <c r="D195" s="124"/>
      <c r="E195" s="124"/>
      <c r="F195" s="124"/>
      <c r="G195" s="124"/>
      <c r="H195" s="124"/>
      <c r="I195" s="124"/>
      <c r="J195" s="124"/>
      <c r="K195" s="124"/>
      <c r="L195" s="124"/>
      <c r="M195" s="124"/>
      <c r="N195" s="124"/>
      <c r="O195" s="124"/>
      <c r="P195" s="124"/>
      <c r="Q195" s="124"/>
      <c r="R195" s="124"/>
      <c r="S195" s="124"/>
      <c r="T195" s="124"/>
      <c r="U195" s="124"/>
      <c r="V195" s="124"/>
      <c r="W195" s="124"/>
      <c r="X195" s="124"/>
      <c r="Y195" s="124"/>
    </row>
    <row r="196" spans="2:25" x14ac:dyDescent="0.25">
      <c r="B196" s="124"/>
      <c r="C196" s="124"/>
      <c r="D196" s="124"/>
      <c r="E196" s="124"/>
      <c r="F196" s="124"/>
      <c r="G196" s="124"/>
      <c r="H196" s="124"/>
      <c r="I196" s="124"/>
      <c r="J196" s="124"/>
      <c r="K196" s="124"/>
      <c r="L196" s="124"/>
      <c r="M196" s="124"/>
      <c r="N196" s="124"/>
      <c r="O196" s="124"/>
      <c r="P196" s="124"/>
      <c r="Q196" s="124"/>
      <c r="R196" s="124"/>
      <c r="S196" s="124"/>
      <c r="T196" s="124"/>
      <c r="U196" s="124"/>
      <c r="V196" s="124"/>
      <c r="W196" s="124"/>
      <c r="X196" s="124"/>
      <c r="Y196" s="124"/>
    </row>
    <row r="197" spans="2:25" x14ac:dyDescent="0.25">
      <c r="B197" s="124"/>
      <c r="C197" s="124"/>
      <c r="D197" s="124"/>
      <c r="E197" s="124"/>
      <c r="F197" s="124"/>
      <c r="G197" s="124"/>
      <c r="H197" s="124"/>
      <c r="I197" s="124"/>
      <c r="J197" s="124"/>
      <c r="K197" s="124"/>
      <c r="L197" s="124"/>
      <c r="M197" s="124"/>
      <c r="N197" s="124"/>
      <c r="O197" s="124"/>
      <c r="P197" s="124"/>
      <c r="Q197" s="124"/>
      <c r="R197" s="124"/>
      <c r="S197" s="124"/>
      <c r="T197" s="124"/>
      <c r="U197" s="124"/>
      <c r="V197" s="124"/>
      <c r="W197" s="124"/>
      <c r="X197" s="124"/>
      <c r="Y197" s="124"/>
    </row>
    <row r="198" spans="2:25" x14ac:dyDescent="0.25">
      <c r="B198" s="124"/>
      <c r="C198" s="124"/>
      <c r="D198" s="124"/>
      <c r="E198" s="124"/>
      <c r="F198" s="124"/>
      <c r="G198" s="124"/>
      <c r="H198" s="124"/>
      <c r="I198" s="124"/>
      <c r="J198" s="124"/>
      <c r="K198" s="124"/>
      <c r="L198" s="124"/>
      <c r="M198" s="124"/>
      <c r="N198" s="124"/>
      <c r="O198" s="124"/>
      <c r="P198" s="124"/>
      <c r="Q198" s="124"/>
      <c r="R198" s="124"/>
      <c r="S198" s="124"/>
      <c r="T198" s="124"/>
      <c r="U198" s="124"/>
      <c r="V198" s="124"/>
      <c r="W198" s="124"/>
      <c r="X198" s="124"/>
      <c r="Y198" s="124"/>
    </row>
    <row r="199" spans="2:25" x14ac:dyDescent="0.25">
      <c r="B199" s="124"/>
      <c r="C199" s="124"/>
      <c r="D199" s="124"/>
      <c r="E199" s="124"/>
      <c r="F199" s="124"/>
      <c r="G199" s="124"/>
      <c r="H199" s="124"/>
      <c r="I199" s="124"/>
      <c r="J199" s="124"/>
      <c r="K199" s="124"/>
      <c r="L199" s="124"/>
      <c r="M199" s="124"/>
      <c r="N199" s="124"/>
      <c r="O199" s="124"/>
      <c r="P199" s="124"/>
      <c r="Q199" s="124"/>
      <c r="R199" s="124"/>
      <c r="S199" s="124"/>
      <c r="T199" s="124"/>
      <c r="U199" s="124"/>
      <c r="V199" s="124"/>
      <c r="W199" s="124"/>
      <c r="X199" s="124"/>
      <c r="Y199" s="124"/>
    </row>
    <row r="200" spans="2:25" x14ac:dyDescent="0.25">
      <c r="B200" s="124"/>
      <c r="C200" s="124"/>
      <c r="D200" s="124"/>
      <c r="E200" s="124"/>
      <c r="F200" s="124"/>
      <c r="G200" s="124"/>
      <c r="H200" s="124"/>
      <c r="I200" s="124"/>
      <c r="J200" s="124"/>
      <c r="K200" s="124"/>
      <c r="L200" s="124"/>
      <c r="M200" s="124"/>
      <c r="N200" s="124"/>
      <c r="O200" s="124"/>
      <c r="P200" s="124"/>
      <c r="Q200" s="124"/>
      <c r="R200" s="124"/>
      <c r="S200" s="124"/>
      <c r="T200" s="124"/>
      <c r="U200" s="124"/>
      <c r="V200" s="124"/>
      <c r="W200" s="124"/>
      <c r="X200" s="124"/>
      <c r="Y200" s="124"/>
    </row>
    <row r="201" spans="2:25" x14ac:dyDescent="0.25">
      <c r="B201" s="124"/>
      <c r="C201" s="124"/>
      <c r="D201" s="124"/>
      <c r="E201" s="124"/>
      <c r="F201" s="124"/>
      <c r="G201" s="124"/>
      <c r="H201" s="124"/>
      <c r="I201" s="124"/>
      <c r="J201" s="124"/>
      <c r="K201" s="124"/>
      <c r="L201" s="124"/>
      <c r="M201" s="124"/>
      <c r="N201" s="124"/>
      <c r="O201" s="124"/>
      <c r="P201" s="124"/>
      <c r="Q201" s="124"/>
      <c r="R201" s="124"/>
      <c r="S201" s="124"/>
      <c r="T201" s="124"/>
      <c r="U201" s="124"/>
      <c r="V201" s="124"/>
      <c r="W201" s="124"/>
      <c r="X201" s="124"/>
      <c r="Y201" s="124"/>
    </row>
    <row r="202" spans="2:25" x14ac:dyDescent="0.25">
      <c r="B202" s="124"/>
      <c r="C202" s="124"/>
      <c r="D202" s="124"/>
      <c r="E202" s="124"/>
      <c r="F202" s="124"/>
      <c r="G202" s="124"/>
      <c r="H202" s="124"/>
      <c r="I202" s="124"/>
      <c r="J202" s="124"/>
      <c r="K202" s="124"/>
      <c r="L202" s="124"/>
      <c r="M202" s="124"/>
      <c r="N202" s="124"/>
      <c r="O202" s="124"/>
      <c r="P202" s="124"/>
      <c r="Q202" s="124"/>
      <c r="R202" s="124"/>
      <c r="S202" s="124"/>
      <c r="T202" s="124"/>
      <c r="U202" s="124"/>
      <c r="V202" s="124"/>
      <c r="W202" s="124"/>
      <c r="X202" s="124"/>
      <c r="Y202" s="124"/>
    </row>
    <row r="203" spans="2:25" x14ac:dyDescent="0.25">
      <c r="B203" s="124"/>
      <c r="C203" s="124"/>
      <c r="D203" s="124"/>
      <c r="E203" s="124"/>
      <c r="F203" s="124"/>
      <c r="G203" s="124"/>
      <c r="H203" s="124"/>
      <c r="I203" s="124"/>
      <c r="J203" s="124"/>
      <c r="K203" s="124"/>
      <c r="L203" s="124"/>
      <c r="M203" s="124"/>
      <c r="N203" s="124"/>
      <c r="O203" s="124"/>
      <c r="P203" s="124"/>
      <c r="Q203" s="124"/>
      <c r="R203" s="124"/>
      <c r="S203" s="124"/>
      <c r="T203" s="124"/>
      <c r="U203" s="124"/>
      <c r="V203" s="124"/>
      <c r="W203" s="124"/>
      <c r="X203" s="124"/>
      <c r="Y203" s="124"/>
    </row>
    <row r="204" spans="2:25" x14ac:dyDescent="0.25">
      <c r="B204" s="124"/>
      <c r="C204" s="124"/>
      <c r="D204" s="124"/>
      <c r="E204" s="124"/>
      <c r="F204" s="124"/>
      <c r="G204" s="124"/>
      <c r="H204" s="124"/>
      <c r="I204" s="124"/>
      <c r="J204" s="124"/>
      <c r="K204" s="124"/>
      <c r="L204" s="124"/>
      <c r="M204" s="124"/>
      <c r="N204" s="124"/>
      <c r="O204" s="124"/>
      <c r="P204" s="124"/>
      <c r="Q204" s="124"/>
      <c r="R204" s="124"/>
      <c r="S204" s="124"/>
      <c r="T204" s="124"/>
      <c r="U204" s="124"/>
      <c r="V204" s="124"/>
      <c r="W204" s="124"/>
      <c r="X204" s="124"/>
      <c r="Y204" s="124"/>
    </row>
    <row r="205" spans="2:25" x14ac:dyDescent="0.25">
      <c r="B205" s="124"/>
      <c r="C205" s="124"/>
      <c r="D205" s="124"/>
      <c r="E205" s="124"/>
      <c r="F205" s="124"/>
      <c r="G205" s="124"/>
      <c r="H205" s="124"/>
      <c r="I205" s="124"/>
      <c r="J205" s="124"/>
      <c r="K205" s="124"/>
      <c r="L205" s="124"/>
      <c r="M205" s="124"/>
      <c r="N205" s="124"/>
      <c r="O205" s="124"/>
      <c r="P205" s="124"/>
      <c r="Q205" s="124"/>
      <c r="R205" s="124"/>
      <c r="S205" s="124"/>
      <c r="T205" s="124"/>
      <c r="U205" s="124"/>
      <c r="V205" s="124"/>
      <c r="W205" s="124"/>
      <c r="X205" s="124"/>
      <c r="Y205" s="124"/>
    </row>
    <row r="206" spans="2:25" x14ac:dyDescent="0.25">
      <c r="B206" s="124"/>
      <c r="C206" s="124"/>
      <c r="D206" s="124"/>
      <c r="E206" s="124"/>
      <c r="F206" s="124"/>
      <c r="G206" s="124"/>
      <c r="H206" s="124"/>
      <c r="I206" s="124"/>
      <c r="J206" s="124"/>
      <c r="K206" s="124"/>
      <c r="L206" s="124"/>
      <c r="M206" s="124"/>
      <c r="N206" s="124"/>
      <c r="O206" s="124"/>
      <c r="P206" s="124"/>
      <c r="Q206" s="124"/>
      <c r="R206" s="124"/>
      <c r="S206" s="124"/>
      <c r="T206" s="124"/>
      <c r="U206" s="124"/>
      <c r="V206" s="124"/>
      <c r="W206" s="124"/>
      <c r="X206" s="124"/>
      <c r="Y206" s="124"/>
    </row>
    <row r="207" spans="2:25" x14ac:dyDescent="0.25">
      <c r="B207" s="124"/>
      <c r="C207" s="124"/>
      <c r="D207" s="124"/>
      <c r="E207" s="124"/>
      <c r="F207" s="124"/>
      <c r="G207" s="124"/>
      <c r="H207" s="124"/>
      <c r="I207" s="124"/>
      <c r="J207" s="124"/>
      <c r="K207" s="124"/>
      <c r="L207" s="124"/>
      <c r="M207" s="124"/>
      <c r="N207" s="124"/>
      <c r="O207" s="124"/>
      <c r="P207" s="124"/>
      <c r="Q207" s="124"/>
      <c r="R207" s="124"/>
      <c r="S207" s="124"/>
      <c r="T207" s="124"/>
      <c r="U207" s="124"/>
      <c r="V207" s="124"/>
      <c r="W207" s="124"/>
      <c r="X207" s="124"/>
      <c r="Y207" s="124"/>
    </row>
    <row r="208" spans="2:25" x14ac:dyDescent="0.25">
      <c r="B208" s="124"/>
      <c r="C208" s="124"/>
      <c r="D208" s="124"/>
      <c r="E208" s="124"/>
      <c r="F208" s="124"/>
      <c r="G208" s="124"/>
      <c r="H208" s="124"/>
      <c r="I208" s="124"/>
      <c r="J208" s="124"/>
      <c r="K208" s="124"/>
      <c r="L208" s="124"/>
      <c r="M208" s="124"/>
      <c r="N208" s="124"/>
      <c r="O208" s="124"/>
      <c r="P208" s="124"/>
      <c r="Q208" s="124"/>
      <c r="R208" s="124"/>
      <c r="S208" s="124"/>
      <c r="T208" s="124"/>
      <c r="U208" s="124"/>
      <c r="V208" s="124"/>
      <c r="W208" s="124"/>
      <c r="X208" s="124"/>
      <c r="Y208" s="124"/>
    </row>
    <row r="209" spans="2:25" x14ac:dyDescent="0.25">
      <c r="B209" s="124"/>
      <c r="C209" s="124"/>
      <c r="D209" s="124"/>
      <c r="E209" s="124"/>
      <c r="F209" s="124"/>
      <c r="G209" s="124"/>
      <c r="H209" s="124"/>
      <c r="I209" s="124"/>
      <c r="J209" s="124"/>
      <c r="K209" s="124"/>
      <c r="L209" s="124"/>
      <c r="M209" s="124"/>
      <c r="N209" s="124"/>
      <c r="O209" s="124"/>
      <c r="P209" s="124"/>
      <c r="Q209" s="124"/>
      <c r="R209" s="124"/>
      <c r="S209" s="124"/>
      <c r="T209" s="124"/>
      <c r="U209" s="124"/>
      <c r="V209" s="124"/>
      <c r="W209" s="124"/>
      <c r="X209" s="124"/>
      <c r="Y209" s="124"/>
    </row>
    <row r="210" spans="2:25" x14ac:dyDescent="0.25">
      <c r="B210" s="124"/>
      <c r="C210" s="124"/>
      <c r="D210" s="124"/>
      <c r="E210" s="124"/>
      <c r="F210" s="124"/>
      <c r="G210" s="124"/>
      <c r="H210" s="124"/>
      <c r="I210" s="124"/>
      <c r="J210" s="124"/>
      <c r="K210" s="124"/>
      <c r="L210" s="124"/>
      <c r="M210" s="124"/>
      <c r="N210" s="124"/>
      <c r="O210" s="124"/>
      <c r="P210" s="124"/>
      <c r="Q210" s="124"/>
      <c r="R210" s="124"/>
      <c r="S210" s="124"/>
      <c r="T210" s="124"/>
      <c r="U210" s="124"/>
      <c r="V210" s="124"/>
      <c r="W210" s="124"/>
      <c r="X210" s="124"/>
      <c r="Y210" s="124"/>
    </row>
    <row r="211" spans="2:25" x14ac:dyDescent="0.25">
      <c r="B211" s="124"/>
      <c r="C211" s="124"/>
      <c r="D211" s="124"/>
      <c r="E211" s="124"/>
      <c r="F211" s="124"/>
      <c r="G211" s="124"/>
      <c r="H211" s="124"/>
      <c r="I211" s="124"/>
      <c r="J211" s="124"/>
      <c r="K211" s="124"/>
      <c r="L211" s="124"/>
      <c r="M211" s="124"/>
      <c r="N211" s="124"/>
      <c r="O211" s="124"/>
      <c r="P211" s="124"/>
      <c r="Q211" s="124"/>
      <c r="R211" s="124"/>
      <c r="S211" s="124"/>
      <c r="T211" s="124"/>
      <c r="U211" s="124"/>
      <c r="V211" s="124"/>
      <c r="W211" s="124"/>
      <c r="X211" s="124"/>
      <c r="Y211" s="124"/>
    </row>
    <row r="212" spans="2:25" x14ac:dyDescent="0.25">
      <c r="B212" s="124"/>
      <c r="C212" s="124"/>
      <c r="D212" s="124"/>
      <c r="E212" s="124"/>
      <c r="F212" s="124"/>
      <c r="G212" s="124"/>
      <c r="H212" s="124"/>
      <c r="I212" s="124"/>
      <c r="J212" s="124"/>
      <c r="K212" s="124"/>
      <c r="L212" s="124"/>
      <c r="M212" s="124"/>
      <c r="N212" s="124"/>
      <c r="O212" s="124"/>
      <c r="P212" s="124"/>
      <c r="Q212" s="124"/>
      <c r="R212" s="124"/>
      <c r="S212" s="124"/>
      <c r="T212" s="124"/>
      <c r="U212" s="124"/>
      <c r="V212" s="124"/>
      <c r="W212" s="124"/>
      <c r="X212" s="124"/>
      <c r="Y212" s="124"/>
    </row>
    <row r="213" spans="2:25" x14ac:dyDescent="0.25">
      <c r="B213" s="124"/>
      <c r="C213" s="124"/>
      <c r="D213" s="124"/>
      <c r="E213" s="124"/>
      <c r="F213" s="124"/>
      <c r="G213" s="124"/>
      <c r="H213" s="124"/>
      <c r="I213" s="124"/>
      <c r="J213" s="124"/>
      <c r="K213" s="124"/>
      <c r="L213" s="124"/>
      <c r="M213" s="124"/>
      <c r="N213" s="124"/>
      <c r="O213" s="124"/>
      <c r="P213" s="124"/>
      <c r="Q213" s="124"/>
      <c r="R213" s="124"/>
      <c r="S213" s="124"/>
      <c r="T213" s="124"/>
      <c r="U213" s="124"/>
      <c r="V213" s="124"/>
      <c r="W213" s="124"/>
      <c r="X213" s="124"/>
      <c r="Y213" s="124"/>
    </row>
    <row r="214" spans="2:25" x14ac:dyDescent="0.25">
      <c r="B214" s="124"/>
      <c r="C214" s="124"/>
      <c r="D214" s="124"/>
      <c r="E214" s="124"/>
      <c r="F214" s="124"/>
      <c r="G214" s="124"/>
      <c r="H214" s="124"/>
      <c r="I214" s="124"/>
      <c r="J214" s="124"/>
      <c r="K214" s="124"/>
      <c r="L214" s="124"/>
      <c r="M214" s="124"/>
      <c r="N214" s="124"/>
      <c r="O214" s="124"/>
      <c r="P214" s="124"/>
      <c r="Q214" s="124"/>
      <c r="R214" s="124"/>
      <c r="S214" s="124"/>
      <c r="T214" s="124"/>
      <c r="U214" s="124"/>
      <c r="V214" s="124"/>
      <c r="W214" s="124"/>
      <c r="X214" s="124"/>
      <c r="Y214" s="124"/>
    </row>
    <row r="215" spans="2:25" x14ac:dyDescent="0.25">
      <c r="B215" s="124"/>
      <c r="C215" s="124"/>
      <c r="D215" s="124"/>
      <c r="E215" s="124"/>
      <c r="F215" s="124"/>
      <c r="G215" s="124"/>
      <c r="H215" s="124"/>
      <c r="I215" s="124"/>
      <c r="J215" s="124"/>
      <c r="K215" s="124"/>
      <c r="L215" s="124"/>
      <c r="M215" s="124"/>
      <c r="N215" s="124"/>
      <c r="O215" s="124"/>
      <c r="P215" s="124"/>
      <c r="Q215" s="124"/>
      <c r="R215" s="124"/>
      <c r="S215" s="124"/>
      <c r="T215" s="124"/>
      <c r="U215" s="124"/>
      <c r="V215" s="124"/>
      <c r="W215" s="124"/>
      <c r="X215" s="124"/>
      <c r="Y215" s="124"/>
    </row>
    <row r="216" spans="2:25" x14ac:dyDescent="0.25">
      <c r="B216" s="124"/>
      <c r="C216" s="124"/>
      <c r="D216" s="124"/>
      <c r="E216" s="124"/>
      <c r="F216" s="124"/>
      <c r="G216" s="124"/>
      <c r="H216" s="124"/>
      <c r="I216" s="124"/>
      <c r="J216" s="124"/>
      <c r="K216" s="124"/>
      <c r="L216" s="124"/>
      <c r="M216" s="124"/>
      <c r="N216" s="124"/>
      <c r="O216" s="124"/>
      <c r="P216" s="124"/>
      <c r="Q216" s="124"/>
      <c r="R216" s="124"/>
      <c r="S216" s="124"/>
      <c r="T216" s="124"/>
      <c r="U216" s="124"/>
      <c r="V216" s="124"/>
      <c r="W216" s="124"/>
      <c r="X216" s="124"/>
      <c r="Y216" s="124"/>
    </row>
    <row r="217" spans="2:25" x14ac:dyDescent="0.25">
      <c r="B217" s="124"/>
      <c r="C217" s="124"/>
      <c r="D217" s="124"/>
      <c r="E217" s="124"/>
      <c r="F217" s="124"/>
      <c r="G217" s="124"/>
      <c r="H217" s="124"/>
      <c r="I217" s="124"/>
      <c r="J217" s="124"/>
      <c r="K217" s="124"/>
      <c r="L217" s="124"/>
      <c r="M217" s="124"/>
      <c r="N217" s="124"/>
      <c r="O217" s="124"/>
      <c r="P217" s="124"/>
      <c r="Q217" s="124"/>
      <c r="R217" s="124"/>
      <c r="S217" s="124"/>
      <c r="T217" s="124"/>
      <c r="U217" s="124"/>
      <c r="V217" s="124"/>
      <c r="W217" s="124"/>
      <c r="X217" s="124"/>
      <c r="Y217" s="124"/>
    </row>
    <row r="218" spans="2:25" x14ac:dyDescent="0.25">
      <c r="B218" s="124"/>
      <c r="C218" s="124"/>
      <c r="D218" s="124"/>
      <c r="E218" s="124"/>
      <c r="F218" s="124"/>
      <c r="G218" s="124"/>
      <c r="H218" s="124"/>
      <c r="I218" s="124"/>
      <c r="J218" s="124"/>
      <c r="K218" s="124"/>
      <c r="L218" s="124"/>
      <c r="M218" s="124"/>
      <c r="N218" s="124"/>
      <c r="O218" s="124"/>
      <c r="P218" s="124"/>
      <c r="Q218" s="124"/>
      <c r="R218" s="124"/>
      <c r="S218" s="124"/>
      <c r="T218" s="124"/>
      <c r="U218" s="124"/>
      <c r="V218" s="124"/>
      <c r="W218" s="124"/>
      <c r="X218" s="124"/>
      <c r="Y218" s="124"/>
    </row>
    <row r="219" spans="2:25" x14ac:dyDescent="0.25">
      <c r="B219" s="124"/>
      <c r="C219" s="124"/>
      <c r="D219" s="124"/>
      <c r="E219" s="124"/>
      <c r="F219" s="124"/>
      <c r="G219" s="124"/>
      <c r="H219" s="124"/>
      <c r="I219" s="124"/>
      <c r="J219" s="124"/>
      <c r="K219" s="124"/>
      <c r="L219" s="124"/>
      <c r="M219" s="124"/>
      <c r="N219" s="124"/>
      <c r="O219" s="124"/>
      <c r="P219" s="124"/>
      <c r="Q219" s="124"/>
      <c r="R219" s="124"/>
      <c r="S219" s="124"/>
      <c r="T219" s="124"/>
      <c r="U219" s="124"/>
      <c r="V219" s="124"/>
      <c r="W219" s="124"/>
      <c r="X219" s="124"/>
      <c r="Y219" s="124"/>
    </row>
    <row r="220" spans="2:25" x14ac:dyDescent="0.25">
      <c r="B220" s="124"/>
      <c r="C220" s="124"/>
      <c r="D220" s="124"/>
      <c r="E220" s="124"/>
      <c r="F220" s="124"/>
      <c r="G220" s="124"/>
      <c r="H220" s="124"/>
      <c r="I220" s="124"/>
      <c r="J220" s="124"/>
      <c r="K220" s="124"/>
      <c r="L220" s="124"/>
      <c r="M220" s="124"/>
      <c r="N220" s="124"/>
      <c r="O220" s="124"/>
      <c r="P220" s="124"/>
      <c r="Q220" s="124"/>
      <c r="R220" s="124"/>
      <c r="S220" s="124"/>
      <c r="T220" s="124"/>
      <c r="U220" s="124"/>
      <c r="V220" s="124"/>
      <c r="W220" s="124"/>
      <c r="X220" s="124"/>
      <c r="Y220" s="124"/>
    </row>
    <row r="221" spans="2:25" x14ac:dyDescent="0.25">
      <c r="B221" s="124"/>
      <c r="C221" s="124"/>
      <c r="D221" s="124"/>
      <c r="E221" s="124"/>
      <c r="F221" s="124"/>
      <c r="G221" s="124"/>
      <c r="H221" s="124"/>
      <c r="I221" s="124"/>
      <c r="J221" s="124"/>
      <c r="K221" s="124"/>
      <c r="L221" s="124"/>
      <c r="M221" s="124"/>
      <c r="N221" s="124"/>
      <c r="O221" s="124"/>
      <c r="P221" s="124"/>
      <c r="Q221" s="124"/>
      <c r="R221" s="124"/>
      <c r="S221" s="124"/>
      <c r="T221" s="124"/>
      <c r="U221" s="124"/>
      <c r="V221" s="124"/>
      <c r="W221" s="124"/>
      <c r="X221" s="124"/>
      <c r="Y221" s="124"/>
    </row>
    <row r="222" spans="2:25" x14ac:dyDescent="0.25">
      <c r="B222" s="124"/>
      <c r="C222" s="124"/>
      <c r="D222" s="124"/>
      <c r="E222" s="124"/>
      <c r="F222" s="124"/>
      <c r="G222" s="124"/>
      <c r="H222" s="124"/>
      <c r="I222" s="124"/>
      <c r="J222" s="124"/>
      <c r="K222" s="124"/>
      <c r="L222" s="124"/>
      <c r="M222" s="124"/>
      <c r="N222" s="124"/>
      <c r="O222" s="124"/>
      <c r="P222" s="124"/>
      <c r="Q222" s="124"/>
      <c r="R222" s="124"/>
      <c r="S222" s="124"/>
      <c r="T222" s="124"/>
      <c r="U222" s="124"/>
      <c r="V222" s="124"/>
      <c r="W222" s="124"/>
      <c r="X222" s="124"/>
      <c r="Y222" s="124"/>
    </row>
    <row r="223" spans="2:25" x14ac:dyDescent="0.25">
      <c r="B223" s="124"/>
      <c r="C223" s="124"/>
      <c r="D223" s="124"/>
      <c r="E223" s="124"/>
      <c r="F223" s="124"/>
      <c r="G223" s="124"/>
      <c r="H223" s="124"/>
      <c r="I223" s="124"/>
      <c r="J223" s="124"/>
      <c r="K223" s="124"/>
      <c r="L223" s="124"/>
      <c r="M223" s="124"/>
      <c r="N223" s="124"/>
      <c r="O223" s="124"/>
      <c r="P223" s="124"/>
      <c r="Q223" s="124"/>
      <c r="R223" s="124"/>
      <c r="S223" s="124"/>
      <c r="T223" s="124"/>
      <c r="U223" s="124"/>
      <c r="V223" s="124"/>
      <c r="W223" s="124"/>
      <c r="X223" s="124"/>
      <c r="Y223" s="124"/>
    </row>
    <row r="224" spans="2:25" x14ac:dyDescent="0.25">
      <c r="B224" s="124"/>
      <c r="C224" s="124"/>
      <c r="D224" s="124"/>
      <c r="E224" s="124"/>
      <c r="F224" s="124"/>
      <c r="G224" s="124"/>
      <c r="H224" s="124"/>
      <c r="I224" s="124"/>
      <c r="J224" s="124"/>
      <c r="K224" s="124"/>
      <c r="L224" s="124"/>
      <c r="M224" s="124"/>
      <c r="N224" s="124"/>
      <c r="O224" s="124"/>
      <c r="P224" s="124"/>
      <c r="Q224" s="124"/>
      <c r="R224" s="124"/>
      <c r="S224" s="124"/>
      <c r="T224" s="124"/>
      <c r="U224" s="124"/>
      <c r="V224" s="124"/>
      <c r="W224" s="124"/>
      <c r="X224" s="124"/>
      <c r="Y224" s="124"/>
    </row>
    <row r="225" spans="2:25" x14ac:dyDescent="0.25">
      <c r="B225" s="124"/>
      <c r="C225" s="124"/>
      <c r="D225" s="124"/>
      <c r="E225" s="124"/>
      <c r="F225" s="124"/>
      <c r="G225" s="124"/>
      <c r="H225" s="124"/>
      <c r="I225" s="124"/>
      <c r="J225" s="124"/>
      <c r="K225" s="124"/>
      <c r="L225" s="124"/>
      <c r="M225" s="124"/>
      <c r="N225" s="124"/>
      <c r="O225" s="124"/>
      <c r="P225" s="124"/>
      <c r="Q225" s="124"/>
      <c r="R225" s="124"/>
      <c r="S225" s="124"/>
      <c r="T225" s="124"/>
      <c r="U225" s="124"/>
      <c r="V225" s="124"/>
      <c r="W225" s="124"/>
      <c r="X225" s="124"/>
      <c r="Y225" s="124"/>
    </row>
    <row r="226" spans="2:25" x14ac:dyDescent="0.25">
      <c r="B226" s="124"/>
      <c r="C226" s="124"/>
      <c r="D226" s="124"/>
      <c r="E226" s="124"/>
      <c r="F226" s="124"/>
      <c r="G226" s="124"/>
      <c r="H226" s="124"/>
      <c r="I226" s="124"/>
      <c r="J226" s="124"/>
      <c r="K226" s="124"/>
      <c r="L226" s="124"/>
      <c r="M226" s="124"/>
      <c r="N226" s="124"/>
      <c r="O226" s="124"/>
      <c r="P226" s="124"/>
      <c r="Q226" s="124"/>
      <c r="R226" s="124"/>
      <c r="S226" s="124"/>
      <c r="T226" s="124"/>
      <c r="U226" s="124"/>
      <c r="V226" s="124"/>
      <c r="W226" s="124"/>
      <c r="X226" s="124"/>
      <c r="Y226" s="124"/>
    </row>
    <row r="227" spans="2:25" x14ac:dyDescent="0.25">
      <c r="B227" s="124"/>
      <c r="C227" s="124"/>
      <c r="D227" s="124"/>
      <c r="E227" s="124"/>
      <c r="F227" s="124"/>
      <c r="G227" s="124"/>
      <c r="H227" s="124"/>
      <c r="I227" s="124"/>
      <c r="J227" s="124"/>
      <c r="K227" s="124"/>
      <c r="L227" s="124"/>
      <c r="M227" s="124"/>
      <c r="N227" s="124"/>
      <c r="O227" s="124"/>
      <c r="P227" s="124"/>
      <c r="Q227" s="124"/>
      <c r="R227" s="124"/>
      <c r="S227" s="124"/>
      <c r="T227" s="124"/>
      <c r="U227" s="124"/>
      <c r="V227" s="124"/>
      <c r="W227" s="124"/>
      <c r="X227" s="124"/>
      <c r="Y227" s="124"/>
    </row>
    <row r="228" spans="2:25" x14ac:dyDescent="0.25">
      <c r="B228" s="124"/>
      <c r="C228" s="124"/>
      <c r="D228" s="124"/>
      <c r="E228" s="124"/>
      <c r="F228" s="124"/>
      <c r="G228" s="124"/>
      <c r="H228" s="124"/>
      <c r="I228" s="124"/>
      <c r="J228" s="124"/>
      <c r="K228" s="124"/>
      <c r="L228" s="124"/>
      <c r="M228" s="124"/>
      <c r="N228" s="124"/>
      <c r="O228" s="124"/>
      <c r="P228" s="124"/>
      <c r="Q228" s="124"/>
      <c r="R228" s="124"/>
      <c r="S228" s="124"/>
      <c r="T228" s="124"/>
      <c r="U228" s="124"/>
      <c r="V228" s="124"/>
      <c r="W228" s="124"/>
      <c r="X228" s="124"/>
      <c r="Y228" s="124"/>
    </row>
    <row r="229" spans="2:25" x14ac:dyDescent="0.25">
      <c r="B229" s="124"/>
      <c r="C229" s="124"/>
      <c r="D229" s="124"/>
      <c r="E229" s="124"/>
      <c r="F229" s="124"/>
      <c r="G229" s="124"/>
      <c r="H229" s="124"/>
      <c r="I229" s="124"/>
      <c r="J229" s="124"/>
      <c r="K229" s="124"/>
      <c r="L229" s="124"/>
      <c r="M229" s="124"/>
      <c r="N229" s="124"/>
      <c r="O229" s="124"/>
      <c r="P229" s="124"/>
      <c r="Q229" s="124"/>
      <c r="R229" s="124"/>
      <c r="S229" s="124"/>
      <c r="T229" s="124"/>
      <c r="U229" s="124"/>
      <c r="V229" s="124"/>
      <c r="W229" s="124"/>
      <c r="X229" s="124"/>
      <c r="Y229" s="124"/>
    </row>
    <row r="230" spans="2:25" x14ac:dyDescent="0.25">
      <c r="B230" s="124"/>
      <c r="C230" s="124"/>
      <c r="D230" s="124"/>
      <c r="E230" s="124"/>
      <c r="F230" s="124"/>
      <c r="G230" s="124"/>
      <c r="H230" s="124"/>
      <c r="I230" s="124"/>
      <c r="J230" s="124"/>
      <c r="K230" s="124"/>
      <c r="L230" s="124"/>
      <c r="M230" s="124"/>
      <c r="N230" s="124"/>
      <c r="O230" s="124"/>
      <c r="P230" s="124"/>
      <c r="Q230" s="124"/>
      <c r="R230" s="124"/>
      <c r="S230" s="124"/>
      <c r="T230" s="124"/>
      <c r="U230" s="124"/>
      <c r="V230" s="124"/>
      <c r="W230" s="124"/>
      <c r="X230" s="124"/>
      <c r="Y230" s="124"/>
    </row>
    <row r="231" spans="2:25" x14ac:dyDescent="0.25">
      <c r="B231" s="124"/>
      <c r="C231" s="124"/>
      <c r="D231" s="124"/>
      <c r="E231" s="124"/>
      <c r="F231" s="124"/>
      <c r="G231" s="124"/>
      <c r="H231" s="124"/>
      <c r="I231" s="124"/>
      <c r="J231" s="124"/>
      <c r="K231" s="124"/>
      <c r="L231" s="124"/>
      <c r="M231" s="124"/>
      <c r="N231" s="124"/>
      <c r="O231" s="124"/>
      <c r="P231" s="124"/>
      <c r="Q231" s="124"/>
      <c r="R231" s="124"/>
      <c r="S231" s="124"/>
      <c r="T231" s="124"/>
      <c r="U231" s="124"/>
      <c r="V231" s="124"/>
      <c r="W231" s="124"/>
      <c r="X231" s="124"/>
      <c r="Y231" s="124"/>
    </row>
    <row r="232" spans="2:25" x14ac:dyDescent="0.25">
      <c r="B232" s="124"/>
      <c r="C232" s="124"/>
      <c r="D232" s="124"/>
      <c r="E232" s="124"/>
      <c r="F232" s="124"/>
      <c r="G232" s="124"/>
      <c r="H232" s="124"/>
      <c r="I232" s="124"/>
      <c r="J232" s="124"/>
      <c r="K232" s="124"/>
      <c r="L232" s="124"/>
      <c r="M232" s="124"/>
      <c r="N232" s="124"/>
      <c r="O232" s="124"/>
      <c r="P232" s="124"/>
      <c r="Q232" s="124"/>
      <c r="R232" s="124"/>
      <c r="S232" s="124"/>
      <c r="T232" s="124"/>
      <c r="U232" s="124"/>
      <c r="V232" s="124"/>
      <c r="W232" s="124"/>
      <c r="X232" s="124"/>
      <c r="Y232" s="124"/>
    </row>
    <row r="233" spans="2:25" x14ac:dyDescent="0.25">
      <c r="B233" s="124"/>
      <c r="C233" s="124"/>
      <c r="D233" s="124"/>
      <c r="E233" s="124"/>
      <c r="F233" s="124"/>
      <c r="G233" s="124"/>
      <c r="H233" s="124"/>
      <c r="I233" s="124"/>
      <c r="J233" s="124"/>
      <c r="K233" s="124"/>
      <c r="L233" s="124"/>
      <c r="M233" s="124"/>
      <c r="N233" s="124"/>
      <c r="O233" s="124"/>
      <c r="P233" s="124"/>
      <c r="Q233" s="124"/>
      <c r="R233" s="124"/>
      <c r="S233" s="124"/>
      <c r="T233" s="124"/>
      <c r="U233" s="124"/>
      <c r="V233" s="124"/>
      <c r="W233" s="124"/>
      <c r="X233" s="124"/>
      <c r="Y233" s="124"/>
    </row>
    <row r="234" spans="2:25" x14ac:dyDescent="0.25">
      <c r="B234" s="124"/>
      <c r="C234" s="124"/>
      <c r="D234" s="124"/>
      <c r="E234" s="124"/>
      <c r="F234" s="124"/>
      <c r="G234" s="124"/>
      <c r="H234" s="124"/>
      <c r="I234" s="124"/>
      <c r="J234" s="124"/>
      <c r="K234" s="124"/>
      <c r="L234" s="124"/>
      <c r="M234" s="124"/>
      <c r="N234" s="124"/>
      <c r="O234" s="124"/>
      <c r="P234" s="124"/>
      <c r="Q234" s="124"/>
      <c r="R234" s="124"/>
      <c r="S234" s="124"/>
      <c r="T234" s="124"/>
      <c r="U234" s="124"/>
      <c r="V234" s="124"/>
      <c r="W234" s="124"/>
      <c r="X234" s="124"/>
      <c r="Y234" s="124"/>
    </row>
    <row r="235" spans="2:25" x14ac:dyDescent="0.25">
      <c r="B235" s="124"/>
      <c r="C235" s="124"/>
      <c r="D235" s="124"/>
      <c r="E235" s="124"/>
      <c r="F235" s="124"/>
      <c r="G235" s="124"/>
      <c r="H235" s="124"/>
      <c r="I235" s="124"/>
      <c r="J235" s="124"/>
      <c r="K235" s="124"/>
      <c r="L235" s="124"/>
      <c r="M235" s="124"/>
      <c r="N235" s="124"/>
      <c r="O235" s="124"/>
      <c r="P235" s="124"/>
      <c r="Q235" s="124"/>
      <c r="R235" s="124"/>
      <c r="S235" s="124"/>
      <c r="T235" s="124"/>
      <c r="U235" s="124"/>
      <c r="V235" s="124"/>
      <c r="W235" s="124"/>
      <c r="X235" s="124"/>
      <c r="Y235" s="124"/>
    </row>
    <row r="236" spans="2:25" x14ac:dyDescent="0.25">
      <c r="B236" s="124"/>
      <c r="C236" s="124"/>
      <c r="D236" s="124"/>
      <c r="E236" s="124"/>
      <c r="F236" s="124"/>
      <c r="G236" s="124"/>
      <c r="H236" s="124"/>
      <c r="I236" s="124"/>
      <c r="J236" s="124"/>
      <c r="K236" s="124"/>
      <c r="L236" s="124"/>
      <c r="M236" s="124"/>
      <c r="N236" s="124"/>
      <c r="O236" s="124"/>
      <c r="P236" s="124"/>
      <c r="Q236" s="124"/>
      <c r="R236" s="124"/>
      <c r="S236" s="124"/>
      <c r="T236" s="124"/>
      <c r="U236" s="124"/>
      <c r="V236" s="124"/>
      <c r="W236" s="124"/>
      <c r="X236" s="124"/>
      <c r="Y236" s="124"/>
    </row>
    <row r="237" spans="2:25" x14ac:dyDescent="0.25">
      <c r="B237" s="124"/>
      <c r="C237" s="124"/>
      <c r="D237" s="124"/>
      <c r="E237" s="124"/>
      <c r="F237" s="124"/>
      <c r="G237" s="124"/>
      <c r="H237" s="124"/>
      <c r="I237" s="124"/>
      <c r="J237" s="124"/>
      <c r="K237" s="124"/>
      <c r="L237" s="124"/>
      <c r="M237" s="124"/>
      <c r="N237" s="124"/>
      <c r="O237" s="124"/>
      <c r="P237" s="124"/>
      <c r="Q237" s="124"/>
      <c r="R237" s="124"/>
      <c r="S237" s="124"/>
      <c r="T237" s="124"/>
      <c r="U237" s="124"/>
      <c r="V237" s="124"/>
      <c r="W237" s="124"/>
      <c r="X237" s="124"/>
      <c r="Y237" s="124"/>
    </row>
    <row r="238" spans="2:25" x14ac:dyDescent="0.25">
      <c r="B238" s="124"/>
      <c r="C238" s="124"/>
      <c r="D238" s="124"/>
      <c r="E238" s="124"/>
      <c r="F238" s="124"/>
      <c r="G238" s="124"/>
      <c r="H238" s="124"/>
      <c r="I238" s="124"/>
      <c r="J238" s="124"/>
      <c r="K238" s="124"/>
      <c r="L238" s="124"/>
      <c r="M238" s="124"/>
      <c r="N238" s="124"/>
      <c r="O238" s="124"/>
      <c r="P238" s="124"/>
      <c r="Q238" s="124"/>
      <c r="R238" s="124"/>
      <c r="S238" s="124"/>
      <c r="T238" s="124"/>
      <c r="U238" s="124"/>
      <c r="V238" s="124"/>
      <c r="W238" s="124"/>
      <c r="X238" s="124"/>
      <c r="Y238" s="124"/>
    </row>
    <row r="239" spans="2:25" x14ac:dyDescent="0.25">
      <c r="B239" s="124"/>
      <c r="C239" s="124"/>
      <c r="D239" s="124"/>
      <c r="E239" s="124"/>
      <c r="F239" s="124"/>
      <c r="G239" s="124"/>
      <c r="H239" s="124"/>
      <c r="I239" s="124"/>
      <c r="J239" s="124"/>
      <c r="K239" s="124"/>
      <c r="L239" s="124"/>
      <c r="M239" s="124"/>
      <c r="N239" s="124"/>
      <c r="O239" s="124"/>
      <c r="P239" s="124"/>
      <c r="Q239" s="124"/>
      <c r="R239" s="124"/>
      <c r="S239" s="124"/>
      <c r="T239" s="124"/>
      <c r="U239" s="124"/>
      <c r="V239" s="124"/>
      <c r="W239" s="124"/>
      <c r="X239" s="124"/>
      <c r="Y239" s="124"/>
    </row>
    <row r="240" spans="2:25" x14ac:dyDescent="0.25">
      <c r="B240" s="124"/>
      <c r="C240" s="124"/>
      <c r="D240" s="124"/>
      <c r="E240" s="124"/>
      <c r="F240" s="124"/>
      <c r="G240" s="124"/>
      <c r="H240" s="124"/>
      <c r="I240" s="124"/>
      <c r="J240" s="124"/>
      <c r="K240" s="124"/>
      <c r="L240" s="124"/>
      <c r="M240" s="124"/>
      <c r="N240" s="124"/>
      <c r="O240" s="124"/>
      <c r="P240" s="124"/>
      <c r="Q240" s="124"/>
      <c r="R240" s="124"/>
      <c r="S240" s="124"/>
      <c r="T240" s="124"/>
      <c r="U240" s="124"/>
      <c r="V240" s="124"/>
      <c r="W240" s="124"/>
      <c r="X240" s="124"/>
      <c r="Y240" s="124"/>
    </row>
    <row r="241" spans="2:25" x14ac:dyDescent="0.25">
      <c r="B241" s="124"/>
      <c r="C241" s="124"/>
      <c r="D241" s="124"/>
      <c r="E241" s="124"/>
      <c r="F241" s="124"/>
      <c r="G241" s="124"/>
      <c r="H241" s="124"/>
      <c r="I241" s="124"/>
      <c r="J241" s="124"/>
      <c r="K241" s="124"/>
      <c r="L241" s="124"/>
      <c r="M241" s="124"/>
      <c r="N241" s="124"/>
      <c r="O241" s="124"/>
      <c r="P241" s="124"/>
      <c r="Q241" s="124"/>
      <c r="R241" s="124"/>
      <c r="S241" s="124"/>
      <c r="T241" s="124"/>
      <c r="U241" s="124"/>
      <c r="V241" s="124"/>
      <c r="W241" s="124"/>
      <c r="X241" s="124"/>
      <c r="Y241" s="124"/>
    </row>
    <row r="242" spans="2:25" x14ac:dyDescent="0.25">
      <c r="B242" s="124"/>
      <c r="C242" s="124"/>
      <c r="D242" s="124"/>
      <c r="E242" s="124"/>
      <c r="F242" s="124"/>
      <c r="G242" s="124"/>
      <c r="H242" s="124"/>
      <c r="I242" s="124"/>
      <c r="J242" s="124"/>
      <c r="K242" s="124"/>
      <c r="L242" s="124"/>
      <c r="M242" s="124"/>
      <c r="N242" s="124"/>
      <c r="O242" s="124"/>
      <c r="P242" s="124"/>
      <c r="Q242" s="124"/>
      <c r="R242" s="124"/>
      <c r="S242" s="124"/>
      <c r="T242" s="124"/>
      <c r="U242" s="124"/>
      <c r="V242" s="124"/>
      <c r="W242" s="124"/>
      <c r="X242" s="124"/>
      <c r="Y242" s="124"/>
    </row>
    <row r="243" spans="2:25" x14ac:dyDescent="0.25">
      <c r="B243" s="124"/>
      <c r="C243" s="124"/>
      <c r="D243" s="124"/>
      <c r="E243" s="124"/>
      <c r="F243" s="124"/>
      <c r="G243" s="124"/>
      <c r="H243" s="124"/>
      <c r="I243" s="124"/>
      <c r="J243" s="124"/>
      <c r="K243" s="124"/>
      <c r="L243" s="124"/>
      <c r="M243" s="124"/>
      <c r="N243" s="124"/>
      <c r="O243" s="124"/>
      <c r="P243" s="124"/>
      <c r="Q243" s="124"/>
      <c r="R243" s="124"/>
      <c r="S243" s="124"/>
      <c r="T243" s="124"/>
      <c r="U243" s="124"/>
      <c r="V243" s="124"/>
      <c r="W243" s="124"/>
      <c r="X243" s="124"/>
      <c r="Y243" s="124"/>
    </row>
    <row r="244" spans="2:25" x14ac:dyDescent="0.25">
      <c r="B244" s="124"/>
      <c r="C244" s="124"/>
      <c r="D244" s="124"/>
      <c r="E244" s="124"/>
      <c r="F244" s="124"/>
      <c r="G244" s="124"/>
      <c r="H244" s="124"/>
      <c r="I244" s="124"/>
      <c r="J244" s="124"/>
      <c r="K244" s="124"/>
      <c r="L244" s="124"/>
      <c r="M244" s="124"/>
      <c r="N244" s="124"/>
      <c r="O244" s="124"/>
      <c r="P244" s="124"/>
      <c r="Q244" s="124"/>
      <c r="R244" s="124"/>
      <c r="S244" s="124"/>
      <c r="T244" s="124"/>
      <c r="U244" s="124"/>
      <c r="V244" s="124"/>
      <c r="W244" s="124"/>
      <c r="X244" s="124"/>
      <c r="Y244" s="124"/>
    </row>
    <row r="245" spans="2:25" x14ac:dyDescent="0.25">
      <c r="B245" s="124"/>
      <c r="C245" s="124"/>
      <c r="D245" s="124"/>
      <c r="E245" s="124"/>
      <c r="F245" s="124"/>
      <c r="G245" s="124"/>
      <c r="H245" s="124"/>
      <c r="I245" s="124"/>
      <c r="J245" s="124"/>
      <c r="K245" s="124"/>
      <c r="L245" s="124"/>
      <c r="M245" s="124"/>
      <c r="N245" s="124"/>
      <c r="O245" s="124"/>
      <c r="P245" s="124"/>
      <c r="Q245" s="124"/>
      <c r="R245" s="124"/>
      <c r="S245" s="124"/>
      <c r="T245" s="124"/>
      <c r="U245" s="124"/>
      <c r="V245" s="124"/>
      <c r="W245" s="124"/>
      <c r="X245" s="124"/>
      <c r="Y245" s="124"/>
    </row>
    <row r="246" spans="2:25" x14ac:dyDescent="0.25">
      <c r="B246" s="124"/>
      <c r="C246" s="124"/>
      <c r="D246" s="124"/>
      <c r="E246" s="124"/>
      <c r="F246" s="124"/>
      <c r="G246" s="124"/>
      <c r="H246" s="124"/>
      <c r="I246" s="124"/>
      <c r="J246" s="124"/>
      <c r="K246" s="124"/>
      <c r="L246" s="124"/>
      <c r="M246" s="124"/>
      <c r="N246" s="124"/>
      <c r="O246" s="124"/>
      <c r="P246" s="124"/>
      <c r="Q246" s="124"/>
      <c r="R246" s="124"/>
      <c r="S246" s="124"/>
      <c r="T246" s="124"/>
      <c r="U246" s="124"/>
      <c r="V246" s="124"/>
      <c r="W246" s="124"/>
      <c r="X246" s="124"/>
      <c r="Y246" s="124"/>
    </row>
    <row r="247" spans="2:25" x14ac:dyDescent="0.25">
      <c r="B247" s="124"/>
      <c r="C247" s="124"/>
      <c r="D247" s="124"/>
      <c r="E247" s="124"/>
      <c r="F247" s="124"/>
      <c r="G247" s="124"/>
      <c r="H247" s="124"/>
      <c r="I247" s="124"/>
      <c r="J247" s="124"/>
      <c r="K247" s="124"/>
      <c r="L247" s="124"/>
      <c r="M247" s="124"/>
      <c r="N247" s="124"/>
      <c r="O247" s="124"/>
      <c r="P247" s="124"/>
      <c r="Q247" s="124"/>
      <c r="R247" s="124"/>
      <c r="S247" s="124"/>
      <c r="T247" s="124"/>
      <c r="U247" s="124"/>
      <c r="V247" s="124"/>
      <c r="W247" s="124"/>
      <c r="X247" s="124"/>
      <c r="Y247" s="124"/>
    </row>
    <row r="248" spans="2:25" x14ac:dyDescent="0.25">
      <c r="B248" s="124"/>
      <c r="C248" s="124"/>
      <c r="D248" s="124"/>
      <c r="E248" s="124"/>
      <c r="F248" s="124"/>
      <c r="G248" s="124"/>
      <c r="H248" s="124"/>
      <c r="I248" s="124"/>
      <c r="J248" s="124"/>
      <c r="K248" s="124"/>
      <c r="L248" s="124"/>
      <c r="M248" s="124"/>
      <c r="N248" s="124"/>
      <c r="O248" s="124"/>
      <c r="P248" s="124"/>
      <c r="Q248" s="124"/>
      <c r="R248" s="124"/>
      <c r="S248" s="124"/>
      <c r="T248" s="124"/>
      <c r="U248" s="124"/>
      <c r="V248" s="124"/>
      <c r="W248" s="124"/>
      <c r="X248" s="124"/>
      <c r="Y248" s="124"/>
    </row>
    <row r="249" spans="2:25" x14ac:dyDescent="0.25">
      <c r="B249" s="124"/>
      <c r="C249" s="124"/>
      <c r="D249" s="124"/>
      <c r="E249" s="124"/>
      <c r="F249" s="124"/>
      <c r="G249" s="124"/>
      <c r="H249" s="124"/>
      <c r="I249" s="124"/>
      <c r="J249" s="124"/>
      <c r="K249" s="124"/>
      <c r="L249" s="124"/>
      <c r="M249" s="124"/>
      <c r="N249" s="124"/>
      <c r="O249" s="124"/>
      <c r="P249" s="124"/>
      <c r="Q249" s="124"/>
      <c r="R249" s="124"/>
      <c r="S249" s="124"/>
      <c r="T249" s="124"/>
      <c r="U249" s="124"/>
      <c r="V249" s="124"/>
      <c r="W249" s="124"/>
      <c r="X249" s="124"/>
      <c r="Y249" s="124"/>
    </row>
    <row r="250" spans="2:25" x14ac:dyDescent="0.25">
      <c r="B250" s="124"/>
      <c r="C250" s="124"/>
      <c r="D250" s="124"/>
      <c r="E250" s="124"/>
      <c r="F250" s="124"/>
      <c r="G250" s="124"/>
      <c r="H250" s="124"/>
      <c r="I250" s="124"/>
      <c r="J250" s="124"/>
      <c r="K250" s="124"/>
      <c r="L250" s="124"/>
      <c r="M250" s="124"/>
      <c r="N250" s="124"/>
      <c r="O250" s="124"/>
      <c r="P250" s="124"/>
      <c r="Q250" s="124"/>
      <c r="R250" s="124"/>
      <c r="S250" s="124"/>
      <c r="T250" s="124"/>
      <c r="U250" s="124"/>
      <c r="V250" s="124"/>
      <c r="W250" s="124"/>
      <c r="X250" s="124"/>
      <c r="Y250" s="124"/>
    </row>
    <row r="251" spans="2:25" x14ac:dyDescent="0.25">
      <c r="B251" s="124"/>
      <c r="C251" s="124"/>
      <c r="D251" s="124"/>
      <c r="E251" s="124"/>
      <c r="F251" s="124"/>
      <c r="G251" s="124"/>
      <c r="H251" s="124"/>
      <c r="I251" s="124"/>
      <c r="J251" s="124"/>
      <c r="K251" s="124"/>
      <c r="L251" s="124"/>
      <c r="M251" s="124"/>
      <c r="N251" s="124"/>
      <c r="O251" s="124"/>
      <c r="P251" s="124"/>
      <c r="Q251" s="124"/>
      <c r="R251" s="124"/>
      <c r="S251" s="124"/>
      <c r="T251" s="124"/>
      <c r="U251" s="124"/>
      <c r="V251" s="124"/>
      <c r="W251" s="124"/>
      <c r="X251" s="124"/>
      <c r="Y251" s="124"/>
    </row>
    <row r="252" spans="2:25" x14ac:dyDescent="0.25">
      <c r="B252" s="124"/>
      <c r="C252" s="124"/>
      <c r="D252" s="124"/>
      <c r="E252" s="124"/>
      <c r="F252" s="124"/>
      <c r="G252" s="124"/>
      <c r="H252" s="124"/>
      <c r="I252" s="124"/>
      <c r="J252" s="124"/>
      <c r="K252" s="124"/>
      <c r="L252" s="124"/>
      <c r="M252" s="124"/>
      <c r="N252" s="124"/>
      <c r="O252" s="124"/>
      <c r="P252" s="124"/>
      <c r="Q252" s="124"/>
      <c r="R252" s="124"/>
      <c r="S252" s="124"/>
      <c r="T252" s="124"/>
      <c r="U252" s="124"/>
      <c r="V252" s="124"/>
      <c r="W252" s="124"/>
      <c r="X252" s="124"/>
      <c r="Y252" s="124"/>
    </row>
    <row r="253" spans="2:25" x14ac:dyDescent="0.25">
      <c r="B253" s="124"/>
      <c r="C253" s="124"/>
      <c r="D253" s="124"/>
      <c r="E253" s="124"/>
      <c r="F253" s="124"/>
      <c r="G253" s="124"/>
      <c r="H253" s="124"/>
      <c r="I253" s="124"/>
      <c r="J253" s="124"/>
      <c r="K253" s="124"/>
      <c r="L253" s="124"/>
      <c r="M253" s="124"/>
      <c r="N253" s="124"/>
      <c r="O253" s="124"/>
      <c r="P253" s="124"/>
      <c r="Q253" s="124"/>
      <c r="R253" s="124"/>
      <c r="S253" s="124"/>
      <c r="T253" s="124"/>
      <c r="U253" s="124"/>
      <c r="V253" s="124"/>
      <c r="W253" s="124"/>
      <c r="X253" s="124"/>
      <c r="Y253" s="124"/>
    </row>
    <row r="254" spans="2:25" x14ac:dyDescent="0.25">
      <c r="B254" s="124"/>
      <c r="C254" s="124"/>
      <c r="D254" s="124"/>
      <c r="E254" s="124"/>
      <c r="F254" s="124"/>
      <c r="G254" s="124"/>
      <c r="H254" s="124"/>
      <c r="I254" s="124"/>
      <c r="J254" s="124"/>
      <c r="K254" s="124"/>
      <c r="L254" s="124"/>
      <c r="M254" s="124"/>
      <c r="N254" s="124"/>
      <c r="O254" s="124"/>
      <c r="P254" s="124"/>
      <c r="Q254" s="124"/>
      <c r="R254" s="124"/>
      <c r="S254" s="124"/>
      <c r="T254" s="124"/>
      <c r="U254" s="124"/>
      <c r="V254" s="124"/>
      <c r="W254" s="124"/>
      <c r="X254" s="124"/>
      <c r="Y254" s="124"/>
    </row>
    <row r="255" spans="2:25" x14ac:dyDescent="0.25">
      <c r="B255" s="124"/>
      <c r="C255" s="124"/>
      <c r="D255" s="124"/>
      <c r="E255" s="124"/>
      <c r="F255" s="124"/>
      <c r="G255" s="124"/>
      <c r="H255" s="124"/>
      <c r="I255" s="124"/>
      <c r="J255" s="124"/>
      <c r="K255" s="124"/>
      <c r="L255" s="124"/>
      <c r="M255" s="124"/>
      <c r="N255" s="124"/>
      <c r="O255" s="124"/>
      <c r="P255" s="124"/>
      <c r="Q255" s="124"/>
      <c r="R255" s="124"/>
      <c r="S255" s="124"/>
      <c r="T255" s="124"/>
      <c r="U255" s="124"/>
      <c r="V255" s="124"/>
      <c r="W255" s="124"/>
      <c r="X255" s="124"/>
      <c r="Y255" s="124"/>
    </row>
    <row r="256" spans="2:25" x14ac:dyDescent="0.25">
      <c r="B256" s="124"/>
      <c r="C256" s="124"/>
      <c r="D256" s="124"/>
      <c r="E256" s="124"/>
      <c r="F256" s="124"/>
      <c r="G256" s="124"/>
      <c r="H256" s="124"/>
      <c r="I256" s="124"/>
      <c r="J256" s="124"/>
      <c r="K256" s="124"/>
      <c r="L256" s="124"/>
      <c r="M256" s="124"/>
      <c r="N256" s="124"/>
      <c r="O256" s="124"/>
      <c r="P256" s="124"/>
      <c r="Q256" s="124"/>
      <c r="R256" s="124"/>
      <c r="S256" s="124"/>
      <c r="T256" s="124"/>
      <c r="U256" s="124"/>
      <c r="V256" s="124"/>
      <c r="W256" s="124"/>
      <c r="X256" s="124"/>
      <c r="Y256" s="124"/>
    </row>
    <row r="257" spans="2:25" x14ac:dyDescent="0.25">
      <c r="B257" s="124"/>
      <c r="C257" s="124"/>
      <c r="D257" s="124"/>
      <c r="E257" s="124"/>
      <c r="F257" s="124"/>
      <c r="G257" s="124"/>
      <c r="H257" s="124"/>
      <c r="I257" s="124"/>
      <c r="J257" s="124"/>
      <c r="K257" s="124"/>
      <c r="L257" s="124"/>
      <c r="M257" s="124"/>
      <c r="N257" s="124"/>
      <c r="O257" s="124"/>
      <c r="P257" s="124"/>
      <c r="Q257" s="124"/>
      <c r="R257" s="124"/>
      <c r="S257" s="124"/>
      <c r="T257" s="124"/>
      <c r="U257" s="124"/>
      <c r="V257" s="124"/>
      <c r="W257" s="124"/>
      <c r="X257" s="124"/>
      <c r="Y257" s="124"/>
    </row>
    <row r="258" spans="2:25" x14ac:dyDescent="0.25">
      <c r="B258" s="124"/>
      <c r="C258" s="124"/>
      <c r="D258" s="124"/>
      <c r="E258" s="124"/>
      <c r="F258" s="124"/>
      <c r="G258" s="124"/>
      <c r="H258" s="124"/>
      <c r="I258" s="124"/>
      <c r="J258" s="124"/>
      <c r="K258" s="124"/>
      <c r="L258" s="124"/>
      <c r="M258" s="124"/>
      <c r="N258" s="124"/>
      <c r="O258" s="124"/>
      <c r="P258" s="124"/>
      <c r="Q258" s="124"/>
      <c r="R258" s="124"/>
      <c r="S258" s="124"/>
      <c r="T258" s="124"/>
      <c r="U258" s="124"/>
      <c r="V258" s="124"/>
      <c r="W258" s="124"/>
      <c r="X258" s="124"/>
      <c r="Y258" s="124"/>
    </row>
    <row r="259" spans="2:25" x14ac:dyDescent="0.25">
      <c r="B259" s="124"/>
      <c r="C259" s="124"/>
      <c r="D259" s="124"/>
      <c r="E259" s="124"/>
      <c r="F259" s="124"/>
      <c r="G259" s="124"/>
      <c r="H259" s="124"/>
      <c r="I259" s="124"/>
      <c r="J259" s="124"/>
      <c r="K259" s="124"/>
      <c r="L259" s="124"/>
      <c r="M259" s="124"/>
      <c r="N259" s="124"/>
      <c r="O259" s="124"/>
      <c r="P259" s="124"/>
      <c r="Q259" s="124"/>
      <c r="R259" s="124"/>
      <c r="S259" s="124"/>
      <c r="T259" s="124"/>
      <c r="U259" s="124"/>
      <c r="V259" s="124"/>
      <c r="W259" s="124"/>
      <c r="X259" s="124"/>
      <c r="Y259" s="124"/>
    </row>
    <row r="260" spans="2:25" x14ac:dyDescent="0.25">
      <c r="B260" s="124"/>
      <c r="C260" s="124"/>
      <c r="D260" s="124"/>
      <c r="E260" s="124"/>
      <c r="F260" s="124"/>
      <c r="G260" s="124"/>
      <c r="H260" s="124"/>
      <c r="I260" s="124"/>
      <c r="J260" s="124"/>
      <c r="K260" s="124"/>
      <c r="L260" s="124"/>
      <c r="M260" s="124"/>
      <c r="N260" s="124"/>
      <c r="O260" s="124"/>
      <c r="P260" s="124"/>
      <c r="Q260" s="124"/>
      <c r="R260" s="124"/>
      <c r="S260" s="124"/>
      <c r="T260" s="124"/>
      <c r="U260" s="124"/>
      <c r="V260" s="124"/>
      <c r="W260" s="124"/>
      <c r="X260" s="124"/>
      <c r="Y260" s="124"/>
    </row>
    <row r="261" spans="2:25" x14ac:dyDescent="0.25">
      <c r="B261" s="124"/>
      <c r="C261" s="124"/>
      <c r="D261" s="124"/>
      <c r="E261" s="124"/>
      <c r="F261" s="124"/>
      <c r="G261" s="124"/>
      <c r="H261" s="124"/>
      <c r="I261" s="124"/>
      <c r="J261" s="124"/>
      <c r="K261" s="124"/>
      <c r="L261" s="124"/>
      <c r="M261" s="124"/>
      <c r="N261" s="124"/>
      <c r="O261" s="124"/>
      <c r="P261" s="124"/>
      <c r="Q261" s="124"/>
      <c r="R261" s="124"/>
      <c r="S261" s="124"/>
      <c r="T261" s="124"/>
      <c r="U261" s="124"/>
      <c r="V261" s="124"/>
      <c r="W261" s="124"/>
      <c r="X261" s="124"/>
      <c r="Y261" s="124"/>
    </row>
    <row r="262" spans="2:25" x14ac:dyDescent="0.25">
      <c r="B262" s="124"/>
      <c r="C262" s="124"/>
      <c r="D262" s="124"/>
      <c r="E262" s="124"/>
      <c r="F262" s="124"/>
      <c r="G262" s="124"/>
      <c r="H262" s="124"/>
      <c r="I262" s="124"/>
      <c r="J262" s="124"/>
      <c r="K262" s="124"/>
      <c r="L262" s="124"/>
      <c r="M262" s="124"/>
      <c r="N262" s="124"/>
      <c r="O262" s="124"/>
      <c r="P262" s="124"/>
      <c r="Q262" s="124"/>
      <c r="R262" s="124"/>
      <c r="S262" s="124"/>
      <c r="T262" s="124"/>
      <c r="U262" s="124"/>
      <c r="V262" s="124"/>
      <c r="W262" s="124"/>
      <c r="X262" s="124"/>
      <c r="Y262" s="124"/>
    </row>
    <row r="263" spans="2:25" x14ac:dyDescent="0.25">
      <c r="B263" s="124"/>
      <c r="C263" s="124"/>
      <c r="D263" s="124"/>
      <c r="E263" s="124"/>
      <c r="F263" s="124"/>
      <c r="G263" s="124"/>
      <c r="H263" s="124"/>
      <c r="I263" s="124"/>
      <c r="J263" s="124"/>
      <c r="K263" s="124"/>
      <c r="L263" s="124"/>
      <c r="M263" s="124"/>
      <c r="N263" s="124"/>
      <c r="O263" s="124"/>
      <c r="P263" s="124"/>
      <c r="Q263" s="124"/>
      <c r="R263" s="124"/>
      <c r="S263" s="124"/>
      <c r="T263" s="124"/>
      <c r="U263" s="124"/>
      <c r="V263" s="124"/>
      <c r="W263" s="124"/>
      <c r="X263" s="124"/>
      <c r="Y263" s="124"/>
    </row>
    <row r="264" spans="2:25" x14ac:dyDescent="0.25">
      <c r="B264" s="124"/>
      <c r="C264" s="124"/>
      <c r="D264" s="124"/>
      <c r="E264" s="124"/>
      <c r="F264" s="124"/>
      <c r="G264" s="124"/>
      <c r="H264" s="124"/>
      <c r="I264" s="124"/>
      <c r="J264" s="124"/>
      <c r="K264" s="124"/>
      <c r="L264" s="124"/>
      <c r="M264" s="124"/>
      <c r="N264" s="124"/>
      <c r="O264" s="124"/>
      <c r="P264" s="124"/>
      <c r="Q264" s="124"/>
      <c r="R264" s="124"/>
      <c r="S264" s="124"/>
      <c r="T264" s="124"/>
      <c r="U264" s="124"/>
      <c r="V264" s="124"/>
      <c r="W264" s="124"/>
      <c r="X264" s="124"/>
      <c r="Y264" s="124"/>
    </row>
    <row r="265" spans="2:25" x14ac:dyDescent="0.25">
      <c r="B265" s="124"/>
      <c r="C265" s="124"/>
      <c r="D265" s="124"/>
      <c r="E265" s="124"/>
      <c r="F265" s="124"/>
      <c r="G265" s="124"/>
      <c r="H265" s="124"/>
      <c r="I265" s="124"/>
      <c r="J265" s="124"/>
      <c r="K265" s="124"/>
      <c r="L265" s="124"/>
      <c r="M265" s="124"/>
      <c r="N265" s="124"/>
      <c r="O265" s="124"/>
      <c r="P265" s="124"/>
      <c r="Q265" s="124"/>
      <c r="R265" s="124"/>
      <c r="S265" s="124"/>
      <c r="T265" s="124"/>
      <c r="U265" s="124"/>
      <c r="V265" s="124"/>
      <c r="W265" s="124"/>
      <c r="X265" s="124"/>
      <c r="Y265" s="124"/>
    </row>
    <row r="266" spans="2:25" x14ac:dyDescent="0.25">
      <c r="B266" s="124"/>
      <c r="C266" s="124"/>
      <c r="D266" s="124"/>
      <c r="E266" s="124"/>
      <c r="F266" s="124"/>
      <c r="G266" s="124"/>
      <c r="H266" s="124"/>
      <c r="I266" s="124"/>
      <c r="J266" s="124"/>
      <c r="K266" s="124"/>
      <c r="L266" s="124"/>
      <c r="M266" s="124"/>
      <c r="N266" s="124"/>
      <c r="O266" s="124"/>
      <c r="P266" s="124"/>
      <c r="Q266" s="124"/>
      <c r="R266" s="124"/>
      <c r="S266" s="124"/>
      <c r="T266" s="124"/>
      <c r="U266" s="124"/>
      <c r="V266" s="124"/>
      <c r="W266" s="124"/>
      <c r="X266" s="124"/>
      <c r="Y266" s="124"/>
    </row>
    <row r="267" spans="2:25" x14ac:dyDescent="0.25">
      <c r="B267" s="124"/>
      <c r="C267" s="124"/>
      <c r="D267" s="124"/>
      <c r="E267" s="124"/>
      <c r="F267" s="124"/>
      <c r="G267" s="124"/>
      <c r="H267" s="124"/>
      <c r="I267" s="124"/>
      <c r="J267" s="124"/>
      <c r="K267" s="124"/>
      <c r="L267" s="124"/>
      <c r="M267" s="124"/>
      <c r="N267" s="124"/>
      <c r="O267" s="124"/>
      <c r="P267" s="124"/>
      <c r="Q267" s="124"/>
      <c r="R267" s="124"/>
      <c r="S267" s="124"/>
      <c r="T267" s="124"/>
      <c r="U267" s="124"/>
      <c r="V267" s="124"/>
      <c r="W267" s="124"/>
      <c r="X267" s="124"/>
      <c r="Y267" s="124"/>
    </row>
    <row r="268" spans="2:25" x14ac:dyDescent="0.25">
      <c r="B268" s="124"/>
      <c r="C268" s="124"/>
      <c r="D268" s="124"/>
      <c r="E268" s="124"/>
      <c r="F268" s="124"/>
      <c r="G268" s="124"/>
      <c r="H268" s="124"/>
      <c r="I268" s="124"/>
      <c r="J268" s="124"/>
      <c r="K268" s="124"/>
      <c r="L268" s="124"/>
      <c r="M268" s="124"/>
      <c r="N268" s="124"/>
      <c r="O268" s="124"/>
      <c r="P268" s="124"/>
      <c r="Q268" s="124"/>
      <c r="R268" s="124"/>
      <c r="S268" s="124"/>
      <c r="T268" s="124"/>
      <c r="U268" s="124"/>
      <c r="V268" s="124"/>
      <c r="W268" s="124"/>
      <c r="X268" s="124"/>
      <c r="Y268" s="124"/>
    </row>
    <row r="269" spans="2:25" x14ac:dyDescent="0.25">
      <c r="B269" s="124"/>
      <c r="C269" s="124"/>
      <c r="D269" s="124"/>
      <c r="E269" s="124"/>
      <c r="F269" s="124"/>
      <c r="G269" s="124"/>
      <c r="H269" s="124"/>
      <c r="I269" s="124"/>
      <c r="J269" s="124"/>
      <c r="K269" s="124"/>
      <c r="L269" s="124"/>
      <c r="M269" s="124"/>
      <c r="N269" s="124"/>
      <c r="O269" s="124"/>
      <c r="P269" s="124"/>
      <c r="Q269" s="124"/>
      <c r="R269" s="124"/>
      <c r="S269" s="124"/>
      <c r="T269" s="124"/>
      <c r="U269" s="124"/>
      <c r="V269" s="124"/>
      <c r="W269" s="124"/>
      <c r="X269" s="124"/>
      <c r="Y269" s="124"/>
    </row>
    <row r="270" spans="2:25" x14ac:dyDescent="0.25">
      <c r="B270" s="124"/>
      <c r="C270" s="124"/>
      <c r="D270" s="124"/>
      <c r="E270" s="124"/>
      <c r="F270" s="124"/>
      <c r="G270" s="124"/>
      <c r="H270" s="124"/>
      <c r="I270" s="124"/>
      <c r="J270" s="124"/>
      <c r="K270" s="124"/>
      <c r="L270" s="124"/>
      <c r="M270" s="124"/>
      <c r="N270" s="124"/>
      <c r="O270" s="124"/>
      <c r="P270" s="124"/>
      <c r="Q270" s="124"/>
      <c r="R270" s="124"/>
      <c r="S270" s="124"/>
      <c r="T270" s="124"/>
      <c r="U270" s="124"/>
      <c r="V270" s="124"/>
      <c r="W270" s="124"/>
      <c r="X270" s="124"/>
      <c r="Y270" s="124"/>
    </row>
    <row r="271" spans="2:25" x14ac:dyDescent="0.25">
      <c r="B271" s="124"/>
      <c r="C271" s="124"/>
      <c r="D271" s="124"/>
      <c r="E271" s="124"/>
      <c r="F271" s="124"/>
      <c r="G271" s="124"/>
      <c r="H271" s="124"/>
      <c r="I271" s="124"/>
      <c r="J271" s="124"/>
      <c r="K271" s="124"/>
      <c r="L271" s="124"/>
      <c r="M271" s="124"/>
      <c r="N271" s="124"/>
      <c r="O271" s="124"/>
      <c r="P271" s="124"/>
      <c r="Q271" s="124"/>
      <c r="R271" s="124"/>
      <c r="S271" s="124"/>
      <c r="T271" s="124"/>
      <c r="U271" s="124"/>
      <c r="V271" s="124"/>
      <c r="W271" s="124"/>
      <c r="X271" s="124"/>
      <c r="Y271" s="124"/>
    </row>
    <row r="272" spans="2:25" x14ac:dyDescent="0.25">
      <c r="B272" s="124"/>
      <c r="C272" s="124"/>
      <c r="D272" s="124"/>
      <c r="E272" s="124"/>
      <c r="F272" s="124"/>
      <c r="G272" s="124"/>
      <c r="H272" s="124"/>
      <c r="I272" s="124"/>
      <c r="J272" s="124"/>
      <c r="K272" s="124"/>
      <c r="L272" s="124"/>
      <c r="M272" s="124"/>
      <c r="N272" s="124"/>
      <c r="O272" s="124"/>
      <c r="P272" s="124"/>
      <c r="Q272" s="124"/>
      <c r="R272" s="124"/>
      <c r="S272" s="124"/>
      <c r="T272" s="124"/>
      <c r="U272" s="124"/>
      <c r="V272" s="124"/>
      <c r="W272" s="124"/>
      <c r="X272" s="124"/>
      <c r="Y272" s="124"/>
    </row>
    <row r="273" spans="2:25" x14ac:dyDescent="0.25">
      <c r="B273" s="124"/>
      <c r="C273" s="124"/>
      <c r="D273" s="124"/>
      <c r="E273" s="124"/>
      <c r="F273" s="124"/>
      <c r="G273" s="124"/>
      <c r="H273" s="124"/>
      <c r="I273" s="124"/>
      <c r="J273" s="124"/>
      <c r="K273" s="124"/>
      <c r="L273" s="124"/>
      <c r="M273" s="124"/>
      <c r="N273" s="124"/>
      <c r="O273" s="124"/>
      <c r="P273" s="124"/>
      <c r="Q273" s="124"/>
      <c r="R273" s="124"/>
      <c r="S273" s="124"/>
      <c r="T273" s="124"/>
      <c r="U273" s="124"/>
      <c r="V273" s="124"/>
      <c r="W273" s="124"/>
      <c r="X273" s="124"/>
      <c r="Y273" s="124"/>
    </row>
    <row r="274" spans="2:25" x14ac:dyDescent="0.25">
      <c r="B274" s="124"/>
      <c r="C274" s="124"/>
      <c r="D274" s="124"/>
      <c r="E274" s="124"/>
      <c r="F274" s="124"/>
      <c r="G274" s="124"/>
      <c r="H274" s="124"/>
      <c r="I274" s="124"/>
      <c r="J274" s="124"/>
      <c r="K274" s="124"/>
      <c r="L274" s="124"/>
      <c r="M274" s="124"/>
      <c r="N274" s="124"/>
      <c r="O274" s="124"/>
      <c r="P274" s="124"/>
      <c r="Q274" s="124"/>
      <c r="R274" s="124"/>
      <c r="S274" s="124"/>
      <c r="T274" s="124"/>
      <c r="U274" s="124"/>
      <c r="V274" s="124"/>
      <c r="W274" s="124"/>
      <c r="X274" s="124"/>
      <c r="Y274" s="124"/>
    </row>
    <row r="275" spans="2:25" x14ac:dyDescent="0.25">
      <c r="B275" s="124"/>
      <c r="C275" s="124"/>
      <c r="D275" s="124"/>
      <c r="E275" s="124"/>
      <c r="F275" s="124"/>
      <c r="G275" s="124"/>
      <c r="H275" s="124"/>
      <c r="I275" s="124"/>
      <c r="J275" s="124"/>
      <c r="K275" s="124"/>
      <c r="L275" s="124"/>
      <c r="M275" s="124"/>
      <c r="N275" s="124"/>
      <c r="O275" s="124"/>
      <c r="P275" s="124"/>
      <c r="Q275" s="124"/>
      <c r="R275" s="124"/>
      <c r="S275" s="124"/>
      <c r="T275" s="124"/>
      <c r="U275" s="124"/>
      <c r="V275" s="124"/>
      <c r="W275" s="124"/>
      <c r="X275" s="124"/>
      <c r="Y275" s="124"/>
    </row>
    <row r="276" spans="2:25" x14ac:dyDescent="0.25">
      <c r="B276" s="124"/>
      <c r="C276" s="124"/>
      <c r="D276" s="124"/>
      <c r="E276" s="124"/>
      <c r="F276" s="124"/>
      <c r="G276" s="124"/>
      <c r="H276" s="124"/>
      <c r="I276" s="124"/>
      <c r="J276" s="124"/>
      <c r="K276" s="124"/>
      <c r="L276" s="124"/>
      <c r="M276" s="124"/>
      <c r="N276" s="124"/>
      <c r="O276" s="124"/>
      <c r="P276" s="124"/>
      <c r="Q276" s="124"/>
      <c r="R276" s="124"/>
      <c r="S276" s="124"/>
      <c r="T276" s="124"/>
      <c r="U276" s="124"/>
      <c r="V276" s="124"/>
      <c r="W276" s="124"/>
      <c r="X276" s="124"/>
      <c r="Y276" s="124"/>
    </row>
    <row r="277" spans="2:25" x14ac:dyDescent="0.25">
      <c r="B277" s="124"/>
      <c r="C277" s="124"/>
      <c r="D277" s="124"/>
      <c r="E277" s="124"/>
      <c r="F277" s="124"/>
      <c r="G277" s="124"/>
      <c r="H277" s="124"/>
      <c r="I277" s="124"/>
      <c r="J277" s="124"/>
      <c r="K277" s="124"/>
      <c r="L277" s="124"/>
      <c r="M277" s="124"/>
      <c r="N277" s="124"/>
      <c r="O277" s="124"/>
      <c r="P277" s="124"/>
      <c r="Q277" s="124"/>
      <c r="R277" s="124"/>
      <c r="S277" s="124"/>
      <c r="T277" s="124"/>
      <c r="U277" s="124"/>
      <c r="V277" s="124"/>
      <c r="W277" s="124"/>
      <c r="X277" s="124"/>
      <c r="Y277" s="124"/>
    </row>
    <row r="278" spans="2:25" x14ac:dyDescent="0.25">
      <c r="B278" s="124"/>
      <c r="C278" s="124"/>
      <c r="D278" s="124"/>
      <c r="E278" s="124"/>
      <c r="F278" s="124"/>
      <c r="G278" s="124"/>
      <c r="H278" s="124"/>
      <c r="I278" s="124"/>
      <c r="J278" s="124"/>
      <c r="K278" s="124"/>
      <c r="L278" s="124"/>
      <c r="M278" s="124"/>
      <c r="N278" s="124"/>
      <c r="O278" s="124"/>
      <c r="P278" s="124"/>
      <c r="Q278" s="124"/>
      <c r="R278" s="124"/>
      <c r="S278" s="124"/>
      <c r="T278" s="124"/>
      <c r="U278" s="124"/>
      <c r="V278" s="124"/>
      <c r="W278" s="124"/>
      <c r="X278" s="124"/>
      <c r="Y278" s="124"/>
    </row>
    <row r="279" spans="2:25" x14ac:dyDescent="0.25">
      <c r="B279" s="124"/>
      <c r="C279" s="124"/>
      <c r="D279" s="124"/>
      <c r="E279" s="124"/>
      <c r="F279" s="124"/>
      <c r="G279" s="124"/>
      <c r="H279" s="124"/>
      <c r="I279" s="124"/>
      <c r="J279" s="124"/>
      <c r="K279" s="124"/>
      <c r="L279" s="124"/>
      <c r="M279" s="124"/>
      <c r="N279" s="124"/>
      <c r="O279" s="124"/>
      <c r="P279" s="124"/>
      <c r="Q279" s="124"/>
      <c r="R279" s="124"/>
      <c r="S279" s="124"/>
      <c r="T279" s="124"/>
      <c r="U279" s="124"/>
      <c r="V279" s="124"/>
      <c r="W279" s="124"/>
      <c r="X279" s="124"/>
      <c r="Y279" s="124"/>
    </row>
    <row r="280" spans="2:25" x14ac:dyDescent="0.25">
      <c r="B280" s="124"/>
      <c r="C280" s="124"/>
      <c r="D280" s="124"/>
      <c r="E280" s="124"/>
      <c r="F280" s="124"/>
      <c r="G280" s="124"/>
      <c r="H280" s="124"/>
      <c r="I280" s="124"/>
      <c r="J280" s="124"/>
      <c r="K280" s="124"/>
      <c r="L280" s="124"/>
      <c r="M280" s="124"/>
      <c r="N280" s="124"/>
      <c r="O280" s="124"/>
      <c r="P280" s="124"/>
      <c r="Q280" s="124"/>
      <c r="R280" s="124"/>
      <c r="S280" s="124"/>
      <c r="T280" s="124"/>
      <c r="U280" s="124"/>
      <c r="V280" s="124"/>
      <c r="W280" s="124"/>
      <c r="X280" s="124"/>
      <c r="Y280" s="124"/>
    </row>
    <row r="281" spans="2:25" x14ac:dyDescent="0.25">
      <c r="B281" s="124"/>
      <c r="C281" s="124"/>
      <c r="D281" s="124"/>
      <c r="E281" s="124"/>
      <c r="F281" s="124"/>
      <c r="G281" s="124"/>
      <c r="H281" s="124"/>
      <c r="I281" s="124"/>
      <c r="J281" s="124"/>
      <c r="K281" s="124"/>
      <c r="L281" s="124"/>
      <c r="M281" s="124"/>
      <c r="N281" s="124"/>
      <c r="O281" s="124"/>
      <c r="P281" s="124"/>
      <c r="Q281" s="124"/>
      <c r="R281" s="124"/>
      <c r="S281" s="124"/>
      <c r="T281" s="124"/>
      <c r="U281" s="124"/>
      <c r="V281" s="124"/>
      <c r="W281" s="124"/>
      <c r="X281" s="124"/>
      <c r="Y281" s="124"/>
    </row>
    <row r="282" spans="2:25" x14ac:dyDescent="0.25">
      <c r="B282" s="124"/>
      <c r="C282" s="124"/>
      <c r="D282" s="124"/>
      <c r="E282" s="124"/>
      <c r="F282" s="124"/>
      <c r="G282" s="124"/>
      <c r="H282" s="124"/>
      <c r="I282" s="124"/>
      <c r="J282" s="124"/>
      <c r="K282" s="124"/>
      <c r="L282" s="124"/>
      <c r="M282" s="124"/>
      <c r="N282" s="124"/>
      <c r="O282" s="124"/>
      <c r="P282" s="124"/>
      <c r="Q282" s="124"/>
      <c r="R282" s="124"/>
      <c r="S282" s="124"/>
      <c r="T282" s="124"/>
      <c r="U282" s="124"/>
      <c r="V282" s="124"/>
      <c r="W282" s="124"/>
      <c r="X282" s="124"/>
      <c r="Y282" s="124"/>
    </row>
    <row r="283" spans="2:25" x14ac:dyDescent="0.25">
      <c r="B283" s="124"/>
      <c r="C283" s="124"/>
      <c r="D283" s="124"/>
      <c r="E283" s="124"/>
      <c r="F283" s="124"/>
      <c r="G283" s="124"/>
      <c r="H283" s="124"/>
      <c r="I283" s="124"/>
      <c r="J283" s="124"/>
      <c r="K283" s="124"/>
      <c r="L283" s="124"/>
      <c r="M283" s="124"/>
      <c r="N283" s="124"/>
      <c r="O283" s="124"/>
      <c r="P283" s="124"/>
      <c r="Q283" s="124"/>
      <c r="R283" s="124"/>
      <c r="S283" s="124"/>
      <c r="T283" s="124"/>
      <c r="U283" s="124"/>
      <c r="V283" s="124"/>
      <c r="W283" s="124"/>
      <c r="X283" s="124"/>
      <c r="Y283" s="124"/>
    </row>
    <row r="284" spans="2:25" x14ac:dyDescent="0.25">
      <c r="B284" s="124"/>
      <c r="C284" s="124"/>
      <c r="D284" s="124"/>
      <c r="E284" s="124"/>
      <c r="F284" s="124"/>
      <c r="G284" s="124"/>
      <c r="H284" s="124"/>
      <c r="I284" s="124"/>
      <c r="J284" s="124"/>
      <c r="K284" s="124"/>
      <c r="L284" s="124"/>
      <c r="M284" s="124"/>
      <c r="N284" s="124"/>
      <c r="O284" s="124"/>
      <c r="P284" s="124"/>
      <c r="Q284" s="124"/>
      <c r="R284" s="124"/>
      <c r="S284" s="124"/>
      <c r="T284" s="124"/>
      <c r="U284" s="124"/>
      <c r="V284" s="124"/>
      <c r="W284" s="124"/>
      <c r="X284" s="124"/>
      <c r="Y284" s="124"/>
    </row>
    <row r="285" spans="2:25" x14ac:dyDescent="0.25">
      <c r="B285" s="124"/>
      <c r="C285" s="124"/>
      <c r="D285" s="124"/>
      <c r="E285" s="124"/>
      <c r="F285" s="124"/>
      <c r="G285" s="124"/>
      <c r="H285" s="124"/>
      <c r="I285" s="124"/>
      <c r="J285" s="124"/>
      <c r="K285" s="124"/>
      <c r="L285" s="124"/>
      <c r="M285" s="124"/>
      <c r="N285" s="124"/>
      <c r="O285" s="124"/>
      <c r="P285" s="124"/>
      <c r="Q285" s="124"/>
      <c r="R285" s="124"/>
      <c r="S285" s="124"/>
      <c r="T285" s="124"/>
      <c r="U285" s="124"/>
      <c r="V285" s="124"/>
      <c r="W285" s="124"/>
      <c r="X285" s="124"/>
      <c r="Y285" s="124"/>
    </row>
    <row r="286" spans="2:25" x14ac:dyDescent="0.25">
      <c r="B286" s="124"/>
      <c r="C286" s="124"/>
      <c r="D286" s="124"/>
      <c r="E286" s="124"/>
      <c r="F286" s="124"/>
      <c r="G286" s="124"/>
      <c r="H286" s="124"/>
      <c r="I286" s="124"/>
      <c r="J286" s="124"/>
      <c r="K286" s="124"/>
      <c r="L286" s="124"/>
      <c r="M286" s="124"/>
      <c r="N286" s="124"/>
      <c r="O286" s="124"/>
      <c r="P286" s="124"/>
      <c r="Q286" s="124"/>
      <c r="R286" s="124"/>
      <c r="S286" s="124"/>
      <c r="T286" s="124"/>
      <c r="U286" s="124"/>
      <c r="V286" s="124"/>
      <c r="W286" s="124"/>
      <c r="X286" s="124"/>
      <c r="Y286" s="124"/>
    </row>
    <row r="287" spans="2:25" x14ac:dyDescent="0.25">
      <c r="B287" s="124"/>
      <c r="C287" s="124"/>
      <c r="D287" s="124"/>
      <c r="E287" s="124"/>
      <c r="F287" s="124"/>
      <c r="G287" s="124"/>
      <c r="H287" s="124"/>
      <c r="I287" s="124"/>
      <c r="J287" s="124"/>
      <c r="K287" s="124"/>
      <c r="L287" s="124"/>
      <c r="M287" s="124"/>
      <c r="N287" s="124"/>
      <c r="O287" s="124"/>
      <c r="P287" s="124"/>
      <c r="Q287" s="124"/>
      <c r="R287" s="124"/>
      <c r="S287" s="124"/>
      <c r="T287" s="124"/>
      <c r="U287" s="124"/>
      <c r="V287" s="124"/>
      <c r="W287" s="124"/>
      <c r="X287" s="124"/>
      <c r="Y287" s="124"/>
    </row>
    <row r="288" spans="2:25" x14ac:dyDescent="0.25">
      <c r="B288" s="124"/>
      <c r="C288" s="124"/>
      <c r="D288" s="124"/>
      <c r="E288" s="124"/>
      <c r="F288" s="124"/>
      <c r="G288" s="124"/>
      <c r="H288" s="124"/>
      <c r="I288" s="124"/>
      <c r="J288" s="124"/>
      <c r="K288" s="124"/>
      <c r="L288" s="124"/>
      <c r="M288" s="124"/>
      <c r="N288" s="124"/>
      <c r="O288" s="124"/>
      <c r="P288" s="124"/>
      <c r="Q288" s="124"/>
      <c r="R288" s="124"/>
      <c r="S288" s="124"/>
      <c r="T288" s="124"/>
      <c r="U288" s="124"/>
      <c r="V288" s="124"/>
      <c r="W288" s="124"/>
      <c r="X288" s="124"/>
      <c r="Y288" s="124"/>
    </row>
    <row r="289" spans="2:25" x14ac:dyDescent="0.25">
      <c r="B289" s="124"/>
      <c r="C289" s="124"/>
      <c r="D289" s="124"/>
      <c r="E289" s="124"/>
      <c r="F289" s="124"/>
      <c r="G289" s="124"/>
      <c r="H289" s="124"/>
      <c r="I289" s="124"/>
      <c r="J289" s="124"/>
      <c r="K289" s="124"/>
      <c r="L289" s="124"/>
      <c r="M289" s="124"/>
      <c r="N289" s="124"/>
      <c r="O289" s="124"/>
      <c r="P289" s="124"/>
      <c r="Q289" s="124"/>
      <c r="R289" s="124"/>
      <c r="S289" s="124"/>
      <c r="T289" s="124"/>
      <c r="U289" s="124"/>
      <c r="V289" s="124"/>
      <c r="W289" s="124"/>
      <c r="X289" s="124"/>
      <c r="Y289" s="124"/>
    </row>
    <row r="290" spans="2:25" x14ac:dyDescent="0.25">
      <c r="B290" s="124"/>
      <c r="C290" s="124"/>
      <c r="D290" s="124"/>
      <c r="E290" s="124"/>
      <c r="F290" s="124"/>
      <c r="G290" s="124"/>
      <c r="H290" s="124"/>
      <c r="I290" s="124"/>
      <c r="J290" s="124"/>
      <c r="K290" s="124"/>
      <c r="L290" s="124"/>
      <c r="M290" s="124"/>
      <c r="N290" s="124"/>
      <c r="O290" s="124"/>
      <c r="P290" s="124"/>
      <c r="Q290" s="124"/>
      <c r="R290" s="124"/>
      <c r="S290" s="124"/>
      <c r="T290" s="124"/>
      <c r="U290" s="124"/>
      <c r="V290" s="124"/>
      <c r="W290" s="124"/>
      <c r="X290" s="124"/>
      <c r="Y290" s="124"/>
    </row>
    <row r="291" spans="2:25" x14ac:dyDescent="0.25">
      <c r="B291" s="124"/>
      <c r="C291" s="124"/>
      <c r="D291" s="124"/>
      <c r="E291" s="124"/>
      <c r="F291" s="124"/>
      <c r="G291" s="124"/>
      <c r="H291" s="124"/>
      <c r="I291" s="124"/>
      <c r="J291" s="124"/>
      <c r="K291" s="124"/>
      <c r="L291" s="124"/>
      <c r="M291" s="124"/>
      <c r="N291" s="124"/>
      <c r="O291" s="124"/>
      <c r="P291" s="124"/>
      <c r="Q291" s="124"/>
      <c r="R291" s="124"/>
      <c r="S291" s="124"/>
      <c r="T291" s="124"/>
      <c r="U291" s="124"/>
      <c r="V291" s="124"/>
      <c r="W291" s="124"/>
      <c r="X291" s="124"/>
      <c r="Y291" s="124"/>
    </row>
    <row r="292" spans="2:25" x14ac:dyDescent="0.25">
      <c r="B292" s="124"/>
      <c r="C292" s="124"/>
      <c r="D292" s="124"/>
      <c r="E292" s="124"/>
      <c r="F292" s="124"/>
      <c r="G292" s="124"/>
      <c r="H292" s="124"/>
      <c r="I292" s="124"/>
      <c r="J292" s="124"/>
      <c r="K292" s="124"/>
      <c r="L292" s="124"/>
      <c r="M292" s="124"/>
      <c r="N292" s="124"/>
      <c r="O292" s="124"/>
      <c r="P292" s="124"/>
      <c r="Q292" s="124"/>
      <c r="R292" s="124"/>
      <c r="S292" s="124"/>
      <c r="T292" s="124"/>
      <c r="U292" s="124"/>
      <c r="V292" s="124"/>
      <c r="W292" s="124"/>
      <c r="X292" s="124"/>
      <c r="Y292" s="124"/>
    </row>
    <row r="293" spans="2:25" x14ac:dyDescent="0.25">
      <c r="B293" s="124"/>
      <c r="C293" s="124"/>
      <c r="D293" s="124"/>
      <c r="E293" s="124"/>
      <c r="F293" s="124"/>
      <c r="G293" s="124"/>
      <c r="H293" s="124"/>
      <c r="I293" s="124"/>
      <c r="J293" s="124"/>
      <c r="K293" s="124"/>
      <c r="L293" s="124"/>
      <c r="M293" s="124"/>
      <c r="N293" s="124"/>
      <c r="O293" s="124"/>
      <c r="P293" s="124"/>
      <c r="Q293" s="124"/>
      <c r="R293" s="124"/>
      <c r="S293" s="124"/>
      <c r="T293" s="124"/>
      <c r="U293" s="124"/>
      <c r="V293" s="124"/>
      <c r="W293" s="124"/>
      <c r="X293" s="124"/>
      <c r="Y293" s="124"/>
    </row>
    <row r="294" spans="2:25" x14ac:dyDescent="0.25">
      <c r="B294" s="124"/>
      <c r="C294" s="124"/>
      <c r="D294" s="124"/>
      <c r="E294" s="124"/>
      <c r="F294" s="124"/>
      <c r="G294" s="124"/>
      <c r="H294" s="124"/>
      <c r="I294" s="124"/>
      <c r="J294" s="124"/>
      <c r="K294" s="124"/>
      <c r="L294" s="124"/>
      <c r="M294" s="124"/>
      <c r="N294" s="124"/>
      <c r="O294" s="124"/>
      <c r="P294" s="124"/>
      <c r="Q294" s="124"/>
      <c r="R294" s="124"/>
      <c r="S294" s="124"/>
      <c r="T294" s="124"/>
      <c r="U294" s="124"/>
      <c r="V294" s="124"/>
      <c r="W294" s="124"/>
      <c r="X294" s="124"/>
      <c r="Y294" s="124"/>
    </row>
    <row r="295" spans="2:25" x14ac:dyDescent="0.25">
      <c r="B295" s="124"/>
      <c r="C295" s="124"/>
      <c r="D295" s="124"/>
      <c r="E295" s="124"/>
      <c r="F295" s="124"/>
      <c r="G295" s="124"/>
      <c r="H295" s="124"/>
      <c r="I295" s="124"/>
      <c r="J295" s="124"/>
      <c r="K295" s="124"/>
      <c r="L295" s="124"/>
      <c r="M295" s="124"/>
      <c r="N295" s="124"/>
      <c r="O295" s="124"/>
      <c r="P295" s="124"/>
      <c r="Q295" s="124"/>
      <c r="R295" s="124"/>
      <c r="S295" s="124"/>
      <c r="T295" s="124"/>
      <c r="U295" s="124"/>
      <c r="V295" s="124"/>
      <c r="W295" s="124"/>
      <c r="X295" s="124"/>
      <c r="Y295" s="124"/>
    </row>
    <row r="296" spans="2:25" x14ac:dyDescent="0.25">
      <c r="B296" s="124"/>
      <c r="C296" s="124"/>
      <c r="D296" s="124"/>
      <c r="E296" s="124"/>
      <c r="F296" s="124"/>
      <c r="G296" s="124"/>
      <c r="H296" s="124"/>
      <c r="I296" s="124"/>
      <c r="J296" s="124"/>
      <c r="K296" s="124"/>
      <c r="L296" s="124"/>
      <c r="M296" s="124"/>
      <c r="N296" s="124"/>
      <c r="O296" s="124"/>
      <c r="P296" s="124"/>
      <c r="Q296" s="124"/>
      <c r="R296" s="124"/>
      <c r="S296" s="124"/>
      <c r="T296" s="124"/>
      <c r="U296" s="124"/>
      <c r="V296" s="124"/>
      <c r="W296" s="124"/>
      <c r="X296" s="124"/>
      <c r="Y296" s="124"/>
    </row>
    <row r="297" spans="2:25" x14ac:dyDescent="0.25">
      <c r="B297" s="124"/>
      <c r="C297" s="124"/>
      <c r="D297" s="124"/>
      <c r="E297" s="124"/>
      <c r="F297" s="124"/>
      <c r="G297" s="124"/>
      <c r="H297" s="124"/>
      <c r="I297" s="124"/>
      <c r="J297" s="124"/>
      <c r="K297" s="124"/>
      <c r="L297" s="124"/>
      <c r="M297" s="124"/>
      <c r="N297" s="124"/>
      <c r="O297" s="124"/>
      <c r="P297" s="124"/>
      <c r="Q297" s="124"/>
      <c r="R297" s="124"/>
      <c r="S297" s="124"/>
      <c r="T297" s="124"/>
      <c r="U297" s="124"/>
      <c r="V297" s="124"/>
      <c r="W297" s="124"/>
      <c r="X297" s="124"/>
      <c r="Y297" s="124"/>
    </row>
    <row r="298" spans="2:25" x14ac:dyDescent="0.25">
      <c r="B298" s="124"/>
      <c r="C298" s="124"/>
      <c r="D298" s="124"/>
      <c r="E298" s="124"/>
      <c r="F298" s="124"/>
      <c r="G298" s="124"/>
      <c r="H298" s="124"/>
      <c r="I298" s="124"/>
      <c r="J298" s="124"/>
      <c r="K298" s="124"/>
      <c r="L298" s="124"/>
      <c r="M298" s="124"/>
      <c r="N298" s="124"/>
      <c r="O298" s="124"/>
      <c r="P298" s="124"/>
      <c r="Q298" s="124"/>
      <c r="R298" s="124"/>
      <c r="S298" s="124"/>
      <c r="T298" s="124"/>
      <c r="U298" s="124"/>
      <c r="V298" s="124"/>
      <c r="W298" s="124"/>
      <c r="X298" s="124"/>
      <c r="Y298" s="124"/>
    </row>
    <row r="299" spans="2:25" x14ac:dyDescent="0.25">
      <c r="B299" s="124"/>
      <c r="C299" s="124"/>
      <c r="D299" s="124"/>
      <c r="E299" s="124"/>
      <c r="F299" s="124"/>
      <c r="G299" s="124"/>
      <c r="H299" s="124"/>
      <c r="I299" s="124"/>
      <c r="J299" s="124"/>
      <c r="K299" s="124"/>
      <c r="L299" s="124"/>
      <c r="M299" s="124"/>
      <c r="N299" s="124"/>
      <c r="O299" s="124"/>
      <c r="P299" s="124"/>
      <c r="Q299" s="124"/>
      <c r="R299" s="124"/>
      <c r="S299" s="124"/>
      <c r="T299" s="124"/>
      <c r="U299" s="124"/>
      <c r="V299" s="124"/>
      <c r="W299" s="124"/>
      <c r="X299" s="124"/>
      <c r="Y299" s="124"/>
    </row>
    <row r="300" spans="2:25" x14ac:dyDescent="0.25">
      <c r="B300" s="124"/>
      <c r="C300" s="124"/>
      <c r="D300" s="124"/>
      <c r="E300" s="124"/>
      <c r="F300" s="124"/>
      <c r="G300" s="124"/>
      <c r="H300" s="124"/>
      <c r="I300" s="124"/>
      <c r="J300" s="124"/>
      <c r="K300" s="124"/>
      <c r="L300" s="124"/>
      <c r="M300" s="124"/>
      <c r="N300" s="124"/>
      <c r="O300" s="124"/>
      <c r="P300" s="124"/>
      <c r="Q300" s="124"/>
      <c r="R300" s="124"/>
      <c r="S300" s="124"/>
      <c r="T300" s="124"/>
      <c r="U300" s="124"/>
      <c r="V300" s="124"/>
      <c r="W300" s="124"/>
      <c r="X300" s="124"/>
      <c r="Y300" s="124"/>
    </row>
    <row r="301" spans="2:25" x14ac:dyDescent="0.25">
      <c r="B301" s="124"/>
      <c r="C301" s="124"/>
      <c r="D301" s="124"/>
      <c r="E301" s="124"/>
      <c r="F301" s="124"/>
      <c r="G301" s="124"/>
      <c r="H301" s="124"/>
      <c r="I301" s="124"/>
      <c r="J301" s="124"/>
      <c r="K301" s="124"/>
      <c r="L301" s="124"/>
      <c r="M301" s="124"/>
      <c r="N301" s="124"/>
      <c r="O301" s="124"/>
      <c r="P301" s="124"/>
      <c r="Q301" s="124"/>
      <c r="R301" s="124"/>
      <c r="S301" s="124"/>
      <c r="T301" s="124"/>
      <c r="U301" s="124"/>
      <c r="V301" s="124"/>
      <c r="W301" s="124"/>
      <c r="X301" s="124"/>
      <c r="Y301" s="124"/>
    </row>
    <row r="302" spans="2:25" x14ac:dyDescent="0.25">
      <c r="B302" s="124"/>
      <c r="C302" s="124"/>
      <c r="D302" s="124"/>
      <c r="E302" s="124"/>
      <c r="F302" s="124"/>
      <c r="G302" s="124"/>
      <c r="H302" s="124"/>
      <c r="I302" s="124"/>
      <c r="J302" s="124"/>
      <c r="K302" s="124"/>
      <c r="L302" s="124"/>
      <c r="M302" s="124"/>
      <c r="N302" s="124"/>
      <c r="O302" s="124"/>
      <c r="P302" s="124"/>
      <c r="Q302" s="124"/>
      <c r="R302" s="124"/>
      <c r="S302" s="124"/>
      <c r="T302" s="124"/>
      <c r="U302" s="124"/>
      <c r="V302" s="124"/>
      <c r="W302" s="124"/>
      <c r="X302" s="124"/>
      <c r="Y302" s="124"/>
    </row>
    <row r="303" spans="2:25" x14ac:dyDescent="0.25">
      <c r="B303" s="124"/>
      <c r="C303" s="124"/>
      <c r="D303" s="124"/>
      <c r="E303" s="124"/>
      <c r="F303" s="124"/>
      <c r="G303" s="124"/>
      <c r="H303" s="124"/>
      <c r="I303" s="124"/>
      <c r="J303" s="124"/>
      <c r="K303" s="124"/>
      <c r="L303" s="124"/>
      <c r="M303" s="124"/>
      <c r="N303" s="124"/>
      <c r="O303" s="124"/>
      <c r="P303" s="124"/>
      <c r="Q303" s="124"/>
      <c r="R303" s="124"/>
      <c r="S303" s="124"/>
      <c r="T303" s="124"/>
      <c r="U303" s="124"/>
      <c r="V303" s="124"/>
      <c r="W303" s="124"/>
      <c r="X303" s="124"/>
      <c r="Y303" s="124"/>
    </row>
    <row r="304" spans="2:25" x14ac:dyDescent="0.25">
      <c r="B304" s="124"/>
      <c r="C304" s="124"/>
      <c r="D304" s="124"/>
      <c r="E304" s="124"/>
      <c r="F304" s="124"/>
      <c r="G304" s="124"/>
      <c r="H304" s="124"/>
      <c r="I304" s="124"/>
      <c r="J304" s="124"/>
      <c r="K304" s="124"/>
      <c r="L304" s="124"/>
      <c r="M304" s="124"/>
      <c r="N304" s="124"/>
      <c r="O304" s="124"/>
      <c r="P304" s="124"/>
      <c r="Q304" s="124"/>
      <c r="R304" s="124"/>
      <c r="S304" s="124"/>
      <c r="T304" s="124"/>
      <c r="U304" s="124"/>
      <c r="V304" s="124"/>
      <c r="W304" s="124"/>
      <c r="X304" s="124"/>
      <c r="Y304" s="124"/>
    </row>
    <row r="305" spans="2:25" x14ac:dyDescent="0.25">
      <c r="B305" s="124"/>
      <c r="C305" s="124"/>
      <c r="D305" s="124"/>
      <c r="E305" s="124"/>
      <c r="F305" s="124"/>
      <c r="G305" s="124"/>
      <c r="H305" s="124"/>
      <c r="I305" s="124"/>
      <c r="J305" s="124"/>
      <c r="K305" s="124"/>
      <c r="L305" s="124"/>
      <c r="M305" s="124"/>
      <c r="N305" s="124"/>
      <c r="O305" s="124"/>
      <c r="P305" s="124"/>
      <c r="Q305" s="124"/>
      <c r="R305" s="124"/>
      <c r="S305" s="124"/>
      <c r="T305" s="124"/>
      <c r="U305" s="124"/>
      <c r="V305" s="124"/>
      <c r="W305" s="124"/>
      <c r="X305" s="124"/>
      <c r="Y305" s="124"/>
    </row>
    <row r="306" spans="2:25" x14ac:dyDescent="0.25">
      <c r="B306" s="124"/>
      <c r="C306" s="124"/>
      <c r="D306" s="124"/>
      <c r="E306" s="124"/>
      <c r="F306" s="124"/>
      <c r="G306" s="124"/>
      <c r="H306" s="124"/>
      <c r="I306" s="124"/>
      <c r="J306" s="124"/>
      <c r="K306" s="124"/>
      <c r="L306" s="124"/>
      <c r="M306" s="124"/>
      <c r="N306" s="124"/>
      <c r="O306" s="124"/>
      <c r="P306" s="124"/>
      <c r="Q306" s="124"/>
      <c r="R306" s="124"/>
      <c r="S306" s="124"/>
      <c r="T306" s="124"/>
      <c r="U306" s="124"/>
      <c r="V306" s="124"/>
      <c r="W306" s="124"/>
      <c r="X306" s="124"/>
      <c r="Y306" s="124"/>
    </row>
    <row r="307" spans="2:25" x14ac:dyDescent="0.25">
      <c r="B307" s="124"/>
      <c r="C307" s="124"/>
      <c r="D307" s="124"/>
      <c r="E307" s="124"/>
      <c r="F307" s="124"/>
      <c r="G307" s="124"/>
      <c r="H307" s="124"/>
      <c r="I307" s="124"/>
      <c r="J307" s="124"/>
      <c r="K307" s="124"/>
      <c r="L307" s="124"/>
      <c r="M307" s="124"/>
      <c r="N307" s="124"/>
      <c r="O307" s="124"/>
      <c r="P307" s="124"/>
      <c r="Q307" s="124"/>
      <c r="R307" s="124"/>
      <c r="S307" s="124"/>
      <c r="T307" s="124"/>
      <c r="U307" s="124"/>
      <c r="V307" s="124"/>
      <c r="W307" s="124"/>
      <c r="X307" s="124"/>
      <c r="Y307" s="124"/>
    </row>
    <row r="308" spans="2:25" x14ac:dyDescent="0.25">
      <c r="B308" s="124"/>
      <c r="C308" s="124"/>
      <c r="D308" s="124"/>
      <c r="E308" s="124"/>
      <c r="F308" s="124"/>
      <c r="G308" s="124"/>
      <c r="H308" s="124"/>
      <c r="I308" s="124"/>
      <c r="J308" s="124"/>
      <c r="K308" s="124"/>
      <c r="L308" s="124"/>
      <c r="M308" s="124"/>
      <c r="N308" s="124"/>
      <c r="O308" s="124"/>
      <c r="P308" s="124"/>
      <c r="Q308" s="124"/>
      <c r="R308" s="124"/>
      <c r="S308" s="124"/>
      <c r="T308" s="124"/>
      <c r="U308" s="124"/>
      <c r="V308" s="124"/>
      <c r="W308" s="124"/>
      <c r="X308" s="124"/>
      <c r="Y308" s="124"/>
    </row>
    <row r="309" spans="2:25" x14ac:dyDescent="0.25">
      <c r="B309" s="124"/>
      <c r="C309" s="124"/>
      <c r="D309" s="124"/>
      <c r="E309" s="124"/>
      <c r="F309" s="124"/>
      <c r="G309" s="124"/>
      <c r="H309" s="124"/>
      <c r="I309" s="124"/>
      <c r="J309" s="124"/>
      <c r="K309" s="124"/>
      <c r="L309" s="124"/>
      <c r="M309" s="124"/>
      <c r="N309" s="124"/>
      <c r="O309" s="124"/>
      <c r="P309" s="124"/>
      <c r="Q309" s="124"/>
      <c r="R309" s="124"/>
      <c r="S309" s="124"/>
      <c r="T309" s="124"/>
      <c r="U309" s="124"/>
      <c r="V309" s="124"/>
      <c r="W309" s="124"/>
      <c r="X309" s="124"/>
      <c r="Y309" s="124"/>
    </row>
    <row r="310" spans="2:25" x14ac:dyDescent="0.25">
      <c r="B310" s="124"/>
      <c r="C310" s="124"/>
      <c r="D310" s="124"/>
      <c r="E310" s="124"/>
      <c r="F310" s="124"/>
      <c r="G310" s="124"/>
      <c r="H310" s="124"/>
      <c r="I310" s="124"/>
      <c r="J310" s="124"/>
      <c r="K310" s="124"/>
      <c r="L310" s="124"/>
      <c r="M310" s="124"/>
      <c r="N310" s="124"/>
      <c r="O310" s="124"/>
      <c r="P310" s="124"/>
      <c r="Q310" s="124"/>
      <c r="R310" s="124"/>
      <c r="S310" s="124"/>
      <c r="T310" s="124"/>
      <c r="U310" s="124"/>
      <c r="V310" s="124"/>
      <c r="W310" s="124"/>
      <c r="X310" s="124"/>
      <c r="Y310" s="124"/>
    </row>
    <row r="311" spans="2:25" x14ac:dyDescent="0.25">
      <c r="B311" s="124"/>
      <c r="C311" s="124"/>
      <c r="D311" s="124"/>
      <c r="E311" s="124"/>
      <c r="F311" s="124"/>
      <c r="G311" s="124"/>
      <c r="H311" s="124"/>
      <c r="I311" s="124"/>
      <c r="J311" s="124"/>
      <c r="K311" s="124"/>
      <c r="L311" s="124"/>
      <c r="M311" s="124"/>
      <c r="N311" s="124"/>
      <c r="O311" s="124"/>
      <c r="P311" s="124"/>
      <c r="Q311" s="124"/>
      <c r="R311" s="124"/>
      <c r="S311" s="124"/>
      <c r="T311" s="124"/>
      <c r="U311" s="124"/>
      <c r="V311" s="124"/>
      <c r="W311" s="124"/>
      <c r="X311" s="124"/>
      <c r="Y311" s="124"/>
    </row>
    <row r="312" spans="2:25" x14ac:dyDescent="0.25">
      <c r="B312" s="124"/>
      <c r="C312" s="124"/>
      <c r="D312" s="124"/>
      <c r="E312" s="124"/>
      <c r="F312" s="124"/>
      <c r="G312" s="124"/>
      <c r="H312" s="124"/>
      <c r="I312" s="124"/>
      <c r="J312" s="124"/>
      <c r="K312" s="124"/>
      <c r="L312" s="124"/>
      <c r="M312" s="124"/>
      <c r="N312" s="124"/>
      <c r="O312" s="124"/>
      <c r="P312" s="124"/>
      <c r="Q312" s="124"/>
      <c r="R312" s="124"/>
      <c r="S312" s="124"/>
      <c r="T312" s="124"/>
      <c r="U312" s="124"/>
      <c r="V312" s="124"/>
      <c r="W312" s="124"/>
      <c r="X312" s="124"/>
      <c r="Y312" s="124"/>
    </row>
    <row r="313" spans="2:25" x14ac:dyDescent="0.25">
      <c r="B313" s="124"/>
      <c r="C313" s="124"/>
      <c r="D313" s="124"/>
      <c r="E313" s="124"/>
      <c r="F313" s="124"/>
      <c r="G313" s="124"/>
      <c r="H313" s="124"/>
      <c r="I313" s="124"/>
      <c r="J313" s="124"/>
      <c r="K313" s="124"/>
      <c r="L313" s="124"/>
      <c r="M313" s="124"/>
      <c r="N313" s="124"/>
      <c r="O313" s="124"/>
      <c r="P313" s="124"/>
      <c r="Q313" s="124"/>
      <c r="R313" s="124"/>
      <c r="S313" s="124"/>
      <c r="T313" s="124"/>
      <c r="U313" s="124"/>
      <c r="V313" s="124"/>
      <c r="W313" s="124"/>
      <c r="X313" s="124"/>
      <c r="Y313" s="124"/>
    </row>
    <row r="314" spans="2:25" x14ac:dyDescent="0.25">
      <c r="B314" s="124"/>
      <c r="C314" s="124"/>
      <c r="D314" s="124"/>
      <c r="E314" s="124"/>
      <c r="F314" s="124"/>
      <c r="G314" s="124"/>
      <c r="H314" s="124"/>
      <c r="I314" s="124"/>
      <c r="J314" s="124"/>
      <c r="K314" s="124"/>
      <c r="L314" s="124"/>
      <c r="M314" s="124"/>
      <c r="N314" s="124"/>
      <c r="O314" s="124"/>
      <c r="P314" s="124"/>
      <c r="Q314" s="124"/>
      <c r="R314" s="124"/>
      <c r="S314" s="124"/>
      <c r="T314" s="124"/>
      <c r="U314" s="124"/>
      <c r="V314" s="124"/>
      <c r="W314" s="124"/>
      <c r="X314" s="124"/>
      <c r="Y314" s="124"/>
    </row>
    <row r="315" spans="2:25" x14ac:dyDescent="0.25">
      <c r="B315" s="124"/>
      <c r="C315" s="124"/>
      <c r="D315" s="124"/>
      <c r="E315" s="124"/>
      <c r="F315" s="124"/>
      <c r="G315" s="124"/>
      <c r="H315" s="124"/>
      <c r="I315" s="124"/>
      <c r="J315" s="124"/>
      <c r="K315" s="124"/>
      <c r="L315" s="124"/>
      <c r="M315" s="124"/>
      <c r="N315" s="124"/>
      <c r="O315" s="124"/>
      <c r="P315" s="124"/>
      <c r="Q315" s="124"/>
      <c r="R315" s="124"/>
      <c r="S315" s="124"/>
      <c r="T315" s="124"/>
      <c r="U315" s="124"/>
      <c r="V315" s="124"/>
      <c r="W315" s="124"/>
      <c r="X315" s="124"/>
      <c r="Y315" s="124"/>
    </row>
    <row r="316" spans="2:25" x14ac:dyDescent="0.25">
      <c r="B316" s="124"/>
      <c r="C316" s="124"/>
      <c r="D316" s="124"/>
      <c r="E316" s="124"/>
      <c r="F316" s="124"/>
      <c r="G316" s="124"/>
      <c r="H316" s="124"/>
      <c r="I316" s="124"/>
      <c r="J316" s="124"/>
      <c r="K316" s="124"/>
      <c r="L316" s="124"/>
      <c r="M316" s="124"/>
      <c r="N316" s="124"/>
      <c r="O316" s="124"/>
      <c r="P316" s="124"/>
      <c r="Q316" s="124"/>
      <c r="R316" s="124"/>
      <c r="S316" s="124"/>
      <c r="T316" s="124"/>
      <c r="U316" s="124"/>
      <c r="V316" s="124"/>
      <c r="W316" s="124"/>
      <c r="X316" s="124"/>
      <c r="Y316" s="124"/>
    </row>
    <row r="317" spans="2:25" x14ac:dyDescent="0.25">
      <c r="B317" s="124"/>
      <c r="C317" s="124"/>
      <c r="D317" s="124"/>
      <c r="E317" s="124"/>
      <c r="F317" s="124"/>
      <c r="G317" s="124"/>
      <c r="H317" s="124"/>
      <c r="I317" s="124"/>
      <c r="J317" s="124"/>
      <c r="K317" s="124"/>
      <c r="L317" s="124"/>
      <c r="M317" s="124"/>
      <c r="N317" s="124"/>
      <c r="O317" s="124"/>
      <c r="P317" s="124"/>
      <c r="Q317" s="124"/>
      <c r="R317" s="124"/>
      <c r="S317" s="124"/>
      <c r="T317" s="124"/>
      <c r="U317" s="124"/>
      <c r="V317" s="124"/>
      <c r="W317" s="124"/>
      <c r="X317" s="124"/>
      <c r="Y317" s="124"/>
    </row>
    <row r="318" spans="2:25" x14ac:dyDescent="0.25">
      <c r="B318" s="124"/>
      <c r="C318" s="124"/>
      <c r="D318" s="124"/>
      <c r="E318" s="124"/>
      <c r="F318" s="124"/>
      <c r="G318" s="124"/>
      <c r="H318" s="124"/>
      <c r="I318" s="124"/>
      <c r="J318" s="124"/>
      <c r="K318" s="124"/>
      <c r="L318" s="124"/>
      <c r="M318" s="124"/>
      <c r="N318" s="124"/>
      <c r="O318" s="124"/>
      <c r="P318" s="124"/>
      <c r="Q318" s="124"/>
      <c r="R318" s="124"/>
      <c r="S318" s="124"/>
      <c r="T318" s="124"/>
      <c r="U318" s="124"/>
      <c r="V318" s="124"/>
      <c r="W318" s="124"/>
      <c r="X318" s="124"/>
      <c r="Y318" s="124"/>
    </row>
    <row r="319" spans="2:25" x14ac:dyDescent="0.25">
      <c r="B319" s="124"/>
      <c r="C319" s="124"/>
      <c r="D319" s="124"/>
      <c r="E319" s="124"/>
      <c r="F319" s="124"/>
      <c r="G319" s="124"/>
      <c r="H319" s="124"/>
      <c r="I319" s="124"/>
      <c r="J319" s="124"/>
      <c r="K319" s="124"/>
      <c r="L319" s="124"/>
      <c r="M319" s="124"/>
      <c r="N319" s="124"/>
      <c r="O319" s="124"/>
      <c r="P319" s="124"/>
      <c r="Q319" s="124"/>
      <c r="R319" s="124"/>
      <c r="S319" s="124"/>
      <c r="T319" s="124"/>
      <c r="U319" s="124"/>
      <c r="V319" s="124"/>
      <c r="W319" s="124"/>
      <c r="X319" s="124"/>
      <c r="Y319" s="124"/>
    </row>
    <row r="320" spans="2:25" x14ac:dyDescent="0.25">
      <c r="B320" s="124"/>
      <c r="C320" s="124"/>
      <c r="D320" s="124"/>
      <c r="E320" s="124"/>
      <c r="F320" s="124"/>
      <c r="G320" s="124"/>
      <c r="H320" s="124"/>
      <c r="I320" s="124"/>
      <c r="J320" s="124"/>
      <c r="K320" s="124"/>
      <c r="L320" s="124"/>
      <c r="M320" s="124"/>
      <c r="N320" s="124"/>
      <c r="O320" s="124"/>
      <c r="P320" s="124"/>
      <c r="Q320" s="124"/>
      <c r="R320" s="124"/>
      <c r="S320" s="124"/>
      <c r="T320" s="124"/>
      <c r="U320" s="124"/>
      <c r="V320" s="124"/>
      <c r="W320" s="124"/>
      <c r="X320" s="124"/>
      <c r="Y320" s="124"/>
    </row>
    <row r="321" spans="2:25" x14ac:dyDescent="0.25">
      <c r="B321" s="124"/>
      <c r="C321" s="124"/>
      <c r="D321" s="124"/>
      <c r="E321" s="124"/>
      <c r="F321" s="124"/>
      <c r="G321" s="124"/>
      <c r="H321" s="124"/>
      <c r="I321" s="124"/>
      <c r="J321" s="124"/>
      <c r="K321" s="124"/>
      <c r="L321" s="124"/>
      <c r="M321" s="124"/>
      <c r="N321" s="124"/>
      <c r="O321" s="124"/>
      <c r="P321" s="124"/>
      <c r="Q321" s="124"/>
      <c r="R321" s="124"/>
      <c r="S321" s="124"/>
      <c r="T321" s="124"/>
      <c r="U321" s="124"/>
      <c r="V321" s="124"/>
      <c r="W321" s="124"/>
      <c r="X321" s="124"/>
      <c r="Y321" s="124"/>
    </row>
    <row r="322" spans="2:25" x14ac:dyDescent="0.25">
      <c r="B322" s="124"/>
      <c r="C322" s="124"/>
      <c r="D322" s="124"/>
      <c r="E322" s="124"/>
      <c r="F322" s="124"/>
      <c r="G322" s="124"/>
      <c r="H322" s="124"/>
      <c r="I322" s="124"/>
      <c r="J322" s="124"/>
      <c r="K322" s="124"/>
      <c r="L322" s="124"/>
      <c r="M322" s="124"/>
      <c r="N322" s="124"/>
      <c r="O322" s="124"/>
      <c r="P322" s="124"/>
      <c r="Q322" s="124"/>
      <c r="R322" s="124"/>
      <c r="S322" s="124"/>
      <c r="T322" s="124"/>
      <c r="U322" s="124"/>
      <c r="V322" s="124"/>
      <c r="W322" s="124"/>
      <c r="X322" s="124"/>
      <c r="Y322" s="124"/>
    </row>
    <row r="323" spans="2:25" x14ac:dyDescent="0.25">
      <c r="B323" s="124"/>
      <c r="C323" s="124"/>
      <c r="D323" s="124"/>
      <c r="E323" s="124"/>
      <c r="F323" s="124"/>
      <c r="G323" s="124"/>
      <c r="H323" s="124"/>
      <c r="I323" s="124"/>
      <c r="J323" s="124"/>
      <c r="K323" s="124"/>
      <c r="L323" s="124"/>
      <c r="M323" s="124"/>
      <c r="N323" s="124"/>
      <c r="O323" s="124"/>
      <c r="P323" s="124"/>
      <c r="Q323" s="124"/>
      <c r="R323" s="124"/>
      <c r="S323" s="124"/>
      <c r="T323" s="124"/>
      <c r="U323" s="124"/>
      <c r="V323" s="124"/>
      <c r="W323" s="124"/>
      <c r="X323" s="124"/>
      <c r="Y323" s="124"/>
    </row>
    <row r="324" spans="2:25" x14ac:dyDescent="0.25">
      <c r="B324" s="124"/>
      <c r="C324" s="124"/>
      <c r="D324" s="124"/>
      <c r="E324" s="124"/>
      <c r="F324" s="124"/>
      <c r="G324" s="124"/>
      <c r="H324" s="124"/>
      <c r="I324" s="124"/>
      <c r="J324" s="124"/>
      <c r="K324" s="124"/>
      <c r="L324" s="124"/>
      <c r="M324" s="124"/>
      <c r="N324" s="124"/>
      <c r="O324" s="124"/>
      <c r="P324" s="124"/>
      <c r="Q324" s="124"/>
      <c r="R324" s="124"/>
      <c r="S324" s="124"/>
      <c r="T324" s="124"/>
      <c r="U324" s="124"/>
      <c r="V324" s="124"/>
      <c r="W324" s="124"/>
      <c r="X324" s="124"/>
      <c r="Y324" s="124"/>
    </row>
    <row r="325" spans="2:25" x14ac:dyDescent="0.25">
      <c r="B325" s="124"/>
      <c r="C325" s="124"/>
      <c r="D325" s="124"/>
      <c r="E325" s="124"/>
      <c r="F325" s="124"/>
      <c r="G325" s="124"/>
      <c r="H325" s="124"/>
      <c r="I325" s="124"/>
      <c r="J325" s="124"/>
      <c r="K325" s="124"/>
      <c r="L325" s="124"/>
      <c r="M325" s="124"/>
      <c r="N325" s="124"/>
      <c r="O325" s="124"/>
      <c r="P325" s="124"/>
      <c r="Q325" s="124"/>
      <c r="R325" s="124"/>
      <c r="S325" s="124"/>
      <c r="T325" s="124"/>
      <c r="U325" s="124"/>
      <c r="V325" s="124"/>
      <c r="W325" s="124"/>
      <c r="X325" s="124"/>
      <c r="Y325" s="124"/>
    </row>
    <row r="326" spans="2:25" x14ac:dyDescent="0.25">
      <c r="B326" s="124"/>
      <c r="C326" s="124"/>
      <c r="D326" s="124"/>
      <c r="E326" s="124"/>
      <c r="F326" s="124"/>
      <c r="G326" s="124"/>
      <c r="H326" s="124"/>
      <c r="I326" s="124"/>
      <c r="J326" s="124"/>
      <c r="K326" s="124"/>
      <c r="L326" s="124"/>
      <c r="M326" s="124"/>
      <c r="N326" s="124"/>
      <c r="O326" s="124"/>
      <c r="P326" s="124"/>
      <c r="Q326" s="124"/>
      <c r="R326" s="124"/>
      <c r="S326" s="124"/>
      <c r="T326" s="124"/>
      <c r="U326" s="124"/>
      <c r="V326" s="124"/>
      <c r="W326" s="124"/>
      <c r="X326" s="124"/>
      <c r="Y326" s="124"/>
    </row>
    <row r="327" spans="2:25" x14ac:dyDescent="0.25">
      <c r="B327" s="124"/>
      <c r="C327" s="124"/>
      <c r="D327" s="124"/>
      <c r="E327" s="124"/>
      <c r="F327" s="124"/>
      <c r="G327" s="124"/>
      <c r="H327" s="124"/>
      <c r="I327" s="124"/>
      <c r="J327" s="124"/>
      <c r="K327" s="124"/>
      <c r="L327" s="124"/>
      <c r="M327" s="124"/>
      <c r="N327" s="124"/>
      <c r="O327" s="124"/>
      <c r="P327" s="124"/>
      <c r="Q327" s="124"/>
      <c r="R327" s="124"/>
      <c r="S327" s="124"/>
      <c r="T327" s="124"/>
      <c r="U327" s="124"/>
      <c r="V327" s="124"/>
      <c r="W327" s="124"/>
      <c r="X327" s="124"/>
      <c r="Y327" s="124"/>
    </row>
    <row r="328" spans="2:25" x14ac:dyDescent="0.25">
      <c r="B328" s="124"/>
      <c r="C328" s="124"/>
      <c r="D328" s="124"/>
      <c r="E328" s="124"/>
      <c r="F328" s="124"/>
      <c r="G328" s="124"/>
      <c r="H328" s="124"/>
      <c r="I328" s="124"/>
      <c r="J328" s="124"/>
      <c r="K328" s="124"/>
      <c r="L328" s="124"/>
      <c r="M328" s="124"/>
      <c r="N328" s="124"/>
      <c r="O328" s="124"/>
      <c r="P328" s="124"/>
      <c r="Q328" s="124"/>
      <c r="R328" s="124"/>
      <c r="S328" s="124"/>
      <c r="T328" s="124"/>
      <c r="U328" s="124"/>
      <c r="V328" s="124"/>
      <c r="W328" s="124"/>
      <c r="X328" s="124"/>
      <c r="Y328" s="124"/>
    </row>
    <row r="329" spans="2:25" x14ac:dyDescent="0.25">
      <c r="B329" s="124"/>
      <c r="C329" s="124"/>
      <c r="D329" s="124"/>
      <c r="E329" s="124"/>
      <c r="F329" s="124"/>
      <c r="G329" s="124"/>
      <c r="H329" s="124"/>
      <c r="I329" s="124"/>
      <c r="J329" s="124"/>
      <c r="K329" s="124"/>
      <c r="L329" s="124"/>
      <c r="M329" s="124"/>
      <c r="N329" s="124"/>
      <c r="O329" s="124"/>
      <c r="P329" s="124"/>
      <c r="Q329" s="124"/>
      <c r="R329" s="124"/>
      <c r="S329" s="124"/>
      <c r="T329" s="124"/>
      <c r="U329" s="124"/>
      <c r="V329" s="124"/>
      <c r="W329" s="124"/>
      <c r="X329" s="124"/>
      <c r="Y329" s="124"/>
    </row>
    <row r="330" spans="2:25" x14ac:dyDescent="0.25">
      <c r="B330" s="124"/>
      <c r="C330" s="124"/>
      <c r="D330" s="124"/>
      <c r="E330" s="124"/>
      <c r="F330" s="124"/>
      <c r="G330" s="124"/>
      <c r="H330" s="124"/>
      <c r="I330" s="124"/>
      <c r="J330" s="124"/>
      <c r="K330" s="124"/>
      <c r="L330" s="124"/>
      <c r="M330" s="124"/>
      <c r="N330" s="124"/>
      <c r="O330" s="124"/>
      <c r="P330" s="124"/>
      <c r="Q330" s="124"/>
      <c r="R330" s="124"/>
      <c r="S330" s="124"/>
      <c r="T330" s="124"/>
      <c r="U330" s="124"/>
      <c r="V330" s="124"/>
      <c r="W330" s="124"/>
      <c r="X330" s="124"/>
      <c r="Y330" s="124"/>
    </row>
    <row r="331" spans="2:25" x14ac:dyDescent="0.25">
      <c r="B331" s="124"/>
      <c r="C331" s="124"/>
      <c r="D331" s="124"/>
      <c r="E331" s="124"/>
      <c r="F331" s="124"/>
      <c r="G331" s="124"/>
      <c r="H331" s="124"/>
      <c r="I331" s="124"/>
      <c r="J331" s="124"/>
      <c r="K331" s="124"/>
      <c r="L331" s="124"/>
      <c r="M331" s="124"/>
      <c r="N331" s="124"/>
      <c r="O331" s="124"/>
      <c r="P331" s="124"/>
      <c r="Q331" s="124"/>
      <c r="R331" s="124"/>
      <c r="S331" s="124"/>
      <c r="T331" s="124"/>
      <c r="U331" s="124"/>
      <c r="V331" s="124"/>
      <c r="W331" s="124"/>
      <c r="X331" s="124"/>
      <c r="Y331" s="124"/>
    </row>
    <row r="332" spans="2:25" x14ac:dyDescent="0.25">
      <c r="B332" s="124"/>
      <c r="C332" s="124"/>
      <c r="D332" s="124"/>
      <c r="E332" s="124"/>
      <c r="F332" s="124"/>
      <c r="G332" s="124"/>
      <c r="H332" s="124"/>
      <c r="I332" s="124"/>
      <c r="J332" s="124"/>
      <c r="K332" s="124"/>
      <c r="L332" s="124"/>
      <c r="M332" s="124"/>
      <c r="N332" s="124"/>
      <c r="O332" s="124"/>
      <c r="P332" s="124"/>
      <c r="Q332" s="124"/>
      <c r="R332" s="124"/>
      <c r="S332" s="124"/>
      <c r="T332" s="124"/>
      <c r="U332" s="124"/>
      <c r="V332" s="124"/>
      <c r="W332" s="124"/>
      <c r="X332" s="124"/>
      <c r="Y332" s="124"/>
    </row>
    <row r="333" spans="2:25" x14ac:dyDescent="0.25">
      <c r="B333" s="124"/>
      <c r="C333" s="124"/>
      <c r="D333" s="124"/>
      <c r="E333" s="124"/>
      <c r="F333" s="124"/>
      <c r="G333" s="124"/>
      <c r="H333" s="124"/>
      <c r="I333" s="124"/>
      <c r="J333" s="124"/>
      <c r="K333" s="124"/>
      <c r="L333" s="124"/>
      <c r="M333" s="124"/>
      <c r="N333" s="124"/>
      <c r="O333" s="124"/>
      <c r="P333" s="124"/>
      <c r="Q333" s="124"/>
      <c r="R333" s="124"/>
      <c r="S333" s="124"/>
      <c r="T333" s="124"/>
      <c r="U333" s="124"/>
      <c r="V333" s="124"/>
      <c r="W333" s="124"/>
      <c r="X333" s="124"/>
      <c r="Y333" s="124"/>
    </row>
    <row r="334" spans="2:25" x14ac:dyDescent="0.25">
      <c r="B334" s="124"/>
      <c r="C334" s="124"/>
      <c r="D334" s="124"/>
      <c r="E334" s="124"/>
      <c r="F334" s="124"/>
      <c r="G334" s="124"/>
      <c r="H334" s="124"/>
      <c r="I334" s="124"/>
      <c r="J334" s="124"/>
      <c r="K334" s="124"/>
      <c r="L334" s="124"/>
      <c r="M334" s="124"/>
      <c r="N334" s="124"/>
      <c r="O334" s="124"/>
      <c r="P334" s="124"/>
      <c r="Q334" s="124"/>
      <c r="R334" s="124"/>
      <c r="S334" s="124"/>
      <c r="T334" s="124"/>
      <c r="U334" s="124"/>
      <c r="V334" s="124"/>
      <c r="W334" s="124"/>
      <c r="X334" s="124"/>
      <c r="Y334" s="124"/>
    </row>
    <row r="335" spans="2:25" x14ac:dyDescent="0.25">
      <c r="B335" s="124"/>
      <c r="C335" s="124"/>
      <c r="D335" s="124"/>
      <c r="E335" s="124"/>
      <c r="F335" s="124"/>
      <c r="G335" s="124"/>
      <c r="H335" s="124"/>
      <c r="I335" s="124"/>
      <c r="J335" s="124"/>
      <c r="K335" s="124"/>
      <c r="L335" s="124"/>
      <c r="M335" s="124"/>
      <c r="N335" s="124"/>
      <c r="O335" s="124"/>
      <c r="P335" s="124"/>
      <c r="Q335" s="124"/>
      <c r="R335" s="124"/>
      <c r="S335" s="124"/>
      <c r="T335" s="124"/>
      <c r="U335" s="124"/>
      <c r="V335" s="124"/>
      <c r="W335" s="124"/>
      <c r="X335" s="124"/>
      <c r="Y335" s="124"/>
    </row>
    <row r="336" spans="2:25" x14ac:dyDescent="0.25">
      <c r="B336" s="124"/>
      <c r="C336" s="124"/>
      <c r="D336" s="124"/>
      <c r="E336" s="124"/>
      <c r="F336" s="124"/>
      <c r="G336" s="124"/>
      <c r="H336" s="124"/>
      <c r="I336" s="124"/>
      <c r="J336" s="124"/>
      <c r="K336" s="124"/>
      <c r="L336" s="124"/>
      <c r="M336" s="124"/>
      <c r="N336" s="124"/>
      <c r="O336" s="124"/>
      <c r="P336" s="124"/>
      <c r="Q336" s="124"/>
      <c r="R336" s="124"/>
      <c r="S336" s="124"/>
      <c r="T336" s="124"/>
      <c r="U336" s="124"/>
      <c r="V336" s="124"/>
      <c r="W336" s="124"/>
      <c r="X336" s="124"/>
      <c r="Y336" s="124"/>
    </row>
    <row r="337" spans="2:25" x14ac:dyDescent="0.25">
      <c r="B337" s="124"/>
      <c r="C337" s="124"/>
      <c r="D337" s="124"/>
      <c r="E337" s="124"/>
      <c r="F337" s="124"/>
      <c r="G337" s="124"/>
      <c r="H337" s="124"/>
      <c r="I337" s="124"/>
      <c r="J337" s="124"/>
      <c r="K337" s="124"/>
      <c r="L337" s="124"/>
      <c r="M337" s="124"/>
      <c r="N337" s="124"/>
      <c r="O337" s="124"/>
      <c r="P337" s="124"/>
      <c r="Q337" s="124"/>
      <c r="R337" s="124"/>
      <c r="S337" s="124"/>
      <c r="T337" s="124"/>
      <c r="U337" s="124"/>
      <c r="V337" s="124"/>
      <c r="W337" s="124"/>
      <c r="X337" s="124"/>
      <c r="Y337" s="124"/>
    </row>
    <row r="338" spans="2:25" x14ac:dyDescent="0.25">
      <c r="B338" s="124"/>
      <c r="C338" s="124"/>
      <c r="D338" s="124"/>
      <c r="E338" s="124"/>
      <c r="F338" s="124"/>
      <c r="G338" s="124"/>
      <c r="H338" s="124"/>
      <c r="I338" s="124"/>
      <c r="J338" s="124"/>
      <c r="K338" s="124"/>
      <c r="L338" s="124"/>
      <c r="M338" s="124"/>
      <c r="N338" s="124"/>
      <c r="O338" s="124"/>
      <c r="P338" s="124"/>
      <c r="Q338" s="124"/>
      <c r="R338" s="124"/>
      <c r="S338" s="124"/>
      <c r="T338" s="124"/>
      <c r="U338" s="124"/>
      <c r="V338" s="124"/>
      <c r="W338" s="124"/>
      <c r="X338" s="124"/>
      <c r="Y338" s="124"/>
    </row>
    <row r="339" spans="2:25" x14ac:dyDescent="0.25">
      <c r="B339" s="124"/>
      <c r="C339" s="124"/>
      <c r="D339" s="124"/>
      <c r="E339" s="124"/>
      <c r="F339" s="124"/>
      <c r="G339" s="124"/>
      <c r="H339" s="124"/>
      <c r="I339" s="124"/>
      <c r="J339" s="124"/>
      <c r="K339" s="124"/>
      <c r="L339" s="124"/>
      <c r="M339" s="124"/>
      <c r="N339" s="124"/>
      <c r="O339" s="124"/>
      <c r="P339" s="124"/>
      <c r="Q339" s="124"/>
      <c r="R339" s="124"/>
      <c r="S339" s="124"/>
      <c r="T339" s="124"/>
      <c r="U339" s="124"/>
      <c r="V339" s="124"/>
      <c r="W339" s="124"/>
      <c r="X339" s="124"/>
      <c r="Y339" s="124"/>
    </row>
    <row r="340" spans="2:25" x14ac:dyDescent="0.25">
      <c r="B340" s="124"/>
      <c r="C340" s="124"/>
      <c r="D340" s="124"/>
      <c r="E340" s="124"/>
      <c r="F340" s="124"/>
      <c r="G340" s="124"/>
      <c r="H340" s="124"/>
      <c r="I340" s="124"/>
      <c r="J340" s="124"/>
      <c r="K340" s="124"/>
      <c r="L340" s="124"/>
      <c r="M340" s="124"/>
      <c r="N340" s="124"/>
      <c r="O340" s="124"/>
      <c r="P340" s="124"/>
      <c r="Q340" s="124"/>
      <c r="R340" s="124"/>
      <c r="S340" s="124"/>
      <c r="T340" s="124"/>
      <c r="U340" s="124"/>
      <c r="V340" s="124"/>
      <c r="W340" s="124"/>
      <c r="X340" s="124"/>
      <c r="Y340" s="124"/>
    </row>
    <row r="341" spans="2:25" x14ac:dyDescent="0.25">
      <c r="B341" s="124"/>
      <c r="C341" s="124"/>
      <c r="D341" s="124"/>
      <c r="E341" s="124"/>
      <c r="F341" s="124"/>
      <c r="G341" s="124"/>
      <c r="H341" s="124"/>
      <c r="I341" s="124"/>
      <c r="J341" s="124"/>
      <c r="K341" s="124"/>
      <c r="L341" s="124"/>
      <c r="M341" s="124"/>
      <c r="N341" s="124"/>
      <c r="O341" s="124"/>
      <c r="P341" s="124"/>
      <c r="Q341" s="124"/>
      <c r="R341" s="124"/>
      <c r="S341" s="124"/>
      <c r="T341" s="124"/>
      <c r="U341" s="124"/>
      <c r="V341" s="124"/>
      <c r="W341" s="124"/>
      <c r="X341" s="124"/>
      <c r="Y341" s="124"/>
    </row>
    <row r="342" spans="2:25" x14ac:dyDescent="0.25">
      <c r="B342" s="124"/>
      <c r="C342" s="124"/>
      <c r="D342" s="124"/>
      <c r="E342" s="124"/>
      <c r="F342" s="124"/>
      <c r="G342" s="124"/>
      <c r="H342" s="124"/>
      <c r="I342" s="124"/>
      <c r="J342" s="124"/>
      <c r="K342" s="124"/>
      <c r="L342" s="124"/>
      <c r="M342" s="124"/>
      <c r="N342" s="124"/>
      <c r="O342" s="124"/>
      <c r="P342" s="124"/>
      <c r="Q342" s="124"/>
      <c r="R342" s="124"/>
      <c r="S342" s="124"/>
      <c r="T342" s="124"/>
      <c r="U342" s="124"/>
      <c r="V342" s="124"/>
      <c r="W342" s="124"/>
      <c r="X342" s="124"/>
      <c r="Y342" s="124"/>
    </row>
    <row r="343" spans="2:25" x14ac:dyDescent="0.25">
      <c r="B343" s="124"/>
      <c r="C343" s="124"/>
      <c r="D343" s="124"/>
      <c r="E343" s="124"/>
      <c r="F343" s="124"/>
      <c r="G343" s="124"/>
      <c r="H343" s="124"/>
      <c r="I343" s="124"/>
      <c r="J343" s="124"/>
      <c r="K343" s="124"/>
      <c r="L343" s="124"/>
      <c r="M343" s="124"/>
      <c r="N343" s="124"/>
      <c r="O343" s="124"/>
      <c r="P343" s="124"/>
      <c r="Q343" s="124"/>
      <c r="R343" s="124"/>
      <c r="S343" s="124"/>
      <c r="T343" s="124"/>
      <c r="U343" s="124"/>
      <c r="V343" s="124"/>
      <c r="W343" s="124"/>
      <c r="X343" s="124"/>
      <c r="Y343" s="124"/>
    </row>
    <row r="344" spans="2:25" x14ac:dyDescent="0.25">
      <c r="B344" s="124"/>
      <c r="C344" s="124"/>
      <c r="D344" s="124"/>
      <c r="E344" s="124"/>
      <c r="F344" s="124"/>
      <c r="G344" s="124"/>
      <c r="H344" s="124"/>
      <c r="I344" s="124"/>
      <c r="J344" s="124"/>
      <c r="K344" s="124"/>
      <c r="L344" s="124"/>
      <c r="M344" s="124"/>
      <c r="N344" s="124"/>
      <c r="O344" s="124"/>
      <c r="P344" s="124"/>
      <c r="Q344" s="124"/>
      <c r="R344" s="124"/>
      <c r="S344" s="124"/>
      <c r="T344" s="124"/>
      <c r="U344" s="124"/>
      <c r="V344" s="124"/>
      <c r="W344" s="124"/>
      <c r="X344" s="124"/>
      <c r="Y344" s="124"/>
    </row>
    <row r="345" spans="2:25" x14ac:dyDescent="0.25">
      <c r="B345" s="124"/>
      <c r="C345" s="124"/>
      <c r="D345" s="124"/>
      <c r="E345" s="124"/>
      <c r="F345" s="124"/>
      <c r="G345" s="124"/>
      <c r="H345" s="124"/>
      <c r="I345" s="124"/>
      <c r="J345" s="124"/>
      <c r="K345" s="124"/>
      <c r="L345" s="124"/>
      <c r="M345" s="124"/>
      <c r="N345" s="124"/>
      <c r="O345" s="124"/>
      <c r="P345" s="124"/>
      <c r="Q345" s="124"/>
      <c r="R345" s="124"/>
      <c r="S345" s="124"/>
      <c r="T345" s="124"/>
      <c r="U345" s="124"/>
      <c r="V345" s="124"/>
      <c r="W345" s="124"/>
      <c r="X345" s="124"/>
      <c r="Y345" s="124"/>
    </row>
    <row r="346" spans="2:25" x14ac:dyDescent="0.25">
      <c r="B346" s="124"/>
      <c r="C346" s="124"/>
      <c r="D346" s="124"/>
      <c r="E346" s="124"/>
      <c r="F346" s="124"/>
      <c r="G346" s="124"/>
      <c r="H346" s="124"/>
      <c r="I346" s="124"/>
      <c r="J346" s="124"/>
      <c r="K346" s="124"/>
      <c r="L346" s="124"/>
      <c r="M346" s="124"/>
      <c r="N346" s="124"/>
      <c r="O346" s="124"/>
      <c r="P346" s="124"/>
      <c r="Q346" s="124"/>
      <c r="R346" s="124"/>
      <c r="S346" s="124"/>
      <c r="T346" s="124"/>
      <c r="U346" s="124"/>
      <c r="V346" s="124"/>
      <c r="W346" s="124"/>
      <c r="X346" s="124"/>
      <c r="Y346" s="124"/>
    </row>
    <row r="347" spans="2:25" x14ac:dyDescent="0.25">
      <c r="B347" s="124"/>
      <c r="C347" s="124"/>
      <c r="D347" s="124"/>
      <c r="E347" s="124"/>
      <c r="F347" s="124"/>
      <c r="G347" s="124"/>
      <c r="H347" s="124"/>
      <c r="I347" s="124"/>
      <c r="J347" s="124"/>
      <c r="K347" s="124"/>
      <c r="L347" s="124"/>
      <c r="M347" s="124"/>
      <c r="N347" s="124"/>
      <c r="O347" s="124"/>
      <c r="P347" s="124"/>
      <c r="Q347" s="124"/>
      <c r="R347" s="124"/>
      <c r="S347" s="124"/>
      <c r="T347" s="124"/>
      <c r="U347" s="124"/>
      <c r="V347" s="124"/>
      <c r="W347" s="124"/>
      <c r="X347" s="124"/>
      <c r="Y347" s="124"/>
    </row>
    <row r="348" spans="2:25" x14ac:dyDescent="0.25">
      <c r="B348" s="124"/>
      <c r="C348" s="124"/>
      <c r="D348" s="124"/>
      <c r="E348" s="124"/>
      <c r="F348" s="124"/>
      <c r="G348" s="124"/>
      <c r="H348" s="124"/>
      <c r="I348" s="124"/>
      <c r="J348" s="124"/>
      <c r="K348" s="124"/>
      <c r="L348" s="124"/>
      <c r="M348" s="124"/>
      <c r="N348" s="124"/>
      <c r="O348" s="124"/>
      <c r="P348" s="124"/>
      <c r="Q348" s="124"/>
      <c r="R348" s="124"/>
      <c r="S348" s="124"/>
      <c r="T348" s="124"/>
      <c r="U348" s="124"/>
      <c r="V348" s="124"/>
      <c r="W348" s="124"/>
      <c r="X348" s="124"/>
      <c r="Y348" s="124"/>
    </row>
    <row r="349" spans="2:25" x14ac:dyDescent="0.25">
      <c r="B349" s="124"/>
      <c r="C349" s="124"/>
      <c r="D349" s="124"/>
      <c r="E349" s="124"/>
      <c r="F349" s="124"/>
      <c r="G349" s="124"/>
      <c r="H349" s="124"/>
      <c r="I349" s="124"/>
      <c r="J349" s="124"/>
      <c r="K349" s="124"/>
      <c r="L349" s="124"/>
      <c r="M349" s="124"/>
      <c r="N349" s="124"/>
      <c r="O349" s="124"/>
      <c r="P349" s="124"/>
      <c r="Q349" s="124"/>
      <c r="R349" s="124"/>
      <c r="S349" s="124"/>
      <c r="T349" s="124"/>
      <c r="U349" s="124"/>
      <c r="V349" s="124"/>
      <c r="W349" s="124"/>
      <c r="X349" s="124"/>
      <c r="Y349" s="124"/>
    </row>
    <row r="350" spans="2:25" x14ac:dyDescent="0.25">
      <c r="B350" s="124"/>
      <c r="C350" s="124"/>
      <c r="D350" s="124"/>
      <c r="E350" s="124"/>
      <c r="F350" s="124"/>
      <c r="G350" s="124"/>
      <c r="H350" s="124"/>
      <c r="I350" s="124"/>
      <c r="J350" s="124"/>
      <c r="K350" s="124"/>
      <c r="L350" s="124"/>
      <c r="M350" s="124"/>
      <c r="N350" s="124"/>
      <c r="O350" s="124"/>
      <c r="P350" s="124"/>
      <c r="Q350" s="124"/>
      <c r="R350" s="124"/>
      <c r="S350" s="124"/>
      <c r="T350" s="124"/>
      <c r="U350" s="124"/>
      <c r="V350" s="124"/>
      <c r="W350" s="124"/>
      <c r="X350" s="124"/>
      <c r="Y350" s="124"/>
    </row>
    <row r="351" spans="2:25" x14ac:dyDescent="0.25">
      <c r="B351" s="124"/>
      <c r="C351" s="124"/>
      <c r="D351" s="124"/>
      <c r="E351" s="124"/>
      <c r="F351" s="124"/>
      <c r="G351" s="124"/>
      <c r="H351" s="124"/>
      <c r="I351" s="124"/>
      <c r="J351" s="124"/>
      <c r="K351" s="124"/>
      <c r="L351" s="124"/>
      <c r="M351" s="124"/>
      <c r="N351" s="124"/>
      <c r="O351" s="124"/>
      <c r="P351" s="124"/>
      <c r="Q351" s="124"/>
      <c r="R351" s="124"/>
      <c r="S351" s="124"/>
      <c r="T351" s="124"/>
      <c r="U351" s="124"/>
      <c r="V351" s="124"/>
      <c r="W351" s="124"/>
      <c r="X351" s="124"/>
      <c r="Y351" s="124"/>
    </row>
    <row r="352" spans="2:25" x14ac:dyDescent="0.25">
      <c r="B352" s="124"/>
      <c r="C352" s="124"/>
      <c r="D352" s="124"/>
      <c r="E352" s="124"/>
      <c r="F352" s="124"/>
      <c r="G352" s="124"/>
      <c r="H352" s="124"/>
      <c r="I352" s="124"/>
      <c r="J352" s="124"/>
      <c r="K352" s="124"/>
      <c r="L352" s="124"/>
      <c r="M352" s="124"/>
      <c r="N352" s="124"/>
      <c r="O352" s="124"/>
      <c r="P352" s="124"/>
      <c r="Q352" s="124"/>
      <c r="R352" s="124"/>
      <c r="S352" s="124"/>
      <c r="T352" s="124"/>
      <c r="U352" s="124"/>
      <c r="V352" s="124"/>
      <c r="W352" s="124"/>
      <c r="X352" s="124"/>
      <c r="Y352" s="124"/>
    </row>
    <row r="353" spans="2:25" x14ac:dyDescent="0.25">
      <c r="B353" s="124"/>
      <c r="C353" s="124"/>
      <c r="D353" s="124"/>
      <c r="E353" s="124"/>
      <c r="F353" s="124"/>
      <c r="G353" s="124"/>
      <c r="H353" s="124"/>
      <c r="I353" s="124"/>
      <c r="J353" s="124"/>
      <c r="K353" s="124"/>
      <c r="L353" s="124"/>
      <c r="M353" s="124"/>
      <c r="N353" s="124"/>
      <c r="O353" s="124"/>
      <c r="P353" s="124"/>
      <c r="Q353" s="124"/>
      <c r="R353" s="124"/>
      <c r="S353" s="124"/>
      <c r="T353" s="124"/>
      <c r="U353" s="124"/>
      <c r="V353" s="124"/>
      <c r="W353" s="124"/>
      <c r="X353" s="124"/>
      <c r="Y353" s="124"/>
    </row>
    <row r="354" spans="2:25" x14ac:dyDescent="0.25">
      <c r="B354" s="124"/>
      <c r="C354" s="124"/>
      <c r="D354" s="124"/>
      <c r="E354" s="124"/>
      <c r="F354" s="124"/>
      <c r="G354" s="124"/>
      <c r="H354" s="124"/>
      <c r="I354" s="124"/>
      <c r="J354" s="124"/>
      <c r="K354" s="124"/>
      <c r="L354" s="124"/>
      <c r="M354" s="124"/>
      <c r="N354" s="124"/>
      <c r="O354" s="124"/>
      <c r="P354" s="124"/>
      <c r="Q354" s="124"/>
      <c r="R354" s="124"/>
      <c r="S354" s="124"/>
      <c r="T354" s="124"/>
      <c r="U354" s="124"/>
      <c r="V354" s="124"/>
      <c r="W354" s="124"/>
      <c r="X354" s="124"/>
      <c r="Y354" s="124"/>
    </row>
    <row r="355" spans="2:25" x14ac:dyDescent="0.25">
      <c r="B355" s="124"/>
      <c r="C355" s="124"/>
      <c r="D355" s="124"/>
      <c r="E355" s="124"/>
      <c r="F355" s="124"/>
      <c r="G355" s="124"/>
      <c r="H355" s="124"/>
      <c r="I355" s="124"/>
      <c r="J355" s="124"/>
      <c r="K355" s="124"/>
      <c r="L355" s="124"/>
      <c r="M355" s="124"/>
      <c r="N355" s="124"/>
      <c r="O355" s="124"/>
      <c r="P355" s="124"/>
      <c r="Q355" s="124"/>
      <c r="R355" s="124"/>
      <c r="S355" s="124"/>
      <c r="T355" s="124"/>
      <c r="U355" s="124"/>
      <c r="V355" s="124"/>
      <c r="W355" s="124"/>
      <c r="X355" s="124"/>
      <c r="Y355" s="124"/>
    </row>
    <row r="356" spans="2:25" x14ac:dyDescent="0.25">
      <c r="B356" s="124"/>
      <c r="C356" s="124"/>
      <c r="D356" s="124"/>
      <c r="E356" s="124"/>
      <c r="F356" s="124"/>
      <c r="G356" s="124"/>
      <c r="H356" s="124"/>
      <c r="I356" s="124"/>
      <c r="J356" s="124"/>
      <c r="K356" s="124"/>
      <c r="L356" s="124"/>
      <c r="M356" s="124"/>
      <c r="N356" s="124"/>
      <c r="O356" s="124"/>
      <c r="P356" s="124"/>
      <c r="Q356" s="124"/>
      <c r="R356" s="124"/>
      <c r="S356" s="124"/>
      <c r="T356" s="124"/>
      <c r="U356" s="124"/>
      <c r="V356" s="124"/>
      <c r="W356" s="124"/>
      <c r="X356" s="124"/>
      <c r="Y356" s="124"/>
    </row>
    <row r="357" spans="2:25" x14ac:dyDescent="0.25">
      <c r="B357" s="124"/>
      <c r="C357" s="124"/>
      <c r="D357" s="124"/>
      <c r="E357" s="124"/>
      <c r="F357" s="124"/>
      <c r="G357" s="124"/>
      <c r="H357" s="124"/>
      <c r="I357" s="124"/>
      <c r="J357" s="124"/>
      <c r="K357" s="124"/>
      <c r="L357" s="124"/>
      <c r="M357" s="124"/>
      <c r="N357" s="124"/>
      <c r="O357" s="124"/>
      <c r="P357" s="124"/>
      <c r="Q357" s="124"/>
      <c r="R357" s="124"/>
      <c r="S357" s="124"/>
      <c r="T357" s="124"/>
      <c r="U357" s="124"/>
      <c r="V357" s="124"/>
      <c r="W357" s="124"/>
      <c r="X357" s="124"/>
      <c r="Y357" s="124"/>
    </row>
    <row r="358" spans="2:25" x14ac:dyDescent="0.25">
      <c r="B358" s="124"/>
      <c r="C358" s="124"/>
      <c r="D358" s="124"/>
      <c r="E358" s="124"/>
      <c r="F358" s="124"/>
      <c r="G358" s="124"/>
      <c r="H358" s="124"/>
      <c r="I358" s="124"/>
      <c r="J358" s="124"/>
      <c r="K358" s="124"/>
      <c r="L358" s="124"/>
      <c r="M358" s="124"/>
      <c r="N358" s="124"/>
      <c r="O358" s="124"/>
      <c r="P358" s="124"/>
      <c r="Q358" s="124"/>
      <c r="R358" s="124"/>
      <c r="S358" s="124"/>
      <c r="T358" s="124"/>
      <c r="U358" s="124"/>
      <c r="V358" s="124"/>
      <c r="W358" s="124"/>
      <c r="X358" s="124"/>
      <c r="Y358" s="124"/>
    </row>
    <row r="359" spans="2:25" x14ac:dyDescent="0.25">
      <c r="B359" s="124"/>
      <c r="C359" s="124"/>
      <c r="D359" s="124"/>
      <c r="E359" s="124"/>
      <c r="F359" s="124"/>
      <c r="G359" s="124"/>
      <c r="H359" s="124"/>
      <c r="I359" s="124"/>
      <c r="J359" s="124"/>
      <c r="K359" s="124"/>
      <c r="L359" s="124"/>
      <c r="M359" s="124"/>
      <c r="N359" s="124"/>
      <c r="O359" s="124"/>
      <c r="P359" s="124"/>
      <c r="Q359" s="124"/>
      <c r="R359" s="124"/>
      <c r="S359" s="124"/>
      <c r="T359" s="124"/>
      <c r="U359" s="124"/>
      <c r="V359" s="124"/>
      <c r="W359" s="124"/>
      <c r="X359" s="124"/>
      <c r="Y359" s="124"/>
    </row>
    <row r="360" spans="2:25" x14ac:dyDescent="0.25">
      <c r="B360" s="124"/>
      <c r="C360" s="124"/>
      <c r="D360" s="124"/>
      <c r="E360" s="124"/>
      <c r="F360" s="124"/>
      <c r="G360" s="124"/>
      <c r="H360" s="124"/>
      <c r="I360" s="124"/>
      <c r="J360" s="124"/>
      <c r="K360" s="124"/>
      <c r="L360" s="124"/>
      <c r="M360" s="124"/>
      <c r="N360" s="124"/>
      <c r="O360" s="124"/>
      <c r="P360" s="124"/>
      <c r="Q360" s="124"/>
      <c r="R360" s="124"/>
      <c r="S360" s="124"/>
      <c r="T360" s="124"/>
      <c r="U360" s="124"/>
      <c r="V360" s="124"/>
      <c r="W360" s="124"/>
      <c r="X360" s="124"/>
      <c r="Y360" s="124"/>
    </row>
    <row r="361" spans="2:25" x14ac:dyDescent="0.25">
      <c r="B361" s="124"/>
      <c r="C361" s="124"/>
      <c r="D361" s="124"/>
      <c r="E361" s="124"/>
      <c r="F361" s="124"/>
      <c r="G361" s="124"/>
      <c r="H361" s="124"/>
      <c r="I361" s="124"/>
      <c r="J361" s="124"/>
      <c r="K361" s="124"/>
      <c r="L361" s="124"/>
      <c r="M361" s="124"/>
      <c r="N361" s="124"/>
      <c r="O361" s="124"/>
      <c r="P361" s="124"/>
      <c r="Q361" s="124"/>
      <c r="R361" s="124"/>
      <c r="S361" s="124"/>
      <c r="T361" s="124"/>
      <c r="U361" s="124"/>
      <c r="V361" s="124"/>
      <c r="W361" s="124"/>
      <c r="X361" s="124"/>
      <c r="Y361" s="124"/>
    </row>
    <row r="362" spans="2:25" x14ac:dyDescent="0.25">
      <c r="B362" s="124"/>
      <c r="C362" s="124"/>
      <c r="D362" s="124"/>
      <c r="E362" s="124"/>
      <c r="F362" s="124"/>
      <c r="G362" s="124"/>
      <c r="H362" s="124"/>
      <c r="I362" s="124"/>
      <c r="J362" s="124"/>
      <c r="K362" s="124"/>
      <c r="L362" s="124"/>
      <c r="M362" s="124"/>
      <c r="N362" s="124"/>
      <c r="O362" s="124"/>
      <c r="P362" s="124"/>
      <c r="Q362" s="124"/>
      <c r="R362" s="124"/>
      <c r="S362" s="124"/>
      <c r="T362" s="124"/>
      <c r="U362" s="124"/>
      <c r="V362" s="124"/>
      <c r="W362" s="124"/>
      <c r="X362" s="124"/>
      <c r="Y362" s="124"/>
    </row>
    <row r="363" spans="2:25" x14ac:dyDescent="0.25">
      <c r="B363" s="124"/>
      <c r="C363" s="124"/>
      <c r="D363" s="124"/>
      <c r="E363" s="124"/>
      <c r="F363" s="124"/>
      <c r="G363" s="124"/>
      <c r="H363" s="124"/>
      <c r="I363" s="124"/>
      <c r="J363" s="124"/>
      <c r="K363" s="124"/>
      <c r="L363" s="124"/>
      <c r="M363" s="124"/>
      <c r="N363" s="124"/>
      <c r="O363" s="124"/>
      <c r="P363" s="124"/>
      <c r="Q363" s="124"/>
      <c r="R363" s="124"/>
      <c r="S363" s="124"/>
      <c r="T363" s="124"/>
      <c r="U363" s="124"/>
      <c r="V363" s="124"/>
      <c r="W363" s="124"/>
      <c r="X363" s="124"/>
      <c r="Y363" s="124"/>
    </row>
    <row r="364" spans="2:25" x14ac:dyDescent="0.25">
      <c r="B364" s="124"/>
      <c r="C364" s="124"/>
      <c r="D364" s="124"/>
      <c r="E364" s="124"/>
      <c r="F364" s="124"/>
      <c r="G364" s="124"/>
      <c r="H364" s="124"/>
      <c r="I364" s="124"/>
      <c r="J364" s="124"/>
      <c r="K364" s="124"/>
      <c r="L364" s="124"/>
      <c r="M364" s="124"/>
      <c r="N364" s="124"/>
      <c r="O364" s="124"/>
      <c r="P364" s="124"/>
      <c r="Q364" s="124"/>
      <c r="R364" s="124"/>
      <c r="S364" s="124"/>
      <c r="T364" s="124"/>
      <c r="U364" s="124"/>
      <c r="V364" s="124"/>
      <c r="W364" s="124"/>
      <c r="X364" s="124"/>
      <c r="Y364" s="124"/>
    </row>
    <row r="365" spans="2:25" x14ac:dyDescent="0.25">
      <c r="B365" s="124"/>
      <c r="C365" s="124"/>
      <c r="D365" s="124"/>
      <c r="E365" s="124"/>
      <c r="F365" s="124"/>
      <c r="G365" s="124"/>
      <c r="H365" s="124"/>
      <c r="I365" s="124"/>
      <c r="J365" s="124"/>
      <c r="K365" s="124"/>
      <c r="L365" s="124"/>
      <c r="M365" s="124"/>
      <c r="N365" s="124"/>
      <c r="O365" s="124"/>
      <c r="P365" s="124"/>
      <c r="Q365" s="124"/>
      <c r="R365" s="124"/>
      <c r="S365" s="124"/>
      <c r="T365" s="124"/>
      <c r="U365" s="124"/>
      <c r="V365" s="124"/>
      <c r="W365" s="124"/>
      <c r="X365" s="124"/>
      <c r="Y365" s="124"/>
    </row>
    <row r="366" spans="2:25" x14ac:dyDescent="0.25">
      <c r="B366" s="124"/>
      <c r="C366" s="124"/>
      <c r="D366" s="124"/>
      <c r="E366" s="124"/>
      <c r="F366" s="124"/>
      <c r="G366" s="124"/>
      <c r="H366" s="124"/>
      <c r="I366" s="124"/>
      <c r="J366" s="124"/>
      <c r="K366" s="124"/>
      <c r="L366" s="124"/>
      <c r="M366" s="124"/>
      <c r="N366" s="124"/>
      <c r="O366" s="124"/>
      <c r="P366" s="124"/>
      <c r="Q366" s="124"/>
      <c r="R366" s="124"/>
      <c r="S366" s="124"/>
      <c r="T366" s="124"/>
      <c r="U366" s="124"/>
      <c r="V366" s="124"/>
      <c r="W366" s="124"/>
      <c r="X366" s="124"/>
      <c r="Y366" s="124"/>
    </row>
    <row r="367" spans="2:25" x14ac:dyDescent="0.25">
      <c r="B367" s="124"/>
      <c r="C367" s="124"/>
      <c r="D367" s="124"/>
      <c r="E367" s="124"/>
      <c r="F367" s="124"/>
      <c r="G367" s="124"/>
      <c r="H367" s="124"/>
      <c r="I367" s="124"/>
      <c r="J367" s="124"/>
      <c r="K367" s="124"/>
      <c r="L367" s="124"/>
      <c r="M367" s="124"/>
      <c r="N367" s="124"/>
      <c r="O367" s="124"/>
      <c r="P367" s="124"/>
      <c r="Q367" s="124"/>
      <c r="R367" s="124"/>
      <c r="S367" s="124"/>
      <c r="T367" s="124"/>
      <c r="U367" s="124"/>
      <c r="V367" s="124"/>
      <c r="W367" s="124"/>
      <c r="X367" s="124"/>
      <c r="Y367" s="124"/>
    </row>
    <row r="368" spans="2:25" x14ac:dyDescent="0.25">
      <c r="B368" s="124"/>
      <c r="C368" s="124"/>
      <c r="D368" s="124"/>
      <c r="E368" s="124"/>
      <c r="F368" s="124"/>
      <c r="G368" s="124"/>
      <c r="H368" s="124"/>
      <c r="I368" s="124"/>
      <c r="J368" s="124"/>
      <c r="K368" s="124"/>
      <c r="L368" s="124"/>
      <c r="M368" s="124"/>
      <c r="N368" s="124"/>
      <c r="O368" s="124"/>
      <c r="P368" s="124"/>
      <c r="Q368" s="124"/>
      <c r="R368" s="124"/>
      <c r="S368" s="124"/>
      <c r="T368" s="124"/>
      <c r="U368" s="124"/>
      <c r="V368" s="124"/>
      <c r="W368" s="124"/>
      <c r="X368" s="124"/>
      <c r="Y368" s="124"/>
    </row>
    <row r="369" spans="2:25" x14ac:dyDescent="0.25">
      <c r="B369" s="124"/>
      <c r="C369" s="124"/>
      <c r="D369" s="124"/>
      <c r="E369" s="124"/>
      <c r="F369" s="124"/>
      <c r="G369" s="124"/>
      <c r="H369" s="124"/>
      <c r="I369" s="124"/>
      <c r="J369" s="124"/>
      <c r="K369" s="124"/>
      <c r="L369" s="124"/>
      <c r="M369" s="124"/>
      <c r="N369" s="124"/>
      <c r="O369" s="124"/>
      <c r="P369" s="124"/>
      <c r="Q369" s="124"/>
      <c r="R369" s="124"/>
      <c r="S369" s="124"/>
      <c r="T369" s="124"/>
      <c r="U369" s="124"/>
      <c r="V369" s="124"/>
      <c r="W369" s="124"/>
      <c r="X369" s="124"/>
      <c r="Y369" s="124"/>
    </row>
    <row r="370" spans="2:25" x14ac:dyDescent="0.25">
      <c r="B370" s="124"/>
      <c r="C370" s="124"/>
      <c r="D370" s="124"/>
      <c r="E370" s="124"/>
      <c r="F370" s="124"/>
      <c r="G370" s="124"/>
      <c r="H370" s="124"/>
      <c r="I370" s="124"/>
      <c r="J370" s="124"/>
      <c r="K370" s="124"/>
      <c r="L370" s="124"/>
      <c r="M370" s="124"/>
      <c r="N370" s="124"/>
      <c r="O370" s="124"/>
      <c r="P370" s="124"/>
      <c r="Q370" s="124"/>
      <c r="R370" s="124"/>
      <c r="S370" s="124"/>
      <c r="T370" s="124"/>
      <c r="U370" s="124"/>
      <c r="V370" s="124"/>
      <c r="W370" s="124"/>
      <c r="X370" s="124"/>
      <c r="Y370" s="124"/>
    </row>
    <row r="371" spans="2:25" x14ac:dyDescent="0.25">
      <c r="B371" s="124"/>
      <c r="C371" s="124"/>
      <c r="D371" s="124"/>
      <c r="E371" s="124"/>
      <c r="F371" s="124"/>
      <c r="G371" s="124"/>
      <c r="H371" s="124"/>
      <c r="I371" s="124"/>
      <c r="J371" s="124"/>
      <c r="K371" s="124"/>
      <c r="L371" s="124"/>
      <c r="M371" s="124"/>
      <c r="N371" s="124"/>
      <c r="O371" s="124"/>
      <c r="P371" s="124"/>
      <c r="Q371" s="124"/>
      <c r="R371" s="124"/>
      <c r="S371" s="124"/>
      <c r="T371" s="124"/>
      <c r="U371" s="124"/>
      <c r="V371" s="124"/>
      <c r="W371" s="124"/>
      <c r="X371" s="124"/>
      <c r="Y371" s="124"/>
    </row>
    <row r="372" spans="2:25" x14ac:dyDescent="0.25">
      <c r="B372" s="124"/>
      <c r="C372" s="124"/>
      <c r="D372" s="124"/>
      <c r="E372" s="124"/>
      <c r="F372" s="124"/>
      <c r="G372" s="124"/>
      <c r="H372" s="124"/>
      <c r="I372" s="124"/>
      <c r="J372" s="124"/>
      <c r="K372" s="124"/>
      <c r="L372" s="124"/>
      <c r="M372" s="124"/>
      <c r="N372" s="124"/>
      <c r="O372" s="124"/>
      <c r="P372" s="124"/>
      <c r="Q372" s="124"/>
      <c r="R372" s="124"/>
      <c r="S372" s="124"/>
      <c r="T372" s="124"/>
      <c r="U372" s="124"/>
      <c r="V372" s="124"/>
      <c r="W372" s="124"/>
      <c r="X372" s="124"/>
      <c r="Y372" s="124"/>
    </row>
    <row r="373" spans="2:25" x14ac:dyDescent="0.25">
      <c r="B373" s="124"/>
      <c r="C373" s="124"/>
      <c r="D373" s="124"/>
      <c r="E373" s="124"/>
      <c r="F373" s="124"/>
      <c r="G373" s="124"/>
      <c r="H373" s="124"/>
      <c r="I373" s="124"/>
      <c r="J373" s="124"/>
      <c r="K373" s="124"/>
      <c r="L373" s="124"/>
      <c r="M373" s="124"/>
      <c r="N373" s="124"/>
      <c r="O373" s="124"/>
      <c r="P373" s="124"/>
      <c r="Q373" s="124"/>
      <c r="R373" s="124"/>
      <c r="S373" s="124"/>
      <c r="T373" s="124"/>
      <c r="U373" s="124"/>
      <c r="V373" s="124"/>
      <c r="W373" s="124"/>
      <c r="X373" s="124"/>
      <c r="Y373" s="124"/>
    </row>
    <row r="374" spans="2:25" x14ac:dyDescent="0.25">
      <c r="B374" s="124"/>
      <c r="C374" s="124"/>
      <c r="D374" s="124"/>
      <c r="E374" s="124"/>
      <c r="F374" s="124"/>
      <c r="G374" s="124"/>
      <c r="H374" s="124"/>
      <c r="I374" s="124"/>
      <c r="J374" s="124"/>
      <c r="K374" s="124"/>
      <c r="L374" s="124"/>
      <c r="M374" s="124"/>
      <c r="N374" s="124"/>
      <c r="O374" s="124"/>
      <c r="P374" s="124"/>
      <c r="Q374" s="124"/>
      <c r="R374" s="124"/>
      <c r="S374" s="124"/>
      <c r="T374" s="124"/>
      <c r="U374" s="124"/>
      <c r="V374" s="124"/>
      <c r="W374" s="124"/>
      <c r="X374" s="124"/>
      <c r="Y374" s="124"/>
    </row>
    <row r="375" spans="2:25" x14ac:dyDescent="0.25">
      <c r="B375" s="124"/>
      <c r="C375" s="124"/>
      <c r="D375" s="124"/>
      <c r="E375" s="124"/>
      <c r="F375" s="124"/>
      <c r="G375" s="124"/>
      <c r="H375" s="124"/>
      <c r="I375" s="124"/>
      <c r="J375" s="124"/>
      <c r="K375" s="124"/>
      <c r="L375" s="124"/>
      <c r="M375" s="124"/>
      <c r="N375" s="124"/>
      <c r="O375" s="124"/>
      <c r="P375" s="124"/>
      <c r="Q375" s="124"/>
      <c r="R375" s="124"/>
      <c r="S375" s="124"/>
      <c r="T375" s="124"/>
      <c r="U375" s="124"/>
      <c r="V375" s="124"/>
      <c r="W375" s="124"/>
      <c r="X375" s="124"/>
      <c r="Y375" s="124"/>
    </row>
    <row r="376" spans="2:25" x14ac:dyDescent="0.25">
      <c r="B376" s="124"/>
      <c r="C376" s="124"/>
      <c r="D376" s="124"/>
      <c r="E376" s="124"/>
      <c r="F376" s="124"/>
      <c r="G376" s="124"/>
      <c r="H376" s="124"/>
      <c r="I376" s="124"/>
      <c r="J376" s="124"/>
      <c r="K376" s="124"/>
      <c r="L376" s="124"/>
      <c r="M376" s="124"/>
      <c r="N376" s="124"/>
      <c r="O376" s="124"/>
      <c r="P376" s="124"/>
      <c r="Q376" s="124"/>
      <c r="R376" s="124"/>
      <c r="S376" s="124"/>
      <c r="T376" s="124"/>
      <c r="U376" s="124"/>
      <c r="V376" s="124"/>
      <c r="W376" s="124"/>
      <c r="X376" s="124"/>
      <c r="Y376" s="124"/>
    </row>
    <row r="377" spans="2:25" x14ac:dyDescent="0.25">
      <c r="B377" s="124"/>
      <c r="C377" s="124"/>
      <c r="D377" s="124"/>
      <c r="E377" s="124"/>
      <c r="F377" s="124"/>
      <c r="G377" s="124"/>
      <c r="H377" s="124"/>
      <c r="I377" s="124"/>
      <c r="J377" s="124"/>
      <c r="K377" s="124"/>
      <c r="L377" s="124"/>
      <c r="M377" s="124"/>
      <c r="N377" s="124"/>
      <c r="O377" s="124"/>
      <c r="P377" s="124"/>
      <c r="Q377" s="124"/>
      <c r="R377" s="124"/>
      <c r="S377" s="124"/>
      <c r="T377" s="124"/>
      <c r="U377" s="124"/>
      <c r="V377" s="124"/>
      <c r="W377" s="124"/>
      <c r="X377" s="124"/>
      <c r="Y377" s="124"/>
    </row>
    <row r="378" spans="2:25" x14ac:dyDescent="0.25">
      <c r="B378" s="124"/>
      <c r="C378" s="124"/>
      <c r="D378" s="124"/>
      <c r="E378" s="124"/>
      <c r="F378" s="124"/>
      <c r="G378" s="124"/>
      <c r="H378" s="124"/>
      <c r="I378" s="124"/>
      <c r="J378" s="124"/>
      <c r="K378" s="124"/>
      <c r="L378" s="124"/>
      <c r="M378" s="124"/>
      <c r="N378" s="124"/>
      <c r="O378" s="124"/>
      <c r="P378" s="124"/>
      <c r="Q378" s="124"/>
      <c r="R378" s="124"/>
      <c r="S378" s="124"/>
      <c r="T378" s="124"/>
      <c r="U378" s="124"/>
      <c r="V378" s="124"/>
      <c r="W378" s="124"/>
      <c r="X378" s="124"/>
      <c r="Y378" s="124"/>
    </row>
    <row r="379" spans="2:25" x14ac:dyDescent="0.25">
      <c r="B379" s="124"/>
      <c r="C379" s="124"/>
      <c r="D379" s="124"/>
      <c r="E379" s="124"/>
      <c r="F379" s="124"/>
      <c r="G379" s="124"/>
      <c r="H379" s="124"/>
      <c r="I379" s="124"/>
      <c r="J379" s="124"/>
      <c r="K379" s="124"/>
      <c r="L379" s="124"/>
      <c r="M379" s="124"/>
      <c r="N379" s="124"/>
      <c r="O379" s="124"/>
      <c r="P379" s="124"/>
      <c r="Q379" s="124"/>
      <c r="R379" s="124"/>
      <c r="S379" s="124"/>
      <c r="T379" s="124"/>
      <c r="U379" s="124"/>
      <c r="V379" s="124"/>
      <c r="W379" s="124"/>
      <c r="X379" s="124"/>
      <c r="Y379" s="124"/>
    </row>
    <row r="380" spans="2:25" x14ac:dyDescent="0.25">
      <c r="B380" s="124"/>
      <c r="C380" s="124"/>
      <c r="D380" s="124"/>
      <c r="E380" s="124"/>
      <c r="F380" s="124"/>
      <c r="G380" s="124"/>
      <c r="H380" s="124"/>
      <c r="I380" s="124"/>
      <c r="J380" s="124"/>
      <c r="K380" s="124"/>
      <c r="L380" s="124"/>
      <c r="M380" s="124"/>
      <c r="N380" s="124"/>
      <c r="O380" s="124"/>
      <c r="P380" s="124"/>
      <c r="Q380" s="124"/>
      <c r="R380" s="124"/>
      <c r="S380" s="124"/>
      <c r="T380" s="124"/>
      <c r="U380" s="124"/>
      <c r="V380" s="124"/>
      <c r="W380" s="124"/>
      <c r="X380" s="124"/>
      <c r="Y380" s="124"/>
    </row>
    <row r="381" spans="2:25" x14ac:dyDescent="0.25">
      <c r="B381" s="124"/>
      <c r="C381" s="124"/>
      <c r="D381" s="124"/>
      <c r="E381" s="124"/>
      <c r="F381" s="124"/>
      <c r="G381" s="124"/>
      <c r="H381" s="124"/>
      <c r="I381" s="124"/>
      <c r="J381" s="124"/>
      <c r="K381" s="124"/>
      <c r="L381" s="124"/>
      <c r="M381" s="124"/>
      <c r="N381" s="124"/>
      <c r="O381" s="124"/>
      <c r="P381" s="124"/>
      <c r="Q381" s="124"/>
      <c r="R381" s="124"/>
      <c r="S381" s="124"/>
      <c r="T381" s="124"/>
      <c r="U381" s="124"/>
      <c r="V381" s="124"/>
      <c r="W381" s="124"/>
      <c r="X381" s="124"/>
      <c r="Y381" s="124"/>
    </row>
    <row r="382" spans="2:25" x14ac:dyDescent="0.25">
      <c r="B382" s="124"/>
      <c r="C382" s="124"/>
      <c r="D382" s="124"/>
      <c r="E382" s="124"/>
      <c r="F382" s="124"/>
      <c r="G382" s="124"/>
      <c r="H382" s="124"/>
      <c r="I382" s="124"/>
      <c r="J382" s="124"/>
      <c r="K382" s="124"/>
      <c r="L382" s="124"/>
      <c r="M382" s="124"/>
      <c r="N382" s="124"/>
      <c r="O382" s="124"/>
      <c r="P382" s="124"/>
      <c r="Q382" s="124"/>
      <c r="R382" s="124"/>
      <c r="S382" s="124"/>
      <c r="T382" s="124"/>
      <c r="U382" s="124"/>
      <c r="V382" s="124"/>
      <c r="W382" s="124"/>
      <c r="X382" s="124"/>
      <c r="Y382" s="124"/>
    </row>
    <row r="383" spans="2:25" x14ac:dyDescent="0.25">
      <c r="B383" s="124"/>
      <c r="C383" s="124"/>
      <c r="D383" s="124"/>
      <c r="E383" s="124"/>
      <c r="F383" s="124"/>
      <c r="G383" s="124"/>
      <c r="H383" s="124"/>
      <c r="I383" s="124"/>
      <c r="J383" s="124"/>
      <c r="K383" s="124"/>
      <c r="L383" s="124"/>
      <c r="M383" s="124"/>
      <c r="N383" s="124"/>
      <c r="O383" s="124"/>
      <c r="P383" s="124"/>
      <c r="Q383" s="124"/>
      <c r="R383" s="124"/>
      <c r="S383" s="124"/>
      <c r="T383" s="124"/>
      <c r="U383" s="124"/>
      <c r="V383" s="124"/>
      <c r="W383" s="124"/>
      <c r="X383" s="124"/>
      <c r="Y383" s="124"/>
    </row>
    <row r="384" spans="2:25" x14ac:dyDescent="0.25">
      <c r="B384" s="124"/>
      <c r="C384" s="124"/>
      <c r="D384" s="124"/>
      <c r="E384" s="124"/>
      <c r="F384" s="124"/>
      <c r="G384" s="124"/>
      <c r="H384" s="124"/>
      <c r="I384" s="124"/>
      <c r="J384" s="124"/>
      <c r="K384" s="124"/>
      <c r="L384" s="124"/>
      <c r="M384" s="124"/>
      <c r="N384" s="124"/>
      <c r="O384" s="124"/>
      <c r="P384" s="124"/>
      <c r="Q384" s="124"/>
      <c r="R384" s="124"/>
      <c r="S384" s="124"/>
      <c r="T384" s="124"/>
      <c r="U384" s="124"/>
      <c r="V384" s="124"/>
      <c r="W384" s="124"/>
      <c r="X384" s="124"/>
      <c r="Y384" s="124"/>
    </row>
    <row r="385" spans="2:25" x14ac:dyDescent="0.25">
      <c r="B385" s="124"/>
      <c r="C385" s="124"/>
      <c r="D385" s="124"/>
      <c r="E385" s="124"/>
      <c r="F385" s="124"/>
      <c r="G385" s="124"/>
      <c r="H385" s="124"/>
      <c r="I385" s="124"/>
      <c r="J385" s="124"/>
      <c r="K385" s="124"/>
      <c r="L385" s="124"/>
      <c r="M385" s="124"/>
      <c r="N385" s="124"/>
      <c r="O385" s="124"/>
      <c r="P385" s="124"/>
      <c r="Q385" s="124"/>
      <c r="R385" s="124"/>
      <c r="S385" s="124"/>
      <c r="T385" s="124"/>
      <c r="U385" s="124"/>
      <c r="V385" s="124"/>
      <c r="W385" s="124"/>
      <c r="X385" s="124"/>
      <c r="Y385" s="124"/>
    </row>
    <row r="386" spans="2:25" x14ac:dyDescent="0.25">
      <c r="B386" s="124"/>
      <c r="C386" s="124"/>
      <c r="D386" s="124"/>
      <c r="E386" s="124"/>
      <c r="F386" s="124"/>
      <c r="G386" s="124"/>
      <c r="H386" s="124"/>
      <c r="I386" s="124"/>
      <c r="J386" s="124"/>
      <c r="K386" s="124"/>
      <c r="L386" s="124"/>
      <c r="M386" s="124"/>
      <c r="N386" s="124"/>
      <c r="O386" s="124"/>
      <c r="P386" s="124"/>
      <c r="Q386" s="124"/>
      <c r="R386" s="124"/>
      <c r="S386" s="124"/>
      <c r="T386" s="124"/>
      <c r="U386" s="124"/>
      <c r="V386" s="124"/>
      <c r="W386" s="124"/>
      <c r="X386" s="124"/>
      <c r="Y386" s="124"/>
    </row>
    <row r="387" spans="2:25" x14ac:dyDescent="0.25">
      <c r="B387" s="124"/>
      <c r="C387" s="124"/>
      <c r="D387" s="124"/>
      <c r="E387" s="124"/>
      <c r="F387" s="124"/>
      <c r="G387" s="124"/>
      <c r="H387" s="124"/>
      <c r="I387" s="124"/>
      <c r="J387" s="124"/>
      <c r="K387" s="124"/>
      <c r="L387" s="124"/>
      <c r="M387" s="124"/>
      <c r="N387" s="124"/>
      <c r="O387" s="124"/>
      <c r="P387" s="124"/>
      <c r="Q387" s="124"/>
      <c r="R387" s="124"/>
      <c r="S387" s="124"/>
      <c r="T387" s="124"/>
      <c r="U387" s="124"/>
      <c r="V387" s="124"/>
      <c r="W387" s="124"/>
      <c r="X387" s="124"/>
      <c r="Y387" s="124"/>
    </row>
    <row r="388" spans="2:25" x14ac:dyDescent="0.25">
      <c r="B388" s="124"/>
      <c r="C388" s="124"/>
      <c r="D388" s="124"/>
      <c r="E388" s="124"/>
      <c r="F388" s="124"/>
      <c r="G388" s="124"/>
      <c r="H388" s="124"/>
      <c r="I388" s="124"/>
      <c r="J388" s="124"/>
      <c r="K388" s="124"/>
      <c r="L388" s="124"/>
      <c r="M388" s="124"/>
      <c r="N388" s="124"/>
      <c r="O388" s="124"/>
      <c r="P388" s="124"/>
      <c r="Q388" s="124"/>
      <c r="R388" s="124"/>
      <c r="S388" s="124"/>
      <c r="T388" s="124"/>
      <c r="U388" s="124"/>
      <c r="V388" s="124"/>
      <c r="W388" s="124"/>
      <c r="X388" s="124"/>
      <c r="Y388" s="124"/>
    </row>
    <row r="389" spans="2:25" x14ac:dyDescent="0.25">
      <c r="B389" s="124"/>
      <c r="C389" s="124"/>
      <c r="D389" s="124"/>
      <c r="E389" s="124"/>
      <c r="F389" s="124"/>
      <c r="G389" s="124"/>
      <c r="H389" s="124"/>
      <c r="I389" s="124"/>
      <c r="J389" s="124"/>
      <c r="K389" s="124"/>
      <c r="L389" s="124"/>
      <c r="M389" s="124"/>
      <c r="N389" s="124"/>
      <c r="O389" s="124"/>
      <c r="P389" s="124"/>
      <c r="Q389" s="124"/>
      <c r="R389" s="124"/>
      <c r="S389" s="124"/>
      <c r="T389" s="124"/>
      <c r="U389" s="124"/>
      <c r="V389" s="124"/>
      <c r="W389" s="124"/>
      <c r="X389" s="124"/>
      <c r="Y389" s="124"/>
    </row>
    <row r="390" spans="2:25" x14ac:dyDescent="0.25">
      <c r="B390" s="124"/>
      <c r="C390" s="124"/>
      <c r="D390" s="124"/>
      <c r="E390" s="124"/>
      <c r="F390" s="124"/>
      <c r="G390" s="124"/>
      <c r="H390" s="124"/>
      <c r="I390" s="124"/>
      <c r="J390" s="124"/>
      <c r="K390" s="124"/>
      <c r="L390" s="124"/>
      <c r="M390" s="124"/>
      <c r="N390" s="124"/>
      <c r="O390" s="124"/>
      <c r="P390" s="124"/>
      <c r="Q390" s="124"/>
      <c r="R390" s="124"/>
      <c r="S390" s="124"/>
      <c r="T390" s="124"/>
      <c r="U390" s="124"/>
      <c r="V390" s="124"/>
      <c r="W390" s="124"/>
      <c r="X390" s="124"/>
      <c r="Y390" s="124"/>
    </row>
    <row r="391" spans="2:25" x14ac:dyDescent="0.25">
      <c r="B391" s="124"/>
      <c r="C391" s="124"/>
      <c r="D391" s="124"/>
      <c r="E391" s="124"/>
      <c r="F391" s="124"/>
      <c r="G391" s="124"/>
      <c r="H391" s="124"/>
      <c r="I391" s="124"/>
      <c r="J391" s="124"/>
      <c r="K391" s="124"/>
      <c r="L391" s="124"/>
      <c r="M391" s="124"/>
      <c r="N391" s="124"/>
      <c r="O391" s="124"/>
      <c r="P391" s="124"/>
      <c r="Q391" s="124"/>
      <c r="R391" s="124"/>
      <c r="S391" s="124"/>
      <c r="T391" s="124"/>
      <c r="U391" s="124"/>
      <c r="V391" s="124"/>
      <c r="W391" s="124"/>
      <c r="X391" s="124"/>
      <c r="Y391" s="124"/>
    </row>
    <row r="392" spans="2:25" x14ac:dyDescent="0.25">
      <c r="B392" s="124"/>
      <c r="C392" s="124"/>
      <c r="D392" s="124"/>
      <c r="E392" s="124"/>
      <c r="F392" s="124"/>
      <c r="G392" s="124"/>
      <c r="H392" s="124"/>
      <c r="I392" s="124"/>
      <c r="J392" s="124"/>
      <c r="K392" s="124"/>
      <c r="L392" s="124"/>
      <c r="M392" s="124"/>
      <c r="N392" s="124"/>
      <c r="O392" s="124"/>
      <c r="P392" s="124"/>
      <c r="Q392" s="124"/>
      <c r="R392" s="124"/>
      <c r="S392" s="124"/>
      <c r="T392" s="124"/>
      <c r="U392" s="124"/>
      <c r="V392" s="124"/>
      <c r="W392" s="124"/>
      <c r="X392" s="124"/>
      <c r="Y392" s="124"/>
    </row>
    <row r="393" spans="2:25" x14ac:dyDescent="0.25">
      <c r="B393" s="124"/>
      <c r="C393" s="124"/>
      <c r="D393" s="124"/>
      <c r="E393" s="124"/>
      <c r="F393" s="124"/>
      <c r="G393" s="124"/>
      <c r="H393" s="124"/>
      <c r="I393" s="124"/>
      <c r="J393" s="124"/>
      <c r="K393" s="124"/>
      <c r="L393" s="124"/>
      <c r="M393" s="124"/>
      <c r="N393" s="124"/>
      <c r="O393" s="124"/>
      <c r="P393" s="124"/>
      <c r="Q393" s="124"/>
      <c r="R393" s="124"/>
      <c r="S393" s="124"/>
      <c r="T393" s="124"/>
      <c r="U393" s="124"/>
      <c r="V393" s="124"/>
      <c r="W393" s="124"/>
      <c r="X393" s="124"/>
      <c r="Y393" s="124"/>
    </row>
    <row r="394" spans="2:25" x14ac:dyDescent="0.25">
      <c r="B394" s="124"/>
      <c r="C394" s="124"/>
      <c r="D394" s="124"/>
      <c r="E394" s="124"/>
      <c r="F394" s="124"/>
      <c r="G394" s="124"/>
      <c r="H394" s="124"/>
      <c r="I394" s="124"/>
      <c r="J394" s="124"/>
      <c r="K394" s="124"/>
      <c r="L394" s="124"/>
      <c r="M394" s="124"/>
      <c r="N394" s="124"/>
      <c r="O394" s="124"/>
      <c r="P394" s="124"/>
      <c r="Q394" s="124"/>
      <c r="R394" s="124"/>
      <c r="S394" s="124"/>
      <c r="T394" s="124"/>
      <c r="U394" s="124"/>
      <c r="V394" s="124"/>
      <c r="W394" s="124"/>
      <c r="X394" s="124"/>
      <c r="Y394" s="124"/>
    </row>
    <row r="395" spans="2:25" x14ac:dyDescent="0.25">
      <c r="B395" s="124"/>
      <c r="C395" s="124"/>
      <c r="D395" s="124"/>
      <c r="E395" s="124"/>
      <c r="F395" s="124"/>
      <c r="G395" s="124"/>
      <c r="H395" s="124"/>
      <c r="I395" s="124"/>
      <c r="J395" s="124"/>
      <c r="K395" s="124"/>
      <c r="L395" s="124"/>
      <c r="M395" s="124"/>
      <c r="N395" s="124"/>
      <c r="O395" s="124"/>
      <c r="P395" s="124"/>
      <c r="Q395" s="124"/>
      <c r="R395" s="124"/>
      <c r="S395" s="124"/>
      <c r="T395" s="124"/>
      <c r="U395" s="124"/>
      <c r="V395" s="124"/>
      <c r="W395" s="124"/>
      <c r="X395" s="124"/>
      <c r="Y395" s="124"/>
    </row>
    <row r="396" spans="2:25" x14ac:dyDescent="0.25">
      <c r="B396" s="124"/>
      <c r="C396" s="124"/>
      <c r="D396" s="124"/>
      <c r="E396" s="124"/>
      <c r="F396" s="124"/>
      <c r="G396" s="124"/>
      <c r="H396" s="124"/>
      <c r="I396" s="124"/>
      <c r="J396" s="124"/>
      <c r="K396" s="124"/>
      <c r="L396" s="124"/>
      <c r="M396" s="124"/>
      <c r="N396" s="124"/>
      <c r="O396" s="124"/>
      <c r="P396" s="124"/>
      <c r="Q396" s="124"/>
      <c r="R396" s="124"/>
      <c r="S396" s="124"/>
      <c r="T396" s="124"/>
      <c r="U396" s="124"/>
      <c r="V396" s="124"/>
      <c r="W396" s="124"/>
      <c r="X396" s="124"/>
      <c r="Y396" s="124"/>
    </row>
    <row r="397" spans="2:25" x14ac:dyDescent="0.25">
      <c r="B397" s="124"/>
      <c r="C397" s="124"/>
      <c r="D397" s="124"/>
      <c r="E397" s="124"/>
      <c r="F397" s="124"/>
      <c r="G397" s="124"/>
      <c r="H397" s="124"/>
      <c r="I397" s="124"/>
      <c r="J397" s="124"/>
      <c r="K397" s="124"/>
      <c r="L397" s="124"/>
      <c r="M397" s="124"/>
      <c r="N397" s="124"/>
      <c r="O397" s="124"/>
      <c r="P397" s="124"/>
      <c r="Q397" s="124"/>
      <c r="R397" s="124"/>
      <c r="S397" s="124"/>
      <c r="T397" s="124"/>
      <c r="U397" s="124"/>
      <c r="V397" s="124"/>
      <c r="W397" s="124"/>
      <c r="X397" s="124"/>
      <c r="Y397" s="124"/>
    </row>
    <row r="398" spans="2:25" x14ac:dyDescent="0.25">
      <c r="B398" s="124"/>
      <c r="C398" s="124"/>
      <c r="D398" s="124"/>
      <c r="E398" s="124"/>
      <c r="F398" s="124"/>
      <c r="G398" s="124"/>
      <c r="H398" s="124"/>
      <c r="I398" s="124"/>
      <c r="J398" s="124"/>
      <c r="K398" s="124"/>
      <c r="L398" s="124"/>
      <c r="M398" s="124"/>
      <c r="N398" s="124"/>
      <c r="O398" s="124"/>
      <c r="P398" s="124"/>
      <c r="Q398" s="124"/>
      <c r="R398" s="124"/>
      <c r="S398" s="124"/>
      <c r="T398" s="124"/>
      <c r="U398" s="124"/>
      <c r="V398" s="124"/>
      <c r="W398" s="124"/>
      <c r="X398" s="124"/>
      <c r="Y398" s="124"/>
    </row>
    <row r="399" spans="2:25" x14ac:dyDescent="0.25">
      <c r="B399" s="124"/>
      <c r="C399" s="124"/>
      <c r="D399" s="124"/>
      <c r="E399" s="124"/>
      <c r="F399" s="124"/>
      <c r="G399" s="124"/>
      <c r="H399" s="124"/>
      <c r="I399" s="124"/>
      <c r="J399" s="124"/>
      <c r="K399" s="124"/>
      <c r="L399" s="124"/>
      <c r="M399" s="124"/>
      <c r="N399" s="124"/>
      <c r="O399" s="124"/>
      <c r="P399" s="124"/>
      <c r="Q399" s="124"/>
      <c r="R399" s="124"/>
      <c r="S399" s="124"/>
      <c r="T399" s="124"/>
      <c r="U399" s="124"/>
      <c r="V399" s="124"/>
      <c r="W399" s="124"/>
      <c r="X399" s="124"/>
      <c r="Y399" s="124"/>
    </row>
    <row r="400" spans="2:25" x14ac:dyDescent="0.25">
      <c r="B400" s="124"/>
      <c r="C400" s="124"/>
      <c r="D400" s="124"/>
      <c r="E400" s="124"/>
      <c r="F400" s="124"/>
      <c r="G400" s="124"/>
      <c r="H400" s="124"/>
      <c r="I400" s="124"/>
      <c r="J400" s="124"/>
      <c r="K400" s="124"/>
      <c r="L400" s="124"/>
      <c r="M400" s="124"/>
      <c r="N400" s="124"/>
      <c r="O400" s="124"/>
      <c r="P400" s="124"/>
      <c r="Q400" s="124"/>
      <c r="R400" s="124"/>
      <c r="S400" s="124"/>
      <c r="T400" s="124"/>
      <c r="U400" s="124"/>
      <c r="V400" s="124"/>
      <c r="W400" s="124"/>
      <c r="X400" s="124"/>
      <c r="Y400" s="124"/>
    </row>
    <row r="401" spans="2:25" x14ac:dyDescent="0.25">
      <c r="B401" s="124"/>
      <c r="C401" s="124"/>
      <c r="D401" s="124"/>
      <c r="E401" s="124"/>
      <c r="F401" s="124"/>
      <c r="G401" s="124"/>
      <c r="H401" s="124"/>
      <c r="I401" s="124"/>
      <c r="J401" s="124"/>
      <c r="K401" s="124"/>
      <c r="L401" s="124"/>
      <c r="M401" s="124"/>
      <c r="N401" s="124"/>
      <c r="O401" s="124"/>
      <c r="P401" s="124"/>
      <c r="Q401" s="124"/>
      <c r="R401" s="124"/>
      <c r="S401" s="124"/>
      <c r="T401" s="124"/>
      <c r="U401" s="124"/>
      <c r="V401" s="124"/>
      <c r="W401" s="124"/>
      <c r="X401" s="124"/>
      <c r="Y401" s="124"/>
    </row>
    <row r="402" spans="2:25" x14ac:dyDescent="0.25">
      <c r="B402" s="124"/>
      <c r="C402" s="124"/>
      <c r="D402" s="124"/>
      <c r="E402" s="124"/>
      <c r="F402" s="124"/>
      <c r="G402" s="124"/>
      <c r="H402" s="124"/>
      <c r="I402" s="124"/>
      <c r="J402" s="124"/>
      <c r="K402" s="124"/>
      <c r="L402" s="124"/>
      <c r="M402" s="124"/>
      <c r="N402" s="124"/>
      <c r="O402" s="124"/>
      <c r="P402" s="124"/>
      <c r="Q402" s="124"/>
      <c r="R402" s="124"/>
      <c r="S402" s="124"/>
      <c r="T402" s="124"/>
      <c r="U402" s="124"/>
      <c r="V402" s="124"/>
      <c r="W402" s="124"/>
      <c r="X402" s="124"/>
      <c r="Y402" s="124"/>
    </row>
    <row r="403" spans="2:25" x14ac:dyDescent="0.25">
      <c r="B403" s="124"/>
      <c r="C403" s="124"/>
      <c r="D403" s="124"/>
      <c r="E403" s="124"/>
      <c r="F403" s="124"/>
      <c r="G403" s="124"/>
      <c r="H403" s="124"/>
      <c r="I403" s="124"/>
      <c r="J403" s="124"/>
      <c r="K403" s="124"/>
      <c r="L403" s="124"/>
      <c r="M403" s="124"/>
      <c r="N403" s="124"/>
      <c r="O403" s="124"/>
      <c r="P403" s="124"/>
      <c r="Q403" s="124"/>
      <c r="R403" s="124"/>
      <c r="S403" s="124"/>
      <c r="T403" s="124"/>
      <c r="U403" s="124"/>
      <c r="V403" s="124"/>
      <c r="W403" s="124"/>
      <c r="X403" s="124"/>
      <c r="Y403" s="124"/>
    </row>
    <row r="404" spans="2:25" x14ac:dyDescent="0.25">
      <c r="B404" s="124"/>
      <c r="C404" s="124"/>
      <c r="D404" s="124"/>
      <c r="E404" s="124"/>
      <c r="F404" s="124"/>
      <c r="G404" s="124"/>
      <c r="H404" s="124"/>
      <c r="I404" s="124"/>
      <c r="J404" s="124"/>
      <c r="K404" s="124"/>
      <c r="L404" s="124"/>
      <c r="M404" s="124"/>
      <c r="N404" s="124"/>
      <c r="O404" s="124"/>
      <c r="P404" s="124"/>
      <c r="Q404" s="124"/>
      <c r="R404" s="124"/>
      <c r="S404" s="124"/>
      <c r="T404" s="124"/>
      <c r="U404" s="124"/>
      <c r="V404" s="124"/>
      <c r="W404" s="124"/>
      <c r="X404" s="124"/>
      <c r="Y404" s="124"/>
    </row>
    <row r="405" spans="2:25" x14ac:dyDescent="0.25">
      <c r="B405" s="124"/>
      <c r="C405" s="124"/>
      <c r="D405" s="124"/>
      <c r="E405" s="124"/>
      <c r="F405" s="124"/>
      <c r="G405" s="124"/>
      <c r="H405" s="124"/>
      <c r="I405" s="124"/>
      <c r="J405" s="124"/>
      <c r="K405" s="124"/>
      <c r="L405" s="124"/>
      <c r="M405" s="124"/>
      <c r="N405" s="124"/>
      <c r="O405" s="124"/>
      <c r="P405" s="124"/>
      <c r="Q405" s="124"/>
      <c r="R405" s="124"/>
      <c r="S405" s="124"/>
      <c r="T405" s="124"/>
      <c r="U405" s="124"/>
      <c r="V405" s="124"/>
      <c r="W405" s="124"/>
      <c r="X405" s="124"/>
      <c r="Y405" s="124"/>
    </row>
    <row r="406" spans="2:25" x14ac:dyDescent="0.25">
      <c r="B406" s="124"/>
      <c r="C406" s="124"/>
      <c r="D406" s="124"/>
      <c r="E406" s="124"/>
      <c r="F406" s="124"/>
      <c r="G406" s="124"/>
      <c r="H406" s="124"/>
      <c r="I406" s="124"/>
      <c r="J406" s="124"/>
      <c r="K406" s="124"/>
      <c r="L406" s="124"/>
      <c r="M406" s="124"/>
      <c r="N406" s="124"/>
      <c r="O406" s="124"/>
      <c r="P406" s="124"/>
      <c r="Q406" s="124"/>
      <c r="R406" s="124"/>
      <c r="S406" s="124"/>
      <c r="T406" s="124"/>
      <c r="U406" s="124"/>
      <c r="V406" s="124"/>
      <c r="W406" s="124"/>
      <c r="X406" s="124"/>
      <c r="Y406" s="124"/>
    </row>
    <row r="407" spans="2:25" x14ac:dyDescent="0.25">
      <c r="B407" s="124"/>
      <c r="C407" s="124"/>
      <c r="D407" s="124"/>
      <c r="E407" s="124"/>
      <c r="F407" s="124"/>
      <c r="G407" s="124"/>
      <c r="H407" s="124"/>
      <c r="I407" s="124"/>
      <c r="J407" s="124"/>
      <c r="K407" s="124"/>
      <c r="L407" s="124"/>
      <c r="M407" s="124"/>
      <c r="N407" s="124"/>
      <c r="O407" s="124"/>
      <c r="P407" s="124"/>
      <c r="Q407" s="124"/>
      <c r="R407" s="124"/>
      <c r="S407" s="124"/>
      <c r="T407" s="124"/>
      <c r="U407" s="124"/>
      <c r="V407" s="124"/>
      <c r="W407" s="124"/>
      <c r="X407" s="124"/>
      <c r="Y407" s="124"/>
    </row>
    <row r="408" spans="2:25" x14ac:dyDescent="0.25">
      <c r="B408" s="124"/>
      <c r="C408" s="124"/>
      <c r="D408" s="124"/>
      <c r="E408" s="124"/>
      <c r="F408" s="124"/>
      <c r="G408" s="124"/>
      <c r="H408" s="124"/>
      <c r="I408" s="124"/>
      <c r="J408" s="124"/>
      <c r="K408" s="124"/>
      <c r="L408" s="124"/>
      <c r="M408" s="124"/>
      <c r="N408" s="124"/>
      <c r="O408" s="124"/>
      <c r="P408" s="124"/>
      <c r="Q408" s="124"/>
      <c r="R408" s="124"/>
      <c r="S408" s="124"/>
      <c r="T408" s="124"/>
      <c r="U408" s="124"/>
      <c r="V408" s="124"/>
      <c r="W408" s="124"/>
      <c r="X408" s="124"/>
      <c r="Y408" s="124"/>
    </row>
    <row r="409" spans="2:25" x14ac:dyDescent="0.25">
      <c r="B409" s="124"/>
      <c r="C409" s="124"/>
      <c r="D409" s="124"/>
      <c r="E409" s="124"/>
      <c r="F409" s="124"/>
      <c r="G409" s="124"/>
      <c r="H409" s="124"/>
      <c r="I409" s="124"/>
      <c r="J409" s="124"/>
      <c r="K409" s="124"/>
      <c r="L409" s="124"/>
      <c r="M409" s="124"/>
      <c r="N409" s="124"/>
      <c r="O409" s="124"/>
      <c r="P409" s="124"/>
      <c r="Q409" s="124"/>
      <c r="R409" s="124"/>
      <c r="S409" s="124"/>
      <c r="T409" s="124"/>
      <c r="U409" s="124"/>
      <c r="V409" s="124"/>
      <c r="W409" s="124"/>
      <c r="X409" s="124"/>
      <c r="Y409" s="124"/>
    </row>
    <row r="410" spans="2:25" x14ac:dyDescent="0.25">
      <c r="B410" s="124"/>
      <c r="C410" s="124"/>
      <c r="D410" s="124"/>
      <c r="E410" s="124"/>
      <c r="F410" s="124"/>
      <c r="G410" s="124"/>
      <c r="H410" s="124"/>
      <c r="I410" s="124"/>
      <c r="J410" s="124"/>
      <c r="K410" s="124"/>
      <c r="L410" s="124"/>
      <c r="M410" s="124"/>
      <c r="N410" s="124"/>
      <c r="O410" s="124"/>
      <c r="P410" s="124"/>
      <c r="Q410" s="124"/>
      <c r="R410" s="124"/>
      <c r="S410" s="124"/>
      <c r="T410" s="124"/>
      <c r="U410" s="124"/>
      <c r="V410" s="124"/>
      <c r="W410" s="124"/>
      <c r="X410" s="124"/>
      <c r="Y410" s="124"/>
    </row>
    <row r="411" spans="2:25" x14ac:dyDescent="0.25">
      <c r="B411" s="124"/>
      <c r="C411" s="124"/>
      <c r="D411" s="124"/>
      <c r="E411" s="124"/>
      <c r="F411" s="124"/>
      <c r="G411" s="124"/>
      <c r="H411" s="124"/>
      <c r="I411" s="124"/>
      <c r="J411" s="124"/>
      <c r="K411" s="124"/>
      <c r="L411" s="124"/>
      <c r="M411" s="124"/>
      <c r="N411" s="124"/>
      <c r="O411" s="124"/>
      <c r="P411" s="124"/>
      <c r="Q411" s="124"/>
      <c r="R411" s="124"/>
      <c r="S411" s="124"/>
      <c r="T411" s="124"/>
      <c r="U411" s="124"/>
      <c r="V411" s="124"/>
      <c r="W411" s="124"/>
      <c r="X411" s="124"/>
      <c r="Y411" s="124"/>
    </row>
    <row r="412" spans="2:25" x14ac:dyDescent="0.25">
      <c r="B412" s="124"/>
      <c r="C412" s="124"/>
      <c r="D412" s="124"/>
      <c r="E412" s="124"/>
      <c r="F412" s="124"/>
      <c r="G412" s="124"/>
      <c r="H412" s="124"/>
      <c r="I412" s="124"/>
      <c r="J412" s="124"/>
      <c r="K412" s="124"/>
      <c r="L412" s="124"/>
      <c r="M412" s="124"/>
      <c r="N412" s="124"/>
      <c r="O412" s="124"/>
      <c r="P412" s="124"/>
      <c r="Q412" s="124"/>
      <c r="R412" s="124"/>
      <c r="S412" s="124"/>
      <c r="T412" s="124"/>
      <c r="U412" s="124"/>
      <c r="V412" s="124"/>
      <c r="W412" s="124"/>
      <c r="X412" s="124"/>
      <c r="Y412" s="124"/>
    </row>
    <row r="413" spans="2:25" x14ac:dyDescent="0.25">
      <c r="B413" s="124"/>
      <c r="C413" s="124"/>
      <c r="D413" s="124"/>
      <c r="E413" s="124"/>
      <c r="F413" s="124"/>
      <c r="G413" s="124"/>
      <c r="H413" s="124"/>
      <c r="I413" s="124"/>
      <c r="J413" s="124"/>
      <c r="K413" s="124"/>
      <c r="L413" s="124"/>
      <c r="M413" s="124"/>
      <c r="N413" s="124"/>
      <c r="O413" s="124"/>
      <c r="P413" s="124"/>
      <c r="Q413" s="124"/>
      <c r="R413" s="124"/>
      <c r="S413" s="124"/>
      <c r="T413" s="124"/>
      <c r="U413" s="124"/>
      <c r="V413" s="124"/>
      <c r="W413" s="124"/>
      <c r="X413" s="124"/>
      <c r="Y413" s="124"/>
    </row>
    <row r="414" spans="2:25" x14ac:dyDescent="0.25">
      <c r="B414" s="124"/>
      <c r="C414" s="124"/>
      <c r="D414" s="124"/>
      <c r="E414" s="124"/>
      <c r="F414" s="124"/>
      <c r="G414" s="124"/>
      <c r="H414" s="124"/>
      <c r="I414" s="124"/>
      <c r="J414" s="124"/>
      <c r="K414" s="124"/>
      <c r="L414" s="124"/>
      <c r="M414" s="124"/>
      <c r="N414" s="124"/>
      <c r="O414" s="124"/>
      <c r="P414" s="124"/>
      <c r="Q414" s="124"/>
      <c r="R414" s="124"/>
      <c r="S414" s="124"/>
      <c r="T414" s="124"/>
      <c r="U414" s="124"/>
      <c r="V414" s="124"/>
      <c r="W414" s="124"/>
      <c r="X414" s="124"/>
      <c r="Y414" s="124"/>
    </row>
    <row r="415" spans="2:25" x14ac:dyDescent="0.25">
      <c r="B415" s="124"/>
      <c r="C415" s="124"/>
      <c r="D415" s="124"/>
      <c r="E415" s="124"/>
      <c r="F415" s="124"/>
      <c r="G415" s="124"/>
      <c r="H415" s="124"/>
      <c r="I415" s="124"/>
      <c r="J415" s="124"/>
      <c r="K415" s="124"/>
      <c r="L415" s="124"/>
      <c r="M415" s="124"/>
      <c r="N415" s="124"/>
      <c r="O415" s="124"/>
      <c r="P415" s="124"/>
      <c r="Q415" s="124"/>
      <c r="R415" s="124"/>
      <c r="S415" s="124"/>
      <c r="T415" s="124"/>
      <c r="U415" s="124"/>
      <c r="V415" s="124"/>
      <c r="W415" s="124"/>
      <c r="X415" s="124"/>
      <c r="Y415" s="124"/>
    </row>
    <row r="416" spans="2:25" x14ac:dyDescent="0.25">
      <c r="B416" s="124"/>
      <c r="C416" s="124"/>
      <c r="D416" s="124"/>
      <c r="E416" s="124"/>
      <c r="F416" s="124"/>
      <c r="G416" s="124"/>
      <c r="H416" s="124"/>
      <c r="I416" s="124"/>
      <c r="J416" s="124"/>
      <c r="K416" s="124"/>
      <c r="L416" s="124"/>
      <c r="M416" s="124"/>
      <c r="N416" s="124"/>
      <c r="O416" s="124"/>
      <c r="P416" s="124"/>
      <c r="Q416" s="124"/>
      <c r="R416" s="124"/>
      <c r="S416" s="124"/>
      <c r="T416" s="124"/>
      <c r="U416" s="124"/>
      <c r="V416" s="124"/>
      <c r="W416" s="124"/>
      <c r="X416" s="124"/>
      <c r="Y416" s="124"/>
    </row>
    <row r="417" spans="2:25" x14ac:dyDescent="0.25">
      <c r="B417" s="124"/>
      <c r="C417" s="124"/>
      <c r="D417" s="124"/>
      <c r="E417" s="124"/>
      <c r="F417" s="124"/>
      <c r="G417" s="124"/>
      <c r="H417" s="124"/>
      <c r="I417" s="124"/>
      <c r="J417" s="124"/>
      <c r="K417" s="124"/>
      <c r="L417" s="124"/>
      <c r="M417" s="124"/>
      <c r="N417" s="124"/>
      <c r="O417" s="124"/>
      <c r="P417" s="124"/>
      <c r="Q417" s="124"/>
      <c r="R417" s="124"/>
      <c r="S417" s="124"/>
      <c r="T417" s="124"/>
      <c r="U417" s="124"/>
      <c r="V417" s="124"/>
      <c r="W417" s="124"/>
      <c r="X417" s="124"/>
      <c r="Y417" s="124"/>
    </row>
    <row r="418" spans="2:25" x14ac:dyDescent="0.25">
      <c r="B418" s="124"/>
      <c r="C418" s="124"/>
      <c r="D418" s="124"/>
      <c r="E418" s="124"/>
      <c r="F418" s="124"/>
      <c r="G418" s="124"/>
      <c r="H418" s="124"/>
      <c r="I418" s="124"/>
      <c r="J418" s="124"/>
      <c r="K418" s="124"/>
      <c r="L418" s="124"/>
      <c r="M418" s="124"/>
      <c r="N418" s="124"/>
      <c r="O418" s="124"/>
      <c r="P418" s="124"/>
      <c r="Q418" s="124"/>
      <c r="R418" s="124"/>
      <c r="S418" s="124"/>
      <c r="T418" s="124"/>
      <c r="U418" s="124"/>
      <c r="V418" s="124"/>
      <c r="W418" s="124"/>
      <c r="X418" s="124"/>
      <c r="Y418" s="124"/>
    </row>
    <row r="419" spans="2:25" x14ac:dyDescent="0.25">
      <c r="B419" s="124"/>
      <c r="C419" s="124"/>
      <c r="D419" s="124"/>
      <c r="E419" s="124"/>
      <c r="F419" s="124"/>
      <c r="G419" s="124"/>
      <c r="H419" s="124"/>
      <c r="I419" s="124"/>
      <c r="J419" s="124"/>
      <c r="K419" s="124"/>
      <c r="L419" s="124"/>
      <c r="M419" s="124"/>
      <c r="N419" s="124"/>
      <c r="O419" s="124"/>
      <c r="P419" s="124"/>
      <c r="Q419" s="124"/>
      <c r="R419" s="124"/>
      <c r="S419" s="124"/>
      <c r="T419" s="124"/>
      <c r="U419" s="124"/>
      <c r="V419" s="124"/>
      <c r="W419" s="124"/>
      <c r="X419" s="124"/>
      <c r="Y419" s="124"/>
    </row>
    <row r="420" spans="2:25" x14ac:dyDescent="0.25">
      <c r="B420" s="124"/>
      <c r="C420" s="124"/>
      <c r="D420" s="124"/>
      <c r="E420" s="124"/>
      <c r="F420" s="124"/>
      <c r="G420" s="124"/>
      <c r="H420" s="124"/>
      <c r="I420" s="124"/>
      <c r="J420" s="124"/>
      <c r="K420" s="124"/>
      <c r="L420" s="124"/>
      <c r="M420" s="124"/>
      <c r="N420" s="124"/>
      <c r="O420" s="124"/>
      <c r="P420" s="124"/>
      <c r="Q420" s="124"/>
      <c r="R420" s="124"/>
      <c r="S420" s="124"/>
      <c r="T420" s="124"/>
      <c r="U420" s="124"/>
      <c r="V420" s="124"/>
      <c r="W420" s="124"/>
      <c r="X420" s="124"/>
      <c r="Y420" s="124"/>
    </row>
    <row r="421" spans="2:25" x14ac:dyDescent="0.25">
      <c r="B421" s="124"/>
      <c r="C421" s="124"/>
      <c r="D421" s="124"/>
      <c r="E421" s="124"/>
      <c r="F421" s="124"/>
      <c r="G421" s="124"/>
      <c r="H421" s="124"/>
      <c r="I421" s="124"/>
      <c r="J421" s="124"/>
      <c r="K421" s="124"/>
      <c r="L421" s="124"/>
      <c r="M421" s="124"/>
      <c r="N421" s="124"/>
      <c r="O421" s="124"/>
      <c r="P421" s="124"/>
      <c r="Q421" s="124"/>
      <c r="R421" s="124"/>
      <c r="S421" s="124"/>
      <c r="T421" s="124"/>
      <c r="U421" s="124"/>
      <c r="V421" s="124"/>
      <c r="W421" s="124"/>
      <c r="X421" s="124"/>
      <c r="Y421" s="124"/>
    </row>
    <row r="422" spans="2:25" x14ac:dyDescent="0.25">
      <c r="B422" s="124"/>
      <c r="C422" s="124"/>
      <c r="D422" s="124"/>
      <c r="E422" s="124"/>
      <c r="F422" s="124"/>
      <c r="G422" s="124"/>
      <c r="H422" s="124"/>
      <c r="I422" s="124"/>
      <c r="J422" s="124"/>
      <c r="K422" s="124"/>
      <c r="L422" s="124"/>
      <c r="M422" s="124"/>
      <c r="N422" s="124"/>
      <c r="O422" s="124"/>
      <c r="P422" s="124"/>
      <c r="Q422" s="124"/>
      <c r="R422" s="124"/>
      <c r="S422" s="124"/>
      <c r="T422" s="124"/>
      <c r="U422" s="124"/>
      <c r="V422" s="124"/>
      <c r="W422" s="124"/>
      <c r="X422" s="124"/>
      <c r="Y422" s="124"/>
    </row>
    <row r="423" spans="2:25" x14ac:dyDescent="0.25">
      <c r="B423" s="124"/>
      <c r="C423" s="124"/>
      <c r="D423" s="124"/>
      <c r="E423" s="124"/>
      <c r="F423" s="124"/>
      <c r="G423" s="124"/>
      <c r="H423" s="124"/>
      <c r="I423" s="124"/>
      <c r="J423" s="124"/>
      <c r="K423" s="124"/>
      <c r="L423" s="124"/>
      <c r="M423" s="124"/>
      <c r="N423" s="124"/>
      <c r="O423" s="124"/>
      <c r="P423" s="124"/>
      <c r="Q423" s="124"/>
      <c r="R423" s="124"/>
      <c r="S423" s="124"/>
      <c r="T423" s="124"/>
      <c r="U423" s="124"/>
      <c r="V423" s="124"/>
      <c r="W423" s="124"/>
      <c r="X423" s="124"/>
      <c r="Y423" s="124"/>
    </row>
    <row r="424" spans="2:25" x14ac:dyDescent="0.25">
      <c r="B424" s="124"/>
      <c r="C424" s="124"/>
      <c r="D424" s="124"/>
      <c r="E424" s="124"/>
      <c r="F424" s="124"/>
      <c r="G424" s="124"/>
      <c r="H424" s="124"/>
      <c r="I424" s="124"/>
      <c r="J424" s="124"/>
      <c r="K424" s="124"/>
      <c r="L424" s="124"/>
      <c r="M424" s="124"/>
      <c r="N424" s="124"/>
      <c r="O424" s="124"/>
      <c r="P424" s="124"/>
      <c r="Q424" s="124"/>
      <c r="R424" s="124"/>
      <c r="S424" s="124"/>
      <c r="T424" s="124"/>
      <c r="U424" s="124"/>
      <c r="V424" s="124"/>
      <c r="W424" s="124"/>
      <c r="X424" s="124"/>
      <c r="Y424" s="124"/>
    </row>
    <row r="425" spans="2:25" x14ac:dyDescent="0.25">
      <c r="B425" s="124"/>
      <c r="C425" s="124"/>
      <c r="D425" s="124"/>
      <c r="E425" s="124"/>
      <c r="F425" s="124"/>
      <c r="G425" s="124"/>
      <c r="H425" s="124"/>
      <c r="I425" s="124"/>
      <c r="J425" s="124"/>
      <c r="K425" s="124"/>
      <c r="L425" s="124"/>
      <c r="M425" s="124"/>
      <c r="N425" s="124"/>
      <c r="O425" s="124"/>
      <c r="P425" s="124"/>
      <c r="Q425" s="124"/>
      <c r="R425" s="124"/>
      <c r="S425" s="124"/>
      <c r="T425" s="124"/>
      <c r="U425" s="124"/>
      <c r="V425" s="124"/>
      <c r="W425" s="124"/>
      <c r="X425" s="124"/>
      <c r="Y425" s="124"/>
    </row>
    <row r="426" spans="2:25" x14ac:dyDescent="0.25">
      <c r="B426" s="124"/>
      <c r="C426" s="124"/>
      <c r="D426" s="124"/>
      <c r="E426" s="124"/>
      <c r="F426" s="124"/>
      <c r="G426" s="124"/>
      <c r="H426" s="124"/>
      <c r="I426" s="124"/>
      <c r="J426" s="124"/>
      <c r="K426" s="124"/>
      <c r="L426" s="124"/>
      <c r="M426" s="124"/>
      <c r="N426" s="124"/>
      <c r="O426" s="124"/>
      <c r="P426" s="124"/>
      <c r="Q426" s="124"/>
      <c r="R426" s="124"/>
      <c r="S426" s="124"/>
      <c r="T426" s="124"/>
      <c r="U426" s="124"/>
      <c r="V426" s="124"/>
      <c r="W426" s="124"/>
      <c r="X426" s="124"/>
      <c r="Y426" s="124"/>
    </row>
    <row r="427" spans="2:25" x14ac:dyDescent="0.25">
      <c r="B427" s="124"/>
      <c r="C427" s="124"/>
      <c r="D427" s="124"/>
      <c r="E427" s="124"/>
      <c r="F427" s="124"/>
      <c r="G427" s="124"/>
      <c r="H427" s="124"/>
      <c r="I427" s="124"/>
      <c r="J427" s="124"/>
      <c r="K427" s="124"/>
      <c r="L427" s="124"/>
      <c r="M427" s="124"/>
      <c r="N427" s="124"/>
      <c r="O427" s="124"/>
      <c r="P427" s="124"/>
      <c r="Q427" s="124"/>
      <c r="R427" s="124"/>
      <c r="S427" s="124"/>
      <c r="T427" s="124"/>
      <c r="U427" s="124"/>
      <c r="V427" s="124"/>
      <c r="W427" s="124"/>
      <c r="X427" s="124"/>
      <c r="Y427" s="124"/>
    </row>
    <row r="428" spans="2:25" x14ac:dyDescent="0.25">
      <c r="B428" s="124"/>
      <c r="C428" s="124"/>
      <c r="D428" s="124"/>
      <c r="E428" s="124"/>
      <c r="F428" s="124"/>
      <c r="G428" s="124"/>
      <c r="H428" s="124"/>
      <c r="I428" s="124"/>
      <c r="J428" s="124"/>
      <c r="K428" s="124"/>
      <c r="L428" s="124"/>
      <c r="M428" s="124"/>
      <c r="N428" s="124"/>
      <c r="O428" s="124"/>
      <c r="P428" s="124"/>
      <c r="Q428" s="124"/>
      <c r="R428" s="124"/>
      <c r="S428" s="124"/>
      <c r="T428" s="124"/>
      <c r="U428" s="124"/>
      <c r="V428" s="124"/>
      <c r="W428" s="124"/>
      <c r="X428" s="124"/>
      <c r="Y428" s="124"/>
    </row>
    <row r="429" spans="2:25" x14ac:dyDescent="0.25">
      <c r="B429" s="124"/>
      <c r="C429" s="124"/>
      <c r="D429" s="124"/>
      <c r="E429" s="124"/>
      <c r="F429" s="124"/>
      <c r="G429" s="124"/>
      <c r="H429" s="124"/>
      <c r="I429" s="124"/>
      <c r="J429" s="124"/>
      <c r="K429" s="124"/>
      <c r="L429" s="124"/>
      <c r="M429" s="124"/>
      <c r="N429" s="124"/>
      <c r="O429" s="124"/>
      <c r="P429" s="124"/>
      <c r="Q429" s="124"/>
      <c r="R429" s="124"/>
      <c r="S429" s="124"/>
      <c r="T429" s="124"/>
      <c r="U429" s="124"/>
      <c r="V429" s="124"/>
      <c r="W429" s="124"/>
      <c r="X429" s="124"/>
      <c r="Y429" s="124"/>
    </row>
    <row r="430" spans="2:25" x14ac:dyDescent="0.25">
      <c r="B430" s="124"/>
      <c r="C430" s="124"/>
      <c r="D430" s="124"/>
      <c r="E430" s="124"/>
      <c r="F430" s="124"/>
      <c r="G430" s="124"/>
      <c r="H430" s="124"/>
      <c r="I430" s="124"/>
      <c r="J430" s="124"/>
      <c r="K430" s="124"/>
      <c r="L430" s="124"/>
      <c r="M430" s="124"/>
      <c r="N430" s="124"/>
      <c r="O430" s="124"/>
      <c r="P430" s="124"/>
      <c r="Q430" s="124"/>
      <c r="R430" s="124"/>
      <c r="S430" s="124"/>
      <c r="T430" s="124"/>
      <c r="U430" s="124"/>
      <c r="V430" s="124"/>
      <c r="W430" s="124"/>
      <c r="X430" s="124"/>
      <c r="Y430" s="124"/>
    </row>
    <row r="431" spans="2:25" x14ac:dyDescent="0.25">
      <c r="B431" s="124"/>
      <c r="C431" s="124"/>
      <c r="D431" s="124"/>
      <c r="E431" s="124"/>
      <c r="F431" s="124"/>
      <c r="G431" s="124"/>
      <c r="H431" s="124"/>
      <c r="I431" s="124"/>
      <c r="J431" s="124"/>
      <c r="K431" s="124"/>
      <c r="L431" s="124"/>
      <c r="M431" s="124"/>
      <c r="N431" s="124"/>
      <c r="O431" s="124"/>
      <c r="P431" s="124"/>
      <c r="Q431" s="124"/>
      <c r="R431" s="124"/>
      <c r="S431" s="124"/>
      <c r="T431" s="124"/>
      <c r="U431" s="124"/>
      <c r="V431" s="124"/>
      <c r="W431" s="124"/>
      <c r="X431" s="124"/>
      <c r="Y431" s="124"/>
    </row>
    <row r="432" spans="2:25" x14ac:dyDescent="0.25">
      <c r="B432" s="124"/>
      <c r="C432" s="124"/>
      <c r="D432" s="124"/>
      <c r="E432" s="124"/>
      <c r="F432" s="124"/>
      <c r="G432" s="124"/>
      <c r="H432" s="124"/>
      <c r="I432" s="124"/>
      <c r="J432" s="124"/>
      <c r="K432" s="124"/>
      <c r="L432" s="124"/>
      <c r="M432" s="124"/>
      <c r="N432" s="124"/>
      <c r="O432" s="124"/>
      <c r="P432" s="124"/>
      <c r="Q432" s="124"/>
      <c r="R432" s="124"/>
      <c r="S432" s="124"/>
      <c r="T432" s="124"/>
      <c r="U432" s="124"/>
      <c r="V432" s="124"/>
      <c r="W432" s="124"/>
      <c r="X432" s="124"/>
      <c r="Y432" s="124"/>
    </row>
    <row r="433" spans="2:25" x14ac:dyDescent="0.25">
      <c r="B433" s="124"/>
      <c r="C433" s="124"/>
      <c r="D433" s="124"/>
      <c r="E433" s="124"/>
      <c r="F433" s="124"/>
      <c r="G433" s="124"/>
      <c r="H433" s="124"/>
      <c r="I433" s="124"/>
      <c r="J433" s="124"/>
      <c r="K433" s="124"/>
      <c r="L433" s="124"/>
      <c r="M433" s="124"/>
      <c r="N433" s="124"/>
      <c r="O433" s="124"/>
      <c r="P433" s="124"/>
      <c r="Q433" s="124"/>
      <c r="R433" s="124"/>
      <c r="S433" s="124"/>
      <c r="T433" s="124"/>
      <c r="U433" s="124"/>
      <c r="V433" s="124"/>
      <c r="W433" s="124"/>
      <c r="X433" s="124"/>
      <c r="Y433" s="124"/>
    </row>
    <row r="434" spans="2:25" x14ac:dyDescent="0.25">
      <c r="B434" s="124"/>
      <c r="C434" s="124"/>
      <c r="D434" s="124"/>
      <c r="E434" s="124"/>
      <c r="F434" s="124"/>
      <c r="G434" s="124"/>
      <c r="H434" s="124"/>
      <c r="I434" s="124"/>
      <c r="J434" s="124"/>
      <c r="K434" s="124"/>
      <c r="L434" s="124"/>
      <c r="M434" s="124"/>
      <c r="N434" s="124"/>
      <c r="O434" s="124"/>
      <c r="P434" s="124"/>
      <c r="Q434" s="124"/>
      <c r="R434" s="124"/>
      <c r="S434" s="124"/>
      <c r="T434" s="124"/>
      <c r="U434" s="124"/>
      <c r="V434" s="124"/>
      <c r="W434" s="124"/>
      <c r="X434" s="124"/>
      <c r="Y434" s="124"/>
    </row>
    <row r="435" spans="2:25" x14ac:dyDescent="0.25">
      <c r="B435" s="124"/>
      <c r="C435" s="124"/>
      <c r="D435" s="124"/>
      <c r="E435" s="124"/>
      <c r="F435" s="124"/>
      <c r="G435" s="124"/>
      <c r="H435" s="124"/>
      <c r="I435" s="124"/>
      <c r="J435" s="124"/>
      <c r="K435" s="124"/>
      <c r="L435" s="124"/>
      <c r="M435" s="124"/>
      <c r="N435" s="124"/>
      <c r="O435" s="124"/>
      <c r="P435" s="124"/>
      <c r="Q435" s="124"/>
      <c r="R435" s="124"/>
      <c r="S435" s="124"/>
      <c r="T435" s="124"/>
      <c r="U435" s="124"/>
      <c r="V435" s="124"/>
      <c r="W435" s="124"/>
      <c r="X435" s="124"/>
      <c r="Y435" s="124"/>
    </row>
    <row r="436" spans="2:25" x14ac:dyDescent="0.25">
      <c r="B436" s="124"/>
      <c r="C436" s="124"/>
      <c r="D436" s="124"/>
      <c r="E436" s="124"/>
      <c r="F436" s="124"/>
      <c r="G436" s="124"/>
      <c r="H436" s="124"/>
      <c r="I436" s="124"/>
      <c r="J436" s="124"/>
      <c r="K436" s="124"/>
      <c r="L436" s="124"/>
      <c r="M436" s="124"/>
      <c r="N436" s="124"/>
      <c r="O436" s="124"/>
      <c r="P436" s="124"/>
      <c r="Q436" s="124"/>
      <c r="R436" s="124"/>
      <c r="S436" s="124"/>
      <c r="T436" s="124"/>
      <c r="U436" s="124"/>
      <c r="V436" s="124"/>
      <c r="W436" s="124"/>
      <c r="X436" s="124"/>
      <c r="Y436" s="124"/>
    </row>
    <row r="437" spans="2:25" x14ac:dyDescent="0.25">
      <c r="B437" s="124"/>
      <c r="C437" s="124"/>
      <c r="D437" s="124"/>
      <c r="E437" s="124"/>
      <c r="F437" s="124"/>
      <c r="G437" s="124"/>
      <c r="H437" s="124"/>
      <c r="I437" s="124"/>
      <c r="J437" s="124"/>
      <c r="K437" s="124"/>
      <c r="L437" s="124"/>
      <c r="M437" s="124"/>
      <c r="N437" s="124"/>
      <c r="O437" s="124"/>
      <c r="P437" s="124"/>
      <c r="Q437" s="124"/>
      <c r="R437" s="124"/>
      <c r="S437" s="124"/>
      <c r="T437" s="124"/>
      <c r="U437" s="124"/>
      <c r="V437" s="124"/>
      <c r="W437" s="124"/>
      <c r="X437" s="124"/>
      <c r="Y437" s="124"/>
    </row>
    <row r="438" spans="2:25" x14ac:dyDescent="0.25">
      <c r="B438" s="124"/>
      <c r="C438" s="124"/>
      <c r="D438" s="124"/>
      <c r="E438" s="124"/>
      <c r="F438" s="124"/>
      <c r="G438" s="124"/>
      <c r="H438" s="124"/>
      <c r="I438" s="124"/>
      <c r="J438" s="124"/>
      <c r="K438" s="124"/>
      <c r="L438" s="124"/>
      <c r="M438" s="124"/>
      <c r="N438" s="124"/>
      <c r="O438" s="124"/>
      <c r="P438" s="124"/>
      <c r="Q438" s="124"/>
      <c r="R438" s="124"/>
      <c r="S438" s="124"/>
      <c r="T438" s="124"/>
      <c r="U438" s="124"/>
      <c r="V438" s="124"/>
      <c r="W438" s="124"/>
      <c r="X438" s="124"/>
      <c r="Y438" s="124"/>
    </row>
    <row r="439" spans="2:25" x14ac:dyDescent="0.25">
      <c r="B439" s="124"/>
      <c r="C439" s="124"/>
      <c r="D439" s="124"/>
      <c r="E439" s="124"/>
      <c r="F439" s="124"/>
      <c r="G439" s="124"/>
      <c r="H439" s="124"/>
      <c r="I439" s="124"/>
      <c r="J439" s="124"/>
      <c r="K439" s="124"/>
      <c r="L439" s="124"/>
      <c r="M439" s="124"/>
      <c r="N439" s="124"/>
      <c r="O439" s="124"/>
      <c r="P439" s="124"/>
      <c r="Q439" s="124"/>
      <c r="R439" s="124"/>
      <c r="S439" s="124"/>
      <c r="T439" s="124"/>
      <c r="U439" s="124"/>
      <c r="V439" s="124"/>
      <c r="W439" s="124"/>
      <c r="X439" s="124"/>
      <c r="Y439" s="124"/>
    </row>
    <row r="440" spans="2:25" x14ac:dyDescent="0.25">
      <c r="B440" s="124"/>
      <c r="C440" s="124"/>
      <c r="D440" s="124"/>
      <c r="E440" s="124"/>
      <c r="F440" s="124"/>
      <c r="G440" s="124"/>
      <c r="H440" s="124"/>
      <c r="I440" s="124"/>
      <c r="J440" s="124"/>
      <c r="K440" s="124"/>
      <c r="L440" s="124"/>
      <c r="M440" s="124"/>
      <c r="N440" s="124"/>
      <c r="O440" s="124"/>
      <c r="P440" s="124"/>
      <c r="Q440" s="124"/>
      <c r="R440" s="124"/>
      <c r="S440" s="124"/>
      <c r="T440" s="124"/>
      <c r="U440" s="124"/>
      <c r="V440" s="124"/>
      <c r="W440" s="124"/>
      <c r="X440" s="124"/>
      <c r="Y440" s="124"/>
    </row>
    <row r="441" spans="2:25" x14ac:dyDescent="0.25">
      <c r="B441" s="124"/>
      <c r="C441" s="124"/>
      <c r="D441" s="124"/>
      <c r="E441" s="124"/>
      <c r="F441" s="124"/>
      <c r="G441" s="124"/>
      <c r="H441" s="124"/>
      <c r="I441" s="124"/>
      <c r="J441" s="124"/>
      <c r="K441" s="124"/>
      <c r="L441" s="124"/>
      <c r="M441" s="124"/>
      <c r="N441" s="124"/>
      <c r="O441" s="124"/>
      <c r="P441" s="124"/>
      <c r="Q441" s="124"/>
      <c r="R441" s="124"/>
      <c r="S441" s="124"/>
      <c r="T441" s="124"/>
      <c r="U441" s="124"/>
      <c r="V441" s="124"/>
      <c r="W441" s="124"/>
      <c r="X441" s="124"/>
      <c r="Y441" s="124"/>
    </row>
    <row r="442" spans="2:25" x14ac:dyDescent="0.25">
      <c r="B442" s="124"/>
      <c r="C442" s="124"/>
      <c r="D442" s="124"/>
      <c r="E442" s="124"/>
      <c r="F442" s="124"/>
      <c r="G442" s="124"/>
      <c r="H442" s="124"/>
      <c r="I442" s="124"/>
      <c r="J442" s="124"/>
      <c r="K442" s="124"/>
      <c r="L442" s="124"/>
      <c r="M442" s="124"/>
      <c r="N442" s="124"/>
      <c r="O442" s="124"/>
      <c r="P442" s="124"/>
      <c r="Q442" s="124"/>
      <c r="R442" s="124"/>
      <c r="S442" s="124"/>
      <c r="T442" s="124"/>
      <c r="U442" s="124"/>
      <c r="V442" s="124"/>
      <c r="W442" s="124"/>
      <c r="X442" s="124"/>
      <c r="Y442" s="124"/>
    </row>
    <row r="443" spans="2:25" x14ac:dyDescent="0.25">
      <c r="B443" s="124"/>
      <c r="C443" s="124"/>
      <c r="D443" s="124"/>
      <c r="E443" s="124"/>
      <c r="F443" s="124"/>
      <c r="G443" s="124"/>
      <c r="H443" s="124"/>
      <c r="I443" s="124"/>
      <c r="J443" s="124"/>
      <c r="K443" s="124"/>
      <c r="L443" s="124"/>
      <c r="M443" s="124"/>
      <c r="N443" s="124"/>
      <c r="O443" s="124"/>
      <c r="P443" s="124"/>
      <c r="Q443" s="124"/>
      <c r="R443" s="124"/>
      <c r="S443" s="124"/>
      <c r="T443" s="124"/>
      <c r="U443" s="124"/>
      <c r="V443" s="124"/>
      <c r="W443" s="124"/>
      <c r="X443" s="124"/>
      <c r="Y443" s="124"/>
    </row>
    <row r="444" spans="2:25" x14ac:dyDescent="0.25">
      <c r="B444" s="124"/>
      <c r="C444" s="124"/>
      <c r="D444" s="124"/>
      <c r="E444" s="124"/>
      <c r="F444" s="124"/>
      <c r="G444" s="124"/>
      <c r="H444" s="124"/>
      <c r="I444" s="124"/>
      <c r="J444" s="124"/>
      <c r="K444" s="124"/>
      <c r="L444" s="124"/>
      <c r="M444" s="124"/>
      <c r="N444" s="124"/>
      <c r="O444" s="124"/>
      <c r="P444" s="124"/>
      <c r="Q444" s="124"/>
      <c r="R444" s="124"/>
      <c r="S444" s="124"/>
      <c r="T444" s="124"/>
      <c r="U444" s="124"/>
      <c r="V444" s="124"/>
      <c r="W444" s="124"/>
      <c r="X444" s="124"/>
      <c r="Y444" s="124"/>
    </row>
    <row r="445" spans="2:25" x14ac:dyDescent="0.25">
      <c r="B445" s="124"/>
      <c r="C445" s="124"/>
      <c r="D445" s="124"/>
      <c r="E445" s="124"/>
      <c r="F445" s="124"/>
      <c r="G445" s="124"/>
      <c r="H445" s="124"/>
      <c r="I445" s="124"/>
      <c r="J445" s="124"/>
      <c r="K445" s="124"/>
      <c r="L445" s="124"/>
      <c r="M445" s="124"/>
      <c r="N445" s="124"/>
      <c r="O445" s="124"/>
      <c r="P445" s="124"/>
      <c r="Q445" s="124"/>
      <c r="R445" s="124"/>
      <c r="S445" s="124"/>
      <c r="T445" s="124"/>
      <c r="U445" s="124"/>
      <c r="V445" s="124"/>
      <c r="W445" s="124"/>
      <c r="X445" s="124"/>
      <c r="Y445" s="124"/>
    </row>
    <row r="446" spans="2:25" x14ac:dyDescent="0.25">
      <c r="B446" s="124"/>
      <c r="C446" s="124"/>
      <c r="D446" s="124"/>
      <c r="E446" s="124"/>
      <c r="F446" s="124"/>
      <c r="G446" s="124"/>
      <c r="H446" s="124"/>
      <c r="I446" s="124"/>
      <c r="J446" s="124"/>
      <c r="K446" s="124"/>
      <c r="L446" s="124"/>
      <c r="M446" s="124"/>
      <c r="N446" s="124"/>
      <c r="O446" s="124"/>
      <c r="P446" s="124"/>
      <c r="Q446" s="124"/>
      <c r="R446" s="124"/>
      <c r="S446" s="124"/>
      <c r="T446" s="124"/>
      <c r="U446" s="124"/>
      <c r="V446" s="124"/>
      <c r="W446" s="124"/>
      <c r="X446" s="124"/>
      <c r="Y446" s="124"/>
    </row>
    <row r="447" spans="2:25" x14ac:dyDescent="0.25">
      <c r="B447" s="124"/>
      <c r="C447" s="124"/>
      <c r="D447" s="124"/>
      <c r="E447" s="124"/>
      <c r="F447" s="124"/>
      <c r="G447" s="124"/>
      <c r="H447" s="124"/>
      <c r="I447" s="124"/>
      <c r="J447" s="124"/>
      <c r="K447" s="124"/>
      <c r="L447" s="124"/>
      <c r="M447" s="124"/>
      <c r="N447" s="124"/>
      <c r="O447" s="124"/>
      <c r="P447" s="124"/>
      <c r="Q447" s="124"/>
      <c r="R447" s="124"/>
      <c r="S447" s="124"/>
      <c r="T447" s="124"/>
      <c r="U447" s="124"/>
      <c r="V447" s="124"/>
      <c r="W447" s="124"/>
      <c r="X447" s="124"/>
      <c r="Y447" s="124"/>
    </row>
    <row r="448" spans="2:25" x14ac:dyDescent="0.25">
      <c r="B448" s="124"/>
      <c r="C448" s="124"/>
      <c r="D448" s="124"/>
      <c r="E448" s="124"/>
      <c r="F448" s="124"/>
      <c r="G448" s="124"/>
      <c r="H448" s="124"/>
      <c r="I448" s="124"/>
      <c r="J448" s="124"/>
      <c r="K448" s="124"/>
      <c r="L448" s="124"/>
      <c r="M448" s="124"/>
      <c r="N448" s="124"/>
      <c r="O448" s="124"/>
      <c r="P448" s="124"/>
      <c r="Q448" s="124"/>
      <c r="R448" s="124"/>
      <c r="S448" s="124"/>
      <c r="T448" s="124"/>
      <c r="U448" s="124"/>
      <c r="V448" s="124"/>
      <c r="W448" s="124"/>
      <c r="X448" s="124"/>
      <c r="Y448" s="124"/>
    </row>
    <row r="449" spans="2:25" x14ac:dyDescent="0.25">
      <c r="B449" s="124"/>
      <c r="C449" s="124"/>
      <c r="D449" s="124"/>
      <c r="E449" s="124"/>
      <c r="F449" s="124"/>
      <c r="G449" s="124"/>
      <c r="H449" s="124"/>
      <c r="I449" s="124"/>
      <c r="J449" s="124"/>
      <c r="K449" s="124"/>
      <c r="L449" s="124"/>
      <c r="M449" s="124"/>
      <c r="N449" s="124"/>
      <c r="O449" s="124"/>
      <c r="P449" s="124"/>
      <c r="Q449" s="124"/>
      <c r="R449" s="124"/>
      <c r="S449" s="124"/>
      <c r="T449" s="124"/>
      <c r="U449" s="124"/>
      <c r="V449" s="124"/>
      <c r="W449" s="124"/>
      <c r="X449" s="124"/>
      <c r="Y449" s="124"/>
    </row>
    <row r="450" spans="2:25" x14ac:dyDescent="0.25">
      <c r="B450" s="124"/>
      <c r="C450" s="124"/>
      <c r="D450" s="124"/>
      <c r="E450" s="124"/>
      <c r="F450" s="124"/>
      <c r="G450" s="124"/>
      <c r="H450" s="124"/>
      <c r="I450" s="124"/>
      <c r="J450" s="124"/>
      <c r="K450" s="124"/>
      <c r="L450" s="124"/>
      <c r="M450" s="124"/>
      <c r="N450" s="124"/>
      <c r="O450" s="124"/>
      <c r="P450" s="124"/>
      <c r="Q450" s="124"/>
      <c r="R450" s="124"/>
      <c r="S450" s="124"/>
      <c r="T450" s="124"/>
      <c r="U450" s="124"/>
      <c r="V450" s="124"/>
      <c r="W450" s="124"/>
      <c r="X450" s="124"/>
      <c r="Y450" s="124"/>
    </row>
    <row r="451" spans="2:25" x14ac:dyDescent="0.25">
      <c r="B451" s="124"/>
      <c r="C451" s="124"/>
      <c r="D451" s="124"/>
      <c r="E451" s="124"/>
      <c r="F451" s="124"/>
      <c r="G451" s="124"/>
      <c r="H451" s="124"/>
      <c r="I451" s="124"/>
      <c r="J451" s="124"/>
      <c r="K451" s="124"/>
      <c r="L451" s="124"/>
      <c r="M451" s="124"/>
      <c r="N451" s="124"/>
      <c r="O451" s="124"/>
      <c r="P451" s="124"/>
      <c r="Q451" s="124"/>
      <c r="R451" s="124"/>
      <c r="S451" s="124"/>
      <c r="T451" s="124"/>
      <c r="U451" s="124"/>
      <c r="V451" s="124"/>
      <c r="W451" s="124"/>
      <c r="X451" s="124"/>
      <c r="Y451" s="124"/>
    </row>
    <row r="452" spans="2:25" x14ac:dyDescent="0.25">
      <c r="B452" s="124"/>
      <c r="C452" s="124"/>
      <c r="D452" s="124"/>
      <c r="E452" s="124"/>
      <c r="F452" s="124"/>
      <c r="G452" s="124"/>
      <c r="H452" s="124"/>
      <c r="I452" s="124"/>
      <c r="J452" s="124"/>
      <c r="K452" s="124"/>
      <c r="L452" s="124"/>
      <c r="M452" s="124"/>
      <c r="N452" s="124"/>
      <c r="O452" s="124"/>
      <c r="P452" s="124"/>
      <c r="Q452" s="124"/>
      <c r="R452" s="124"/>
      <c r="S452" s="124"/>
      <c r="T452" s="124"/>
      <c r="U452" s="124"/>
      <c r="V452" s="124"/>
      <c r="W452" s="124"/>
      <c r="X452" s="124"/>
      <c r="Y452" s="124"/>
    </row>
    <row r="453" spans="2:25" x14ac:dyDescent="0.25">
      <c r="B453" s="124"/>
      <c r="C453" s="124"/>
      <c r="D453" s="124"/>
      <c r="E453" s="124"/>
      <c r="F453" s="124"/>
      <c r="G453" s="124"/>
      <c r="H453" s="124"/>
      <c r="I453" s="124"/>
      <c r="J453" s="124"/>
      <c r="K453" s="124"/>
      <c r="L453" s="124"/>
      <c r="M453" s="124"/>
      <c r="N453" s="124"/>
      <c r="O453" s="124"/>
      <c r="P453" s="124"/>
      <c r="Q453" s="124"/>
      <c r="R453" s="124"/>
      <c r="S453" s="124"/>
      <c r="T453" s="124"/>
      <c r="U453" s="124"/>
      <c r="V453" s="124"/>
      <c r="W453" s="124"/>
      <c r="X453" s="124"/>
      <c r="Y453" s="124"/>
    </row>
    <row r="454" spans="2:25" x14ac:dyDescent="0.25">
      <c r="B454" s="124"/>
      <c r="C454" s="124"/>
      <c r="D454" s="124"/>
      <c r="E454" s="124"/>
      <c r="F454" s="124"/>
      <c r="G454" s="124"/>
      <c r="H454" s="124"/>
      <c r="I454" s="124"/>
      <c r="J454" s="124"/>
      <c r="K454" s="124"/>
      <c r="L454" s="124"/>
      <c r="M454" s="124"/>
      <c r="N454" s="124"/>
      <c r="O454" s="124"/>
      <c r="P454" s="124"/>
      <c r="Q454" s="124"/>
      <c r="R454" s="124"/>
      <c r="S454" s="124"/>
      <c r="T454" s="124"/>
      <c r="U454" s="124"/>
      <c r="V454" s="124"/>
      <c r="W454" s="124"/>
      <c r="X454" s="124"/>
      <c r="Y454" s="124"/>
    </row>
    <row r="455" spans="2:25" x14ac:dyDescent="0.25">
      <c r="B455" s="124"/>
      <c r="C455" s="124"/>
      <c r="D455" s="124"/>
      <c r="E455" s="124"/>
      <c r="F455" s="124"/>
      <c r="G455" s="124"/>
      <c r="H455" s="124"/>
      <c r="I455" s="124"/>
      <c r="J455" s="124"/>
      <c r="K455" s="124"/>
      <c r="L455" s="124"/>
      <c r="M455" s="124"/>
      <c r="N455" s="124"/>
      <c r="O455" s="124"/>
      <c r="P455" s="124"/>
      <c r="Q455" s="124"/>
      <c r="R455" s="124"/>
      <c r="S455" s="124"/>
      <c r="T455" s="124"/>
      <c r="U455" s="124"/>
      <c r="V455" s="124"/>
      <c r="W455" s="124"/>
      <c r="X455" s="124"/>
      <c r="Y455" s="124"/>
    </row>
    <row r="456" spans="2:25" x14ac:dyDescent="0.25">
      <c r="B456" s="124"/>
      <c r="C456" s="124"/>
      <c r="D456" s="124"/>
      <c r="E456" s="124"/>
      <c r="F456" s="124"/>
      <c r="G456" s="124"/>
      <c r="H456" s="124"/>
      <c r="I456" s="124"/>
      <c r="J456" s="124"/>
      <c r="K456" s="124"/>
      <c r="L456" s="124"/>
      <c r="M456" s="124"/>
      <c r="N456" s="124"/>
      <c r="O456" s="124"/>
      <c r="P456" s="124"/>
      <c r="Q456" s="124"/>
      <c r="R456" s="124"/>
      <c r="S456" s="124"/>
      <c r="T456" s="124"/>
      <c r="U456" s="124"/>
      <c r="V456" s="124"/>
      <c r="W456" s="124"/>
      <c r="X456" s="124"/>
      <c r="Y456" s="124"/>
    </row>
    <row r="457" spans="2:25" x14ac:dyDescent="0.25">
      <c r="B457" s="124"/>
      <c r="C457" s="124"/>
      <c r="D457" s="124"/>
      <c r="E457" s="124"/>
      <c r="F457" s="124"/>
      <c r="G457" s="124"/>
      <c r="H457" s="124"/>
      <c r="I457" s="124"/>
      <c r="J457" s="124"/>
      <c r="K457" s="124"/>
      <c r="L457" s="124"/>
      <c r="M457" s="124"/>
      <c r="N457" s="124"/>
      <c r="O457" s="124"/>
      <c r="P457" s="124"/>
      <c r="Q457" s="124"/>
      <c r="R457" s="124"/>
      <c r="S457" s="124"/>
      <c r="T457" s="124"/>
      <c r="U457" s="124"/>
      <c r="V457" s="124"/>
      <c r="W457" s="124"/>
      <c r="X457" s="124"/>
      <c r="Y457" s="124"/>
    </row>
    <row r="458" spans="2:25" x14ac:dyDescent="0.25">
      <c r="B458" s="124"/>
      <c r="C458" s="124"/>
      <c r="D458" s="124"/>
      <c r="E458" s="124"/>
      <c r="F458" s="124"/>
      <c r="G458" s="124"/>
      <c r="H458" s="124"/>
      <c r="I458" s="124"/>
      <c r="J458" s="124"/>
      <c r="K458" s="124"/>
      <c r="L458" s="124"/>
      <c r="M458" s="124"/>
      <c r="N458" s="124"/>
      <c r="O458" s="124"/>
      <c r="P458" s="124"/>
      <c r="Q458" s="124"/>
      <c r="R458" s="124"/>
      <c r="S458" s="124"/>
      <c r="T458" s="124"/>
      <c r="U458" s="124"/>
      <c r="V458" s="124"/>
      <c r="W458" s="124"/>
      <c r="X458" s="124"/>
      <c r="Y458" s="124"/>
    </row>
    <row r="459" spans="2:25" x14ac:dyDescent="0.25">
      <c r="B459" s="124"/>
      <c r="C459" s="124"/>
      <c r="D459" s="124"/>
      <c r="E459" s="124"/>
      <c r="F459" s="124"/>
      <c r="G459" s="124"/>
      <c r="H459" s="124"/>
      <c r="I459" s="124"/>
      <c r="J459" s="124"/>
      <c r="K459" s="124"/>
      <c r="L459" s="124"/>
      <c r="M459" s="124"/>
      <c r="N459" s="124"/>
      <c r="O459" s="124"/>
      <c r="P459" s="124"/>
      <c r="Q459" s="124"/>
      <c r="R459" s="124"/>
      <c r="S459" s="124"/>
      <c r="T459" s="124"/>
      <c r="U459" s="124"/>
      <c r="V459" s="124"/>
      <c r="W459" s="124"/>
      <c r="X459" s="124"/>
      <c r="Y459" s="124"/>
    </row>
    <row r="460" spans="2:25" x14ac:dyDescent="0.25">
      <c r="B460" s="124"/>
      <c r="C460" s="124"/>
      <c r="D460" s="124"/>
      <c r="E460" s="124"/>
      <c r="F460" s="124"/>
      <c r="G460" s="124"/>
      <c r="H460" s="124"/>
      <c r="I460" s="124"/>
      <c r="J460" s="124"/>
      <c r="K460" s="124"/>
      <c r="L460" s="124"/>
      <c r="M460" s="124"/>
      <c r="N460" s="124"/>
      <c r="O460" s="124"/>
      <c r="P460" s="124"/>
      <c r="Q460" s="124"/>
      <c r="R460" s="124"/>
      <c r="S460" s="124"/>
      <c r="T460" s="124"/>
      <c r="U460" s="124"/>
      <c r="V460" s="124"/>
      <c r="W460" s="124"/>
      <c r="X460" s="124"/>
      <c r="Y460" s="124"/>
    </row>
    <row r="461" spans="2:25" x14ac:dyDescent="0.25">
      <c r="B461" s="124"/>
      <c r="C461" s="124"/>
      <c r="D461" s="124"/>
      <c r="E461" s="124"/>
      <c r="F461" s="124"/>
      <c r="G461" s="124"/>
      <c r="H461" s="124"/>
      <c r="I461" s="124"/>
      <c r="J461" s="124"/>
      <c r="K461" s="124"/>
      <c r="L461" s="124"/>
      <c r="M461" s="124"/>
      <c r="N461" s="124"/>
      <c r="O461" s="124"/>
      <c r="P461" s="124"/>
      <c r="Q461" s="124"/>
      <c r="R461" s="124"/>
      <c r="S461" s="124"/>
      <c r="T461" s="124"/>
      <c r="U461" s="124"/>
      <c r="V461" s="124"/>
      <c r="W461" s="124"/>
      <c r="X461" s="124"/>
      <c r="Y461" s="124"/>
    </row>
    <row r="462" spans="2:25" x14ac:dyDescent="0.25">
      <c r="B462" s="124"/>
      <c r="C462" s="124"/>
      <c r="D462" s="124"/>
      <c r="E462" s="124"/>
      <c r="F462" s="124"/>
      <c r="G462" s="124"/>
      <c r="H462" s="124"/>
      <c r="I462" s="124"/>
      <c r="J462" s="124"/>
      <c r="K462" s="124"/>
      <c r="L462" s="124"/>
      <c r="M462" s="124"/>
      <c r="N462" s="124"/>
      <c r="O462" s="124"/>
      <c r="P462" s="124"/>
      <c r="Q462" s="124"/>
      <c r="R462" s="124"/>
      <c r="S462" s="124"/>
      <c r="T462" s="124"/>
      <c r="U462" s="124"/>
      <c r="V462" s="124"/>
      <c r="W462" s="124"/>
      <c r="X462" s="124"/>
      <c r="Y462" s="124"/>
    </row>
    <row r="463" spans="2:25" x14ac:dyDescent="0.25">
      <c r="B463" s="124"/>
      <c r="C463" s="124"/>
      <c r="D463" s="124"/>
      <c r="E463" s="124"/>
      <c r="F463" s="124"/>
      <c r="G463" s="124"/>
      <c r="H463" s="124"/>
      <c r="I463" s="124"/>
      <c r="J463" s="124"/>
      <c r="K463" s="124"/>
      <c r="L463" s="124"/>
      <c r="M463" s="124"/>
      <c r="N463" s="124"/>
      <c r="O463" s="124"/>
      <c r="P463" s="124"/>
      <c r="Q463" s="124"/>
      <c r="R463" s="124"/>
      <c r="S463" s="124"/>
      <c r="T463" s="124"/>
      <c r="U463" s="124"/>
      <c r="V463" s="124"/>
      <c r="W463" s="124"/>
      <c r="X463" s="124"/>
      <c r="Y463" s="124"/>
    </row>
    <row r="464" spans="2:25" x14ac:dyDescent="0.25">
      <c r="B464" s="124"/>
      <c r="C464" s="124"/>
      <c r="D464" s="124"/>
      <c r="E464" s="124"/>
      <c r="F464" s="124"/>
      <c r="G464" s="124"/>
      <c r="H464" s="124"/>
      <c r="I464" s="124"/>
      <c r="J464" s="124"/>
      <c r="K464" s="124"/>
      <c r="L464" s="124"/>
      <c r="M464" s="124"/>
      <c r="N464" s="124"/>
      <c r="O464" s="124"/>
      <c r="P464" s="124"/>
      <c r="Q464" s="124"/>
      <c r="R464" s="124"/>
      <c r="S464" s="124"/>
      <c r="T464" s="124"/>
      <c r="U464" s="124"/>
      <c r="V464" s="124"/>
      <c r="W464" s="124"/>
      <c r="X464" s="124"/>
      <c r="Y464" s="124"/>
    </row>
    <row r="465" spans="2:25" x14ac:dyDescent="0.25">
      <c r="B465" s="124"/>
      <c r="C465" s="124"/>
      <c r="D465" s="124"/>
      <c r="E465" s="124"/>
      <c r="F465" s="124"/>
      <c r="G465" s="124"/>
      <c r="H465" s="124"/>
      <c r="I465" s="124"/>
      <c r="J465" s="124"/>
      <c r="K465" s="124"/>
      <c r="L465" s="124"/>
      <c r="M465" s="124"/>
      <c r="N465" s="124"/>
      <c r="O465" s="124"/>
      <c r="P465" s="124"/>
      <c r="Q465" s="124"/>
      <c r="R465" s="124"/>
      <c r="S465" s="124"/>
      <c r="T465" s="124"/>
      <c r="U465" s="124"/>
      <c r="V465" s="124"/>
      <c r="W465" s="124"/>
      <c r="X465" s="124"/>
      <c r="Y465" s="124"/>
    </row>
    <row r="466" spans="2:25" x14ac:dyDescent="0.25">
      <c r="B466" s="124"/>
      <c r="C466" s="124"/>
      <c r="D466" s="124"/>
      <c r="E466" s="124"/>
      <c r="F466" s="124"/>
      <c r="G466" s="124"/>
      <c r="H466" s="124"/>
      <c r="I466" s="124"/>
      <c r="J466" s="124"/>
      <c r="K466" s="124"/>
      <c r="L466" s="124"/>
      <c r="M466" s="124"/>
      <c r="N466" s="124"/>
      <c r="O466" s="124"/>
      <c r="P466" s="124"/>
      <c r="Q466" s="124"/>
      <c r="R466" s="124"/>
      <c r="S466" s="124"/>
      <c r="T466" s="124"/>
      <c r="U466" s="124"/>
      <c r="V466" s="124"/>
      <c r="W466" s="124"/>
      <c r="X466" s="124"/>
      <c r="Y466" s="124"/>
    </row>
    <row r="467" spans="2:25" x14ac:dyDescent="0.25">
      <c r="B467" s="124"/>
      <c r="C467" s="124"/>
      <c r="D467" s="124"/>
      <c r="E467" s="124"/>
      <c r="F467" s="124"/>
      <c r="G467" s="124"/>
      <c r="H467" s="124"/>
      <c r="I467" s="124"/>
      <c r="J467" s="124"/>
      <c r="K467" s="124"/>
      <c r="L467" s="124"/>
      <c r="M467" s="124"/>
      <c r="N467" s="124"/>
      <c r="O467" s="124"/>
      <c r="P467" s="124"/>
      <c r="Q467" s="124"/>
      <c r="R467" s="124"/>
      <c r="S467" s="124"/>
      <c r="T467" s="124"/>
      <c r="U467" s="124"/>
      <c r="V467" s="124"/>
      <c r="W467" s="124"/>
      <c r="X467" s="124"/>
      <c r="Y467" s="124"/>
    </row>
    <row r="468" spans="2:25" x14ac:dyDescent="0.25">
      <c r="B468" s="124"/>
      <c r="C468" s="124"/>
      <c r="D468" s="124"/>
      <c r="E468" s="124"/>
      <c r="F468" s="124"/>
      <c r="G468" s="124"/>
      <c r="H468" s="124"/>
      <c r="I468" s="124"/>
      <c r="J468" s="124"/>
      <c r="K468" s="124"/>
      <c r="L468" s="124"/>
      <c r="M468" s="124"/>
      <c r="N468" s="124"/>
      <c r="O468" s="124"/>
      <c r="P468" s="124"/>
      <c r="Q468" s="124"/>
      <c r="R468" s="124"/>
      <c r="S468" s="124"/>
      <c r="T468" s="124"/>
      <c r="U468" s="124"/>
      <c r="V468" s="124"/>
      <c r="W468" s="124"/>
      <c r="X468" s="124"/>
      <c r="Y468" s="124"/>
    </row>
    <row r="469" spans="2:25" x14ac:dyDescent="0.25">
      <c r="B469" s="124"/>
      <c r="C469" s="124"/>
      <c r="D469" s="124"/>
      <c r="E469" s="124"/>
      <c r="F469" s="124"/>
      <c r="G469" s="124"/>
      <c r="H469" s="124"/>
      <c r="I469" s="124"/>
      <c r="J469" s="124"/>
      <c r="K469" s="124"/>
      <c r="L469" s="124"/>
      <c r="M469" s="124"/>
      <c r="N469" s="124"/>
      <c r="O469" s="124"/>
      <c r="P469" s="124"/>
      <c r="Q469" s="124"/>
      <c r="R469" s="124"/>
      <c r="S469" s="124"/>
      <c r="T469" s="124"/>
      <c r="U469" s="124"/>
      <c r="V469" s="124"/>
      <c r="W469" s="124"/>
      <c r="X469" s="124"/>
      <c r="Y469" s="124"/>
    </row>
    <row r="470" spans="2:25" x14ac:dyDescent="0.25">
      <c r="B470" s="124"/>
      <c r="C470" s="124"/>
      <c r="D470" s="124"/>
      <c r="E470" s="124"/>
      <c r="F470" s="124"/>
      <c r="G470" s="124"/>
      <c r="H470" s="124"/>
      <c r="I470" s="124"/>
      <c r="J470" s="124"/>
      <c r="K470" s="124"/>
      <c r="L470" s="124"/>
      <c r="M470" s="124"/>
      <c r="N470" s="124"/>
      <c r="O470" s="124"/>
      <c r="P470" s="124"/>
      <c r="Q470" s="124"/>
      <c r="R470" s="124"/>
      <c r="S470" s="124"/>
      <c r="T470" s="124"/>
      <c r="U470" s="124"/>
      <c r="V470" s="124"/>
      <c r="W470" s="124"/>
      <c r="X470" s="124"/>
      <c r="Y470" s="124"/>
    </row>
    <row r="471" spans="2:25" x14ac:dyDescent="0.25">
      <c r="B471" s="124"/>
      <c r="C471" s="124"/>
      <c r="D471" s="124"/>
      <c r="E471" s="124"/>
      <c r="F471" s="124"/>
      <c r="G471" s="124"/>
      <c r="H471" s="124"/>
      <c r="I471" s="124"/>
      <c r="J471" s="124"/>
      <c r="K471" s="124"/>
      <c r="L471" s="124"/>
      <c r="M471" s="124"/>
      <c r="N471" s="124"/>
      <c r="O471" s="124"/>
      <c r="P471" s="124"/>
      <c r="Q471" s="124"/>
      <c r="R471" s="124"/>
      <c r="S471" s="124"/>
      <c r="T471" s="124"/>
      <c r="U471" s="124"/>
      <c r="V471" s="124"/>
      <c r="W471" s="124"/>
      <c r="X471" s="124"/>
      <c r="Y471" s="124"/>
    </row>
    <row r="472" spans="2:25" x14ac:dyDescent="0.25">
      <c r="B472" s="124"/>
      <c r="C472" s="124"/>
      <c r="D472" s="124"/>
      <c r="E472" s="124"/>
      <c r="F472" s="124"/>
      <c r="G472" s="124"/>
      <c r="H472" s="124"/>
      <c r="I472" s="124"/>
      <c r="J472" s="124"/>
      <c r="K472" s="124"/>
      <c r="L472" s="124"/>
      <c r="M472" s="124"/>
      <c r="N472" s="124"/>
      <c r="O472" s="124"/>
      <c r="P472" s="124"/>
      <c r="Q472" s="124"/>
      <c r="R472" s="124"/>
      <c r="S472" s="124"/>
      <c r="T472" s="124"/>
      <c r="U472" s="124"/>
      <c r="V472" s="124"/>
      <c r="W472" s="124"/>
      <c r="X472" s="124"/>
      <c r="Y472" s="124"/>
    </row>
    <row r="473" spans="2:25" x14ac:dyDescent="0.25">
      <c r="B473" s="124"/>
      <c r="C473" s="124"/>
      <c r="D473" s="124"/>
      <c r="E473" s="124"/>
      <c r="F473" s="124"/>
      <c r="G473" s="124"/>
      <c r="H473" s="124"/>
      <c r="I473" s="124"/>
      <c r="J473" s="124"/>
      <c r="K473" s="124"/>
      <c r="L473" s="124"/>
      <c r="M473" s="124"/>
      <c r="N473" s="124"/>
      <c r="O473" s="124"/>
      <c r="P473" s="124"/>
      <c r="Q473" s="124"/>
      <c r="R473" s="124"/>
      <c r="S473" s="124"/>
      <c r="T473" s="124"/>
      <c r="U473" s="124"/>
      <c r="V473" s="124"/>
      <c r="W473" s="124"/>
      <c r="X473" s="124"/>
      <c r="Y473" s="124"/>
    </row>
    <row r="474" spans="2:25" x14ac:dyDescent="0.25">
      <c r="B474" s="124"/>
      <c r="C474" s="124"/>
      <c r="D474" s="124"/>
      <c r="E474" s="124"/>
      <c r="F474" s="124"/>
      <c r="G474" s="124"/>
      <c r="H474" s="124"/>
      <c r="I474" s="124"/>
      <c r="J474" s="124"/>
      <c r="K474" s="124"/>
      <c r="L474" s="124"/>
      <c r="M474" s="124"/>
      <c r="N474" s="124"/>
      <c r="O474" s="124"/>
      <c r="P474" s="124"/>
      <c r="Q474" s="124"/>
      <c r="R474" s="124"/>
      <c r="S474" s="124"/>
      <c r="T474" s="124"/>
      <c r="U474" s="124"/>
      <c r="V474" s="124"/>
      <c r="W474" s="124"/>
      <c r="X474" s="124"/>
      <c r="Y474" s="124"/>
    </row>
    <row r="475" spans="2:25" x14ac:dyDescent="0.25">
      <c r="B475" s="124"/>
      <c r="C475" s="124"/>
      <c r="D475" s="124"/>
      <c r="E475" s="124"/>
      <c r="F475" s="124"/>
      <c r="G475" s="124"/>
      <c r="H475" s="124"/>
      <c r="I475" s="124"/>
      <c r="J475" s="124"/>
      <c r="K475" s="124"/>
      <c r="L475" s="124"/>
      <c r="M475" s="124"/>
      <c r="N475" s="124"/>
      <c r="O475" s="124"/>
      <c r="P475" s="124"/>
      <c r="Q475" s="124"/>
      <c r="R475" s="124"/>
      <c r="S475" s="124"/>
      <c r="T475" s="124"/>
      <c r="U475" s="124"/>
      <c r="V475" s="124"/>
      <c r="W475" s="124"/>
      <c r="X475" s="124"/>
      <c r="Y475" s="124"/>
    </row>
    <row r="476" spans="2:25" x14ac:dyDescent="0.25">
      <c r="B476" s="124"/>
      <c r="C476" s="124"/>
      <c r="D476" s="124"/>
      <c r="E476" s="124"/>
      <c r="F476" s="124"/>
      <c r="G476" s="124"/>
      <c r="H476" s="124"/>
      <c r="I476" s="124"/>
      <c r="J476" s="124"/>
      <c r="K476" s="124"/>
      <c r="L476" s="124"/>
      <c r="M476" s="124"/>
      <c r="N476" s="124"/>
      <c r="O476" s="124"/>
      <c r="P476" s="124"/>
      <c r="Q476" s="124"/>
      <c r="R476" s="124"/>
      <c r="S476" s="124"/>
      <c r="T476" s="124"/>
      <c r="U476" s="124"/>
      <c r="V476" s="124"/>
      <c r="W476" s="124"/>
      <c r="X476" s="124"/>
      <c r="Y476" s="124"/>
    </row>
    <row r="477" spans="2:25" x14ac:dyDescent="0.25">
      <c r="B477" s="124"/>
      <c r="C477" s="124"/>
      <c r="D477" s="124"/>
      <c r="E477" s="124"/>
      <c r="F477" s="124"/>
      <c r="G477" s="124"/>
      <c r="H477" s="124"/>
      <c r="I477" s="124"/>
      <c r="J477" s="124"/>
      <c r="K477" s="124"/>
      <c r="L477" s="124"/>
      <c r="M477" s="124"/>
      <c r="N477" s="124"/>
      <c r="O477" s="124"/>
      <c r="P477" s="124"/>
      <c r="Q477" s="124"/>
      <c r="R477" s="124"/>
      <c r="S477" s="124"/>
      <c r="T477" s="124"/>
      <c r="U477" s="124"/>
      <c r="V477" s="124"/>
      <c r="W477" s="124"/>
      <c r="X477" s="124"/>
      <c r="Y477" s="124"/>
    </row>
    <row r="478" spans="2:25" x14ac:dyDescent="0.25">
      <c r="B478" s="124"/>
      <c r="C478" s="124"/>
      <c r="D478" s="124"/>
      <c r="E478" s="124"/>
      <c r="F478" s="124"/>
      <c r="G478" s="124"/>
      <c r="H478" s="124"/>
      <c r="I478" s="124"/>
      <c r="J478" s="124"/>
      <c r="K478" s="124"/>
      <c r="L478" s="124"/>
      <c r="M478" s="124"/>
      <c r="N478" s="124"/>
      <c r="O478" s="124"/>
      <c r="P478" s="124"/>
      <c r="Q478" s="124"/>
      <c r="R478" s="124"/>
      <c r="S478" s="124"/>
      <c r="T478" s="124"/>
      <c r="U478" s="124"/>
      <c r="V478" s="124"/>
      <c r="W478" s="124"/>
      <c r="X478" s="124"/>
      <c r="Y478" s="124"/>
    </row>
    <row r="479" spans="2:25" x14ac:dyDescent="0.25">
      <c r="B479" s="124"/>
      <c r="C479" s="124"/>
      <c r="D479" s="124"/>
      <c r="E479" s="124"/>
      <c r="F479" s="124"/>
      <c r="G479" s="124"/>
      <c r="H479" s="124"/>
      <c r="I479" s="124"/>
      <c r="J479" s="124"/>
      <c r="K479" s="124"/>
      <c r="L479" s="124"/>
      <c r="M479" s="124"/>
      <c r="N479" s="124"/>
      <c r="O479" s="124"/>
      <c r="P479" s="124"/>
      <c r="Q479" s="124"/>
      <c r="R479" s="124"/>
      <c r="S479" s="124"/>
      <c r="T479" s="124"/>
      <c r="U479" s="124"/>
      <c r="V479" s="124"/>
      <c r="W479" s="124"/>
      <c r="X479" s="124"/>
      <c r="Y479" s="124"/>
    </row>
    <row r="480" spans="2:25" x14ac:dyDescent="0.25">
      <c r="B480" s="124"/>
      <c r="C480" s="124"/>
      <c r="D480" s="124"/>
      <c r="E480" s="124"/>
      <c r="F480" s="124"/>
      <c r="G480" s="124"/>
      <c r="H480" s="124"/>
      <c r="I480" s="124"/>
      <c r="J480" s="124"/>
      <c r="K480" s="124"/>
      <c r="L480" s="124"/>
      <c r="M480" s="124"/>
      <c r="N480" s="124"/>
      <c r="O480" s="124"/>
      <c r="P480" s="124"/>
      <c r="Q480" s="124"/>
      <c r="R480" s="124"/>
      <c r="S480" s="124"/>
      <c r="T480" s="124"/>
      <c r="U480" s="124"/>
      <c r="V480" s="124"/>
      <c r="W480" s="124"/>
      <c r="X480" s="124"/>
      <c r="Y480" s="124"/>
    </row>
    <row r="481" spans="2:25" x14ac:dyDescent="0.25">
      <c r="B481" s="124"/>
      <c r="C481" s="124"/>
      <c r="D481" s="124"/>
      <c r="E481" s="124"/>
      <c r="F481" s="124"/>
      <c r="G481" s="124"/>
      <c r="H481" s="124"/>
      <c r="I481" s="124"/>
      <c r="J481" s="124"/>
      <c r="K481" s="124"/>
      <c r="L481" s="124"/>
      <c r="M481" s="124"/>
      <c r="N481" s="124"/>
      <c r="O481" s="124"/>
      <c r="P481" s="124"/>
      <c r="Q481" s="124"/>
      <c r="R481" s="124"/>
      <c r="S481" s="124"/>
      <c r="T481" s="124"/>
      <c r="U481" s="124"/>
      <c r="V481" s="124"/>
      <c r="W481" s="124"/>
      <c r="X481" s="124"/>
      <c r="Y481" s="124"/>
    </row>
    <row r="482" spans="2:25" x14ac:dyDescent="0.25">
      <c r="B482" s="124"/>
      <c r="C482" s="124"/>
      <c r="D482" s="124"/>
      <c r="E482" s="124"/>
      <c r="F482" s="124"/>
      <c r="G482" s="124"/>
      <c r="H482" s="124"/>
      <c r="I482" s="124"/>
      <c r="J482" s="124"/>
      <c r="K482" s="124"/>
      <c r="L482" s="124"/>
      <c r="M482" s="124"/>
      <c r="N482" s="124"/>
      <c r="O482" s="124"/>
      <c r="P482" s="124"/>
      <c r="Q482" s="124"/>
      <c r="R482" s="124"/>
      <c r="S482" s="124"/>
      <c r="T482" s="124"/>
      <c r="U482" s="124"/>
      <c r="V482" s="124"/>
      <c r="W482" s="124"/>
      <c r="X482" s="124"/>
      <c r="Y482" s="124"/>
    </row>
    <row r="483" spans="2:25" x14ac:dyDescent="0.25">
      <c r="B483" s="124"/>
      <c r="C483" s="124"/>
      <c r="D483" s="124"/>
      <c r="E483" s="124"/>
      <c r="F483" s="124"/>
      <c r="G483" s="124"/>
      <c r="H483" s="124"/>
      <c r="I483" s="124"/>
      <c r="J483" s="124"/>
      <c r="K483" s="124"/>
      <c r="L483" s="124"/>
      <c r="M483" s="124"/>
      <c r="N483" s="124"/>
      <c r="O483" s="124"/>
      <c r="P483" s="124"/>
      <c r="Q483" s="124"/>
      <c r="R483" s="124"/>
      <c r="S483" s="124"/>
      <c r="T483" s="124"/>
      <c r="U483" s="124"/>
      <c r="V483" s="124"/>
      <c r="W483" s="124"/>
      <c r="X483" s="124"/>
      <c r="Y483" s="124"/>
    </row>
    <row r="484" spans="2:25" x14ac:dyDescent="0.25">
      <c r="B484" s="124"/>
      <c r="C484" s="124"/>
      <c r="D484" s="124"/>
      <c r="E484" s="124"/>
      <c r="F484" s="124"/>
      <c r="G484" s="124"/>
      <c r="H484" s="124"/>
      <c r="I484" s="124"/>
      <c r="J484" s="124"/>
      <c r="K484" s="124"/>
      <c r="L484" s="124"/>
      <c r="M484" s="124"/>
      <c r="N484" s="124"/>
      <c r="O484" s="124"/>
      <c r="P484" s="124"/>
      <c r="Q484" s="124"/>
      <c r="R484" s="124"/>
      <c r="S484" s="124"/>
      <c r="T484" s="124"/>
      <c r="U484" s="124"/>
      <c r="V484" s="124"/>
      <c r="W484" s="124"/>
      <c r="X484" s="124"/>
      <c r="Y484" s="124"/>
    </row>
    <row r="485" spans="2:25" x14ac:dyDescent="0.25">
      <c r="B485" s="124"/>
      <c r="C485" s="124"/>
      <c r="D485" s="124"/>
      <c r="E485" s="124"/>
      <c r="F485" s="124"/>
      <c r="G485" s="124"/>
      <c r="H485" s="124"/>
      <c r="I485" s="124"/>
      <c r="J485" s="124"/>
      <c r="K485" s="124"/>
      <c r="L485" s="124"/>
      <c r="M485" s="124"/>
      <c r="N485" s="124"/>
      <c r="O485" s="124"/>
      <c r="P485" s="124"/>
      <c r="Q485" s="124"/>
      <c r="R485" s="124"/>
      <c r="S485" s="124"/>
      <c r="T485" s="124"/>
      <c r="U485" s="124"/>
      <c r="V485" s="124"/>
      <c r="W485" s="124"/>
      <c r="X485" s="124"/>
      <c r="Y485" s="124"/>
    </row>
    <row r="486" spans="2:25" x14ac:dyDescent="0.25">
      <c r="B486" s="124"/>
      <c r="C486" s="124"/>
      <c r="D486" s="124"/>
      <c r="E486" s="124"/>
      <c r="F486" s="124"/>
      <c r="G486" s="124"/>
      <c r="H486" s="124"/>
      <c r="I486" s="124"/>
      <c r="J486" s="124"/>
      <c r="K486" s="124"/>
      <c r="L486" s="124"/>
      <c r="M486" s="124"/>
      <c r="N486" s="124"/>
      <c r="O486" s="124"/>
      <c r="P486" s="124"/>
      <c r="Q486" s="124"/>
      <c r="R486" s="124"/>
      <c r="S486" s="124"/>
      <c r="T486" s="124"/>
      <c r="U486" s="124"/>
      <c r="V486" s="124"/>
      <c r="W486" s="124"/>
      <c r="X486" s="124"/>
      <c r="Y486" s="124"/>
    </row>
    <row r="487" spans="2:25" x14ac:dyDescent="0.25">
      <c r="B487" s="124"/>
      <c r="C487" s="124"/>
      <c r="D487" s="124"/>
      <c r="E487" s="124"/>
      <c r="F487" s="124"/>
      <c r="G487" s="124"/>
      <c r="H487" s="124"/>
      <c r="I487" s="124"/>
      <c r="J487" s="124"/>
      <c r="K487" s="124"/>
      <c r="L487" s="124"/>
      <c r="M487" s="124"/>
      <c r="N487" s="124"/>
      <c r="O487" s="124"/>
      <c r="P487" s="124"/>
      <c r="Q487" s="124"/>
      <c r="R487" s="124"/>
      <c r="S487" s="124"/>
      <c r="T487" s="124"/>
      <c r="U487" s="124"/>
      <c r="V487" s="124"/>
      <c r="W487" s="124"/>
      <c r="X487" s="124"/>
      <c r="Y487" s="124"/>
    </row>
    <row r="488" spans="2:25" x14ac:dyDescent="0.25">
      <c r="B488" s="124"/>
      <c r="C488" s="124"/>
      <c r="D488" s="124"/>
      <c r="E488" s="124"/>
      <c r="F488" s="124"/>
      <c r="G488" s="124"/>
      <c r="H488" s="124"/>
      <c r="I488" s="124"/>
      <c r="J488" s="124"/>
      <c r="K488" s="124"/>
      <c r="L488" s="124"/>
      <c r="M488" s="124"/>
      <c r="N488" s="124"/>
      <c r="O488" s="124"/>
      <c r="P488" s="124"/>
      <c r="Q488" s="124"/>
      <c r="R488" s="124"/>
      <c r="S488" s="124"/>
      <c r="T488" s="124"/>
      <c r="U488" s="124"/>
      <c r="V488" s="124"/>
      <c r="W488" s="124"/>
      <c r="X488" s="124"/>
      <c r="Y488" s="124"/>
    </row>
    <row r="489" spans="2:25" x14ac:dyDescent="0.25">
      <c r="B489" s="124"/>
      <c r="C489" s="124"/>
      <c r="D489" s="124"/>
      <c r="E489" s="124"/>
      <c r="F489" s="124"/>
      <c r="G489" s="124"/>
      <c r="H489" s="124"/>
      <c r="I489" s="124"/>
      <c r="J489" s="124"/>
      <c r="K489" s="124"/>
      <c r="L489" s="124"/>
      <c r="M489" s="124"/>
      <c r="N489" s="124"/>
      <c r="O489" s="124"/>
      <c r="P489" s="124"/>
      <c r="Q489" s="124"/>
      <c r="R489" s="124"/>
      <c r="S489" s="124"/>
      <c r="T489" s="124"/>
      <c r="U489" s="124"/>
      <c r="V489" s="124"/>
      <c r="W489" s="124"/>
      <c r="X489" s="124"/>
      <c r="Y489" s="124"/>
    </row>
    <row r="490" spans="2:25" x14ac:dyDescent="0.25">
      <c r="B490" s="124"/>
      <c r="C490" s="124"/>
      <c r="D490" s="124"/>
      <c r="E490" s="124"/>
      <c r="F490" s="124"/>
      <c r="G490" s="124"/>
      <c r="H490" s="124"/>
      <c r="I490" s="124"/>
      <c r="J490" s="124"/>
      <c r="K490" s="124"/>
      <c r="L490" s="124"/>
      <c r="M490" s="124"/>
      <c r="N490" s="124"/>
      <c r="O490" s="124"/>
      <c r="P490" s="124"/>
      <c r="Q490" s="124"/>
      <c r="R490" s="124"/>
      <c r="S490" s="124"/>
      <c r="T490" s="124"/>
      <c r="U490" s="124"/>
      <c r="V490" s="124"/>
      <c r="W490" s="124"/>
      <c r="X490" s="124"/>
      <c r="Y490" s="124"/>
    </row>
    <row r="491" spans="2:25" x14ac:dyDescent="0.25">
      <c r="B491" s="124"/>
      <c r="C491" s="124"/>
      <c r="D491" s="124"/>
      <c r="E491" s="124"/>
      <c r="F491" s="124"/>
      <c r="G491" s="124"/>
      <c r="H491" s="124"/>
      <c r="I491" s="124"/>
      <c r="J491" s="124"/>
      <c r="K491" s="124"/>
      <c r="L491" s="124"/>
      <c r="M491" s="124"/>
      <c r="N491" s="124"/>
      <c r="O491" s="124"/>
      <c r="P491" s="124"/>
      <c r="Q491" s="124"/>
      <c r="R491" s="124"/>
      <c r="S491" s="124"/>
      <c r="T491" s="124"/>
      <c r="U491" s="124"/>
      <c r="V491" s="124"/>
      <c r="W491" s="124"/>
      <c r="X491" s="124"/>
      <c r="Y491" s="124"/>
    </row>
    <row r="492" spans="2:25" x14ac:dyDescent="0.25">
      <c r="B492" s="124"/>
      <c r="C492" s="124"/>
      <c r="D492" s="124"/>
      <c r="E492" s="124"/>
      <c r="F492" s="124"/>
      <c r="G492" s="124"/>
      <c r="H492" s="124"/>
      <c r="I492" s="124"/>
      <c r="J492" s="124"/>
      <c r="K492" s="124"/>
      <c r="L492" s="124"/>
      <c r="M492" s="124"/>
      <c r="N492" s="124"/>
      <c r="O492" s="124"/>
      <c r="P492" s="124"/>
      <c r="Q492" s="124"/>
      <c r="R492" s="124"/>
      <c r="S492" s="124"/>
      <c r="T492" s="124"/>
      <c r="U492" s="124"/>
      <c r="V492" s="124"/>
      <c r="W492" s="124"/>
      <c r="X492" s="124"/>
      <c r="Y492" s="124"/>
    </row>
    <row r="493" spans="2:25" x14ac:dyDescent="0.25">
      <c r="B493" s="124"/>
      <c r="C493" s="124"/>
      <c r="D493" s="124"/>
      <c r="E493" s="124"/>
      <c r="F493" s="124"/>
      <c r="G493" s="124"/>
      <c r="H493" s="124"/>
      <c r="I493" s="124"/>
      <c r="J493" s="124"/>
      <c r="K493" s="124"/>
      <c r="L493" s="124"/>
      <c r="M493" s="124"/>
      <c r="N493" s="124"/>
      <c r="O493" s="124"/>
      <c r="P493" s="124"/>
      <c r="Q493" s="124"/>
      <c r="R493" s="124"/>
      <c r="S493" s="124"/>
      <c r="T493" s="124"/>
      <c r="U493" s="124"/>
      <c r="V493" s="124"/>
      <c r="W493" s="124"/>
      <c r="X493" s="124"/>
      <c r="Y493" s="124"/>
    </row>
    <row r="494" spans="2:25" x14ac:dyDescent="0.25">
      <c r="B494" s="124"/>
      <c r="C494" s="124"/>
      <c r="D494" s="124"/>
      <c r="E494" s="124"/>
      <c r="F494" s="124"/>
      <c r="G494" s="124"/>
      <c r="H494" s="124"/>
      <c r="I494" s="124"/>
      <c r="J494" s="124"/>
      <c r="K494" s="124"/>
      <c r="L494" s="124"/>
      <c r="M494" s="124"/>
      <c r="N494" s="124"/>
      <c r="O494" s="124"/>
      <c r="P494" s="124"/>
      <c r="Q494" s="124"/>
      <c r="R494" s="124"/>
      <c r="S494" s="124"/>
      <c r="T494" s="124"/>
      <c r="U494" s="124"/>
      <c r="V494" s="124"/>
      <c r="W494" s="124"/>
      <c r="X494" s="124"/>
      <c r="Y494" s="124"/>
    </row>
    <row r="495" spans="2:25" x14ac:dyDescent="0.25">
      <c r="B495" s="124"/>
      <c r="C495" s="124"/>
      <c r="D495" s="124"/>
      <c r="E495" s="124"/>
      <c r="F495" s="124"/>
      <c r="G495" s="124"/>
      <c r="H495" s="124"/>
      <c r="I495" s="124"/>
      <c r="J495" s="124"/>
      <c r="K495" s="124"/>
      <c r="L495" s="124"/>
      <c r="M495" s="124"/>
      <c r="N495" s="124"/>
      <c r="O495" s="124"/>
      <c r="P495" s="124"/>
      <c r="Q495" s="124"/>
      <c r="R495" s="124"/>
      <c r="S495" s="124"/>
      <c r="T495" s="124"/>
      <c r="U495" s="124"/>
      <c r="V495" s="124"/>
      <c r="W495" s="124"/>
      <c r="X495" s="124"/>
      <c r="Y495" s="124"/>
    </row>
    <row r="496" spans="2:25" x14ac:dyDescent="0.25">
      <c r="B496" s="124"/>
      <c r="C496" s="124"/>
      <c r="D496" s="124"/>
      <c r="E496" s="124"/>
      <c r="F496" s="124"/>
      <c r="G496" s="124"/>
      <c r="H496" s="124"/>
      <c r="I496" s="124"/>
      <c r="J496" s="124"/>
      <c r="K496" s="124"/>
      <c r="L496" s="124"/>
      <c r="M496" s="124"/>
      <c r="N496" s="124"/>
      <c r="O496" s="124"/>
      <c r="P496" s="124"/>
      <c r="Q496" s="124"/>
      <c r="R496" s="124"/>
      <c r="S496" s="124"/>
      <c r="T496" s="124"/>
      <c r="U496" s="124"/>
      <c r="V496" s="124"/>
      <c r="W496" s="124"/>
      <c r="X496" s="124"/>
      <c r="Y496" s="124"/>
    </row>
    <row r="497" spans="2:25" x14ac:dyDescent="0.25">
      <c r="B497" s="124"/>
      <c r="C497" s="124"/>
      <c r="D497" s="124"/>
      <c r="E497" s="124"/>
      <c r="F497" s="124"/>
      <c r="G497" s="124"/>
      <c r="H497" s="124"/>
      <c r="I497" s="124"/>
      <c r="J497" s="124"/>
      <c r="K497" s="124"/>
      <c r="L497" s="124"/>
      <c r="M497" s="124"/>
      <c r="N497" s="124"/>
      <c r="O497" s="124"/>
      <c r="P497" s="124"/>
      <c r="Q497" s="124"/>
      <c r="R497" s="124"/>
      <c r="S497" s="124"/>
      <c r="T497" s="124"/>
      <c r="U497" s="124"/>
      <c r="V497" s="124"/>
      <c r="W497" s="124"/>
      <c r="X497" s="124"/>
      <c r="Y497" s="124"/>
    </row>
    <row r="498" spans="2:25" x14ac:dyDescent="0.25">
      <c r="B498" s="124"/>
      <c r="C498" s="124"/>
      <c r="D498" s="124"/>
      <c r="E498" s="124"/>
      <c r="F498" s="124"/>
      <c r="G498" s="124"/>
      <c r="H498" s="124"/>
      <c r="I498" s="124"/>
      <c r="J498" s="124"/>
      <c r="K498" s="124"/>
      <c r="L498" s="124"/>
      <c r="M498" s="124"/>
      <c r="N498" s="124"/>
      <c r="O498" s="124"/>
      <c r="P498" s="124"/>
      <c r="Q498" s="124"/>
      <c r="R498" s="124"/>
      <c r="S498" s="124"/>
      <c r="T498" s="124"/>
      <c r="U498" s="124"/>
      <c r="V498" s="124"/>
      <c r="W498" s="124"/>
      <c r="X498" s="124"/>
      <c r="Y498" s="124"/>
    </row>
    <row r="499" spans="2:25" x14ac:dyDescent="0.25">
      <c r="B499" s="124"/>
      <c r="C499" s="124"/>
      <c r="D499" s="124"/>
      <c r="E499" s="124"/>
      <c r="F499" s="124"/>
      <c r="G499" s="124"/>
      <c r="H499" s="124"/>
      <c r="I499" s="124"/>
      <c r="J499" s="124"/>
      <c r="K499" s="124"/>
      <c r="L499" s="124"/>
      <c r="M499" s="124"/>
      <c r="N499" s="124"/>
      <c r="O499" s="124"/>
      <c r="P499" s="124"/>
      <c r="Q499" s="124"/>
      <c r="R499" s="124"/>
      <c r="S499" s="124"/>
      <c r="T499" s="124"/>
      <c r="U499" s="124"/>
      <c r="V499" s="124"/>
      <c r="W499" s="124"/>
      <c r="X499" s="124"/>
      <c r="Y499" s="124"/>
    </row>
    <row r="500" spans="2:25" x14ac:dyDescent="0.25">
      <c r="B500" s="124"/>
      <c r="C500" s="124"/>
      <c r="D500" s="124"/>
      <c r="E500" s="124"/>
      <c r="F500" s="124"/>
      <c r="G500" s="124"/>
      <c r="H500" s="124"/>
      <c r="I500" s="124"/>
      <c r="J500" s="124"/>
      <c r="K500" s="124"/>
      <c r="L500" s="124"/>
      <c r="M500" s="124"/>
      <c r="N500" s="124"/>
      <c r="O500" s="124"/>
      <c r="P500" s="124"/>
      <c r="Q500" s="124"/>
      <c r="R500" s="124"/>
      <c r="S500" s="124"/>
      <c r="T500" s="124"/>
      <c r="U500" s="124"/>
      <c r="V500" s="124"/>
      <c r="W500" s="124"/>
      <c r="X500" s="124"/>
      <c r="Y500" s="124"/>
    </row>
    <row r="501" spans="2:25" x14ac:dyDescent="0.25">
      <c r="B501" s="124"/>
      <c r="C501" s="124"/>
      <c r="D501" s="124"/>
      <c r="E501" s="124"/>
      <c r="F501" s="124"/>
      <c r="G501" s="124"/>
      <c r="H501" s="124"/>
      <c r="I501" s="124"/>
      <c r="J501" s="124"/>
      <c r="K501" s="124"/>
      <c r="L501" s="124"/>
      <c r="M501" s="124"/>
      <c r="N501" s="124"/>
      <c r="O501" s="124"/>
      <c r="P501" s="124"/>
      <c r="Q501" s="124"/>
      <c r="R501" s="124"/>
      <c r="S501" s="124"/>
      <c r="T501" s="124"/>
      <c r="U501" s="124"/>
      <c r="V501" s="124"/>
      <c r="W501" s="124"/>
      <c r="X501" s="124"/>
      <c r="Y501" s="124"/>
    </row>
    <row r="502" spans="2:25" x14ac:dyDescent="0.25">
      <c r="B502" s="124"/>
      <c r="C502" s="124"/>
      <c r="D502" s="124"/>
      <c r="E502" s="124"/>
      <c r="F502" s="124"/>
      <c r="G502" s="124"/>
      <c r="H502" s="124"/>
      <c r="I502" s="124"/>
      <c r="J502" s="124"/>
      <c r="K502" s="124"/>
      <c r="L502" s="124"/>
      <c r="M502" s="124"/>
      <c r="N502" s="124"/>
      <c r="O502" s="124"/>
      <c r="P502" s="124"/>
      <c r="Q502" s="124"/>
      <c r="R502" s="124"/>
      <c r="S502" s="124"/>
      <c r="T502" s="124"/>
      <c r="U502" s="124"/>
      <c r="V502" s="124"/>
      <c r="W502" s="124"/>
      <c r="X502" s="124"/>
      <c r="Y502" s="124"/>
    </row>
    <row r="503" spans="2:25" x14ac:dyDescent="0.25">
      <c r="B503" s="124"/>
      <c r="C503" s="124"/>
      <c r="D503" s="124"/>
      <c r="E503" s="124"/>
      <c r="F503" s="124"/>
      <c r="G503" s="124"/>
      <c r="H503" s="124"/>
      <c r="I503" s="124"/>
      <c r="J503" s="124"/>
      <c r="K503" s="124"/>
      <c r="L503" s="124"/>
      <c r="M503" s="124"/>
      <c r="N503" s="124"/>
      <c r="O503" s="124"/>
      <c r="P503" s="124"/>
      <c r="Q503" s="124"/>
      <c r="R503" s="124"/>
      <c r="S503" s="124"/>
      <c r="T503" s="124"/>
      <c r="U503" s="124"/>
      <c r="V503" s="124"/>
      <c r="W503" s="124"/>
      <c r="X503" s="124"/>
      <c r="Y503" s="124"/>
    </row>
    <row r="504" spans="2:25" x14ac:dyDescent="0.25">
      <c r="B504" s="124"/>
      <c r="C504" s="124"/>
      <c r="D504" s="124"/>
      <c r="E504" s="124"/>
      <c r="F504" s="124"/>
      <c r="G504" s="124"/>
      <c r="H504" s="124"/>
      <c r="I504" s="124"/>
      <c r="J504" s="124"/>
      <c r="K504" s="124"/>
      <c r="L504" s="124"/>
      <c r="M504" s="124"/>
      <c r="N504" s="124"/>
      <c r="O504" s="124"/>
      <c r="P504" s="124"/>
      <c r="Q504" s="124"/>
      <c r="R504" s="124"/>
      <c r="S504" s="124"/>
      <c r="T504" s="124"/>
      <c r="U504" s="124"/>
      <c r="V504" s="124"/>
      <c r="W504" s="124"/>
      <c r="X504" s="124"/>
      <c r="Y504" s="124"/>
    </row>
    <row r="505" spans="2:25" x14ac:dyDescent="0.25">
      <c r="B505" s="124"/>
      <c r="C505" s="124"/>
      <c r="D505" s="124"/>
      <c r="E505" s="124"/>
      <c r="F505" s="124"/>
      <c r="G505" s="124"/>
      <c r="H505" s="124"/>
      <c r="I505" s="124"/>
      <c r="J505" s="124"/>
      <c r="K505" s="124"/>
      <c r="L505" s="124"/>
      <c r="M505" s="124"/>
      <c r="N505" s="124"/>
      <c r="O505" s="124"/>
      <c r="P505" s="124"/>
      <c r="Q505" s="124"/>
      <c r="R505" s="124"/>
      <c r="S505" s="124"/>
      <c r="T505" s="124"/>
      <c r="U505" s="124"/>
      <c r="V505" s="124"/>
      <c r="W505" s="124"/>
      <c r="X505" s="124"/>
      <c r="Y505" s="124"/>
    </row>
    <row r="506" spans="2:25" x14ac:dyDescent="0.25">
      <c r="B506" s="124"/>
      <c r="C506" s="124"/>
      <c r="D506" s="124"/>
      <c r="E506" s="124"/>
      <c r="F506" s="124"/>
      <c r="G506" s="124"/>
      <c r="H506" s="124"/>
      <c r="I506" s="124"/>
      <c r="J506" s="124"/>
      <c r="K506" s="124"/>
      <c r="L506" s="124"/>
      <c r="M506" s="124"/>
      <c r="N506" s="124"/>
      <c r="O506" s="124"/>
      <c r="P506" s="124"/>
      <c r="Q506" s="124"/>
      <c r="R506" s="124"/>
      <c r="S506" s="124"/>
      <c r="T506" s="124"/>
      <c r="U506" s="124"/>
      <c r="V506" s="124"/>
      <c r="W506" s="124"/>
      <c r="X506" s="124"/>
      <c r="Y506" s="124"/>
    </row>
    <row r="507" spans="2:25" x14ac:dyDescent="0.25">
      <c r="B507" s="124"/>
      <c r="C507" s="124"/>
      <c r="D507" s="124"/>
      <c r="E507" s="124"/>
      <c r="F507" s="124"/>
      <c r="G507" s="124"/>
      <c r="H507" s="124"/>
      <c r="I507" s="124"/>
      <c r="J507" s="124"/>
      <c r="K507" s="124"/>
      <c r="L507" s="124"/>
      <c r="M507" s="124"/>
      <c r="N507" s="124"/>
      <c r="O507" s="124"/>
      <c r="P507" s="124"/>
      <c r="Q507" s="124"/>
      <c r="R507" s="124"/>
      <c r="S507" s="124"/>
      <c r="T507" s="124"/>
      <c r="U507" s="124"/>
      <c r="V507" s="124"/>
      <c r="W507" s="124"/>
      <c r="X507" s="124"/>
      <c r="Y507" s="124"/>
    </row>
    <row r="508" spans="2:25" x14ac:dyDescent="0.25">
      <c r="B508" s="124"/>
      <c r="C508" s="124"/>
      <c r="D508" s="124"/>
      <c r="E508" s="124"/>
      <c r="F508" s="124"/>
      <c r="G508" s="124"/>
      <c r="H508" s="124"/>
      <c r="I508" s="124"/>
      <c r="J508" s="124"/>
      <c r="K508" s="124"/>
      <c r="L508" s="124"/>
      <c r="M508" s="124"/>
      <c r="N508" s="124"/>
      <c r="O508" s="124"/>
      <c r="P508" s="124"/>
      <c r="Q508" s="124"/>
      <c r="R508" s="124"/>
      <c r="S508" s="124"/>
      <c r="T508" s="124"/>
      <c r="U508" s="124"/>
      <c r="V508" s="124"/>
      <c r="W508" s="124"/>
      <c r="X508" s="124"/>
      <c r="Y508" s="124"/>
    </row>
    <row r="509" spans="2:25" x14ac:dyDescent="0.25">
      <c r="B509" s="124"/>
      <c r="C509" s="124"/>
      <c r="D509" s="124"/>
      <c r="E509" s="124"/>
      <c r="F509" s="124"/>
      <c r="G509" s="124"/>
      <c r="H509" s="124"/>
      <c r="I509" s="124"/>
      <c r="J509" s="124"/>
      <c r="K509" s="124"/>
      <c r="L509" s="124"/>
      <c r="M509" s="124"/>
      <c r="N509" s="124"/>
      <c r="O509" s="124"/>
      <c r="P509" s="124"/>
      <c r="Q509" s="124"/>
      <c r="R509" s="124"/>
      <c r="S509" s="124"/>
      <c r="T509" s="124"/>
      <c r="U509" s="124"/>
      <c r="V509" s="124"/>
      <c r="W509" s="124"/>
      <c r="X509" s="124"/>
      <c r="Y509" s="124"/>
    </row>
    <row r="510" spans="2:25" x14ac:dyDescent="0.25">
      <c r="B510" s="124"/>
      <c r="C510" s="124"/>
      <c r="D510" s="124"/>
      <c r="E510" s="124"/>
      <c r="F510" s="124"/>
      <c r="G510" s="124"/>
      <c r="H510" s="124"/>
      <c r="I510" s="124"/>
      <c r="J510" s="124"/>
      <c r="K510" s="124"/>
      <c r="L510" s="124"/>
      <c r="M510" s="124"/>
      <c r="N510" s="124"/>
      <c r="O510" s="124"/>
      <c r="P510" s="124"/>
      <c r="Q510" s="124"/>
      <c r="R510" s="124"/>
      <c r="S510" s="124"/>
      <c r="T510" s="124"/>
      <c r="U510" s="124"/>
      <c r="V510" s="124"/>
      <c r="W510" s="124"/>
      <c r="X510" s="124"/>
      <c r="Y510" s="124"/>
    </row>
    <row r="511" spans="2:25" x14ac:dyDescent="0.25">
      <c r="B511" s="124"/>
      <c r="C511" s="124"/>
      <c r="D511" s="124"/>
      <c r="E511" s="124"/>
      <c r="F511" s="124"/>
      <c r="G511" s="124"/>
      <c r="H511" s="124"/>
      <c r="I511" s="124"/>
      <c r="J511" s="124"/>
      <c r="K511" s="124"/>
      <c r="L511" s="124"/>
      <c r="M511" s="124"/>
      <c r="N511" s="124"/>
      <c r="O511" s="124"/>
      <c r="P511" s="124"/>
      <c r="Q511" s="124"/>
      <c r="R511" s="124"/>
      <c r="S511" s="124"/>
      <c r="T511" s="124"/>
      <c r="U511" s="124"/>
      <c r="V511" s="124"/>
      <c r="W511" s="124"/>
      <c r="X511" s="124"/>
      <c r="Y511" s="124"/>
    </row>
    <row r="512" spans="2:25" x14ac:dyDescent="0.25">
      <c r="B512" s="124"/>
      <c r="C512" s="124"/>
      <c r="D512" s="124"/>
      <c r="E512" s="124"/>
      <c r="F512" s="124"/>
      <c r="G512" s="124"/>
      <c r="H512" s="124"/>
      <c r="I512" s="124"/>
      <c r="J512" s="124"/>
      <c r="K512" s="124"/>
      <c r="L512" s="124"/>
      <c r="M512" s="124"/>
      <c r="N512" s="124"/>
      <c r="O512" s="124"/>
      <c r="P512" s="124"/>
      <c r="Q512" s="124"/>
      <c r="R512" s="124"/>
      <c r="S512" s="124"/>
      <c r="T512" s="124"/>
      <c r="U512" s="124"/>
      <c r="V512" s="124"/>
      <c r="W512" s="124"/>
      <c r="X512" s="124"/>
      <c r="Y512" s="124"/>
    </row>
    <row r="513" spans="2:25" x14ac:dyDescent="0.25">
      <c r="B513" s="124"/>
      <c r="C513" s="124"/>
      <c r="D513" s="124"/>
      <c r="E513" s="124"/>
      <c r="F513" s="124"/>
      <c r="G513" s="124"/>
      <c r="H513" s="124"/>
      <c r="I513" s="124"/>
      <c r="J513" s="124"/>
      <c r="K513" s="124"/>
      <c r="L513" s="124"/>
      <c r="M513" s="124"/>
      <c r="N513" s="124"/>
      <c r="O513" s="124"/>
      <c r="P513" s="124"/>
      <c r="Q513" s="124"/>
      <c r="R513" s="124"/>
      <c r="S513" s="124"/>
      <c r="T513" s="124"/>
      <c r="U513" s="124"/>
      <c r="V513" s="124"/>
      <c r="W513" s="124"/>
      <c r="X513" s="124"/>
      <c r="Y513" s="124"/>
    </row>
    <row r="514" spans="2:25" x14ac:dyDescent="0.25">
      <c r="B514" s="124"/>
      <c r="C514" s="124"/>
      <c r="D514" s="124"/>
      <c r="E514" s="124"/>
      <c r="F514" s="124"/>
      <c r="G514" s="124"/>
      <c r="H514" s="124"/>
      <c r="I514" s="124"/>
      <c r="J514" s="124"/>
      <c r="K514" s="124"/>
      <c r="L514" s="124"/>
      <c r="M514" s="124"/>
      <c r="N514" s="124"/>
      <c r="O514" s="124"/>
      <c r="P514" s="124"/>
      <c r="Q514" s="124"/>
      <c r="R514" s="124"/>
      <c r="S514" s="124"/>
      <c r="T514" s="124"/>
      <c r="U514" s="124"/>
      <c r="V514" s="124"/>
      <c r="W514" s="124"/>
      <c r="X514" s="124"/>
      <c r="Y514" s="124"/>
    </row>
    <row r="515" spans="2:25" x14ac:dyDescent="0.25">
      <c r="B515" s="124"/>
      <c r="C515" s="124"/>
      <c r="D515" s="124"/>
      <c r="E515" s="124"/>
      <c r="F515" s="124"/>
      <c r="G515" s="124"/>
      <c r="H515" s="124"/>
      <c r="I515" s="124"/>
      <c r="J515" s="124"/>
      <c r="K515" s="124"/>
      <c r="L515" s="124"/>
      <c r="M515" s="124"/>
      <c r="N515" s="124"/>
      <c r="O515" s="124"/>
      <c r="P515" s="124"/>
      <c r="Q515" s="124"/>
      <c r="R515" s="124"/>
      <c r="S515" s="124"/>
      <c r="T515" s="124"/>
      <c r="U515" s="124"/>
      <c r="V515" s="124"/>
      <c r="W515" s="124"/>
      <c r="X515" s="124"/>
      <c r="Y515" s="124"/>
    </row>
    <row r="516" spans="2:25" x14ac:dyDescent="0.25">
      <c r="B516" s="124"/>
      <c r="C516" s="124"/>
      <c r="D516" s="124"/>
      <c r="E516" s="124"/>
      <c r="F516" s="124"/>
      <c r="G516" s="124"/>
      <c r="H516" s="124"/>
      <c r="I516" s="124"/>
      <c r="J516" s="124"/>
      <c r="K516" s="124"/>
      <c r="L516" s="124"/>
      <c r="M516" s="124"/>
      <c r="N516" s="124"/>
      <c r="O516" s="124"/>
      <c r="P516" s="124"/>
      <c r="Q516" s="124"/>
      <c r="R516" s="124"/>
      <c r="S516" s="124"/>
      <c r="T516" s="124"/>
      <c r="U516" s="124"/>
      <c r="V516" s="124"/>
      <c r="W516" s="124"/>
      <c r="X516" s="124"/>
      <c r="Y516" s="124"/>
    </row>
    <row r="517" spans="2:25" x14ac:dyDescent="0.25">
      <c r="B517" s="124"/>
      <c r="C517" s="124"/>
      <c r="D517" s="124"/>
      <c r="E517" s="124"/>
      <c r="F517" s="124"/>
      <c r="G517" s="124"/>
      <c r="H517" s="124"/>
      <c r="I517" s="124"/>
      <c r="J517" s="124"/>
      <c r="K517" s="124"/>
      <c r="L517" s="124"/>
      <c r="M517" s="124"/>
      <c r="N517" s="124"/>
      <c r="O517" s="124"/>
      <c r="P517" s="124"/>
      <c r="Q517" s="124"/>
      <c r="R517" s="124"/>
      <c r="S517" s="124"/>
      <c r="T517" s="124"/>
      <c r="U517" s="124"/>
      <c r="V517" s="124"/>
      <c r="W517" s="124"/>
      <c r="X517" s="124"/>
      <c r="Y517" s="124"/>
    </row>
    <row r="518" spans="2:25" x14ac:dyDescent="0.25">
      <c r="B518" s="124"/>
      <c r="C518" s="124"/>
      <c r="D518" s="124"/>
      <c r="E518" s="124"/>
      <c r="F518" s="124"/>
      <c r="G518" s="124"/>
      <c r="H518" s="124"/>
      <c r="I518" s="124"/>
      <c r="J518" s="124"/>
      <c r="K518" s="124"/>
      <c r="L518" s="124"/>
      <c r="M518" s="124"/>
      <c r="N518" s="124"/>
      <c r="O518" s="124"/>
      <c r="P518" s="124"/>
      <c r="Q518" s="124"/>
      <c r="R518" s="124"/>
      <c r="S518" s="124"/>
      <c r="T518" s="124"/>
      <c r="U518" s="124"/>
      <c r="V518" s="124"/>
      <c r="W518" s="124"/>
      <c r="X518" s="124"/>
      <c r="Y518" s="124"/>
    </row>
    <row r="519" spans="2:25" x14ac:dyDescent="0.25">
      <c r="B519" s="124"/>
      <c r="C519" s="124"/>
      <c r="D519" s="124"/>
      <c r="E519" s="124"/>
      <c r="F519" s="124"/>
      <c r="G519" s="124"/>
      <c r="H519" s="124"/>
      <c r="I519" s="124"/>
      <c r="J519" s="124"/>
      <c r="K519" s="124"/>
      <c r="L519" s="124"/>
      <c r="M519" s="124"/>
      <c r="N519" s="124"/>
      <c r="O519" s="124"/>
      <c r="P519" s="124"/>
      <c r="Q519" s="124"/>
      <c r="R519" s="124"/>
      <c r="S519" s="124"/>
      <c r="T519" s="124"/>
      <c r="U519" s="124"/>
      <c r="V519" s="124"/>
      <c r="W519" s="124"/>
      <c r="X519" s="124"/>
      <c r="Y519" s="124"/>
    </row>
    <row r="520" spans="2:25" x14ac:dyDescent="0.25">
      <c r="B520" s="124"/>
      <c r="C520" s="124"/>
      <c r="D520" s="124"/>
      <c r="E520" s="124"/>
      <c r="F520" s="124"/>
      <c r="G520" s="124"/>
      <c r="H520" s="124"/>
      <c r="I520" s="124"/>
      <c r="J520" s="124"/>
      <c r="K520" s="124"/>
      <c r="L520" s="124"/>
      <c r="M520" s="124"/>
      <c r="N520" s="124"/>
      <c r="O520" s="124"/>
      <c r="P520" s="124"/>
      <c r="Q520" s="124"/>
      <c r="R520" s="124"/>
      <c r="S520" s="124"/>
      <c r="T520" s="124"/>
      <c r="U520" s="124"/>
      <c r="V520" s="124"/>
      <c r="W520" s="124"/>
      <c r="X520" s="124"/>
      <c r="Y520" s="124"/>
    </row>
    <row r="521" spans="2:25" x14ac:dyDescent="0.25">
      <c r="B521" s="124"/>
      <c r="C521" s="124"/>
      <c r="D521" s="124"/>
      <c r="E521" s="124"/>
      <c r="F521" s="124"/>
      <c r="G521" s="124"/>
      <c r="H521" s="124"/>
      <c r="I521" s="124"/>
      <c r="J521" s="124"/>
      <c r="K521" s="124"/>
      <c r="L521" s="124"/>
      <c r="M521" s="124"/>
      <c r="N521" s="124"/>
      <c r="O521" s="124"/>
      <c r="P521" s="124"/>
      <c r="Q521" s="124"/>
      <c r="R521" s="124"/>
      <c r="S521" s="124"/>
      <c r="T521" s="124"/>
      <c r="U521" s="124"/>
      <c r="V521" s="124"/>
      <c r="W521" s="124"/>
      <c r="X521" s="124"/>
      <c r="Y521" s="124"/>
    </row>
    <row r="522" spans="2:25" x14ac:dyDescent="0.25">
      <c r="B522" s="124"/>
      <c r="C522" s="124"/>
      <c r="D522" s="124"/>
      <c r="E522" s="124"/>
      <c r="F522" s="124"/>
      <c r="G522" s="124"/>
      <c r="H522" s="124"/>
      <c r="I522" s="124"/>
      <c r="J522" s="124"/>
      <c r="K522" s="124"/>
      <c r="L522" s="124"/>
      <c r="M522" s="124"/>
      <c r="N522" s="124"/>
      <c r="O522" s="124"/>
      <c r="P522" s="124"/>
      <c r="Q522" s="124"/>
      <c r="R522" s="124"/>
      <c r="S522" s="124"/>
      <c r="T522" s="124"/>
      <c r="U522" s="124"/>
      <c r="V522" s="124"/>
      <c r="W522" s="124"/>
      <c r="X522" s="124"/>
      <c r="Y522" s="124"/>
    </row>
    <row r="523" spans="2:25" x14ac:dyDescent="0.25">
      <c r="B523" s="124"/>
      <c r="C523" s="124"/>
      <c r="D523" s="124"/>
      <c r="E523" s="124"/>
      <c r="F523" s="124"/>
      <c r="G523" s="124"/>
      <c r="H523" s="124"/>
      <c r="I523" s="124"/>
      <c r="J523" s="124"/>
      <c r="K523" s="124"/>
      <c r="L523" s="124"/>
      <c r="M523" s="124"/>
      <c r="N523" s="124"/>
      <c r="O523" s="124"/>
      <c r="P523" s="124"/>
      <c r="Q523" s="124"/>
      <c r="R523" s="124"/>
      <c r="S523" s="124"/>
      <c r="T523" s="124"/>
      <c r="U523" s="124"/>
      <c r="V523" s="124"/>
      <c r="W523" s="124"/>
      <c r="X523" s="124"/>
      <c r="Y523" s="124"/>
    </row>
    <row r="524" spans="2:25" x14ac:dyDescent="0.25">
      <c r="B524" s="124"/>
      <c r="C524" s="124"/>
      <c r="D524" s="124"/>
      <c r="E524" s="124"/>
      <c r="F524" s="124"/>
      <c r="G524" s="124"/>
      <c r="H524" s="124"/>
      <c r="I524" s="124"/>
      <c r="J524" s="124"/>
      <c r="K524" s="124"/>
      <c r="L524" s="124"/>
      <c r="M524" s="124"/>
      <c r="N524" s="124"/>
      <c r="O524" s="124"/>
      <c r="P524" s="124"/>
      <c r="Q524" s="124"/>
      <c r="R524" s="124"/>
      <c r="S524" s="124"/>
      <c r="T524" s="124"/>
      <c r="U524" s="124"/>
      <c r="V524" s="124"/>
      <c r="W524" s="124"/>
      <c r="X524" s="124"/>
      <c r="Y524" s="124"/>
    </row>
    <row r="525" spans="2:25" x14ac:dyDescent="0.25">
      <c r="B525" s="124"/>
      <c r="C525" s="124"/>
      <c r="D525" s="124"/>
      <c r="E525" s="124"/>
      <c r="F525" s="124"/>
      <c r="G525" s="124"/>
      <c r="H525" s="124"/>
      <c r="I525" s="124"/>
      <c r="J525" s="124"/>
      <c r="K525" s="124"/>
      <c r="L525" s="124"/>
      <c r="M525" s="124"/>
      <c r="N525" s="124"/>
      <c r="O525" s="124"/>
      <c r="P525" s="124"/>
      <c r="Q525" s="124"/>
      <c r="R525" s="124"/>
      <c r="S525" s="124"/>
      <c r="T525" s="124"/>
      <c r="U525" s="124"/>
      <c r="V525" s="124"/>
      <c r="W525" s="124"/>
      <c r="X525" s="124"/>
      <c r="Y525" s="124"/>
    </row>
    <row r="526" spans="2:25" x14ac:dyDescent="0.25">
      <c r="B526" s="124"/>
      <c r="C526" s="124"/>
      <c r="D526" s="124"/>
      <c r="E526" s="124"/>
      <c r="F526" s="124"/>
      <c r="G526" s="124"/>
      <c r="H526" s="124"/>
      <c r="I526" s="124"/>
      <c r="J526" s="124"/>
      <c r="K526" s="124"/>
      <c r="L526" s="124"/>
      <c r="M526" s="124"/>
      <c r="N526" s="124"/>
      <c r="O526" s="124"/>
      <c r="P526" s="124"/>
      <c r="Q526" s="124"/>
      <c r="R526" s="124"/>
      <c r="S526" s="124"/>
      <c r="T526" s="124"/>
      <c r="U526" s="124"/>
      <c r="V526" s="124"/>
      <c r="W526" s="124"/>
      <c r="X526" s="124"/>
      <c r="Y526" s="124"/>
    </row>
    <row r="527" spans="2:25" x14ac:dyDescent="0.25">
      <c r="B527" s="124"/>
      <c r="C527" s="124"/>
      <c r="D527" s="124"/>
      <c r="E527" s="124"/>
      <c r="F527" s="124"/>
      <c r="G527" s="124"/>
      <c r="H527" s="124"/>
      <c r="I527" s="124"/>
      <c r="J527" s="124"/>
      <c r="K527" s="124"/>
      <c r="L527" s="124"/>
      <c r="M527" s="124"/>
      <c r="N527" s="124"/>
      <c r="O527" s="124"/>
      <c r="P527" s="124"/>
      <c r="Q527" s="124"/>
      <c r="R527" s="124"/>
      <c r="S527" s="124"/>
      <c r="T527" s="124"/>
      <c r="U527" s="124"/>
      <c r="V527" s="124"/>
      <c r="W527" s="124"/>
      <c r="X527" s="124"/>
      <c r="Y527" s="124"/>
    </row>
    <row r="528" spans="2:25" x14ac:dyDescent="0.25">
      <c r="B528" s="124"/>
      <c r="C528" s="124"/>
      <c r="D528" s="124"/>
      <c r="E528" s="124"/>
      <c r="F528" s="124"/>
      <c r="G528" s="124"/>
      <c r="H528" s="124"/>
      <c r="I528" s="124"/>
      <c r="J528" s="124"/>
      <c r="K528" s="124"/>
      <c r="L528" s="124"/>
      <c r="M528" s="124"/>
      <c r="N528" s="124"/>
      <c r="O528" s="124"/>
      <c r="P528" s="124"/>
      <c r="Q528" s="124"/>
      <c r="R528" s="124"/>
      <c r="S528" s="124"/>
      <c r="T528" s="124"/>
      <c r="U528" s="124"/>
      <c r="V528" s="124"/>
      <c r="W528" s="124"/>
      <c r="X528" s="124"/>
      <c r="Y528" s="124"/>
    </row>
    <row r="529" spans="2:25" x14ac:dyDescent="0.25">
      <c r="B529" s="124"/>
      <c r="C529" s="124"/>
      <c r="D529" s="124"/>
      <c r="E529" s="124"/>
      <c r="F529" s="124"/>
      <c r="G529" s="124"/>
      <c r="H529" s="124"/>
      <c r="I529" s="124"/>
      <c r="J529" s="124"/>
      <c r="K529" s="124"/>
      <c r="L529" s="124"/>
      <c r="M529" s="124"/>
      <c r="N529" s="124"/>
      <c r="O529" s="124"/>
      <c r="P529" s="124"/>
      <c r="Q529" s="124"/>
      <c r="R529" s="124"/>
      <c r="S529" s="124"/>
      <c r="T529" s="124"/>
      <c r="U529" s="124"/>
      <c r="V529" s="124"/>
      <c r="W529" s="124"/>
      <c r="X529" s="124"/>
      <c r="Y529" s="124"/>
    </row>
    <row r="530" spans="2:25" x14ac:dyDescent="0.25">
      <c r="B530" s="124"/>
      <c r="C530" s="124"/>
      <c r="D530" s="124"/>
      <c r="E530" s="124"/>
      <c r="F530" s="124"/>
      <c r="G530" s="124"/>
      <c r="H530" s="124"/>
      <c r="I530" s="124"/>
      <c r="J530" s="124"/>
      <c r="K530" s="124"/>
      <c r="L530" s="124"/>
      <c r="M530" s="124"/>
      <c r="N530" s="124"/>
      <c r="O530" s="124"/>
      <c r="P530" s="124"/>
      <c r="Q530" s="124"/>
      <c r="R530" s="124"/>
      <c r="S530" s="124"/>
      <c r="T530" s="124"/>
      <c r="U530" s="124"/>
      <c r="V530" s="124"/>
      <c r="W530" s="124"/>
      <c r="X530" s="124"/>
      <c r="Y530" s="124"/>
    </row>
    <row r="531" spans="2:25" x14ac:dyDescent="0.25">
      <c r="B531" s="124"/>
      <c r="C531" s="124"/>
      <c r="D531" s="124"/>
      <c r="E531" s="124"/>
      <c r="F531" s="124"/>
      <c r="G531" s="124"/>
      <c r="H531" s="124"/>
      <c r="I531" s="124"/>
      <c r="J531" s="124"/>
      <c r="K531" s="124"/>
      <c r="L531" s="124"/>
      <c r="M531" s="124"/>
      <c r="N531" s="124"/>
      <c r="O531" s="124"/>
      <c r="P531" s="124"/>
      <c r="Q531" s="124"/>
      <c r="R531" s="124"/>
      <c r="S531" s="124"/>
      <c r="T531" s="124"/>
      <c r="U531" s="124"/>
      <c r="V531" s="124"/>
      <c r="W531" s="124"/>
      <c r="X531" s="124"/>
      <c r="Y531" s="124"/>
    </row>
    <row r="532" spans="2:25" x14ac:dyDescent="0.25">
      <c r="B532" s="124"/>
      <c r="C532" s="124"/>
      <c r="D532" s="124"/>
      <c r="E532" s="124"/>
      <c r="F532" s="124"/>
      <c r="G532" s="124"/>
      <c r="H532" s="124"/>
      <c r="I532" s="124"/>
      <c r="J532" s="124"/>
      <c r="K532" s="124"/>
      <c r="L532" s="124"/>
      <c r="M532" s="124"/>
      <c r="N532" s="124"/>
      <c r="O532" s="124"/>
      <c r="P532" s="124"/>
      <c r="Q532" s="124"/>
      <c r="R532" s="124"/>
      <c r="S532" s="124"/>
      <c r="T532" s="124"/>
      <c r="U532" s="124"/>
      <c r="V532" s="124"/>
      <c r="W532" s="124"/>
      <c r="X532" s="124"/>
      <c r="Y532" s="124"/>
    </row>
    <row r="533" spans="2:25" x14ac:dyDescent="0.25">
      <c r="B533" s="124"/>
      <c r="C533" s="124"/>
      <c r="D533" s="124"/>
      <c r="E533" s="124"/>
      <c r="F533" s="124"/>
      <c r="G533" s="124"/>
      <c r="H533" s="124"/>
      <c r="I533" s="124"/>
      <c r="J533" s="124"/>
      <c r="K533" s="124"/>
      <c r="L533" s="124"/>
      <c r="M533" s="124"/>
      <c r="N533" s="124"/>
      <c r="O533" s="124"/>
      <c r="P533" s="124"/>
      <c r="Q533" s="124"/>
      <c r="R533" s="124"/>
      <c r="S533" s="124"/>
      <c r="T533" s="124"/>
      <c r="U533" s="124"/>
      <c r="V533" s="124"/>
      <c r="W533" s="124"/>
      <c r="X533" s="124"/>
      <c r="Y533" s="124"/>
    </row>
    <row r="534" spans="2:25" x14ac:dyDescent="0.25">
      <c r="B534" s="124"/>
      <c r="C534" s="124"/>
      <c r="D534" s="124"/>
      <c r="E534" s="124"/>
      <c r="F534" s="124"/>
      <c r="G534" s="124"/>
      <c r="H534" s="124"/>
      <c r="I534" s="124"/>
      <c r="J534" s="124"/>
      <c r="K534" s="124"/>
      <c r="L534" s="124"/>
      <c r="M534" s="124"/>
      <c r="N534" s="124"/>
      <c r="O534" s="124"/>
      <c r="P534" s="124"/>
      <c r="Q534" s="124"/>
      <c r="R534" s="124"/>
      <c r="S534" s="124"/>
      <c r="T534" s="124"/>
      <c r="U534" s="124"/>
      <c r="V534" s="124"/>
      <c r="W534" s="124"/>
      <c r="X534" s="124"/>
      <c r="Y534" s="124"/>
    </row>
    <row r="535" spans="2:25" x14ac:dyDescent="0.25">
      <c r="B535" s="124"/>
      <c r="C535" s="124"/>
      <c r="D535" s="124"/>
      <c r="E535" s="124"/>
      <c r="F535" s="124"/>
      <c r="G535" s="124"/>
      <c r="H535" s="124"/>
      <c r="I535" s="124"/>
      <c r="J535" s="124"/>
      <c r="K535" s="124"/>
      <c r="L535" s="124"/>
      <c r="M535" s="124"/>
      <c r="N535" s="124"/>
      <c r="O535" s="124"/>
      <c r="P535" s="124"/>
      <c r="Q535" s="124"/>
      <c r="R535" s="124"/>
      <c r="S535" s="124"/>
      <c r="T535" s="124"/>
      <c r="U535" s="124"/>
      <c r="V535" s="124"/>
      <c r="W535" s="124"/>
      <c r="X535" s="124"/>
      <c r="Y535" s="124"/>
    </row>
    <row r="536" spans="2:25" x14ac:dyDescent="0.25">
      <c r="B536" s="124"/>
      <c r="C536" s="124"/>
      <c r="D536" s="124"/>
      <c r="E536" s="124"/>
      <c r="F536" s="124"/>
      <c r="G536" s="124"/>
      <c r="H536" s="124"/>
      <c r="I536" s="124"/>
      <c r="J536" s="124"/>
      <c r="K536" s="124"/>
      <c r="L536" s="124"/>
      <c r="M536" s="124"/>
      <c r="N536" s="124"/>
      <c r="O536" s="124"/>
      <c r="P536" s="124"/>
      <c r="Q536" s="124"/>
      <c r="R536" s="124"/>
      <c r="S536" s="124"/>
      <c r="T536" s="124"/>
      <c r="U536" s="124"/>
      <c r="V536" s="124"/>
      <c r="W536" s="124"/>
      <c r="X536" s="124"/>
      <c r="Y536" s="124"/>
    </row>
    <row r="537" spans="2:25" x14ac:dyDescent="0.25">
      <c r="B537" s="124"/>
      <c r="C537" s="124"/>
      <c r="D537" s="124"/>
      <c r="E537" s="124"/>
      <c r="F537" s="124"/>
      <c r="G537" s="124"/>
      <c r="H537" s="124"/>
      <c r="I537" s="124"/>
      <c r="J537" s="124"/>
      <c r="K537" s="124"/>
      <c r="L537" s="124"/>
      <c r="M537" s="124"/>
      <c r="N537" s="124"/>
      <c r="O537" s="124"/>
      <c r="P537" s="124"/>
      <c r="Q537" s="124"/>
      <c r="R537" s="124"/>
      <c r="S537" s="124"/>
      <c r="T537" s="124"/>
      <c r="U537" s="124"/>
      <c r="V537" s="124"/>
      <c r="W537" s="124"/>
      <c r="X537" s="124"/>
      <c r="Y537" s="124"/>
    </row>
    <row r="538" spans="2:25" x14ac:dyDescent="0.25">
      <c r="B538" s="124"/>
      <c r="C538" s="124"/>
      <c r="D538" s="124"/>
      <c r="E538" s="124"/>
      <c r="F538" s="124"/>
      <c r="G538" s="124"/>
      <c r="H538" s="124"/>
      <c r="I538" s="124"/>
      <c r="J538" s="124"/>
      <c r="K538" s="124"/>
      <c r="L538" s="124"/>
      <c r="M538" s="124"/>
      <c r="N538" s="124"/>
      <c r="O538" s="124"/>
      <c r="P538" s="124"/>
      <c r="Q538" s="124"/>
      <c r="R538" s="124"/>
      <c r="S538" s="124"/>
      <c r="T538" s="124"/>
      <c r="U538" s="124"/>
      <c r="V538" s="124"/>
      <c r="W538" s="124"/>
      <c r="X538" s="124"/>
      <c r="Y538" s="124"/>
    </row>
    <row r="539" spans="2:25" x14ac:dyDescent="0.25">
      <c r="B539" s="124"/>
      <c r="C539" s="124"/>
      <c r="D539" s="124"/>
      <c r="E539" s="124"/>
      <c r="F539" s="124"/>
      <c r="G539" s="124"/>
      <c r="H539" s="124"/>
      <c r="I539" s="124"/>
      <c r="J539" s="124"/>
      <c r="K539" s="124"/>
      <c r="L539" s="124"/>
      <c r="M539" s="124"/>
      <c r="N539" s="124"/>
      <c r="O539" s="124"/>
      <c r="P539" s="124"/>
      <c r="Q539" s="124"/>
      <c r="R539" s="124"/>
      <c r="S539" s="124"/>
      <c r="T539" s="124"/>
      <c r="U539" s="124"/>
      <c r="V539" s="124"/>
      <c r="W539" s="124"/>
      <c r="X539" s="124"/>
      <c r="Y539" s="124"/>
    </row>
    <row r="540" spans="2:25" x14ac:dyDescent="0.25">
      <c r="B540" s="124"/>
      <c r="C540" s="124"/>
      <c r="D540" s="124"/>
      <c r="E540" s="124"/>
      <c r="F540" s="124"/>
      <c r="G540" s="124"/>
      <c r="H540" s="124"/>
      <c r="I540" s="124"/>
      <c r="J540" s="124"/>
      <c r="K540" s="124"/>
      <c r="L540" s="124"/>
      <c r="M540" s="124"/>
      <c r="N540" s="124"/>
      <c r="O540" s="124"/>
      <c r="P540" s="124"/>
      <c r="Q540" s="124"/>
      <c r="R540" s="124"/>
      <c r="S540" s="124"/>
      <c r="T540" s="124"/>
      <c r="U540" s="124"/>
      <c r="V540" s="124"/>
      <c r="W540" s="124"/>
      <c r="X540" s="124"/>
      <c r="Y540" s="124"/>
    </row>
    <row r="541" spans="2:25" x14ac:dyDescent="0.25">
      <c r="B541" s="124"/>
      <c r="C541" s="124"/>
      <c r="D541" s="124"/>
      <c r="E541" s="124"/>
      <c r="F541" s="124"/>
      <c r="G541" s="124"/>
      <c r="H541" s="124"/>
      <c r="I541" s="124"/>
      <c r="J541" s="124"/>
      <c r="K541" s="124"/>
      <c r="L541" s="124"/>
      <c r="M541" s="124"/>
      <c r="N541" s="124"/>
      <c r="O541" s="124"/>
      <c r="P541" s="124"/>
      <c r="Q541" s="124"/>
      <c r="R541" s="124"/>
      <c r="S541" s="124"/>
      <c r="T541" s="124"/>
      <c r="U541" s="124"/>
      <c r="V541" s="124"/>
      <c r="W541" s="124"/>
      <c r="X541" s="124"/>
      <c r="Y541" s="124"/>
    </row>
    <row r="542" spans="2:25" x14ac:dyDescent="0.25">
      <c r="B542" s="124"/>
      <c r="C542" s="124"/>
      <c r="D542" s="124"/>
      <c r="E542" s="124"/>
      <c r="F542" s="124"/>
      <c r="G542" s="124"/>
      <c r="H542" s="124"/>
      <c r="I542" s="124"/>
      <c r="J542" s="124"/>
      <c r="K542" s="124"/>
      <c r="L542" s="124"/>
      <c r="M542" s="124"/>
      <c r="N542" s="124"/>
      <c r="O542" s="124"/>
      <c r="P542" s="124"/>
      <c r="Q542" s="124"/>
      <c r="R542" s="124"/>
      <c r="S542" s="124"/>
      <c r="T542" s="124"/>
      <c r="U542" s="124"/>
      <c r="V542" s="124"/>
      <c r="W542" s="124"/>
      <c r="X542" s="124"/>
      <c r="Y542" s="124"/>
    </row>
    <row r="543" spans="2:25" x14ac:dyDescent="0.25">
      <c r="B543" s="124"/>
      <c r="C543" s="124"/>
      <c r="D543" s="124"/>
      <c r="E543" s="124"/>
      <c r="F543" s="124"/>
      <c r="G543" s="124"/>
      <c r="H543" s="124"/>
      <c r="I543" s="124"/>
      <c r="J543" s="124"/>
      <c r="K543" s="124"/>
      <c r="L543" s="124"/>
      <c r="M543" s="124"/>
      <c r="N543" s="124"/>
      <c r="O543" s="124"/>
      <c r="P543" s="124"/>
      <c r="Q543" s="124"/>
      <c r="R543" s="124"/>
      <c r="S543" s="124"/>
      <c r="T543" s="124"/>
      <c r="U543" s="124"/>
      <c r="V543" s="124"/>
      <c r="W543" s="124"/>
      <c r="X543" s="124"/>
      <c r="Y543" s="124"/>
    </row>
    <row r="544" spans="2:25" x14ac:dyDescent="0.25">
      <c r="B544" s="124"/>
      <c r="C544" s="124"/>
      <c r="D544" s="124"/>
      <c r="E544" s="124"/>
      <c r="F544" s="124"/>
      <c r="G544" s="124"/>
      <c r="H544" s="124"/>
      <c r="I544" s="124"/>
      <c r="J544" s="124"/>
      <c r="K544" s="124"/>
      <c r="L544" s="124"/>
      <c r="M544" s="124"/>
      <c r="N544" s="124"/>
      <c r="O544" s="124"/>
      <c r="P544" s="124"/>
      <c r="Q544" s="124"/>
      <c r="R544" s="124"/>
      <c r="S544" s="124"/>
      <c r="T544" s="124"/>
      <c r="U544" s="124"/>
      <c r="V544" s="124"/>
      <c r="W544" s="124"/>
      <c r="X544" s="124"/>
      <c r="Y544" s="124"/>
    </row>
    <row r="545" spans="2:25" x14ac:dyDescent="0.25">
      <c r="B545" s="124"/>
      <c r="C545" s="124"/>
      <c r="D545" s="124"/>
      <c r="E545" s="124"/>
      <c r="F545" s="124"/>
      <c r="G545" s="124"/>
      <c r="H545" s="124"/>
      <c r="I545" s="124"/>
      <c r="J545" s="124"/>
      <c r="K545" s="124"/>
      <c r="L545" s="124"/>
      <c r="M545" s="124"/>
      <c r="N545" s="124"/>
      <c r="O545" s="124"/>
      <c r="P545" s="124"/>
      <c r="Q545" s="124"/>
      <c r="R545" s="124"/>
      <c r="S545" s="124"/>
      <c r="T545" s="124"/>
      <c r="U545" s="124"/>
      <c r="V545" s="124"/>
      <c r="W545" s="124"/>
      <c r="X545" s="124"/>
      <c r="Y545" s="124"/>
    </row>
    <row r="546" spans="2:25" x14ac:dyDescent="0.25">
      <c r="B546" s="124"/>
      <c r="C546" s="124"/>
      <c r="D546" s="124"/>
      <c r="E546" s="124"/>
      <c r="F546" s="124"/>
      <c r="G546" s="124"/>
      <c r="H546" s="124"/>
      <c r="I546" s="124"/>
      <c r="J546" s="124"/>
      <c r="K546" s="124"/>
      <c r="L546" s="124"/>
      <c r="M546" s="124"/>
      <c r="N546" s="124"/>
      <c r="O546" s="124"/>
      <c r="P546" s="124"/>
      <c r="Q546" s="124"/>
      <c r="R546" s="124"/>
      <c r="S546" s="124"/>
      <c r="T546" s="124"/>
      <c r="U546" s="124"/>
      <c r="V546" s="124"/>
      <c r="W546" s="124"/>
      <c r="X546" s="124"/>
      <c r="Y546" s="124"/>
    </row>
    <row r="547" spans="2:25" x14ac:dyDescent="0.25">
      <c r="B547" s="124"/>
      <c r="C547" s="124"/>
      <c r="D547" s="124"/>
      <c r="E547" s="124"/>
      <c r="F547" s="124"/>
      <c r="G547" s="124"/>
      <c r="H547" s="124"/>
      <c r="I547" s="124"/>
      <c r="J547" s="124"/>
      <c r="K547" s="124"/>
      <c r="L547" s="124"/>
      <c r="M547" s="124"/>
      <c r="N547" s="124"/>
      <c r="O547" s="124"/>
      <c r="P547" s="124"/>
      <c r="Q547" s="124"/>
      <c r="R547" s="124"/>
      <c r="S547" s="124"/>
      <c r="T547" s="124"/>
      <c r="U547" s="124"/>
      <c r="V547" s="124"/>
      <c r="W547" s="124"/>
      <c r="X547" s="124"/>
      <c r="Y547" s="124"/>
    </row>
    <row r="548" spans="2:25" x14ac:dyDescent="0.25">
      <c r="B548" s="124"/>
      <c r="C548" s="124"/>
      <c r="D548" s="124"/>
      <c r="E548" s="124"/>
      <c r="F548" s="124"/>
      <c r="G548" s="124"/>
      <c r="H548" s="124"/>
      <c r="I548" s="124"/>
      <c r="J548" s="124"/>
      <c r="K548" s="124"/>
      <c r="L548" s="124"/>
      <c r="M548" s="124"/>
      <c r="N548" s="124"/>
      <c r="O548" s="124"/>
      <c r="P548" s="124"/>
      <c r="Q548" s="124"/>
      <c r="R548" s="124"/>
      <c r="S548" s="124"/>
      <c r="T548" s="124"/>
      <c r="U548" s="124"/>
      <c r="V548" s="124"/>
      <c r="W548" s="124"/>
      <c r="X548" s="124"/>
      <c r="Y548" s="124"/>
    </row>
    <row r="549" spans="2:25" x14ac:dyDescent="0.25">
      <c r="B549" s="124"/>
      <c r="C549" s="124"/>
      <c r="D549" s="124"/>
      <c r="E549" s="124"/>
      <c r="F549" s="124"/>
      <c r="G549" s="124"/>
      <c r="H549" s="124"/>
      <c r="I549" s="124"/>
      <c r="J549" s="124"/>
      <c r="K549" s="124"/>
      <c r="L549" s="124"/>
      <c r="M549" s="124"/>
      <c r="N549" s="124"/>
      <c r="O549" s="124"/>
      <c r="P549" s="124"/>
      <c r="Q549" s="124"/>
      <c r="R549" s="124"/>
      <c r="S549" s="124"/>
      <c r="T549" s="124"/>
      <c r="U549" s="124"/>
      <c r="V549" s="124"/>
      <c r="W549" s="124"/>
      <c r="X549" s="124"/>
      <c r="Y549" s="124"/>
    </row>
    <row r="550" spans="2:25" x14ac:dyDescent="0.25">
      <c r="B550" s="124"/>
      <c r="C550" s="124"/>
      <c r="D550" s="124"/>
      <c r="E550" s="124"/>
      <c r="F550" s="124"/>
      <c r="G550" s="124"/>
      <c r="H550" s="124"/>
      <c r="I550" s="124"/>
      <c r="J550" s="124"/>
      <c r="K550" s="124"/>
      <c r="L550" s="124"/>
      <c r="M550" s="124"/>
      <c r="N550" s="124"/>
      <c r="O550" s="124"/>
      <c r="P550" s="124"/>
      <c r="Q550" s="124"/>
      <c r="R550" s="124"/>
      <c r="S550" s="124"/>
      <c r="T550" s="124"/>
      <c r="U550" s="124"/>
      <c r="V550" s="124"/>
      <c r="W550" s="124"/>
      <c r="X550" s="124"/>
      <c r="Y550" s="124"/>
    </row>
    <row r="551" spans="2:25" x14ac:dyDescent="0.25">
      <c r="B551" s="124"/>
      <c r="C551" s="124"/>
      <c r="D551" s="124"/>
      <c r="E551" s="124"/>
      <c r="F551" s="124"/>
      <c r="G551" s="124"/>
      <c r="H551" s="124"/>
      <c r="I551" s="124"/>
      <c r="J551" s="124"/>
      <c r="K551" s="124"/>
      <c r="L551" s="124"/>
      <c r="M551" s="124"/>
      <c r="N551" s="124"/>
      <c r="O551" s="124"/>
      <c r="P551" s="124"/>
      <c r="Q551" s="124"/>
      <c r="R551" s="124"/>
      <c r="S551" s="124"/>
      <c r="T551" s="124"/>
      <c r="U551" s="124"/>
      <c r="V551" s="124"/>
      <c r="W551" s="124"/>
      <c r="X551" s="124"/>
      <c r="Y551" s="124"/>
    </row>
    <row r="552" spans="2:25" x14ac:dyDescent="0.25">
      <c r="B552" s="124"/>
      <c r="C552" s="124"/>
      <c r="D552" s="124"/>
      <c r="E552" s="124"/>
      <c r="F552" s="124"/>
      <c r="G552" s="124"/>
      <c r="H552" s="124"/>
      <c r="I552" s="124"/>
      <c r="J552" s="124"/>
      <c r="K552" s="124"/>
      <c r="L552" s="124"/>
      <c r="M552" s="124"/>
      <c r="N552" s="124"/>
      <c r="O552" s="124"/>
      <c r="P552" s="124"/>
      <c r="Q552" s="124"/>
      <c r="R552" s="124"/>
      <c r="S552" s="124"/>
      <c r="T552" s="124"/>
      <c r="U552" s="124"/>
      <c r="V552" s="124"/>
      <c r="W552" s="124"/>
      <c r="X552" s="124"/>
      <c r="Y552" s="124"/>
    </row>
    <row r="553" spans="2:25" x14ac:dyDescent="0.25">
      <c r="B553" s="124"/>
      <c r="C553" s="124"/>
      <c r="D553" s="124"/>
      <c r="E553" s="124"/>
      <c r="F553" s="124"/>
      <c r="G553" s="124"/>
      <c r="H553" s="124"/>
      <c r="I553" s="124"/>
      <c r="J553" s="124"/>
      <c r="K553" s="124"/>
      <c r="L553" s="124"/>
      <c r="M553" s="124"/>
      <c r="N553" s="124"/>
      <c r="O553" s="124"/>
      <c r="P553" s="124"/>
      <c r="Q553" s="124"/>
      <c r="R553" s="124"/>
      <c r="S553" s="124"/>
      <c r="T553" s="124"/>
      <c r="U553" s="124"/>
      <c r="V553" s="124"/>
      <c r="W553" s="124"/>
      <c r="X553" s="124"/>
      <c r="Y553" s="124"/>
    </row>
    <row r="554" spans="2:25" x14ac:dyDescent="0.25">
      <c r="B554" s="124"/>
      <c r="C554" s="124"/>
      <c r="D554" s="124"/>
      <c r="E554" s="124"/>
      <c r="F554" s="124"/>
      <c r="G554" s="124"/>
      <c r="H554" s="124"/>
      <c r="I554" s="124"/>
      <c r="J554" s="124"/>
      <c r="K554" s="124"/>
      <c r="L554" s="124"/>
      <c r="M554" s="124"/>
      <c r="N554" s="124"/>
      <c r="O554" s="124"/>
      <c r="P554" s="124"/>
      <c r="Q554" s="124"/>
      <c r="R554" s="124"/>
      <c r="S554" s="124"/>
      <c r="T554" s="124"/>
      <c r="U554" s="124"/>
      <c r="V554" s="124"/>
      <c r="W554" s="124"/>
      <c r="X554" s="124"/>
      <c r="Y554" s="124"/>
    </row>
    <row r="555" spans="2:25" x14ac:dyDescent="0.25">
      <c r="B555" s="124"/>
      <c r="C555" s="124"/>
      <c r="D555" s="124"/>
      <c r="E555" s="124"/>
      <c r="F555" s="124"/>
      <c r="G555" s="124"/>
      <c r="H555" s="124"/>
      <c r="I555" s="124"/>
      <c r="J555" s="124"/>
      <c r="K555" s="124"/>
      <c r="L555" s="124"/>
      <c r="M555" s="124"/>
      <c r="N555" s="124"/>
      <c r="O555" s="124"/>
      <c r="P555" s="124"/>
      <c r="Q555" s="124"/>
      <c r="R555" s="124"/>
      <c r="S555" s="124"/>
      <c r="T555" s="124"/>
      <c r="U555" s="124"/>
      <c r="V555" s="124"/>
      <c r="W555" s="124"/>
      <c r="X555" s="124"/>
      <c r="Y555" s="124"/>
    </row>
    <row r="556" spans="2:25" x14ac:dyDescent="0.25">
      <c r="B556" s="124"/>
      <c r="C556" s="124"/>
      <c r="D556" s="124"/>
      <c r="E556" s="124"/>
      <c r="F556" s="124"/>
      <c r="G556" s="124"/>
      <c r="H556" s="124"/>
      <c r="I556" s="124"/>
      <c r="J556" s="124"/>
      <c r="K556" s="124"/>
      <c r="L556" s="124"/>
      <c r="M556" s="124"/>
      <c r="N556" s="124"/>
      <c r="O556" s="124"/>
      <c r="P556" s="124"/>
      <c r="Q556" s="124"/>
      <c r="R556" s="124"/>
      <c r="S556" s="124"/>
      <c r="T556" s="124"/>
      <c r="U556" s="124"/>
      <c r="V556" s="124"/>
      <c r="W556" s="124"/>
      <c r="X556" s="124"/>
      <c r="Y556" s="124"/>
    </row>
    <row r="557" spans="2:25" x14ac:dyDescent="0.25">
      <c r="B557" s="124"/>
      <c r="C557" s="124"/>
      <c r="D557" s="124"/>
      <c r="E557" s="124"/>
      <c r="F557" s="124"/>
      <c r="G557" s="124"/>
      <c r="H557" s="124"/>
      <c r="I557" s="124"/>
      <c r="J557" s="124"/>
      <c r="K557" s="124"/>
      <c r="L557" s="124"/>
      <c r="M557" s="124"/>
      <c r="N557" s="124"/>
      <c r="O557" s="124"/>
      <c r="P557" s="124"/>
      <c r="Q557" s="124"/>
      <c r="R557" s="124"/>
      <c r="S557" s="124"/>
      <c r="T557" s="124"/>
      <c r="U557" s="124"/>
      <c r="V557" s="124"/>
      <c r="W557" s="124"/>
      <c r="X557" s="124"/>
      <c r="Y557" s="124"/>
    </row>
    <row r="558" spans="2:25" x14ac:dyDescent="0.25">
      <c r="B558" s="124"/>
      <c r="C558" s="124"/>
      <c r="D558" s="124"/>
      <c r="E558" s="124"/>
      <c r="F558" s="124"/>
      <c r="G558" s="124"/>
      <c r="H558" s="124"/>
      <c r="I558" s="124"/>
      <c r="J558" s="124"/>
      <c r="K558" s="124"/>
      <c r="L558" s="124"/>
      <c r="M558" s="124"/>
      <c r="N558" s="124"/>
      <c r="O558" s="124"/>
      <c r="P558" s="124"/>
      <c r="Q558" s="124"/>
      <c r="R558" s="124"/>
      <c r="S558" s="124"/>
      <c r="T558" s="124"/>
      <c r="U558" s="124"/>
      <c r="V558" s="124"/>
      <c r="W558" s="124"/>
      <c r="X558" s="124"/>
      <c r="Y558" s="124"/>
    </row>
    <row r="559" spans="2:25" x14ac:dyDescent="0.25">
      <c r="B559" s="124"/>
      <c r="C559" s="124"/>
      <c r="D559" s="124"/>
      <c r="E559" s="124"/>
      <c r="F559" s="124"/>
      <c r="G559" s="124"/>
      <c r="H559" s="124"/>
      <c r="I559" s="124"/>
      <c r="J559" s="124"/>
      <c r="K559" s="124"/>
      <c r="L559" s="124"/>
      <c r="M559" s="124"/>
      <c r="N559" s="124"/>
      <c r="O559" s="124"/>
      <c r="P559" s="124"/>
      <c r="Q559" s="124"/>
      <c r="R559" s="124"/>
      <c r="S559" s="124"/>
      <c r="T559" s="124"/>
      <c r="U559" s="124"/>
      <c r="V559" s="124"/>
      <c r="W559" s="124"/>
      <c r="X559" s="124"/>
      <c r="Y559" s="124"/>
    </row>
    <row r="560" spans="2:25" x14ac:dyDescent="0.25">
      <c r="B560" s="124"/>
      <c r="C560" s="124"/>
      <c r="D560" s="124"/>
      <c r="E560" s="124"/>
      <c r="F560" s="124"/>
      <c r="G560" s="124"/>
      <c r="H560" s="124"/>
      <c r="I560" s="124"/>
      <c r="J560" s="124"/>
      <c r="K560" s="124"/>
      <c r="L560" s="124"/>
      <c r="M560" s="124"/>
      <c r="N560" s="124"/>
      <c r="O560" s="124"/>
      <c r="P560" s="124"/>
      <c r="Q560" s="124"/>
      <c r="R560" s="124"/>
      <c r="S560" s="124"/>
      <c r="T560" s="124"/>
      <c r="U560" s="124"/>
      <c r="V560" s="124"/>
      <c r="W560" s="124"/>
      <c r="X560" s="124"/>
      <c r="Y560" s="124"/>
    </row>
    <row r="561" spans="2:25" x14ac:dyDescent="0.25">
      <c r="B561" s="124"/>
      <c r="C561" s="124"/>
      <c r="D561" s="124"/>
      <c r="E561" s="124"/>
      <c r="F561" s="124"/>
      <c r="G561" s="124"/>
      <c r="H561" s="124"/>
      <c r="I561" s="124"/>
      <c r="J561" s="124"/>
      <c r="K561" s="124"/>
      <c r="L561" s="124"/>
      <c r="M561" s="124"/>
      <c r="N561" s="124"/>
      <c r="O561" s="124"/>
      <c r="P561" s="124"/>
      <c r="Q561" s="124"/>
      <c r="R561" s="124"/>
      <c r="S561" s="124"/>
      <c r="T561" s="124"/>
      <c r="U561" s="124"/>
      <c r="V561" s="124"/>
      <c r="W561" s="124"/>
      <c r="X561" s="124"/>
      <c r="Y561" s="124"/>
    </row>
    <row r="562" spans="2:25" x14ac:dyDescent="0.25">
      <c r="B562" s="124"/>
      <c r="C562" s="124"/>
      <c r="D562" s="124"/>
      <c r="E562" s="124"/>
      <c r="F562" s="124"/>
      <c r="G562" s="124"/>
      <c r="H562" s="124"/>
      <c r="I562" s="124"/>
      <c r="J562" s="124"/>
      <c r="K562" s="124"/>
      <c r="L562" s="124"/>
      <c r="M562" s="124"/>
      <c r="N562" s="124"/>
      <c r="O562" s="124"/>
      <c r="P562" s="124"/>
      <c r="Q562" s="124"/>
      <c r="R562" s="124"/>
      <c r="S562" s="124"/>
      <c r="T562" s="124"/>
      <c r="U562" s="124"/>
      <c r="V562" s="124"/>
      <c r="W562" s="124"/>
      <c r="X562" s="124"/>
      <c r="Y562" s="124"/>
    </row>
    <row r="563" spans="2:25" x14ac:dyDescent="0.25">
      <c r="B563" s="124"/>
      <c r="C563" s="124"/>
      <c r="D563" s="124"/>
      <c r="E563" s="124"/>
      <c r="F563" s="124"/>
      <c r="G563" s="124"/>
      <c r="H563" s="124"/>
      <c r="I563" s="124"/>
      <c r="J563" s="124"/>
      <c r="K563" s="124"/>
      <c r="L563" s="124"/>
      <c r="M563" s="124"/>
      <c r="N563" s="124"/>
      <c r="O563" s="124"/>
      <c r="P563" s="124"/>
      <c r="Q563" s="124"/>
      <c r="R563" s="124"/>
      <c r="S563" s="124"/>
      <c r="T563" s="124"/>
      <c r="U563" s="124"/>
      <c r="V563" s="124"/>
      <c r="W563" s="124"/>
      <c r="X563" s="124"/>
      <c r="Y563" s="124"/>
    </row>
    <row r="564" spans="2:25" x14ac:dyDescent="0.25">
      <c r="B564" s="124"/>
      <c r="C564" s="124"/>
      <c r="D564" s="124"/>
      <c r="E564" s="124"/>
      <c r="F564" s="124"/>
      <c r="G564" s="124"/>
      <c r="H564" s="124"/>
      <c r="I564" s="124"/>
      <c r="J564" s="124"/>
      <c r="K564" s="124"/>
      <c r="L564" s="124"/>
      <c r="M564" s="124"/>
      <c r="N564" s="124"/>
      <c r="O564" s="124"/>
      <c r="P564" s="124"/>
      <c r="Q564" s="124"/>
      <c r="R564" s="124"/>
      <c r="S564" s="124"/>
      <c r="T564" s="124"/>
      <c r="U564" s="124"/>
      <c r="V564" s="124"/>
      <c r="W564" s="124"/>
      <c r="X564" s="124"/>
      <c r="Y564" s="124"/>
    </row>
    <row r="565" spans="2:25" x14ac:dyDescent="0.25">
      <c r="B565" s="124"/>
      <c r="C565" s="124"/>
      <c r="D565" s="124"/>
      <c r="E565" s="124"/>
      <c r="F565" s="124"/>
      <c r="G565" s="124"/>
      <c r="H565" s="124"/>
      <c r="I565" s="124"/>
      <c r="J565" s="124"/>
      <c r="K565" s="124"/>
      <c r="L565" s="124"/>
      <c r="M565" s="124"/>
      <c r="N565" s="124"/>
      <c r="O565" s="124"/>
      <c r="P565" s="124"/>
      <c r="Q565" s="124"/>
      <c r="R565" s="124"/>
      <c r="S565" s="124"/>
      <c r="T565" s="124"/>
      <c r="U565" s="124"/>
      <c r="V565" s="124"/>
      <c r="W565" s="124"/>
      <c r="X565" s="124"/>
      <c r="Y565" s="124"/>
    </row>
    <row r="566" spans="2:25" x14ac:dyDescent="0.25">
      <c r="B566" s="124"/>
      <c r="C566" s="124"/>
      <c r="D566" s="124"/>
      <c r="E566" s="124"/>
      <c r="F566" s="124"/>
      <c r="G566" s="124"/>
      <c r="H566" s="124"/>
      <c r="I566" s="124"/>
      <c r="J566" s="124"/>
      <c r="K566" s="124"/>
      <c r="L566" s="124"/>
      <c r="M566" s="124"/>
      <c r="N566" s="124"/>
      <c r="O566" s="124"/>
      <c r="P566" s="124"/>
      <c r="Q566" s="124"/>
      <c r="R566" s="124"/>
      <c r="S566" s="124"/>
      <c r="T566" s="124"/>
      <c r="U566" s="124"/>
      <c r="V566" s="124"/>
      <c r="W566" s="124"/>
      <c r="X566" s="124"/>
      <c r="Y566" s="124"/>
    </row>
    <row r="567" spans="2:25" x14ac:dyDescent="0.25">
      <c r="B567" s="124"/>
      <c r="C567" s="124"/>
      <c r="D567" s="124"/>
      <c r="E567" s="124"/>
      <c r="F567" s="124"/>
      <c r="G567" s="124"/>
      <c r="H567" s="124"/>
      <c r="I567" s="124"/>
      <c r="J567" s="124"/>
      <c r="K567" s="124"/>
      <c r="L567" s="124"/>
      <c r="M567" s="124"/>
      <c r="N567" s="124"/>
      <c r="O567" s="124"/>
      <c r="P567" s="124"/>
      <c r="Q567" s="124"/>
      <c r="R567" s="124"/>
      <c r="S567" s="124"/>
      <c r="T567" s="124"/>
      <c r="U567" s="124"/>
      <c r="V567" s="124"/>
      <c r="W567" s="124"/>
      <c r="X567" s="124"/>
      <c r="Y567" s="124"/>
    </row>
    <row r="568" spans="2:25" x14ac:dyDescent="0.25">
      <c r="B568" s="124"/>
      <c r="C568" s="124"/>
      <c r="D568" s="124"/>
      <c r="E568" s="124"/>
      <c r="F568" s="124"/>
      <c r="G568" s="124"/>
      <c r="H568" s="124"/>
      <c r="I568" s="124"/>
      <c r="J568" s="124"/>
      <c r="K568" s="124"/>
      <c r="L568" s="124"/>
      <c r="M568" s="124"/>
      <c r="N568" s="124"/>
      <c r="O568" s="124"/>
      <c r="P568" s="124"/>
      <c r="Q568" s="124"/>
      <c r="R568" s="124"/>
      <c r="S568" s="124"/>
      <c r="T568" s="124"/>
      <c r="U568" s="124"/>
      <c r="V568" s="124"/>
      <c r="W568" s="124"/>
      <c r="X568" s="124"/>
      <c r="Y568" s="124"/>
    </row>
    <row r="569" spans="2:25" x14ac:dyDescent="0.25">
      <c r="B569" s="124"/>
      <c r="C569" s="124"/>
      <c r="D569" s="124"/>
      <c r="E569" s="124"/>
      <c r="F569" s="124"/>
      <c r="G569" s="124"/>
      <c r="H569" s="124"/>
      <c r="I569" s="124"/>
      <c r="J569" s="124"/>
      <c r="K569" s="124"/>
      <c r="L569" s="124"/>
      <c r="M569" s="124"/>
      <c r="N569" s="124"/>
      <c r="O569" s="124"/>
      <c r="P569" s="124"/>
      <c r="Q569" s="124"/>
      <c r="R569" s="124"/>
      <c r="S569" s="124"/>
      <c r="T569" s="124"/>
      <c r="U569" s="124"/>
      <c r="V569" s="124"/>
      <c r="W569" s="124"/>
      <c r="X569" s="124"/>
      <c r="Y569" s="124"/>
    </row>
    <row r="570" spans="2:25" x14ac:dyDescent="0.25">
      <c r="B570" s="124"/>
      <c r="C570" s="124"/>
      <c r="D570" s="124"/>
      <c r="E570" s="124"/>
      <c r="F570" s="124"/>
      <c r="G570" s="124"/>
      <c r="H570" s="124"/>
      <c r="I570" s="124"/>
      <c r="J570" s="124"/>
      <c r="K570" s="124"/>
      <c r="L570" s="124"/>
      <c r="M570" s="124"/>
      <c r="N570" s="124"/>
      <c r="O570" s="124"/>
      <c r="P570" s="124"/>
      <c r="Q570" s="124"/>
      <c r="R570" s="124"/>
      <c r="S570" s="124"/>
      <c r="T570" s="124"/>
      <c r="U570" s="124"/>
      <c r="V570" s="124"/>
      <c r="W570" s="124"/>
      <c r="X570" s="124"/>
      <c r="Y570" s="124"/>
    </row>
    <row r="571" spans="2:25" x14ac:dyDescent="0.25">
      <c r="B571" s="124"/>
      <c r="C571" s="124"/>
      <c r="D571" s="124"/>
      <c r="E571" s="124"/>
      <c r="F571" s="124"/>
      <c r="G571" s="124"/>
      <c r="H571" s="124"/>
      <c r="I571" s="124"/>
      <c r="J571" s="124"/>
      <c r="K571" s="124"/>
      <c r="L571" s="124"/>
      <c r="M571" s="124"/>
      <c r="N571" s="124"/>
      <c r="O571" s="124"/>
      <c r="P571" s="124"/>
      <c r="Q571" s="124"/>
      <c r="R571" s="124"/>
      <c r="S571" s="124"/>
      <c r="T571" s="124"/>
      <c r="U571" s="124"/>
      <c r="V571" s="124"/>
      <c r="W571" s="124"/>
      <c r="X571" s="124"/>
      <c r="Y571" s="124"/>
    </row>
    <row r="572" spans="2:25" x14ac:dyDescent="0.25">
      <c r="B572" s="124"/>
      <c r="C572" s="124"/>
      <c r="D572" s="124"/>
      <c r="E572" s="124"/>
      <c r="F572" s="124"/>
      <c r="G572" s="124"/>
      <c r="H572" s="124"/>
      <c r="I572" s="124"/>
      <c r="J572" s="124"/>
      <c r="K572" s="124"/>
      <c r="L572" s="124"/>
      <c r="M572" s="124"/>
      <c r="N572" s="124"/>
      <c r="O572" s="124"/>
      <c r="P572" s="124"/>
      <c r="Q572" s="124"/>
      <c r="R572" s="124"/>
      <c r="S572" s="124"/>
      <c r="T572" s="124"/>
      <c r="U572" s="124"/>
      <c r="V572" s="124"/>
      <c r="W572" s="124"/>
      <c r="X572" s="124"/>
      <c r="Y572" s="124"/>
    </row>
    <row r="573" spans="2:25" x14ac:dyDescent="0.25">
      <c r="B573" s="124"/>
      <c r="C573" s="124"/>
      <c r="D573" s="124"/>
      <c r="E573" s="124"/>
      <c r="F573" s="124"/>
      <c r="G573" s="124"/>
      <c r="H573" s="124"/>
      <c r="I573" s="124"/>
      <c r="J573" s="124"/>
      <c r="K573" s="124"/>
      <c r="L573" s="124"/>
      <c r="M573" s="124"/>
      <c r="N573" s="124"/>
      <c r="O573" s="124"/>
      <c r="P573" s="124"/>
      <c r="Q573" s="124"/>
      <c r="R573" s="124"/>
      <c r="S573" s="124"/>
      <c r="T573" s="124"/>
      <c r="U573" s="124"/>
      <c r="V573" s="124"/>
      <c r="W573" s="124"/>
      <c r="X573" s="124"/>
      <c r="Y573" s="124"/>
    </row>
    <row r="574" spans="2:25" x14ac:dyDescent="0.25">
      <c r="B574" s="124"/>
      <c r="C574" s="124"/>
      <c r="D574" s="124"/>
      <c r="E574" s="124"/>
      <c r="F574" s="124"/>
      <c r="G574" s="124"/>
      <c r="H574" s="124"/>
      <c r="I574" s="124"/>
      <c r="J574" s="124"/>
      <c r="K574" s="124"/>
      <c r="L574" s="124"/>
      <c r="M574" s="124"/>
      <c r="N574" s="124"/>
      <c r="O574" s="124"/>
      <c r="P574" s="124"/>
      <c r="Q574" s="124"/>
      <c r="R574" s="124"/>
      <c r="S574" s="124"/>
      <c r="T574" s="124"/>
      <c r="U574" s="124"/>
      <c r="V574" s="124"/>
      <c r="W574" s="124"/>
      <c r="X574" s="124"/>
      <c r="Y574" s="124"/>
    </row>
    <row r="575" spans="2:25" x14ac:dyDescent="0.25">
      <c r="B575" s="124"/>
      <c r="C575" s="124"/>
      <c r="D575" s="124"/>
      <c r="E575" s="124"/>
      <c r="F575" s="124"/>
      <c r="G575" s="124"/>
      <c r="H575" s="124"/>
      <c r="I575" s="124"/>
      <c r="J575" s="124"/>
      <c r="K575" s="124"/>
      <c r="L575" s="124"/>
      <c r="M575" s="124"/>
      <c r="N575" s="124"/>
      <c r="O575" s="124"/>
      <c r="P575" s="124"/>
      <c r="Q575" s="124"/>
      <c r="R575" s="124"/>
      <c r="S575" s="124"/>
      <c r="T575" s="124"/>
      <c r="U575" s="124"/>
      <c r="V575" s="124"/>
      <c r="W575" s="124"/>
      <c r="X575" s="124"/>
      <c r="Y575" s="124"/>
    </row>
    <row r="576" spans="2:25" x14ac:dyDescent="0.25">
      <c r="B576" s="124"/>
      <c r="C576" s="124"/>
      <c r="D576" s="124"/>
      <c r="E576" s="124"/>
      <c r="F576" s="124"/>
      <c r="G576" s="124"/>
      <c r="H576" s="124"/>
      <c r="I576" s="124"/>
      <c r="J576" s="124"/>
      <c r="K576" s="124"/>
      <c r="L576" s="124"/>
      <c r="M576" s="124"/>
      <c r="N576" s="124"/>
      <c r="O576" s="124"/>
      <c r="P576" s="124"/>
      <c r="Q576" s="124"/>
      <c r="R576" s="124"/>
      <c r="S576" s="124"/>
      <c r="T576" s="124"/>
      <c r="U576" s="124"/>
      <c r="V576" s="124"/>
      <c r="W576" s="124"/>
      <c r="X576" s="124"/>
      <c r="Y576" s="124"/>
    </row>
    <row r="577" spans="2:25" x14ac:dyDescent="0.25">
      <c r="B577" s="124"/>
      <c r="C577" s="124"/>
      <c r="D577" s="124"/>
      <c r="E577" s="124"/>
      <c r="F577" s="124"/>
      <c r="G577" s="124"/>
      <c r="H577" s="124"/>
      <c r="I577" s="124"/>
      <c r="J577" s="124"/>
      <c r="K577" s="124"/>
      <c r="L577" s="124"/>
      <c r="M577" s="124"/>
      <c r="N577" s="124"/>
      <c r="O577" s="124"/>
      <c r="P577" s="124"/>
      <c r="Q577" s="124"/>
      <c r="R577" s="124"/>
      <c r="S577" s="124"/>
      <c r="T577" s="124"/>
      <c r="U577" s="124"/>
      <c r="V577" s="124"/>
      <c r="W577" s="124"/>
      <c r="X577" s="124"/>
      <c r="Y577" s="124"/>
    </row>
    <row r="578" spans="2:25" x14ac:dyDescent="0.25">
      <c r="B578" s="124"/>
      <c r="C578" s="124"/>
      <c r="D578" s="124"/>
      <c r="E578" s="124"/>
      <c r="F578" s="124"/>
      <c r="G578" s="124"/>
      <c r="H578" s="124"/>
      <c r="I578" s="124"/>
      <c r="J578" s="124"/>
      <c r="K578" s="124"/>
      <c r="L578" s="124"/>
      <c r="M578" s="124"/>
      <c r="N578" s="124"/>
      <c r="O578" s="124"/>
      <c r="P578" s="124"/>
      <c r="Q578" s="124"/>
      <c r="R578" s="124"/>
      <c r="S578" s="124"/>
      <c r="T578" s="124"/>
      <c r="U578" s="124"/>
      <c r="V578" s="124"/>
      <c r="W578" s="124"/>
      <c r="X578" s="124"/>
      <c r="Y578" s="124"/>
    </row>
    <row r="579" spans="2:25" x14ac:dyDescent="0.25">
      <c r="B579" s="124"/>
      <c r="C579" s="124"/>
      <c r="D579" s="124"/>
      <c r="E579" s="124"/>
      <c r="F579" s="124"/>
      <c r="G579" s="124"/>
      <c r="H579" s="124"/>
      <c r="I579" s="124"/>
      <c r="J579" s="124"/>
      <c r="K579" s="124"/>
      <c r="L579" s="124"/>
      <c r="M579" s="124"/>
      <c r="N579" s="124"/>
      <c r="O579" s="124"/>
      <c r="P579" s="124"/>
      <c r="Q579" s="124"/>
      <c r="R579" s="124"/>
      <c r="S579" s="124"/>
      <c r="T579" s="124"/>
      <c r="U579" s="124"/>
      <c r="V579" s="124"/>
      <c r="W579" s="124"/>
      <c r="X579" s="124"/>
      <c r="Y579" s="124"/>
    </row>
    <row r="580" spans="2:25" x14ac:dyDescent="0.25">
      <c r="B580" s="124"/>
      <c r="C580" s="124"/>
      <c r="D580" s="124"/>
      <c r="E580" s="124"/>
      <c r="F580" s="124"/>
      <c r="G580" s="124"/>
      <c r="H580" s="124"/>
      <c r="I580" s="124"/>
      <c r="J580" s="124"/>
      <c r="K580" s="124"/>
      <c r="L580" s="124"/>
      <c r="M580" s="124"/>
      <c r="N580" s="124"/>
      <c r="O580" s="124"/>
      <c r="P580" s="124"/>
      <c r="Q580" s="124"/>
      <c r="R580" s="124"/>
      <c r="S580" s="124"/>
      <c r="T580" s="124"/>
      <c r="U580" s="124"/>
      <c r="V580" s="124"/>
      <c r="W580" s="124"/>
      <c r="X580" s="124"/>
      <c r="Y580" s="124"/>
    </row>
    <row r="581" spans="2:25" x14ac:dyDescent="0.25">
      <c r="B581" s="124"/>
      <c r="C581" s="124"/>
      <c r="D581" s="124"/>
      <c r="E581" s="124"/>
      <c r="F581" s="124"/>
      <c r="G581" s="124"/>
      <c r="H581" s="124"/>
      <c r="I581" s="124"/>
      <c r="J581" s="124"/>
      <c r="K581" s="124"/>
      <c r="L581" s="124"/>
      <c r="M581" s="124"/>
      <c r="N581" s="124"/>
      <c r="O581" s="124"/>
      <c r="P581" s="124"/>
      <c r="Q581" s="124"/>
      <c r="R581" s="124"/>
      <c r="S581" s="124"/>
      <c r="T581" s="124"/>
      <c r="U581" s="124"/>
      <c r="V581" s="124"/>
      <c r="W581" s="124"/>
      <c r="X581" s="124"/>
      <c r="Y581" s="124"/>
    </row>
    <row r="582" spans="2:25" x14ac:dyDescent="0.25">
      <c r="B582" s="124"/>
      <c r="C582" s="124"/>
      <c r="D582" s="124"/>
      <c r="E582" s="124"/>
      <c r="F582" s="124"/>
      <c r="G582" s="124"/>
      <c r="H582" s="124"/>
      <c r="I582" s="124"/>
      <c r="J582" s="124"/>
      <c r="K582" s="124"/>
      <c r="L582" s="124"/>
      <c r="M582" s="124"/>
      <c r="N582" s="124"/>
      <c r="O582" s="124"/>
      <c r="P582" s="124"/>
      <c r="Q582" s="124"/>
      <c r="R582" s="124"/>
      <c r="S582" s="124"/>
      <c r="T582" s="124"/>
      <c r="U582" s="124"/>
      <c r="V582" s="124"/>
      <c r="W582" s="124"/>
      <c r="X582" s="124"/>
      <c r="Y582" s="124"/>
    </row>
    <row r="583" spans="2:25" x14ac:dyDescent="0.25">
      <c r="B583" s="124"/>
      <c r="C583" s="124"/>
      <c r="D583" s="124"/>
      <c r="E583" s="124"/>
      <c r="F583" s="124"/>
      <c r="G583" s="124"/>
      <c r="H583" s="124"/>
      <c r="I583" s="124"/>
      <c r="J583" s="124"/>
      <c r="K583" s="124"/>
      <c r="L583" s="124"/>
      <c r="M583" s="124"/>
      <c r="N583" s="124"/>
      <c r="O583" s="124"/>
      <c r="P583" s="124"/>
      <c r="Q583" s="124"/>
      <c r="R583" s="124"/>
      <c r="S583" s="124"/>
      <c r="T583" s="124"/>
      <c r="U583" s="124"/>
      <c r="V583" s="124"/>
      <c r="W583" s="124"/>
      <c r="X583" s="124"/>
      <c r="Y583" s="124"/>
    </row>
    <row r="584" spans="2:25" x14ac:dyDescent="0.25">
      <c r="B584" s="124"/>
      <c r="C584" s="124"/>
      <c r="D584" s="124"/>
      <c r="E584" s="124"/>
      <c r="F584" s="124"/>
      <c r="G584" s="124"/>
      <c r="H584" s="124"/>
      <c r="I584" s="124"/>
      <c r="J584" s="124"/>
      <c r="K584" s="124"/>
      <c r="L584" s="124"/>
      <c r="M584" s="124"/>
      <c r="N584" s="124"/>
      <c r="O584" s="124"/>
      <c r="P584" s="124"/>
      <c r="Q584" s="124"/>
      <c r="R584" s="124"/>
      <c r="S584" s="124"/>
      <c r="T584" s="124"/>
      <c r="U584" s="124"/>
      <c r="V584" s="124"/>
      <c r="W584" s="124"/>
      <c r="X584" s="124"/>
      <c r="Y584" s="124"/>
    </row>
    <row r="585" spans="2:25" x14ac:dyDescent="0.25">
      <c r="B585" s="124"/>
      <c r="C585" s="124"/>
      <c r="D585" s="124"/>
      <c r="E585" s="124"/>
      <c r="F585" s="124"/>
      <c r="G585" s="124"/>
      <c r="H585" s="124"/>
      <c r="I585" s="124"/>
      <c r="J585" s="124"/>
      <c r="K585" s="124"/>
      <c r="L585" s="124"/>
      <c r="M585" s="124"/>
      <c r="N585" s="124"/>
      <c r="O585" s="124"/>
      <c r="P585" s="124"/>
      <c r="Q585" s="124"/>
      <c r="R585" s="124"/>
      <c r="S585" s="124"/>
      <c r="T585" s="124"/>
      <c r="U585" s="124"/>
      <c r="V585" s="124"/>
      <c r="W585" s="124"/>
      <c r="X585" s="124"/>
      <c r="Y585" s="124"/>
    </row>
    <row r="586" spans="2:25" x14ac:dyDescent="0.25">
      <c r="B586" s="124"/>
      <c r="C586" s="124"/>
      <c r="D586" s="124"/>
      <c r="E586" s="124"/>
      <c r="F586" s="124"/>
      <c r="G586" s="124"/>
      <c r="H586" s="124"/>
      <c r="I586" s="124"/>
      <c r="J586" s="124"/>
      <c r="K586" s="124"/>
      <c r="L586" s="124"/>
      <c r="M586" s="124"/>
      <c r="N586" s="124"/>
      <c r="O586" s="124"/>
      <c r="P586" s="124"/>
      <c r="Q586" s="124"/>
      <c r="R586" s="124"/>
      <c r="S586" s="124"/>
      <c r="T586" s="124"/>
      <c r="U586" s="124"/>
      <c r="V586" s="124"/>
      <c r="W586" s="124"/>
      <c r="X586" s="124"/>
      <c r="Y586" s="124"/>
    </row>
    <row r="587" spans="2:25" x14ac:dyDescent="0.25">
      <c r="B587" s="124"/>
      <c r="C587" s="124"/>
      <c r="D587" s="124"/>
      <c r="E587" s="124"/>
      <c r="F587" s="124"/>
      <c r="G587" s="124"/>
      <c r="H587" s="124"/>
      <c r="I587" s="124"/>
      <c r="J587" s="124"/>
      <c r="K587" s="124"/>
      <c r="L587" s="124"/>
      <c r="M587" s="124"/>
      <c r="N587" s="124"/>
      <c r="O587" s="124"/>
      <c r="P587" s="124"/>
      <c r="Q587" s="124"/>
      <c r="R587" s="124"/>
      <c r="S587" s="124"/>
      <c r="T587" s="124"/>
      <c r="U587" s="124"/>
      <c r="V587" s="124"/>
      <c r="W587" s="124"/>
      <c r="X587" s="124"/>
      <c r="Y587" s="124"/>
    </row>
    <row r="588" spans="2:25" x14ac:dyDescent="0.25">
      <c r="B588" s="124"/>
      <c r="C588" s="124"/>
      <c r="D588" s="124"/>
      <c r="E588" s="124"/>
      <c r="F588" s="124"/>
      <c r="G588" s="124"/>
      <c r="H588" s="124"/>
      <c r="I588" s="124"/>
      <c r="J588" s="124"/>
      <c r="K588" s="124"/>
      <c r="L588" s="124"/>
      <c r="M588" s="124"/>
      <c r="N588" s="124"/>
      <c r="O588" s="124"/>
      <c r="P588" s="124"/>
      <c r="Q588" s="124"/>
      <c r="R588" s="124"/>
      <c r="S588" s="124"/>
      <c r="T588" s="124"/>
      <c r="U588" s="124"/>
      <c r="V588" s="124"/>
      <c r="W588" s="124"/>
      <c r="X588" s="124"/>
      <c r="Y588" s="124"/>
    </row>
    <row r="589" spans="2:25" x14ac:dyDescent="0.25">
      <c r="B589" s="124"/>
      <c r="C589" s="124"/>
      <c r="D589" s="124"/>
      <c r="E589" s="124"/>
      <c r="F589" s="124"/>
      <c r="G589" s="124"/>
      <c r="H589" s="124"/>
      <c r="I589" s="124"/>
      <c r="J589" s="124"/>
      <c r="K589" s="124"/>
      <c r="L589" s="124"/>
      <c r="M589" s="124"/>
      <c r="N589" s="124"/>
      <c r="O589" s="124"/>
      <c r="P589" s="124"/>
      <c r="Q589" s="124"/>
      <c r="R589" s="124"/>
      <c r="S589" s="124"/>
      <c r="T589" s="124"/>
      <c r="U589" s="124"/>
      <c r="V589" s="124"/>
      <c r="W589" s="124"/>
      <c r="X589" s="124"/>
      <c r="Y589" s="124"/>
    </row>
    <row r="590" spans="2:25" x14ac:dyDescent="0.25">
      <c r="B590" s="124"/>
      <c r="C590" s="124"/>
      <c r="D590" s="124"/>
      <c r="E590" s="124"/>
      <c r="F590" s="124"/>
      <c r="G590" s="124"/>
      <c r="H590" s="124"/>
      <c r="I590" s="124"/>
      <c r="J590" s="124"/>
      <c r="K590" s="124"/>
      <c r="L590" s="124"/>
      <c r="M590" s="124"/>
      <c r="N590" s="124"/>
      <c r="O590" s="124"/>
      <c r="P590" s="124"/>
      <c r="Q590" s="124"/>
      <c r="R590" s="124"/>
      <c r="S590" s="124"/>
      <c r="T590" s="124"/>
      <c r="U590" s="124"/>
      <c r="V590" s="124"/>
      <c r="W590" s="124"/>
      <c r="X590" s="124"/>
      <c r="Y590" s="124"/>
    </row>
    <row r="591" spans="2:25" x14ac:dyDescent="0.25">
      <c r="B591" s="124"/>
      <c r="C591" s="124"/>
      <c r="D591" s="124"/>
      <c r="E591" s="124"/>
      <c r="F591" s="124"/>
      <c r="G591" s="124"/>
      <c r="H591" s="124"/>
      <c r="I591" s="124"/>
      <c r="J591" s="124"/>
      <c r="K591" s="124"/>
      <c r="L591" s="124"/>
      <c r="M591" s="124"/>
      <c r="N591" s="124"/>
      <c r="O591" s="124"/>
      <c r="P591" s="124"/>
      <c r="Q591" s="124"/>
      <c r="R591" s="124"/>
      <c r="S591" s="124"/>
      <c r="T591" s="124"/>
      <c r="U591" s="124"/>
      <c r="V591" s="124"/>
      <c r="W591" s="124"/>
      <c r="X591" s="124"/>
      <c r="Y591" s="124"/>
    </row>
    <row r="592" spans="2:25" x14ac:dyDescent="0.25">
      <c r="B592" s="124"/>
      <c r="C592" s="124"/>
      <c r="D592" s="124"/>
      <c r="E592" s="124"/>
      <c r="F592" s="124"/>
      <c r="G592" s="124"/>
      <c r="H592" s="124"/>
      <c r="I592" s="124"/>
      <c r="J592" s="124"/>
      <c r="K592" s="124"/>
      <c r="L592" s="124"/>
      <c r="M592" s="124"/>
      <c r="N592" s="124"/>
      <c r="O592" s="124"/>
      <c r="P592" s="124"/>
      <c r="Q592" s="124"/>
      <c r="R592" s="124"/>
      <c r="S592" s="124"/>
      <c r="T592" s="124"/>
      <c r="U592" s="124"/>
      <c r="V592" s="124"/>
      <c r="W592" s="124"/>
      <c r="X592" s="124"/>
      <c r="Y592" s="124"/>
    </row>
    <row r="593" spans="2:25" x14ac:dyDescent="0.25">
      <c r="B593" s="124"/>
      <c r="C593" s="124"/>
      <c r="D593" s="124"/>
      <c r="E593" s="124"/>
      <c r="F593" s="124"/>
      <c r="G593" s="124"/>
      <c r="H593" s="124"/>
      <c r="I593" s="124"/>
      <c r="J593" s="124"/>
      <c r="K593" s="124"/>
      <c r="L593" s="124"/>
      <c r="M593" s="124"/>
      <c r="N593" s="124"/>
      <c r="O593" s="124"/>
      <c r="P593" s="124"/>
      <c r="Q593" s="124"/>
      <c r="R593" s="124"/>
      <c r="S593" s="124"/>
      <c r="T593" s="124"/>
      <c r="U593" s="124"/>
      <c r="V593" s="124"/>
      <c r="W593" s="124"/>
      <c r="X593" s="124"/>
      <c r="Y593" s="124"/>
    </row>
    <row r="594" spans="2:25" x14ac:dyDescent="0.25">
      <c r="B594" s="124"/>
      <c r="C594" s="124"/>
      <c r="D594" s="124"/>
      <c r="E594" s="124"/>
      <c r="F594" s="124"/>
      <c r="G594" s="124"/>
      <c r="H594" s="124"/>
      <c r="I594" s="124"/>
      <c r="J594" s="124"/>
      <c r="K594" s="124"/>
      <c r="L594" s="124"/>
      <c r="M594" s="124"/>
      <c r="N594" s="124"/>
      <c r="O594" s="124"/>
      <c r="P594" s="124"/>
      <c r="Q594" s="124"/>
      <c r="R594" s="124"/>
      <c r="S594" s="124"/>
      <c r="T594" s="124"/>
      <c r="U594" s="124"/>
      <c r="V594" s="124"/>
      <c r="W594" s="124"/>
      <c r="X594" s="124"/>
      <c r="Y594" s="124"/>
    </row>
    <row r="595" spans="2:25" x14ac:dyDescent="0.25">
      <c r="B595" s="124"/>
      <c r="C595" s="124"/>
      <c r="D595" s="124"/>
      <c r="E595" s="124"/>
      <c r="F595" s="124"/>
      <c r="G595" s="124"/>
      <c r="H595" s="124"/>
      <c r="I595" s="124"/>
      <c r="J595" s="124"/>
      <c r="K595" s="124"/>
      <c r="L595" s="124"/>
      <c r="M595" s="124"/>
      <c r="N595" s="124"/>
      <c r="O595" s="124"/>
      <c r="P595" s="124"/>
      <c r="Q595" s="124"/>
      <c r="R595" s="124"/>
      <c r="S595" s="124"/>
      <c r="T595" s="124"/>
      <c r="U595" s="124"/>
      <c r="V595" s="124"/>
      <c r="W595" s="124"/>
      <c r="X595" s="124"/>
      <c r="Y595" s="124"/>
    </row>
    <row r="596" spans="2:25" x14ac:dyDescent="0.25">
      <c r="B596" s="124"/>
      <c r="C596" s="124"/>
      <c r="D596" s="124"/>
      <c r="E596" s="124"/>
      <c r="F596" s="124"/>
      <c r="G596" s="124"/>
      <c r="H596" s="124"/>
      <c r="I596" s="124"/>
      <c r="J596" s="124"/>
      <c r="K596" s="124"/>
      <c r="L596" s="124"/>
      <c r="M596" s="124"/>
      <c r="N596" s="124"/>
      <c r="O596" s="124"/>
      <c r="P596" s="124"/>
      <c r="Q596" s="124"/>
      <c r="R596" s="124"/>
      <c r="S596" s="124"/>
      <c r="T596" s="124"/>
      <c r="U596" s="124"/>
      <c r="V596" s="124"/>
      <c r="W596" s="124"/>
      <c r="X596" s="124"/>
      <c r="Y596" s="124"/>
    </row>
    <row r="597" spans="2:25" x14ac:dyDescent="0.25">
      <c r="B597" s="124"/>
      <c r="C597" s="124"/>
      <c r="D597" s="124"/>
      <c r="E597" s="124"/>
      <c r="F597" s="124"/>
      <c r="G597" s="124"/>
      <c r="H597" s="124"/>
      <c r="I597" s="124"/>
      <c r="J597" s="124"/>
      <c r="K597" s="124"/>
      <c r="L597" s="124"/>
      <c r="M597" s="124"/>
      <c r="N597" s="124"/>
      <c r="O597" s="124"/>
      <c r="P597" s="124"/>
      <c r="Q597" s="124"/>
      <c r="R597" s="124"/>
      <c r="S597" s="124"/>
      <c r="T597" s="124"/>
      <c r="U597" s="124"/>
      <c r="V597" s="124"/>
      <c r="W597" s="124"/>
      <c r="X597" s="124"/>
      <c r="Y597" s="124"/>
    </row>
    <row r="598" spans="2:25" x14ac:dyDescent="0.25">
      <c r="B598" s="124"/>
      <c r="C598" s="124"/>
      <c r="D598" s="124"/>
      <c r="E598" s="124"/>
      <c r="F598" s="124"/>
      <c r="G598" s="124"/>
      <c r="H598" s="124"/>
      <c r="I598" s="124"/>
      <c r="J598" s="124"/>
      <c r="K598" s="124"/>
      <c r="L598" s="124"/>
      <c r="M598" s="124"/>
      <c r="N598" s="124"/>
      <c r="O598" s="124"/>
      <c r="P598" s="124"/>
      <c r="Q598" s="124"/>
      <c r="R598" s="124"/>
      <c r="S598" s="124"/>
      <c r="T598" s="124"/>
      <c r="U598" s="124"/>
      <c r="V598" s="124"/>
      <c r="W598" s="124"/>
      <c r="X598" s="124"/>
      <c r="Y598" s="124"/>
    </row>
    <row r="599" spans="2:25" x14ac:dyDescent="0.25">
      <c r="B599" s="124"/>
      <c r="C599" s="124"/>
      <c r="D599" s="124"/>
      <c r="E599" s="124"/>
      <c r="F599" s="124"/>
      <c r="G599" s="124"/>
      <c r="H599" s="124"/>
      <c r="I599" s="124"/>
      <c r="J599" s="124"/>
      <c r="K599" s="124"/>
      <c r="L599" s="124"/>
      <c r="M599" s="124"/>
      <c r="N599" s="124"/>
      <c r="O599" s="124"/>
      <c r="P599" s="124"/>
      <c r="Q599" s="124"/>
      <c r="R599" s="124"/>
      <c r="S599" s="124"/>
      <c r="T599" s="124"/>
      <c r="U599" s="124"/>
      <c r="V599" s="124"/>
      <c r="W599" s="124"/>
      <c r="X599" s="124"/>
      <c r="Y599" s="124"/>
    </row>
    <row r="600" spans="2:25" x14ac:dyDescent="0.25">
      <c r="B600" s="124"/>
      <c r="C600" s="124"/>
      <c r="D600" s="124"/>
      <c r="E600" s="124"/>
      <c r="F600" s="124"/>
      <c r="G600" s="124"/>
      <c r="H600" s="124"/>
      <c r="I600" s="124"/>
      <c r="J600" s="124"/>
      <c r="K600" s="124"/>
      <c r="L600" s="124"/>
      <c r="M600" s="124"/>
      <c r="N600" s="124"/>
      <c r="O600" s="124"/>
      <c r="P600" s="124"/>
      <c r="Q600" s="124"/>
      <c r="R600" s="124"/>
      <c r="S600" s="124"/>
      <c r="T600" s="124"/>
      <c r="U600" s="124"/>
      <c r="V600" s="124"/>
      <c r="W600" s="124"/>
      <c r="X600" s="124"/>
      <c r="Y600" s="124"/>
    </row>
    <row r="601" spans="2:25" x14ac:dyDescent="0.25">
      <c r="B601" s="124"/>
      <c r="C601" s="124"/>
      <c r="D601" s="124"/>
      <c r="E601" s="124"/>
      <c r="F601" s="124"/>
      <c r="G601" s="124"/>
      <c r="H601" s="124"/>
      <c r="I601" s="124"/>
      <c r="J601" s="124"/>
      <c r="K601" s="124"/>
      <c r="L601" s="124"/>
      <c r="M601" s="124"/>
      <c r="N601" s="124"/>
      <c r="O601" s="124"/>
      <c r="P601" s="124"/>
      <c r="Q601" s="124"/>
      <c r="R601" s="124"/>
      <c r="S601" s="124"/>
      <c r="T601" s="124"/>
      <c r="U601" s="124"/>
      <c r="V601" s="124"/>
      <c r="W601" s="124"/>
      <c r="X601" s="124"/>
      <c r="Y601" s="124"/>
    </row>
    <row r="602" spans="2:25" x14ac:dyDescent="0.25">
      <c r="B602" s="124"/>
      <c r="C602" s="124"/>
      <c r="D602" s="124"/>
      <c r="E602" s="124"/>
      <c r="F602" s="124"/>
      <c r="G602" s="124"/>
      <c r="H602" s="124"/>
      <c r="I602" s="124"/>
      <c r="J602" s="124"/>
      <c r="K602" s="124"/>
      <c r="L602" s="124"/>
      <c r="M602" s="124"/>
      <c r="N602" s="124"/>
      <c r="O602" s="124"/>
      <c r="P602" s="124"/>
      <c r="Q602" s="124"/>
      <c r="R602" s="124"/>
      <c r="S602" s="124"/>
      <c r="T602" s="124"/>
      <c r="U602" s="124"/>
      <c r="V602" s="124"/>
      <c r="W602" s="124"/>
      <c r="X602" s="124"/>
      <c r="Y602" s="124"/>
    </row>
    <row r="603" spans="2:25" x14ac:dyDescent="0.25">
      <c r="B603" s="124"/>
      <c r="C603" s="124"/>
      <c r="D603" s="124"/>
      <c r="E603" s="124"/>
      <c r="F603" s="124"/>
      <c r="G603" s="124"/>
      <c r="H603" s="124"/>
      <c r="I603" s="124"/>
      <c r="J603" s="124"/>
      <c r="K603" s="124"/>
      <c r="L603" s="124"/>
      <c r="M603" s="124"/>
      <c r="N603" s="124"/>
      <c r="O603" s="124"/>
      <c r="P603" s="124"/>
      <c r="Q603" s="124"/>
      <c r="R603" s="124"/>
      <c r="S603" s="124"/>
      <c r="T603" s="124"/>
      <c r="U603" s="124"/>
      <c r="V603" s="124"/>
      <c r="W603" s="124"/>
      <c r="X603" s="124"/>
      <c r="Y603" s="124"/>
    </row>
    <row r="604" spans="2:25" x14ac:dyDescent="0.25">
      <c r="B604" s="124"/>
      <c r="C604" s="124"/>
      <c r="D604" s="124"/>
      <c r="E604" s="124"/>
      <c r="F604" s="124"/>
      <c r="G604" s="124"/>
      <c r="H604" s="124"/>
      <c r="I604" s="124"/>
      <c r="J604" s="124"/>
      <c r="K604" s="124"/>
      <c r="L604" s="124"/>
      <c r="M604" s="124"/>
      <c r="N604" s="124"/>
      <c r="O604" s="124"/>
      <c r="P604" s="124"/>
      <c r="Q604" s="124"/>
      <c r="R604" s="124"/>
      <c r="S604" s="124"/>
      <c r="T604" s="124"/>
      <c r="U604" s="124"/>
      <c r="V604" s="124"/>
      <c r="W604" s="124"/>
      <c r="X604" s="124"/>
      <c r="Y604" s="124"/>
    </row>
    <row r="605" spans="2:25" x14ac:dyDescent="0.25">
      <c r="B605" s="124"/>
      <c r="C605" s="124"/>
      <c r="D605" s="124"/>
      <c r="E605" s="124"/>
      <c r="F605" s="124"/>
      <c r="G605" s="124"/>
      <c r="H605" s="124"/>
      <c r="I605" s="124"/>
      <c r="J605" s="124"/>
      <c r="K605" s="124"/>
      <c r="L605" s="124"/>
      <c r="M605" s="124"/>
      <c r="N605" s="124"/>
      <c r="O605" s="124"/>
      <c r="P605" s="124"/>
      <c r="Q605" s="124"/>
      <c r="R605" s="124"/>
      <c r="S605" s="124"/>
      <c r="T605" s="124"/>
      <c r="U605" s="124"/>
      <c r="V605" s="124"/>
      <c r="W605" s="124"/>
      <c r="X605" s="124"/>
      <c r="Y605" s="124"/>
    </row>
    <row r="606" spans="2:25" x14ac:dyDescent="0.25">
      <c r="B606" s="124"/>
      <c r="C606" s="124"/>
      <c r="D606" s="124"/>
      <c r="E606" s="124"/>
      <c r="F606" s="124"/>
      <c r="G606" s="124"/>
      <c r="H606" s="124"/>
      <c r="I606" s="124"/>
      <c r="J606" s="124"/>
      <c r="K606" s="124"/>
      <c r="L606" s="124"/>
      <c r="M606" s="124"/>
      <c r="N606" s="124"/>
      <c r="O606" s="124"/>
      <c r="P606" s="124"/>
      <c r="Q606" s="124"/>
      <c r="R606" s="124"/>
      <c r="S606" s="124"/>
      <c r="T606" s="124"/>
      <c r="U606" s="124"/>
      <c r="V606" s="124"/>
      <c r="W606" s="124"/>
      <c r="X606" s="124"/>
      <c r="Y606" s="124"/>
    </row>
    <row r="607" spans="2:25" x14ac:dyDescent="0.25">
      <c r="B607" s="124"/>
      <c r="C607" s="124"/>
      <c r="D607" s="124"/>
      <c r="E607" s="124"/>
      <c r="F607" s="124"/>
      <c r="G607" s="124"/>
      <c r="H607" s="124"/>
      <c r="I607" s="124"/>
      <c r="J607" s="124"/>
      <c r="K607" s="124"/>
      <c r="L607" s="124"/>
      <c r="M607" s="124"/>
      <c r="N607" s="124"/>
      <c r="O607" s="124"/>
      <c r="P607" s="124"/>
      <c r="Q607" s="124"/>
      <c r="R607" s="124"/>
      <c r="S607" s="124"/>
      <c r="T607" s="124"/>
      <c r="U607" s="124"/>
      <c r="V607" s="124"/>
      <c r="W607" s="124"/>
      <c r="X607" s="124"/>
      <c r="Y607" s="124"/>
    </row>
    <row r="608" spans="2:25" x14ac:dyDescent="0.25">
      <c r="B608" s="124"/>
      <c r="C608" s="124"/>
      <c r="D608" s="124"/>
      <c r="E608" s="124"/>
      <c r="F608" s="124"/>
      <c r="G608" s="124"/>
      <c r="H608" s="124"/>
      <c r="I608" s="124"/>
      <c r="J608" s="124"/>
      <c r="K608" s="124"/>
      <c r="L608" s="124"/>
      <c r="M608" s="124"/>
      <c r="N608" s="124"/>
      <c r="O608" s="124"/>
      <c r="P608" s="124"/>
      <c r="Q608" s="124"/>
      <c r="R608" s="124"/>
      <c r="S608" s="124"/>
      <c r="T608" s="124"/>
      <c r="U608" s="124"/>
      <c r="V608" s="124"/>
      <c r="W608" s="124"/>
      <c r="X608" s="124"/>
      <c r="Y608" s="124"/>
    </row>
    <row r="609" spans="2:25" x14ac:dyDescent="0.25">
      <c r="B609" s="124"/>
      <c r="C609" s="124"/>
      <c r="D609" s="124"/>
      <c r="E609" s="124"/>
      <c r="F609" s="124"/>
      <c r="G609" s="124"/>
      <c r="H609" s="124"/>
      <c r="I609" s="124"/>
      <c r="J609" s="124"/>
      <c r="K609" s="124"/>
      <c r="L609" s="124"/>
      <c r="M609" s="124"/>
      <c r="N609" s="124"/>
      <c r="O609" s="124"/>
      <c r="P609" s="124"/>
      <c r="Q609" s="124"/>
      <c r="R609" s="124"/>
      <c r="S609" s="124"/>
      <c r="T609" s="124"/>
      <c r="U609" s="124"/>
      <c r="V609" s="124"/>
      <c r="W609" s="124"/>
      <c r="X609" s="124"/>
      <c r="Y609" s="124"/>
    </row>
    <row r="610" spans="2:25" x14ac:dyDescent="0.25">
      <c r="B610" s="124"/>
      <c r="C610" s="124"/>
      <c r="D610" s="124"/>
      <c r="E610" s="124"/>
      <c r="F610" s="124"/>
      <c r="G610" s="124"/>
      <c r="H610" s="124"/>
      <c r="I610" s="124"/>
      <c r="J610" s="124"/>
      <c r="K610" s="124"/>
      <c r="L610" s="124"/>
      <c r="M610" s="124"/>
      <c r="N610" s="124"/>
      <c r="O610" s="124"/>
      <c r="P610" s="124"/>
      <c r="Q610" s="124"/>
      <c r="R610" s="124"/>
      <c r="S610" s="124"/>
      <c r="T610" s="124"/>
      <c r="U610" s="124"/>
      <c r="V610" s="124"/>
      <c r="W610" s="124"/>
      <c r="X610" s="124"/>
      <c r="Y610" s="124"/>
    </row>
    <row r="611" spans="2:25" x14ac:dyDescent="0.25">
      <c r="B611" s="124"/>
      <c r="C611" s="124"/>
      <c r="D611" s="124"/>
      <c r="E611" s="124"/>
      <c r="F611" s="124"/>
      <c r="G611" s="124"/>
      <c r="H611" s="124"/>
      <c r="I611" s="124"/>
      <c r="J611" s="124"/>
      <c r="K611" s="124"/>
      <c r="L611" s="124"/>
      <c r="M611" s="124"/>
      <c r="N611" s="124"/>
      <c r="O611" s="124"/>
      <c r="P611" s="124"/>
      <c r="Q611" s="124"/>
      <c r="R611" s="124"/>
      <c r="S611" s="124"/>
      <c r="T611" s="124"/>
      <c r="U611" s="124"/>
      <c r="V611" s="124"/>
      <c r="W611" s="124"/>
      <c r="X611" s="124"/>
      <c r="Y611" s="124"/>
    </row>
    <row r="612" spans="2:25" x14ac:dyDescent="0.25">
      <c r="B612" s="124"/>
      <c r="C612" s="124"/>
      <c r="D612" s="124"/>
      <c r="E612" s="124"/>
      <c r="F612" s="124"/>
      <c r="G612" s="124"/>
      <c r="H612" s="124"/>
      <c r="I612" s="124"/>
      <c r="J612" s="124"/>
      <c r="K612" s="124"/>
      <c r="L612" s="124"/>
      <c r="M612" s="124"/>
      <c r="N612" s="124"/>
      <c r="O612" s="124"/>
      <c r="P612" s="124"/>
      <c r="Q612" s="124"/>
      <c r="R612" s="124"/>
      <c r="S612" s="124"/>
      <c r="T612" s="124"/>
      <c r="U612" s="124"/>
      <c r="V612" s="124"/>
      <c r="W612" s="124"/>
      <c r="X612" s="124"/>
      <c r="Y612" s="124"/>
    </row>
    <row r="613" spans="2:25" x14ac:dyDescent="0.25">
      <c r="B613" s="124"/>
      <c r="C613" s="124"/>
      <c r="D613" s="124"/>
      <c r="E613" s="124"/>
      <c r="F613" s="124"/>
      <c r="G613" s="124"/>
      <c r="H613" s="124"/>
      <c r="I613" s="124"/>
      <c r="J613" s="124"/>
      <c r="K613" s="124"/>
      <c r="L613" s="124"/>
      <c r="M613" s="124"/>
      <c r="N613" s="124"/>
      <c r="O613" s="124"/>
      <c r="P613" s="124"/>
      <c r="Q613" s="124"/>
      <c r="R613" s="124"/>
      <c r="S613" s="124"/>
      <c r="T613" s="124"/>
      <c r="U613" s="124"/>
      <c r="V613" s="124"/>
      <c r="W613" s="124"/>
      <c r="X613" s="124"/>
      <c r="Y613" s="124"/>
    </row>
    <row r="614" spans="2:25" x14ac:dyDescent="0.25">
      <c r="B614" s="124"/>
      <c r="C614" s="124"/>
      <c r="D614" s="124"/>
      <c r="E614" s="124"/>
      <c r="F614" s="124"/>
      <c r="G614" s="124"/>
      <c r="H614" s="124"/>
      <c r="I614" s="124"/>
      <c r="J614" s="124"/>
      <c r="K614" s="124"/>
      <c r="L614" s="124"/>
      <c r="M614" s="124"/>
      <c r="N614" s="124"/>
      <c r="O614" s="124"/>
      <c r="P614" s="124"/>
      <c r="Q614" s="124"/>
      <c r="R614" s="124"/>
      <c r="S614" s="124"/>
      <c r="T614" s="124"/>
      <c r="U614" s="124"/>
      <c r="V614" s="124"/>
      <c r="W614" s="124"/>
      <c r="X614" s="124"/>
      <c r="Y614" s="124"/>
    </row>
    <row r="615" spans="2:25" x14ac:dyDescent="0.25">
      <c r="B615" s="124"/>
      <c r="C615" s="124"/>
      <c r="D615" s="124"/>
      <c r="E615" s="124"/>
      <c r="F615" s="124"/>
      <c r="G615" s="124"/>
      <c r="H615" s="124"/>
      <c r="I615" s="124"/>
      <c r="J615" s="124"/>
      <c r="K615" s="124"/>
      <c r="L615" s="124"/>
      <c r="M615" s="124"/>
      <c r="N615" s="124"/>
      <c r="O615" s="124"/>
      <c r="P615" s="124"/>
      <c r="Q615" s="124"/>
      <c r="R615" s="124"/>
      <c r="S615" s="124"/>
      <c r="T615" s="124"/>
      <c r="U615" s="124"/>
      <c r="V615" s="124"/>
      <c r="W615" s="124"/>
      <c r="X615" s="124"/>
      <c r="Y615" s="124"/>
    </row>
    <row r="616" spans="2:25" x14ac:dyDescent="0.25">
      <c r="B616" s="124"/>
      <c r="C616" s="124"/>
      <c r="D616" s="124"/>
      <c r="E616" s="124"/>
      <c r="F616" s="124"/>
      <c r="G616" s="124"/>
      <c r="H616" s="124"/>
      <c r="I616" s="124"/>
      <c r="J616" s="124"/>
      <c r="K616" s="124"/>
      <c r="L616" s="124"/>
      <c r="M616" s="124"/>
      <c r="N616" s="124"/>
      <c r="O616" s="124"/>
      <c r="P616" s="124"/>
      <c r="Q616" s="124"/>
      <c r="R616" s="124"/>
      <c r="S616" s="124"/>
      <c r="T616" s="124"/>
      <c r="U616" s="124"/>
      <c r="V616" s="124"/>
      <c r="W616" s="124"/>
      <c r="X616" s="124"/>
      <c r="Y616" s="124"/>
    </row>
    <row r="617" spans="2:25" x14ac:dyDescent="0.25">
      <c r="B617" s="124"/>
      <c r="C617" s="124"/>
      <c r="D617" s="124"/>
      <c r="E617" s="124"/>
      <c r="F617" s="124"/>
      <c r="G617" s="124"/>
      <c r="H617" s="124"/>
      <c r="I617" s="124"/>
      <c r="J617" s="124"/>
      <c r="K617" s="124"/>
      <c r="L617" s="124"/>
      <c r="M617" s="124"/>
      <c r="N617" s="124"/>
      <c r="O617" s="124"/>
      <c r="P617" s="124"/>
      <c r="Q617" s="124"/>
      <c r="R617" s="124"/>
      <c r="S617" s="124"/>
      <c r="T617" s="124"/>
      <c r="U617" s="124"/>
      <c r="V617" s="124"/>
      <c r="W617" s="124"/>
      <c r="X617" s="124"/>
      <c r="Y617" s="124"/>
    </row>
    <row r="618" spans="2:25" x14ac:dyDescent="0.25">
      <c r="B618" s="124"/>
      <c r="C618" s="124"/>
      <c r="D618" s="124"/>
      <c r="E618" s="124"/>
      <c r="F618" s="124"/>
      <c r="G618" s="124"/>
      <c r="H618" s="124"/>
      <c r="I618" s="124"/>
      <c r="J618" s="124"/>
      <c r="K618" s="124"/>
      <c r="L618" s="124"/>
      <c r="M618" s="124"/>
      <c r="N618" s="124"/>
      <c r="O618" s="124"/>
      <c r="P618" s="124"/>
      <c r="Q618" s="124"/>
      <c r="R618" s="124"/>
      <c r="S618" s="124"/>
      <c r="T618" s="124"/>
      <c r="U618" s="124"/>
      <c r="V618" s="124"/>
      <c r="W618" s="124"/>
      <c r="X618" s="124"/>
      <c r="Y618" s="124"/>
    </row>
    <row r="619" spans="2:25" x14ac:dyDescent="0.25">
      <c r="B619" s="124"/>
      <c r="C619" s="124"/>
      <c r="D619" s="124"/>
      <c r="E619" s="124"/>
      <c r="F619" s="124"/>
      <c r="G619" s="124"/>
      <c r="H619" s="124"/>
      <c r="I619" s="124"/>
      <c r="J619" s="124"/>
      <c r="K619" s="124"/>
      <c r="L619" s="124"/>
      <c r="M619" s="124"/>
      <c r="N619" s="124"/>
      <c r="O619" s="124"/>
      <c r="P619" s="124"/>
      <c r="Q619" s="124"/>
      <c r="R619" s="124"/>
      <c r="S619" s="124"/>
      <c r="T619" s="124"/>
      <c r="U619" s="124"/>
      <c r="V619" s="124"/>
      <c r="W619" s="124"/>
      <c r="X619" s="124"/>
      <c r="Y619" s="124"/>
    </row>
    <row r="620" spans="2:25" x14ac:dyDescent="0.25">
      <c r="B620" s="124"/>
      <c r="C620" s="124"/>
      <c r="D620" s="124"/>
      <c r="E620" s="124"/>
      <c r="F620" s="124"/>
      <c r="G620" s="124"/>
      <c r="H620" s="124"/>
      <c r="I620" s="124"/>
      <c r="J620" s="124"/>
      <c r="K620" s="124"/>
      <c r="L620" s="124"/>
      <c r="M620" s="124"/>
      <c r="N620" s="124"/>
      <c r="O620" s="124"/>
      <c r="P620" s="124"/>
      <c r="Q620" s="124"/>
      <c r="R620" s="124"/>
      <c r="S620" s="124"/>
      <c r="T620" s="124"/>
      <c r="U620" s="124"/>
      <c r="V620" s="124"/>
      <c r="W620" s="124"/>
      <c r="X620" s="124"/>
      <c r="Y620" s="124"/>
    </row>
    <row r="621" spans="2:25" x14ac:dyDescent="0.25">
      <c r="B621" s="124"/>
      <c r="C621" s="124"/>
      <c r="D621" s="124"/>
      <c r="E621" s="124"/>
      <c r="F621" s="124"/>
      <c r="G621" s="124"/>
      <c r="H621" s="124"/>
      <c r="I621" s="124"/>
      <c r="J621" s="124"/>
      <c r="K621" s="124"/>
      <c r="L621" s="124"/>
      <c r="M621" s="124"/>
      <c r="N621" s="124"/>
      <c r="O621" s="124"/>
      <c r="P621" s="124"/>
      <c r="Q621" s="124"/>
      <c r="R621" s="124"/>
      <c r="S621" s="124"/>
      <c r="T621" s="124"/>
      <c r="U621" s="124"/>
      <c r="V621" s="124"/>
      <c r="W621" s="124"/>
      <c r="X621" s="124"/>
      <c r="Y621" s="124"/>
    </row>
    <row r="622" spans="2:25" x14ac:dyDescent="0.25">
      <c r="B622" s="124"/>
      <c r="C622" s="124"/>
      <c r="D622" s="124"/>
      <c r="E622" s="124"/>
      <c r="F622" s="124"/>
      <c r="G622" s="124"/>
      <c r="H622" s="124"/>
      <c r="I622" s="124"/>
      <c r="J622" s="124"/>
      <c r="K622" s="124"/>
      <c r="L622" s="124"/>
      <c r="M622" s="124"/>
      <c r="N622" s="124"/>
      <c r="O622" s="124"/>
      <c r="P622" s="124"/>
      <c r="Q622" s="124"/>
      <c r="R622" s="124"/>
      <c r="S622" s="124"/>
      <c r="T622" s="124"/>
      <c r="U622" s="124"/>
      <c r="V622" s="124"/>
      <c r="W622" s="124"/>
      <c r="X622" s="124"/>
      <c r="Y622" s="124"/>
    </row>
    <row r="623" spans="2:25" x14ac:dyDescent="0.25">
      <c r="B623" s="124"/>
      <c r="C623" s="124"/>
      <c r="D623" s="124"/>
      <c r="E623" s="124"/>
      <c r="F623" s="124"/>
      <c r="G623" s="124"/>
      <c r="H623" s="124"/>
      <c r="I623" s="124"/>
      <c r="J623" s="124"/>
      <c r="K623" s="124"/>
      <c r="L623" s="124"/>
      <c r="M623" s="124"/>
      <c r="N623" s="124"/>
      <c r="O623" s="124"/>
      <c r="P623" s="124"/>
      <c r="Q623" s="124"/>
      <c r="R623" s="124"/>
      <c r="S623" s="124"/>
      <c r="T623" s="124"/>
      <c r="U623" s="124"/>
      <c r="V623" s="124"/>
      <c r="W623" s="124"/>
      <c r="X623" s="124"/>
      <c r="Y623" s="124"/>
    </row>
    <row r="624" spans="2:25" x14ac:dyDescent="0.25">
      <c r="B624" s="124"/>
      <c r="C624" s="124"/>
      <c r="D624" s="124"/>
      <c r="E624" s="124"/>
      <c r="F624" s="124"/>
      <c r="G624" s="124"/>
      <c r="H624" s="124"/>
      <c r="I624" s="124"/>
      <c r="J624" s="124"/>
      <c r="K624" s="124"/>
      <c r="L624" s="124"/>
      <c r="M624" s="124"/>
      <c r="N624" s="124"/>
      <c r="O624" s="124"/>
      <c r="P624" s="124"/>
      <c r="Q624" s="124"/>
      <c r="R624" s="124"/>
      <c r="S624" s="124"/>
      <c r="T624" s="124"/>
      <c r="U624" s="124"/>
      <c r="V624" s="124"/>
      <c r="W624" s="124"/>
      <c r="X624" s="124"/>
      <c r="Y624" s="124"/>
    </row>
    <row r="625" spans="2:25" x14ac:dyDescent="0.25">
      <c r="B625" s="124"/>
      <c r="C625" s="124"/>
      <c r="D625" s="124"/>
      <c r="E625" s="124"/>
      <c r="F625" s="124"/>
      <c r="G625" s="124"/>
      <c r="H625" s="124"/>
      <c r="I625" s="124"/>
      <c r="J625" s="124"/>
      <c r="K625" s="124"/>
      <c r="L625" s="124"/>
      <c r="M625" s="124"/>
      <c r="N625" s="124"/>
      <c r="O625" s="124"/>
      <c r="P625" s="124"/>
      <c r="Q625" s="124"/>
      <c r="R625" s="124"/>
      <c r="S625" s="124"/>
      <c r="T625" s="124"/>
      <c r="U625" s="124"/>
      <c r="V625" s="124"/>
      <c r="W625" s="124"/>
      <c r="X625" s="124"/>
      <c r="Y625" s="124"/>
    </row>
    <row r="626" spans="2:25" x14ac:dyDescent="0.25">
      <c r="B626" s="124"/>
      <c r="C626" s="124"/>
      <c r="D626" s="124"/>
      <c r="E626" s="124"/>
      <c r="F626" s="124"/>
      <c r="G626" s="124"/>
      <c r="H626" s="124"/>
      <c r="I626" s="124"/>
      <c r="J626" s="124"/>
      <c r="K626" s="124"/>
      <c r="L626" s="124"/>
      <c r="M626" s="124"/>
      <c r="N626" s="124"/>
      <c r="O626" s="124"/>
      <c r="P626" s="124"/>
      <c r="Q626" s="124"/>
      <c r="R626" s="124"/>
      <c r="S626" s="124"/>
      <c r="T626" s="124"/>
      <c r="U626" s="124"/>
      <c r="V626" s="124"/>
      <c r="W626" s="124"/>
      <c r="X626" s="124"/>
      <c r="Y626" s="124"/>
    </row>
    <row r="627" spans="2:25" x14ac:dyDescent="0.25">
      <c r="B627" s="124"/>
      <c r="C627" s="124"/>
      <c r="D627" s="124"/>
      <c r="E627" s="124"/>
      <c r="F627" s="124"/>
      <c r="G627" s="124"/>
      <c r="H627" s="124"/>
      <c r="I627" s="124"/>
      <c r="J627" s="124"/>
      <c r="K627" s="124"/>
      <c r="L627" s="124"/>
      <c r="M627" s="124"/>
      <c r="N627" s="124"/>
      <c r="O627" s="124"/>
      <c r="P627" s="124"/>
      <c r="Q627" s="124"/>
      <c r="R627" s="124"/>
      <c r="S627" s="124"/>
      <c r="T627" s="124"/>
      <c r="U627" s="124"/>
      <c r="V627" s="124"/>
      <c r="W627" s="124"/>
      <c r="X627" s="124"/>
      <c r="Y627" s="124"/>
    </row>
    <row r="628" spans="2:25" x14ac:dyDescent="0.25">
      <c r="B628" s="124"/>
      <c r="C628" s="124"/>
      <c r="D628" s="124"/>
      <c r="E628" s="124"/>
      <c r="F628" s="124"/>
      <c r="G628" s="124"/>
      <c r="H628" s="124"/>
      <c r="I628" s="124"/>
      <c r="J628" s="124"/>
      <c r="K628" s="124"/>
      <c r="L628" s="124"/>
      <c r="M628" s="124"/>
      <c r="N628" s="124"/>
      <c r="O628" s="124"/>
      <c r="P628" s="124"/>
      <c r="Q628" s="124"/>
      <c r="R628" s="124"/>
      <c r="S628" s="124"/>
      <c r="T628" s="124"/>
      <c r="U628" s="124"/>
      <c r="V628" s="124"/>
      <c r="W628" s="124"/>
      <c r="X628" s="124"/>
      <c r="Y628" s="124"/>
    </row>
    <row r="629" spans="2:25" x14ac:dyDescent="0.25">
      <c r="B629" s="124"/>
      <c r="C629" s="124"/>
      <c r="D629" s="124"/>
      <c r="E629" s="124"/>
      <c r="F629" s="124"/>
      <c r="G629" s="124"/>
      <c r="H629" s="124"/>
      <c r="I629" s="124"/>
      <c r="J629" s="124"/>
      <c r="K629" s="124"/>
      <c r="L629" s="124"/>
      <c r="M629" s="124"/>
      <c r="N629" s="124"/>
      <c r="O629" s="124"/>
      <c r="P629" s="124"/>
      <c r="Q629" s="124"/>
      <c r="R629" s="124"/>
      <c r="S629" s="124"/>
      <c r="T629" s="124"/>
      <c r="U629" s="124"/>
      <c r="V629" s="124"/>
      <c r="W629" s="124"/>
      <c r="X629" s="124"/>
      <c r="Y629" s="124"/>
    </row>
    <row r="630" spans="2:25" x14ac:dyDescent="0.25">
      <c r="B630" s="124"/>
      <c r="C630" s="124"/>
      <c r="D630" s="124"/>
      <c r="E630" s="124"/>
      <c r="F630" s="124"/>
      <c r="G630" s="124"/>
      <c r="H630" s="124"/>
      <c r="I630" s="124"/>
      <c r="J630" s="124"/>
      <c r="K630" s="124"/>
      <c r="L630" s="124"/>
      <c r="M630" s="124"/>
      <c r="N630" s="124"/>
      <c r="O630" s="124"/>
      <c r="P630" s="124"/>
      <c r="Q630" s="124"/>
      <c r="R630" s="124"/>
      <c r="S630" s="124"/>
      <c r="T630" s="124"/>
      <c r="U630" s="124"/>
      <c r="V630" s="124"/>
      <c r="W630" s="124"/>
      <c r="X630" s="124"/>
      <c r="Y630" s="124"/>
    </row>
    <row r="631" spans="2:25" x14ac:dyDescent="0.25">
      <c r="B631" s="124"/>
      <c r="C631" s="124"/>
      <c r="D631" s="124"/>
      <c r="E631" s="124"/>
      <c r="F631" s="124"/>
      <c r="G631" s="124"/>
      <c r="H631" s="124"/>
      <c r="I631" s="124"/>
      <c r="J631" s="124"/>
      <c r="K631" s="124"/>
      <c r="L631" s="124"/>
      <c r="M631" s="124"/>
      <c r="N631" s="124"/>
      <c r="O631" s="124"/>
      <c r="P631" s="124"/>
      <c r="Q631" s="124"/>
      <c r="R631" s="124"/>
      <c r="S631" s="124"/>
      <c r="T631" s="124"/>
      <c r="U631" s="124"/>
      <c r="V631" s="124"/>
      <c r="W631" s="124"/>
      <c r="X631" s="124"/>
      <c r="Y631" s="124"/>
    </row>
    <row r="632" spans="2:25" x14ac:dyDescent="0.25">
      <c r="B632" s="124"/>
      <c r="C632" s="124"/>
      <c r="D632" s="124"/>
      <c r="E632" s="124"/>
      <c r="F632" s="124"/>
      <c r="G632" s="124"/>
      <c r="H632" s="124"/>
      <c r="I632" s="124"/>
      <c r="J632" s="124"/>
      <c r="K632" s="124"/>
      <c r="L632" s="124"/>
      <c r="M632" s="124"/>
      <c r="N632" s="124"/>
      <c r="O632" s="124"/>
      <c r="P632" s="124"/>
      <c r="Q632" s="124"/>
      <c r="R632" s="124"/>
      <c r="S632" s="124"/>
      <c r="T632" s="124"/>
      <c r="U632" s="124"/>
      <c r="V632" s="124"/>
      <c r="W632" s="124"/>
      <c r="X632" s="124"/>
      <c r="Y632" s="124"/>
    </row>
    <row r="633" spans="2:25" x14ac:dyDescent="0.25">
      <c r="B633" s="124"/>
      <c r="C633" s="124"/>
      <c r="D633" s="124"/>
      <c r="E633" s="124"/>
      <c r="F633" s="124"/>
      <c r="G633" s="124"/>
      <c r="H633" s="124"/>
      <c r="I633" s="124"/>
      <c r="J633" s="124"/>
      <c r="K633" s="124"/>
      <c r="L633" s="124"/>
      <c r="M633" s="124"/>
      <c r="N633" s="124"/>
      <c r="O633" s="124"/>
      <c r="P633" s="124"/>
      <c r="Q633" s="124"/>
      <c r="R633" s="124"/>
      <c r="S633" s="124"/>
      <c r="T633" s="124"/>
      <c r="U633" s="124"/>
      <c r="V633" s="124"/>
      <c r="W633" s="124"/>
      <c r="X633" s="124"/>
      <c r="Y633" s="124"/>
    </row>
    <row r="634" spans="2:25" x14ac:dyDescent="0.25">
      <c r="B634" s="124"/>
      <c r="C634" s="124"/>
      <c r="D634" s="124"/>
      <c r="E634" s="124"/>
      <c r="F634" s="124"/>
      <c r="G634" s="124"/>
      <c r="H634" s="124"/>
      <c r="I634" s="124"/>
      <c r="J634" s="124"/>
      <c r="K634" s="124"/>
      <c r="L634" s="124"/>
      <c r="M634" s="124"/>
      <c r="N634" s="124"/>
      <c r="O634" s="124"/>
      <c r="P634" s="124"/>
      <c r="Q634" s="124"/>
      <c r="R634" s="124"/>
      <c r="S634" s="124"/>
      <c r="T634" s="124"/>
      <c r="U634" s="124"/>
      <c r="V634" s="124"/>
      <c r="W634" s="124"/>
      <c r="X634" s="124"/>
      <c r="Y634" s="124"/>
    </row>
    <row r="635" spans="2:25" x14ac:dyDescent="0.25">
      <c r="B635" s="124"/>
      <c r="C635" s="124"/>
      <c r="D635" s="124"/>
      <c r="E635" s="124"/>
      <c r="F635" s="124"/>
      <c r="G635" s="124"/>
      <c r="H635" s="124"/>
      <c r="I635" s="124"/>
      <c r="J635" s="124"/>
      <c r="K635" s="124"/>
      <c r="L635" s="124"/>
      <c r="M635" s="124"/>
      <c r="N635" s="124"/>
      <c r="O635" s="124"/>
      <c r="P635" s="124"/>
      <c r="Q635" s="124"/>
      <c r="R635" s="124"/>
      <c r="S635" s="124"/>
      <c r="T635" s="124"/>
      <c r="U635" s="124"/>
      <c r="V635" s="124"/>
      <c r="W635" s="124"/>
      <c r="X635" s="124"/>
      <c r="Y635" s="124"/>
    </row>
    <row r="636" spans="2:25" x14ac:dyDescent="0.25">
      <c r="B636" s="124"/>
      <c r="C636" s="124"/>
      <c r="D636" s="124"/>
      <c r="E636" s="124"/>
      <c r="F636" s="124"/>
      <c r="G636" s="124"/>
      <c r="H636" s="124"/>
      <c r="I636" s="124"/>
      <c r="J636" s="124"/>
      <c r="K636" s="124"/>
      <c r="L636" s="124"/>
      <c r="M636" s="124"/>
      <c r="N636" s="124"/>
      <c r="O636" s="124"/>
      <c r="P636" s="124"/>
      <c r="Q636" s="124"/>
      <c r="R636" s="124"/>
      <c r="S636" s="124"/>
      <c r="T636" s="124"/>
      <c r="U636" s="124"/>
      <c r="V636" s="124"/>
      <c r="W636" s="124"/>
      <c r="X636" s="124"/>
      <c r="Y636" s="124"/>
    </row>
    <row r="637" spans="2:25" x14ac:dyDescent="0.25">
      <c r="B637" s="124"/>
      <c r="C637" s="124"/>
      <c r="D637" s="124"/>
      <c r="E637" s="124"/>
      <c r="F637" s="124"/>
      <c r="G637" s="124"/>
      <c r="H637" s="124"/>
      <c r="I637" s="124"/>
      <c r="J637" s="124"/>
      <c r="K637" s="124"/>
      <c r="L637" s="124"/>
      <c r="M637" s="124"/>
      <c r="N637" s="124"/>
      <c r="O637" s="124"/>
      <c r="P637" s="124"/>
      <c r="Q637" s="124"/>
      <c r="R637" s="124"/>
      <c r="S637" s="124"/>
      <c r="T637" s="124"/>
      <c r="U637" s="124"/>
      <c r="V637" s="124"/>
      <c r="W637" s="124"/>
      <c r="X637" s="124"/>
      <c r="Y637" s="124"/>
    </row>
    <row r="638" spans="2:25" x14ac:dyDescent="0.25">
      <c r="B638" s="124"/>
      <c r="C638" s="124"/>
      <c r="D638" s="124"/>
      <c r="E638" s="124"/>
      <c r="F638" s="124"/>
      <c r="G638" s="124"/>
      <c r="H638" s="124"/>
      <c r="I638" s="124"/>
      <c r="J638" s="124"/>
      <c r="K638" s="124"/>
      <c r="L638" s="124"/>
      <c r="M638" s="124"/>
      <c r="N638" s="124"/>
      <c r="O638" s="124"/>
      <c r="P638" s="124"/>
      <c r="Q638" s="124"/>
      <c r="R638" s="124"/>
      <c r="S638" s="124"/>
      <c r="T638" s="124"/>
      <c r="U638" s="124"/>
      <c r="V638" s="124"/>
      <c r="W638" s="124"/>
      <c r="X638" s="124"/>
      <c r="Y638" s="124"/>
    </row>
    <row r="639" spans="2:25" x14ac:dyDescent="0.25">
      <c r="B639" s="124"/>
      <c r="C639" s="124"/>
      <c r="D639" s="124"/>
      <c r="E639" s="124"/>
      <c r="F639" s="124"/>
      <c r="G639" s="124"/>
      <c r="H639" s="124"/>
      <c r="I639" s="124"/>
      <c r="J639" s="124"/>
      <c r="K639" s="124"/>
      <c r="L639" s="124"/>
      <c r="M639" s="124"/>
      <c r="N639" s="124"/>
      <c r="O639" s="124"/>
      <c r="P639" s="124"/>
      <c r="Q639" s="124"/>
      <c r="R639" s="124"/>
      <c r="S639" s="124"/>
      <c r="T639" s="124"/>
      <c r="U639" s="124"/>
      <c r="V639" s="124"/>
      <c r="W639" s="124"/>
      <c r="X639" s="124"/>
      <c r="Y639" s="124"/>
    </row>
    <row r="640" spans="2:25" x14ac:dyDescent="0.25">
      <c r="B640" s="124"/>
      <c r="C640" s="124"/>
      <c r="D640" s="124"/>
      <c r="E640" s="124"/>
      <c r="F640" s="124"/>
      <c r="G640" s="124"/>
      <c r="H640" s="124"/>
      <c r="I640" s="124"/>
      <c r="J640" s="124"/>
      <c r="K640" s="124"/>
      <c r="L640" s="124"/>
      <c r="M640" s="124"/>
      <c r="N640" s="124"/>
      <c r="O640" s="124"/>
      <c r="P640" s="124"/>
      <c r="Q640" s="124"/>
      <c r="R640" s="124"/>
      <c r="S640" s="124"/>
      <c r="T640" s="124"/>
      <c r="U640" s="124"/>
      <c r="V640" s="124"/>
      <c r="W640" s="124"/>
      <c r="X640" s="124"/>
      <c r="Y640" s="124"/>
    </row>
    <row r="641" spans="2:25" x14ac:dyDescent="0.25">
      <c r="B641" s="124"/>
      <c r="C641" s="124"/>
      <c r="D641" s="124"/>
      <c r="E641" s="124"/>
      <c r="F641" s="124"/>
      <c r="G641" s="124"/>
      <c r="H641" s="124"/>
      <c r="I641" s="124"/>
      <c r="J641" s="124"/>
      <c r="K641" s="124"/>
      <c r="L641" s="124"/>
      <c r="M641" s="124"/>
      <c r="N641" s="124"/>
      <c r="O641" s="124"/>
      <c r="P641" s="124"/>
      <c r="Q641" s="124"/>
      <c r="R641" s="124"/>
      <c r="S641" s="124"/>
      <c r="T641" s="124"/>
      <c r="U641" s="124"/>
      <c r="V641" s="124"/>
      <c r="W641" s="124"/>
      <c r="X641" s="124"/>
      <c r="Y641" s="124"/>
    </row>
    <row r="642" spans="2:25" x14ac:dyDescent="0.25">
      <c r="B642" s="124"/>
      <c r="C642" s="124"/>
      <c r="D642" s="124"/>
      <c r="E642" s="124"/>
      <c r="F642" s="124"/>
      <c r="G642" s="124"/>
      <c r="H642" s="124"/>
      <c r="I642" s="124"/>
      <c r="J642" s="124"/>
      <c r="K642" s="124"/>
      <c r="L642" s="124"/>
      <c r="M642" s="124"/>
      <c r="N642" s="124"/>
      <c r="O642" s="124"/>
      <c r="P642" s="124"/>
      <c r="Q642" s="124"/>
      <c r="R642" s="124"/>
      <c r="S642" s="124"/>
      <c r="T642" s="124"/>
      <c r="U642" s="124"/>
      <c r="V642" s="124"/>
      <c r="W642" s="124"/>
      <c r="X642" s="124"/>
      <c r="Y642" s="124"/>
    </row>
    <row r="643" spans="2:25" x14ac:dyDescent="0.25">
      <c r="B643" s="124"/>
      <c r="C643" s="124"/>
      <c r="D643" s="124"/>
      <c r="E643" s="124"/>
      <c r="F643" s="124"/>
      <c r="G643" s="124"/>
      <c r="H643" s="124"/>
      <c r="I643" s="124"/>
      <c r="J643" s="124"/>
      <c r="K643" s="124"/>
      <c r="L643" s="124"/>
      <c r="M643" s="124"/>
      <c r="N643" s="124"/>
      <c r="O643" s="124"/>
      <c r="P643" s="124"/>
      <c r="Q643" s="124"/>
      <c r="R643" s="124"/>
      <c r="S643" s="124"/>
      <c r="T643" s="124"/>
      <c r="U643" s="124"/>
      <c r="V643" s="124"/>
      <c r="W643" s="124"/>
      <c r="X643" s="124"/>
      <c r="Y643" s="124"/>
    </row>
    <row r="644" spans="2:25" x14ac:dyDescent="0.25">
      <c r="B644" s="124"/>
      <c r="C644" s="124"/>
      <c r="D644" s="124"/>
      <c r="E644" s="124"/>
      <c r="F644" s="124"/>
      <c r="G644" s="124"/>
      <c r="H644" s="124"/>
      <c r="I644" s="124"/>
      <c r="J644" s="124"/>
      <c r="K644" s="124"/>
      <c r="L644" s="124"/>
      <c r="M644" s="124"/>
      <c r="N644" s="124"/>
      <c r="O644" s="124"/>
      <c r="P644" s="124"/>
      <c r="Q644" s="124"/>
      <c r="R644" s="124"/>
      <c r="S644" s="124"/>
      <c r="T644" s="124"/>
      <c r="U644" s="124"/>
      <c r="V644" s="124"/>
      <c r="W644" s="124"/>
      <c r="X644" s="124"/>
      <c r="Y644" s="124"/>
    </row>
    <row r="645" spans="2:25" x14ac:dyDescent="0.25">
      <c r="B645" s="124"/>
      <c r="C645" s="124"/>
      <c r="D645" s="124"/>
      <c r="E645" s="124"/>
      <c r="F645" s="124"/>
      <c r="G645" s="124"/>
      <c r="H645" s="124"/>
      <c r="I645" s="124"/>
      <c r="J645" s="124"/>
      <c r="K645" s="124"/>
      <c r="L645" s="124"/>
      <c r="M645" s="124"/>
      <c r="N645" s="124"/>
      <c r="O645" s="124"/>
      <c r="P645" s="124"/>
      <c r="Q645" s="124"/>
      <c r="R645" s="124"/>
      <c r="S645" s="124"/>
      <c r="T645" s="124"/>
      <c r="U645" s="124"/>
      <c r="V645" s="124"/>
      <c r="W645" s="124"/>
      <c r="X645" s="124"/>
      <c r="Y645" s="124"/>
    </row>
    <row r="646" spans="2:25" x14ac:dyDescent="0.25">
      <c r="B646" s="124"/>
      <c r="C646" s="124"/>
      <c r="D646" s="124"/>
      <c r="E646" s="124"/>
      <c r="F646" s="124"/>
      <c r="G646" s="124"/>
      <c r="H646" s="124"/>
      <c r="I646" s="124"/>
      <c r="J646" s="124"/>
      <c r="K646" s="124"/>
      <c r="L646" s="124"/>
      <c r="M646" s="124"/>
      <c r="N646" s="124"/>
      <c r="O646" s="124"/>
      <c r="P646" s="124"/>
      <c r="Q646" s="124"/>
      <c r="R646" s="124"/>
      <c r="S646" s="124"/>
      <c r="T646" s="124"/>
      <c r="U646" s="124"/>
      <c r="V646" s="124"/>
      <c r="W646" s="124"/>
      <c r="X646" s="124"/>
      <c r="Y646" s="124"/>
    </row>
    <row r="647" spans="2:25" x14ac:dyDescent="0.25">
      <c r="B647" s="124"/>
      <c r="C647" s="124"/>
      <c r="D647" s="124"/>
      <c r="E647" s="124"/>
      <c r="F647" s="124"/>
      <c r="G647" s="124"/>
      <c r="H647" s="124"/>
      <c r="I647" s="124"/>
      <c r="J647" s="124"/>
      <c r="K647" s="124"/>
      <c r="L647" s="124"/>
      <c r="M647" s="124"/>
      <c r="N647" s="124"/>
      <c r="O647" s="124"/>
      <c r="P647" s="124"/>
      <c r="Q647" s="124"/>
      <c r="R647" s="124"/>
      <c r="S647" s="124"/>
      <c r="T647" s="124"/>
      <c r="U647" s="124"/>
      <c r="V647" s="124"/>
      <c r="W647" s="124"/>
      <c r="X647" s="124"/>
      <c r="Y647" s="124"/>
    </row>
    <row r="648" spans="2:25" x14ac:dyDescent="0.25">
      <c r="B648" s="124"/>
      <c r="C648" s="124"/>
      <c r="D648" s="124"/>
      <c r="E648" s="124"/>
      <c r="F648" s="124"/>
      <c r="G648" s="124"/>
      <c r="H648" s="124"/>
      <c r="I648" s="124"/>
      <c r="J648" s="124"/>
      <c r="K648" s="124"/>
      <c r="L648" s="124"/>
      <c r="M648" s="124"/>
      <c r="N648" s="124"/>
      <c r="O648" s="124"/>
      <c r="P648" s="124"/>
      <c r="Q648" s="124"/>
      <c r="R648" s="124"/>
      <c r="S648" s="124"/>
      <c r="T648" s="124"/>
      <c r="U648" s="124"/>
      <c r="V648" s="124"/>
      <c r="W648" s="124"/>
      <c r="X648" s="124"/>
      <c r="Y648" s="124"/>
    </row>
    <row r="649" spans="2:25" x14ac:dyDescent="0.25">
      <c r="B649" s="124"/>
      <c r="C649" s="124"/>
      <c r="D649" s="124"/>
      <c r="E649" s="124"/>
      <c r="F649" s="124"/>
      <c r="G649" s="124"/>
      <c r="H649" s="124"/>
      <c r="I649" s="124"/>
      <c r="J649" s="124"/>
      <c r="K649" s="124"/>
      <c r="L649" s="124"/>
      <c r="M649" s="124"/>
      <c r="N649" s="124"/>
      <c r="O649" s="124"/>
      <c r="P649" s="124"/>
      <c r="Q649" s="124"/>
      <c r="R649" s="124"/>
      <c r="S649" s="124"/>
      <c r="T649" s="124"/>
      <c r="U649" s="124"/>
      <c r="V649" s="124"/>
      <c r="W649" s="124"/>
      <c r="X649" s="124"/>
      <c r="Y649" s="124"/>
    </row>
    <row r="650" spans="2:25" x14ac:dyDescent="0.25">
      <c r="B650" s="124"/>
      <c r="C650" s="124"/>
      <c r="D650" s="124"/>
      <c r="E650" s="124"/>
      <c r="F650" s="124"/>
      <c r="G650" s="124"/>
      <c r="H650" s="124"/>
      <c r="I650" s="124"/>
      <c r="J650" s="124"/>
      <c r="K650" s="124"/>
      <c r="L650" s="124"/>
      <c r="M650" s="124"/>
      <c r="N650" s="124"/>
      <c r="O650" s="124"/>
      <c r="P650" s="124"/>
      <c r="Q650" s="124"/>
      <c r="R650" s="124"/>
      <c r="S650" s="124"/>
      <c r="T650" s="124"/>
      <c r="U650" s="124"/>
      <c r="V650" s="124"/>
      <c r="W650" s="124"/>
      <c r="X650" s="124"/>
      <c r="Y650" s="124"/>
    </row>
    <row r="651" spans="2:25" x14ac:dyDescent="0.25">
      <c r="B651" s="124"/>
      <c r="C651" s="124"/>
      <c r="D651" s="124"/>
      <c r="E651" s="124"/>
      <c r="F651" s="124"/>
      <c r="G651" s="124"/>
      <c r="H651" s="124"/>
      <c r="I651" s="124"/>
      <c r="J651" s="124"/>
      <c r="K651" s="124"/>
      <c r="L651" s="124"/>
      <c r="M651" s="124"/>
      <c r="N651" s="124"/>
      <c r="O651" s="124"/>
      <c r="P651" s="124"/>
      <c r="Q651" s="124"/>
      <c r="R651" s="124"/>
      <c r="S651" s="124"/>
      <c r="T651" s="124"/>
      <c r="U651" s="124"/>
      <c r="V651" s="124"/>
      <c r="W651" s="124"/>
      <c r="X651" s="124"/>
      <c r="Y651" s="124"/>
    </row>
    <row r="652" spans="2:25" x14ac:dyDescent="0.25">
      <c r="B652" s="124"/>
      <c r="C652" s="124"/>
      <c r="D652" s="124"/>
      <c r="E652" s="124"/>
      <c r="F652" s="124"/>
      <c r="G652" s="124"/>
      <c r="H652" s="124"/>
      <c r="I652" s="124"/>
      <c r="J652" s="124"/>
      <c r="K652" s="124"/>
      <c r="L652" s="124"/>
      <c r="M652" s="124"/>
      <c r="N652" s="124"/>
      <c r="O652" s="124"/>
      <c r="P652" s="124"/>
      <c r="Q652" s="124"/>
      <c r="R652" s="124"/>
      <c r="S652" s="124"/>
      <c r="T652" s="124"/>
      <c r="U652" s="124"/>
      <c r="V652" s="124"/>
      <c r="W652" s="124"/>
      <c r="X652" s="124"/>
      <c r="Y652" s="124"/>
    </row>
    <row r="653" spans="2:25" x14ac:dyDescent="0.25">
      <c r="B653" s="124"/>
      <c r="C653" s="124"/>
      <c r="D653" s="124"/>
      <c r="E653" s="124"/>
      <c r="F653" s="124"/>
      <c r="G653" s="124"/>
      <c r="H653" s="124"/>
      <c r="I653" s="124"/>
      <c r="J653" s="124"/>
      <c r="K653" s="124"/>
      <c r="L653" s="124"/>
      <c r="M653" s="124"/>
      <c r="N653" s="124"/>
      <c r="O653" s="124"/>
      <c r="P653" s="124"/>
      <c r="Q653" s="124"/>
      <c r="R653" s="124"/>
      <c r="S653" s="124"/>
      <c r="T653" s="124"/>
      <c r="U653" s="124"/>
      <c r="V653" s="124"/>
      <c r="W653" s="124"/>
      <c r="X653" s="124"/>
      <c r="Y653" s="124"/>
    </row>
    <row r="654" spans="2:25" x14ac:dyDescent="0.25">
      <c r="B654" s="124"/>
      <c r="C654" s="124"/>
      <c r="D654" s="124"/>
      <c r="E654" s="124"/>
      <c r="F654" s="124"/>
      <c r="G654" s="124"/>
      <c r="H654" s="124"/>
      <c r="I654" s="124"/>
      <c r="J654" s="124"/>
      <c r="K654" s="124"/>
      <c r="L654" s="124"/>
      <c r="M654" s="124"/>
      <c r="N654" s="124"/>
      <c r="O654" s="124"/>
      <c r="P654" s="124"/>
      <c r="Q654" s="124"/>
      <c r="R654" s="124"/>
      <c r="S654" s="124"/>
      <c r="T654" s="124"/>
      <c r="U654" s="124"/>
      <c r="V654" s="124"/>
      <c r="W654" s="124"/>
      <c r="X654" s="124"/>
      <c r="Y654" s="124"/>
    </row>
    <row r="655" spans="2:25" x14ac:dyDescent="0.25">
      <c r="B655" s="124"/>
      <c r="C655" s="124"/>
      <c r="D655" s="124"/>
      <c r="E655" s="124"/>
      <c r="F655" s="124"/>
      <c r="G655" s="124"/>
      <c r="H655" s="124"/>
      <c r="I655" s="124"/>
      <c r="J655" s="124"/>
      <c r="K655" s="124"/>
      <c r="L655" s="124"/>
      <c r="M655" s="124"/>
      <c r="N655" s="124"/>
      <c r="O655" s="124"/>
      <c r="P655" s="124"/>
      <c r="Q655" s="124"/>
      <c r="R655" s="124"/>
      <c r="S655" s="124"/>
      <c r="T655" s="124"/>
      <c r="U655" s="124"/>
      <c r="V655" s="124"/>
      <c r="W655" s="124"/>
      <c r="X655" s="124"/>
      <c r="Y655" s="124"/>
    </row>
    <row r="656" spans="2:25" x14ac:dyDescent="0.25">
      <c r="B656" s="124"/>
      <c r="C656" s="124"/>
      <c r="D656" s="124"/>
      <c r="E656" s="124"/>
      <c r="F656" s="124"/>
      <c r="G656" s="124"/>
      <c r="H656" s="124"/>
      <c r="I656" s="124"/>
      <c r="J656" s="124"/>
      <c r="K656" s="124"/>
      <c r="L656" s="124"/>
      <c r="M656" s="124"/>
      <c r="N656" s="124"/>
      <c r="O656" s="124"/>
      <c r="P656" s="124"/>
      <c r="Q656" s="124"/>
      <c r="R656" s="124"/>
      <c r="S656" s="124"/>
      <c r="T656" s="124"/>
      <c r="U656" s="124"/>
      <c r="V656" s="124"/>
      <c r="W656" s="124"/>
      <c r="X656" s="124"/>
      <c r="Y656" s="124"/>
    </row>
    <row r="657" spans="2:25" x14ac:dyDescent="0.25">
      <c r="B657" s="124"/>
      <c r="C657" s="124"/>
      <c r="D657" s="124"/>
      <c r="E657" s="124"/>
      <c r="F657" s="124"/>
      <c r="G657" s="124"/>
      <c r="H657" s="124"/>
      <c r="I657" s="124"/>
      <c r="J657" s="124"/>
      <c r="K657" s="124"/>
      <c r="L657" s="124"/>
      <c r="M657" s="124"/>
      <c r="N657" s="124"/>
      <c r="O657" s="124"/>
      <c r="P657" s="124"/>
      <c r="Q657" s="124"/>
      <c r="R657" s="124"/>
      <c r="S657" s="124"/>
      <c r="T657" s="124"/>
      <c r="U657" s="124"/>
      <c r="V657" s="124"/>
      <c r="W657" s="124"/>
      <c r="X657" s="124"/>
      <c r="Y657" s="124"/>
    </row>
    <row r="658" spans="2:25" x14ac:dyDescent="0.25">
      <c r="B658" s="124"/>
      <c r="C658" s="124"/>
      <c r="D658" s="124"/>
      <c r="E658" s="124"/>
      <c r="F658" s="124"/>
      <c r="G658" s="124"/>
      <c r="H658" s="124"/>
      <c r="I658" s="124"/>
      <c r="J658" s="124"/>
      <c r="K658" s="124"/>
      <c r="L658" s="124"/>
      <c r="M658" s="124"/>
      <c r="N658" s="124"/>
      <c r="O658" s="124"/>
      <c r="P658" s="124"/>
      <c r="Q658" s="124"/>
      <c r="R658" s="124"/>
      <c r="S658" s="124"/>
      <c r="T658" s="124"/>
      <c r="U658" s="124"/>
      <c r="V658" s="124"/>
      <c r="W658" s="124"/>
      <c r="X658" s="124"/>
      <c r="Y658" s="124"/>
    </row>
    <row r="659" spans="2:25" x14ac:dyDescent="0.25">
      <c r="B659" s="124"/>
      <c r="C659" s="124"/>
      <c r="D659" s="124"/>
      <c r="E659" s="124"/>
      <c r="F659" s="124"/>
      <c r="G659" s="124"/>
      <c r="H659" s="124"/>
      <c r="I659" s="124"/>
      <c r="J659" s="124"/>
      <c r="K659" s="124"/>
      <c r="L659" s="124"/>
      <c r="M659" s="124"/>
      <c r="N659" s="124"/>
      <c r="O659" s="124"/>
      <c r="P659" s="124"/>
      <c r="Q659" s="124"/>
      <c r="R659" s="124"/>
      <c r="S659" s="124"/>
      <c r="T659" s="124"/>
      <c r="U659" s="124"/>
      <c r="V659" s="124"/>
      <c r="W659" s="124"/>
      <c r="X659" s="124"/>
      <c r="Y659" s="124"/>
    </row>
    <row r="660" spans="2:25" x14ac:dyDescent="0.25">
      <c r="B660" s="124"/>
      <c r="C660" s="124"/>
      <c r="D660" s="124"/>
      <c r="E660" s="124"/>
      <c r="F660" s="124"/>
      <c r="G660" s="124"/>
      <c r="H660" s="124"/>
      <c r="I660" s="124"/>
      <c r="J660" s="124"/>
      <c r="K660" s="124"/>
      <c r="L660" s="124"/>
      <c r="M660" s="124"/>
      <c r="N660" s="124"/>
      <c r="O660" s="124"/>
      <c r="P660" s="124"/>
      <c r="Q660" s="124"/>
      <c r="R660" s="124"/>
      <c r="S660" s="124"/>
      <c r="T660" s="124"/>
      <c r="U660" s="124"/>
      <c r="V660" s="124"/>
      <c r="W660" s="124"/>
      <c r="X660" s="124"/>
      <c r="Y660" s="124"/>
    </row>
    <row r="661" spans="2:25" x14ac:dyDescent="0.25">
      <c r="B661" s="124"/>
      <c r="C661" s="124"/>
      <c r="D661" s="124"/>
      <c r="E661" s="124"/>
      <c r="F661" s="124"/>
      <c r="G661" s="124"/>
      <c r="H661" s="124"/>
      <c r="I661" s="124"/>
      <c r="J661" s="124"/>
      <c r="K661" s="124"/>
      <c r="L661" s="124"/>
      <c r="M661" s="124"/>
      <c r="N661" s="124"/>
      <c r="O661" s="124"/>
      <c r="P661" s="124"/>
      <c r="Q661" s="124"/>
      <c r="R661" s="124"/>
      <c r="S661" s="124"/>
      <c r="T661" s="124"/>
      <c r="U661" s="124"/>
      <c r="V661" s="124"/>
      <c r="W661" s="124"/>
      <c r="X661" s="124"/>
      <c r="Y661" s="124"/>
    </row>
    <row r="662" spans="2:25" x14ac:dyDescent="0.25">
      <c r="B662" s="124"/>
      <c r="C662" s="124"/>
      <c r="D662" s="124"/>
      <c r="E662" s="124"/>
      <c r="F662" s="124"/>
      <c r="G662" s="124"/>
      <c r="H662" s="124"/>
      <c r="I662" s="124"/>
      <c r="J662" s="124"/>
      <c r="K662" s="124"/>
      <c r="L662" s="124"/>
      <c r="M662" s="124"/>
      <c r="N662" s="124"/>
      <c r="O662" s="124"/>
      <c r="P662" s="124"/>
      <c r="Q662" s="124"/>
      <c r="R662" s="124"/>
      <c r="S662" s="124"/>
      <c r="T662" s="124"/>
      <c r="U662" s="124"/>
      <c r="V662" s="124"/>
      <c r="W662" s="124"/>
      <c r="X662" s="124"/>
      <c r="Y662" s="124"/>
    </row>
    <row r="663" spans="2:25" x14ac:dyDescent="0.25">
      <c r="B663" s="124"/>
      <c r="C663" s="124"/>
      <c r="D663" s="124"/>
      <c r="E663" s="124"/>
      <c r="F663" s="124"/>
      <c r="G663" s="124"/>
      <c r="H663" s="124"/>
      <c r="I663" s="124"/>
      <c r="J663" s="124"/>
      <c r="K663" s="124"/>
      <c r="L663" s="124"/>
      <c r="M663" s="124"/>
      <c r="N663" s="124"/>
      <c r="O663" s="124"/>
      <c r="P663" s="124"/>
      <c r="Q663" s="124"/>
      <c r="R663" s="124"/>
      <c r="S663" s="124"/>
      <c r="T663" s="124"/>
      <c r="U663" s="124"/>
      <c r="V663" s="124"/>
      <c r="W663" s="124"/>
      <c r="X663" s="124"/>
      <c r="Y663" s="124"/>
    </row>
    <row r="664" spans="2:25" x14ac:dyDescent="0.25">
      <c r="B664" s="124"/>
      <c r="C664" s="124"/>
      <c r="D664" s="124"/>
      <c r="E664" s="124"/>
      <c r="F664" s="124"/>
      <c r="G664" s="124"/>
      <c r="H664" s="124"/>
      <c r="I664" s="124"/>
      <c r="J664" s="124"/>
      <c r="K664" s="124"/>
      <c r="L664" s="124"/>
      <c r="M664" s="124"/>
      <c r="N664" s="124"/>
      <c r="O664" s="124"/>
      <c r="P664" s="124"/>
      <c r="Q664" s="124"/>
      <c r="R664" s="124"/>
      <c r="S664" s="124"/>
      <c r="T664" s="124"/>
      <c r="U664" s="124"/>
      <c r="V664" s="124"/>
      <c r="W664" s="124"/>
      <c r="X664" s="124"/>
      <c r="Y664" s="124"/>
    </row>
    <row r="665" spans="2:25" x14ac:dyDescent="0.25">
      <c r="B665" s="124"/>
      <c r="C665" s="124"/>
      <c r="D665" s="124"/>
      <c r="E665" s="124"/>
      <c r="F665" s="124"/>
      <c r="G665" s="124"/>
      <c r="H665" s="124"/>
      <c r="I665" s="124"/>
      <c r="J665" s="124"/>
      <c r="K665" s="124"/>
      <c r="L665" s="124"/>
      <c r="M665" s="124"/>
      <c r="N665" s="124"/>
      <c r="O665" s="124"/>
      <c r="P665" s="124"/>
      <c r="Q665" s="124"/>
      <c r="R665" s="124"/>
      <c r="S665" s="124"/>
      <c r="T665" s="124"/>
      <c r="U665" s="124"/>
      <c r="V665" s="124"/>
      <c r="W665" s="124"/>
      <c r="X665" s="124"/>
      <c r="Y665" s="124"/>
    </row>
    <row r="666" spans="2:25" x14ac:dyDescent="0.25">
      <c r="B666" s="124"/>
      <c r="C666" s="124"/>
      <c r="D666" s="124"/>
      <c r="E666" s="124"/>
      <c r="F666" s="124"/>
      <c r="G666" s="124"/>
      <c r="H666" s="124"/>
      <c r="I666" s="124"/>
      <c r="J666" s="124"/>
      <c r="K666" s="124"/>
      <c r="L666" s="124"/>
      <c r="M666" s="124"/>
      <c r="N666" s="124"/>
      <c r="O666" s="124"/>
      <c r="P666" s="124"/>
      <c r="Q666" s="124"/>
      <c r="R666" s="124"/>
      <c r="S666" s="124"/>
      <c r="T666" s="124"/>
      <c r="U666" s="124"/>
      <c r="V666" s="124"/>
      <c r="W666" s="124"/>
      <c r="X666" s="124"/>
      <c r="Y666" s="124"/>
    </row>
    <row r="667" spans="2:25" x14ac:dyDescent="0.25">
      <c r="B667" s="124"/>
      <c r="C667" s="124"/>
      <c r="D667" s="124"/>
      <c r="E667" s="124"/>
      <c r="F667" s="124"/>
      <c r="G667" s="124"/>
      <c r="H667" s="124"/>
      <c r="I667" s="124"/>
      <c r="J667" s="124"/>
      <c r="K667" s="124"/>
      <c r="L667" s="124"/>
      <c r="M667" s="124"/>
      <c r="N667" s="124"/>
      <c r="O667" s="124"/>
      <c r="P667" s="124"/>
      <c r="Q667" s="124"/>
      <c r="R667" s="124"/>
      <c r="S667" s="124"/>
      <c r="T667" s="124"/>
      <c r="U667" s="124"/>
      <c r="V667" s="124"/>
      <c r="W667" s="124"/>
      <c r="X667" s="124"/>
      <c r="Y667" s="124"/>
    </row>
    <row r="668" spans="2:25" x14ac:dyDescent="0.25">
      <c r="B668" s="124"/>
      <c r="C668" s="124"/>
      <c r="D668" s="124"/>
      <c r="E668" s="124"/>
      <c r="F668" s="124"/>
      <c r="G668" s="124"/>
      <c r="H668" s="124"/>
      <c r="I668" s="124"/>
      <c r="J668" s="124"/>
      <c r="K668" s="124"/>
      <c r="L668" s="124"/>
      <c r="M668" s="124"/>
      <c r="N668" s="124"/>
      <c r="O668" s="124"/>
      <c r="P668" s="124"/>
      <c r="Q668" s="124"/>
      <c r="R668" s="124"/>
      <c r="S668" s="124"/>
      <c r="T668" s="124"/>
      <c r="U668" s="124"/>
      <c r="V668" s="124"/>
      <c r="W668" s="124"/>
      <c r="X668" s="124"/>
      <c r="Y668" s="124"/>
    </row>
    <row r="669" spans="2:25" x14ac:dyDescent="0.25">
      <c r="B669" s="124"/>
      <c r="C669" s="124"/>
      <c r="D669" s="124"/>
      <c r="E669" s="124"/>
      <c r="F669" s="124"/>
      <c r="G669" s="124"/>
      <c r="H669" s="124"/>
      <c r="I669" s="124"/>
      <c r="J669" s="124"/>
      <c r="K669" s="124"/>
      <c r="L669" s="124"/>
      <c r="M669" s="124"/>
      <c r="N669" s="124"/>
      <c r="O669" s="124"/>
      <c r="P669" s="124"/>
      <c r="Q669" s="124"/>
      <c r="R669" s="124"/>
      <c r="S669" s="124"/>
      <c r="T669" s="124"/>
      <c r="U669" s="124"/>
      <c r="V669" s="124"/>
      <c r="W669" s="124"/>
      <c r="X669" s="124"/>
      <c r="Y669" s="124"/>
    </row>
    <row r="670" spans="2:25" x14ac:dyDescent="0.25">
      <c r="B670" s="124"/>
      <c r="C670" s="124"/>
      <c r="D670" s="124"/>
      <c r="E670" s="124"/>
      <c r="F670" s="124"/>
      <c r="G670" s="124"/>
      <c r="H670" s="124"/>
      <c r="I670" s="124"/>
      <c r="J670" s="124"/>
      <c r="K670" s="124"/>
      <c r="L670" s="124"/>
      <c r="M670" s="124"/>
      <c r="N670" s="124"/>
      <c r="O670" s="124"/>
      <c r="P670" s="124"/>
      <c r="Q670" s="124"/>
      <c r="R670" s="124"/>
      <c r="S670" s="124"/>
      <c r="T670" s="124"/>
      <c r="U670" s="124"/>
      <c r="V670" s="124"/>
      <c r="W670" s="124"/>
      <c r="X670" s="124"/>
      <c r="Y670" s="124"/>
    </row>
    <row r="671" spans="2:25" x14ac:dyDescent="0.25">
      <c r="B671" s="124"/>
      <c r="C671" s="124"/>
      <c r="D671" s="124"/>
      <c r="E671" s="124"/>
      <c r="F671" s="124"/>
      <c r="G671" s="124"/>
      <c r="H671" s="124"/>
      <c r="I671" s="124"/>
      <c r="J671" s="124"/>
      <c r="K671" s="124"/>
      <c r="L671" s="124"/>
      <c r="M671" s="124"/>
      <c r="N671" s="124"/>
      <c r="O671" s="124"/>
      <c r="P671" s="124"/>
      <c r="Q671" s="124"/>
      <c r="R671" s="124"/>
      <c r="S671" s="124"/>
      <c r="T671" s="124"/>
      <c r="U671" s="124"/>
      <c r="V671" s="124"/>
      <c r="W671" s="124"/>
      <c r="X671" s="124"/>
      <c r="Y671" s="124"/>
    </row>
    <row r="672" spans="2:25" x14ac:dyDescent="0.25">
      <c r="B672" s="124"/>
      <c r="C672" s="124"/>
      <c r="D672" s="124"/>
      <c r="E672" s="124"/>
      <c r="F672" s="124"/>
      <c r="G672" s="124"/>
      <c r="H672" s="124"/>
      <c r="I672" s="124"/>
      <c r="J672" s="124"/>
      <c r="K672" s="124"/>
      <c r="L672" s="124"/>
      <c r="M672" s="124"/>
      <c r="N672" s="124"/>
      <c r="O672" s="124"/>
      <c r="P672" s="124"/>
      <c r="Q672" s="124"/>
      <c r="R672" s="124"/>
      <c r="S672" s="124"/>
      <c r="T672" s="124"/>
      <c r="U672" s="124"/>
      <c r="V672" s="124"/>
      <c r="W672" s="124"/>
      <c r="X672" s="124"/>
      <c r="Y672" s="124"/>
    </row>
    <row r="673" spans="2:25" x14ac:dyDescent="0.25">
      <c r="B673" s="124"/>
      <c r="C673" s="124"/>
      <c r="D673" s="124"/>
      <c r="E673" s="124"/>
      <c r="F673" s="124"/>
      <c r="G673" s="124"/>
      <c r="H673" s="124"/>
      <c r="I673" s="124"/>
      <c r="J673" s="124"/>
      <c r="K673" s="124"/>
      <c r="L673" s="124"/>
      <c r="M673" s="124"/>
      <c r="N673" s="124"/>
      <c r="O673" s="124"/>
      <c r="P673" s="124"/>
      <c r="Q673" s="124"/>
      <c r="R673" s="124"/>
      <c r="S673" s="124"/>
      <c r="T673" s="124"/>
      <c r="U673" s="124"/>
      <c r="V673" s="124"/>
      <c r="W673" s="124"/>
      <c r="X673" s="124"/>
      <c r="Y673" s="124"/>
    </row>
    <row r="674" spans="2:25" x14ac:dyDescent="0.25">
      <c r="B674" s="124"/>
      <c r="C674" s="124"/>
      <c r="D674" s="124"/>
      <c r="E674" s="124"/>
      <c r="F674" s="124"/>
      <c r="G674" s="124"/>
      <c r="H674" s="124"/>
      <c r="I674" s="124"/>
      <c r="J674" s="124"/>
      <c r="K674" s="124"/>
      <c r="L674" s="124"/>
      <c r="M674" s="124"/>
      <c r="N674" s="124"/>
      <c r="O674" s="124"/>
      <c r="P674" s="124"/>
      <c r="Q674" s="124"/>
      <c r="R674" s="124"/>
      <c r="S674" s="124"/>
      <c r="T674" s="124"/>
      <c r="U674" s="124"/>
      <c r="V674" s="124"/>
      <c r="W674" s="124"/>
      <c r="X674" s="124"/>
      <c r="Y674" s="124"/>
    </row>
    <row r="675" spans="2:25" x14ac:dyDescent="0.25">
      <c r="B675" s="124"/>
      <c r="C675" s="124"/>
      <c r="D675" s="124"/>
      <c r="E675" s="124"/>
      <c r="F675" s="124"/>
      <c r="G675" s="124"/>
      <c r="H675" s="124"/>
      <c r="I675" s="124"/>
      <c r="J675" s="124"/>
      <c r="K675" s="124"/>
      <c r="L675" s="124"/>
      <c r="M675" s="124"/>
      <c r="N675" s="124"/>
      <c r="O675" s="124"/>
      <c r="P675" s="124"/>
      <c r="Q675" s="124"/>
      <c r="R675" s="124"/>
      <c r="S675" s="124"/>
      <c r="T675" s="124"/>
      <c r="U675" s="124"/>
      <c r="V675" s="124"/>
      <c r="W675" s="124"/>
      <c r="X675" s="124"/>
      <c r="Y675" s="124"/>
    </row>
    <row r="676" spans="2:25" x14ac:dyDescent="0.25">
      <c r="B676" s="124"/>
      <c r="C676" s="124"/>
      <c r="D676" s="124"/>
      <c r="E676" s="124"/>
      <c r="F676" s="124"/>
      <c r="G676" s="124"/>
      <c r="H676" s="124"/>
      <c r="I676" s="124"/>
      <c r="J676" s="124"/>
      <c r="K676" s="124"/>
      <c r="L676" s="124"/>
      <c r="M676" s="124"/>
      <c r="N676" s="124"/>
      <c r="O676" s="124"/>
      <c r="P676" s="124"/>
      <c r="Q676" s="124"/>
      <c r="R676" s="124"/>
      <c r="S676" s="124"/>
      <c r="T676" s="124"/>
      <c r="U676" s="124"/>
      <c r="V676" s="124"/>
      <c r="W676" s="124"/>
      <c r="X676" s="124"/>
      <c r="Y676" s="124"/>
    </row>
    <row r="677" spans="2:25" x14ac:dyDescent="0.25">
      <c r="B677" s="124"/>
      <c r="C677" s="124"/>
      <c r="D677" s="124"/>
      <c r="E677" s="124"/>
      <c r="F677" s="124"/>
      <c r="G677" s="124"/>
      <c r="H677" s="124"/>
      <c r="I677" s="124"/>
      <c r="J677" s="124"/>
      <c r="K677" s="124"/>
      <c r="L677" s="124"/>
      <c r="M677" s="124"/>
      <c r="N677" s="124"/>
      <c r="O677" s="124"/>
      <c r="P677" s="124"/>
      <c r="Q677" s="124"/>
      <c r="R677" s="124"/>
      <c r="S677" s="124"/>
      <c r="T677" s="124"/>
      <c r="U677" s="124"/>
      <c r="V677" s="124"/>
      <c r="W677" s="124"/>
      <c r="X677" s="124"/>
      <c r="Y677" s="124"/>
    </row>
    <row r="678" spans="2:25" x14ac:dyDescent="0.25">
      <c r="B678" s="124"/>
      <c r="C678" s="124"/>
      <c r="D678" s="124"/>
      <c r="E678" s="124"/>
      <c r="F678" s="124"/>
      <c r="G678" s="124"/>
      <c r="H678" s="124"/>
      <c r="I678" s="124"/>
      <c r="J678" s="124"/>
      <c r="K678" s="124"/>
      <c r="L678" s="124"/>
      <c r="M678" s="124"/>
      <c r="N678" s="124"/>
      <c r="O678" s="124"/>
      <c r="P678" s="124"/>
      <c r="Q678" s="124"/>
      <c r="R678" s="124"/>
      <c r="S678" s="124"/>
      <c r="T678" s="124"/>
      <c r="U678" s="124"/>
      <c r="V678" s="124"/>
      <c r="W678" s="124"/>
      <c r="X678" s="124"/>
      <c r="Y678" s="124"/>
    </row>
    <row r="679" spans="2:25" x14ac:dyDescent="0.25">
      <c r="B679" s="124"/>
      <c r="C679" s="124"/>
      <c r="D679" s="124"/>
      <c r="E679" s="124"/>
      <c r="F679" s="124"/>
      <c r="G679" s="124"/>
      <c r="H679" s="124"/>
      <c r="I679" s="124"/>
      <c r="J679" s="124"/>
      <c r="K679" s="124"/>
      <c r="L679" s="124"/>
      <c r="M679" s="124"/>
      <c r="N679" s="124"/>
      <c r="O679" s="124"/>
      <c r="P679" s="124"/>
      <c r="Q679" s="124"/>
      <c r="R679" s="124"/>
      <c r="S679" s="124"/>
      <c r="T679" s="124"/>
      <c r="U679" s="124"/>
      <c r="V679" s="124"/>
      <c r="W679" s="124"/>
      <c r="X679" s="124"/>
      <c r="Y679" s="124"/>
    </row>
    <row r="680" spans="2:25" x14ac:dyDescent="0.25">
      <c r="B680" s="124"/>
      <c r="C680" s="124"/>
      <c r="D680" s="124"/>
      <c r="E680" s="124"/>
      <c r="F680" s="124"/>
      <c r="G680" s="124"/>
      <c r="H680" s="124"/>
      <c r="I680" s="124"/>
      <c r="J680" s="124"/>
      <c r="K680" s="124"/>
      <c r="L680" s="124"/>
      <c r="M680" s="124"/>
      <c r="N680" s="124"/>
      <c r="O680" s="124"/>
      <c r="P680" s="124"/>
      <c r="Q680" s="124"/>
      <c r="R680" s="124"/>
      <c r="S680" s="124"/>
      <c r="T680" s="124"/>
      <c r="U680" s="124"/>
      <c r="V680" s="124"/>
      <c r="W680" s="124"/>
      <c r="X680" s="124"/>
      <c r="Y680" s="124"/>
    </row>
    <row r="681" spans="2:25" x14ac:dyDescent="0.25">
      <c r="B681" s="124"/>
      <c r="C681" s="124"/>
      <c r="D681" s="124"/>
      <c r="E681" s="124"/>
      <c r="F681" s="124"/>
      <c r="G681" s="124"/>
      <c r="H681" s="124"/>
      <c r="I681" s="124"/>
      <c r="J681" s="124"/>
      <c r="K681" s="124"/>
      <c r="L681" s="124"/>
      <c r="M681" s="124"/>
      <c r="N681" s="124"/>
      <c r="O681" s="124"/>
      <c r="P681" s="124"/>
      <c r="Q681" s="124"/>
      <c r="R681" s="124"/>
      <c r="S681" s="124"/>
      <c r="T681" s="124"/>
      <c r="U681" s="124"/>
      <c r="V681" s="124"/>
      <c r="W681" s="124"/>
      <c r="X681" s="124"/>
      <c r="Y681" s="124"/>
    </row>
    <row r="682" spans="2:25" x14ac:dyDescent="0.25">
      <c r="B682" s="124"/>
      <c r="C682" s="124"/>
      <c r="D682" s="124"/>
      <c r="E682" s="124"/>
      <c r="F682" s="124"/>
      <c r="G682" s="124"/>
      <c r="H682" s="124"/>
      <c r="I682" s="124"/>
      <c r="J682" s="124"/>
      <c r="K682" s="124"/>
      <c r="L682" s="124"/>
      <c r="M682" s="124"/>
      <c r="N682" s="124"/>
      <c r="O682" s="124"/>
      <c r="P682" s="124"/>
      <c r="Q682" s="124"/>
      <c r="R682" s="124"/>
      <c r="S682" s="124"/>
      <c r="T682" s="124"/>
      <c r="U682" s="124"/>
      <c r="V682" s="124"/>
      <c r="W682" s="124"/>
      <c r="X682" s="124"/>
      <c r="Y682" s="124"/>
    </row>
    <row r="683" spans="2:25" x14ac:dyDescent="0.25">
      <c r="B683" s="124"/>
      <c r="C683" s="124"/>
      <c r="D683" s="124"/>
      <c r="E683" s="124"/>
      <c r="F683" s="124"/>
      <c r="G683" s="124"/>
      <c r="H683" s="124"/>
      <c r="I683" s="124"/>
      <c r="J683" s="124"/>
      <c r="K683" s="124"/>
      <c r="L683" s="124"/>
      <c r="M683" s="124"/>
      <c r="N683" s="124"/>
      <c r="O683" s="124"/>
      <c r="P683" s="124"/>
      <c r="Q683" s="124"/>
      <c r="R683" s="124"/>
      <c r="S683" s="124"/>
      <c r="T683" s="124"/>
      <c r="U683" s="124"/>
      <c r="V683" s="124"/>
      <c r="W683" s="124"/>
      <c r="X683" s="124"/>
      <c r="Y683" s="124"/>
    </row>
    <row r="684" spans="2:25" x14ac:dyDescent="0.25">
      <c r="B684" s="124"/>
      <c r="C684" s="124"/>
      <c r="D684" s="124"/>
      <c r="E684" s="124"/>
      <c r="F684" s="124"/>
      <c r="G684" s="124"/>
      <c r="H684" s="124"/>
      <c r="I684" s="124"/>
      <c r="J684" s="124"/>
      <c r="K684" s="124"/>
      <c r="L684" s="124"/>
      <c r="M684" s="124"/>
      <c r="N684" s="124"/>
      <c r="O684" s="124"/>
      <c r="P684" s="124"/>
      <c r="Q684" s="124"/>
      <c r="R684" s="124"/>
      <c r="S684" s="124"/>
      <c r="T684" s="124"/>
      <c r="U684" s="124"/>
      <c r="V684" s="124"/>
      <c r="W684" s="124"/>
      <c r="X684" s="124"/>
      <c r="Y684" s="124"/>
    </row>
    <row r="685" spans="2:25" x14ac:dyDescent="0.25">
      <c r="B685" s="124"/>
      <c r="C685" s="124"/>
      <c r="D685" s="124"/>
      <c r="E685" s="124"/>
      <c r="F685" s="124"/>
      <c r="G685" s="124"/>
      <c r="H685" s="124"/>
      <c r="I685" s="124"/>
      <c r="J685" s="124"/>
      <c r="K685" s="124"/>
      <c r="L685" s="124"/>
      <c r="M685" s="124"/>
      <c r="N685" s="124"/>
      <c r="O685" s="124"/>
      <c r="P685" s="124"/>
      <c r="Q685" s="124"/>
      <c r="R685" s="124"/>
      <c r="S685" s="124"/>
      <c r="T685" s="124"/>
      <c r="U685" s="124"/>
      <c r="V685" s="124"/>
      <c r="W685" s="124"/>
      <c r="X685" s="124"/>
      <c r="Y685" s="124"/>
    </row>
    <row r="686" spans="2:25" x14ac:dyDescent="0.25">
      <c r="B686" s="124"/>
      <c r="C686" s="124"/>
      <c r="D686" s="124"/>
      <c r="E686" s="124"/>
      <c r="F686" s="124"/>
      <c r="G686" s="124"/>
      <c r="H686" s="124"/>
      <c r="I686" s="124"/>
      <c r="J686" s="124"/>
      <c r="K686" s="124"/>
      <c r="L686" s="124"/>
      <c r="M686" s="124"/>
      <c r="N686" s="124"/>
      <c r="O686" s="124"/>
      <c r="P686" s="124"/>
      <c r="Q686" s="124"/>
      <c r="R686" s="124"/>
      <c r="S686" s="124"/>
      <c r="T686" s="124"/>
      <c r="U686" s="124"/>
      <c r="V686" s="124"/>
      <c r="W686" s="124"/>
      <c r="X686" s="124"/>
      <c r="Y686" s="124"/>
    </row>
    <row r="687" spans="2:25" x14ac:dyDescent="0.25">
      <c r="B687" s="124"/>
      <c r="C687" s="124"/>
      <c r="D687" s="124"/>
      <c r="E687" s="124"/>
      <c r="F687" s="124"/>
      <c r="G687" s="124"/>
      <c r="H687" s="124"/>
      <c r="I687" s="124"/>
      <c r="J687" s="124"/>
      <c r="K687" s="124"/>
      <c r="L687" s="124"/>
      <c r="M687" s="124"/>
      <c r="N687" s="124"/>
      <c r="O687" s="124"/>
      <c r="P687" s="124"/>
      <c r="Q687" s="124"/>
      <c r="R687" s="124"/>
      <c r="S687" s="124"/>
      <c r="T687" s="124"/>
      <c r="U687" s="124"/>
      <c r="V687" s="124"/>
      <c r="W687" s="124"/>
      <c r="X687" s="124"/>
      <c r="Y687" s="124"/>
    </row>
    <row r="688" spans="2:25" x14ac:dyDescent="0.25">
      <c r="B688" s="124"/>
      <c r="C688" s="124"/>
      <c r="D688" s="124"/>
      <c r="E688" s="124"/>
      <c r="F688" s="124"/>
      <c r="G688" s="124"/>
      <c r="H688" s="124"/>
      <c r="I688" s="124"/>
      <c r="J688" s="124"/>
      <c r="K688" s="124"/>
      <c r="L688" s="124"/>
      <c r="M688" s="124"/>
      <c r="N688" s="124"/>
      <c r="O688" s="124"/>
      <c r="P688" s="124"/>
      <c r="Q688" s="124"/>
      <c r="R688" s="124"/>
      <c r="S688" s="124"/>
      <c r="T688" s="124"/>
      <c r="U688" s="124"/>
      <c r="V688" s="124"/>
      <c r="W688" s="124"/>
      <c r="X688" s="124"/>
      <c r="Y688" s="124"/>
    </row>
    <row r="689" spans="2:25" x14ac:dyDescent="0.25">
      <c r="B689" s="124"/>
      <c r="C689" s="124"/>
      <c r="D689" s="124"/>
      <c r="E689" s="124"/>
      <c r="F689" s="124"/>
      <c r="G689" s="124"/>
      <c r="H689" s="124"/>
      <c r="I689" s="124"/>
      <c r="J689" s="124"/>
      <c r="K689" s="124"/>
      <c r="L689" s="124"/>
      <c r="M689" s="124"/>
      <c r="N689" s="124"/>
      <c r="O689" s="124"/>
      <c r="P689" s="124"/>
      <c r="Q689" s="124"/>
      <c r="R689" s="124"/>
      <c r="S689" s="124"/>
      <c r="T689" s="124"/>
      <c r="U689" s="124"/>
      <c r="V689" s="124"/>
      <c r="W689" s="124"/>
      <c r="X689" s="124"/>
      <c r="Y689" s="124"/>
    </row>
    <row r="690" spans="2:25" x14ac:dyDescent="0.25">
      <c r="B690" s="124"/>
      <c r="C690" s="124"/>
      <c r="D690" s="124"/>
      <c r="E690" s="124"/>
      <c r="F690" s="124"/>
      <c r="G690" s="124"/>
      <c r="H690" s="124"/>
      <c r="I690" s="124"/>
      <c r="J690" s="124"/>
      <c r="K690" s="124"/>
      <c r="L690" s="124"/>
      <c r="M690" s="124"/>
      <c r="N690" s="124"/>
      <c r="O690" s="124"/>
      <c r="P690" s="124"/>
      <c r="Q690" s="124"/>
      <c r="R690" s="124"/>
      <c r="S690" s="124"/>
      <c r="T690" s="124"/>
      <c r="U690" s="124"/>
      <c r="V690" s="124"/>
      <c r="W690" s="124"/>
      <c r="X690" s="124"/>
      <c r="Y690" s="124"/>
    </row>
    <row r="691" spans="2:25" x14ac:dyDescent="0.25">
      <c r="B691" s="124"/>
      <c r="C691" s="124"/>
      <c r="D691" s="124"/>
      <c r="E691" s="124"/>
      <c r="F691" s="124"/>
      <c r="G691" s="124"/>
      <c r="H691" s="124"/>
      <c r="I691" s="124"/>
      <c r="J691" s="124"/>
      <c r="K691" s="124"/>
      <c r="L691" s="124"/>
      <c r="M691" s="124"/>
      <c r="N691" s="124"/>
      <c r="O691" s="124"/>
      <c r="P691" s="124"/>
      <c r="Q691" s="124"/>
      <c r="R691" s="124"/>
      <c r="S691" s="124"/>
      <c r="T691" s="124"/>
      <c r="U691" s="124"/>
      <c r="V691" s="124"/>
      <c r="W691" s="124"/>
      <c r="X691" s="124"/>
      <c r="Y691" s="124"/>
    </row>
    <row r="692" spans="2:25" x14ac:dyDescent="0.25">
      <c r="B692" s="124"/>
      <c r="C692" s="124"/>
      <c r="D692" s="124"/>
      <c r="E692" s="124"/>
      <c r="F692" s="124"/>
      <c r="G692" s="124"/>
      <c r="H692" s="124"/>
      <c r="I692" s="124"/>
      <c r="J692" s="124"/>
      <c r="K692" s="124"/>
      <c r="L692" s="124"/>
      <c r="M692" s="124"/>
      <c r="N692" s="124"/>
      <c r="O692" s="124"/>
      <c r="P692" s="124"/>
      <c r="Q692" s="124"/>
      <c r="R692" s="124"/>
      <c r="S692" s="124"/>
      <c r="T692" s="124"/>
      <c r="U692" s="124"/>
      <c r="V692" s="124"/>
      <c r="W692" s="124"/>
      <c r="X692" s="124"/>
      <c r="Y692" s="124"/>
    </row>
    <row r="693" spans="2:25" x14ac:dyDescent="0.25">
      <c r="B693" s="124"/>
      <c r="C693" s="124"/>
      <c r="D693" s="124"/>
      <c r="E693" s="124"/>
      <c r="F693" s="124"/>
      <c r="G693" s="124"/>
      <c r="H693" s="124"/>
      <c r="I693" s="124"/>
      <c r="J693" s="124"/>
      <c r="K693" s="124"/>
      <c r="L693" s="124"/>
      <c r="M693" s="124"/>
      <c r="N693" s="124"/>
      <c r="O693" s="124"/>
      <c r="P693" s="124"/>
      <c r="Q693" s="124"/>
      <c r="R693" s="124"/>
      <c r="S693" s="124"/>
      <c r="T693" s="124"/>
      <c r="U693" s="124"/>
      <c r="V693" s="124"/>
      <c r="W693" s="124"/>
      <c r="X693" s="124"/>
      <c r="Y693" s="124"/>
    </row>
    <row r="694" spans="2:25" x14ac:dyDescent="0.25">
      <c r="B694" s="124"/>
      <c r="C694" s="124"/>
      <c r="D694" s="124"/>
      <c r="E694" s="124"/>
      <c r="F694" s="124"/>
      <c r="G694" s="124"/>
      <c r="H694" s="124"/>
      <c r="I694" s="124"/>
      <c r="J694" s="124"/>
      <c r="K694" s="124"/>
      <c r="L694" s="124"/>
      <c r="M694" s="124"/>
      <c r="N694" s="124"/>
      <c r="O694" s="124"/>
      <c r="P694" s="124"/>
      <c r="Q694" s="124"/>
      <c r="R694" s="124"/>
      <c r="S694" s="124"/>
      <c r="T694" s="124"/>
      <c r="U694" s="124"/>
      <c r="V694" s="124"/>
      <c r="W694" s="124"/>
      <c r="X694" s="124"/>
      <c r="Y694" s="124"/>
    </row>
    <row r="695" spans="2:25" x14ac:dyDescent="0.25">
      <c r="B695" s="124"/>
      <c r="C695" s="124"/>
      <c r="D695" s="124"/>
      <c r="E695" s="124"/>
      <c r="F695" s="124"/>
      <c r="G695" s="124"/>
      <c r="H695" s="124"/>
      <c r="I695" s="124"/>
      <c r="J695" s="124"/>
      <c r="K695" s="124"/>
      <c r="L695" s="124"/>
      <c r="M695" s="124"/>
      <c r="N695" s="124"/>
      <c r="O695" s="124"/>
      <c r="P695" s="124"/>
      <c r="Q695" s="124"/>
      <c r="R695" s="124"/>
      <c r="S695" s="124"/>
      <c r="T695" s="124"/>
      <c r="U695" s="124"/>
      <c r="V695" s="124"/>
      <c r="W695" s="124"/>
      <c r="X695" s="124"/>
      <c r="Y695" s="124"/>
    </row>
    <row r="696" spans="2:25" x14ac:dyDescent="0.25">
      <c r="B696" s="124"/>
      <c r="C696" s="124"/>
      <c r="D696" s="124"/>
      <c r="E696" s="124"/>
      <c r="F696" s="124"/>
      <c r="G696" s="124"/>
      <c r="H696" s="124"/>
      <c r="I696" s="124"/>
      <c r="J696" s="124"/>
      <c r="K696" s="124"/>
      <c r="L696" s="124"/>
      <c r="M696" s="124"/>
      <c r="N696" s="124"/>
      <c r="O696" s="124"/>
      <c r="P696" s="124"/>
      <c r="Q696" s="124"/>
      <c r="R696" s="124"/>
      <c r="S696" s="124"/>
      <c r="T696" s="124"/>
      <c r="U696" s="124"/>
      <c r="V696" s="124"/>
      <c r="W696" s="124"/>
      <c r="X696" s="124"/>
      <c r="Y696" s="124"/>
    </row>
    <row r="697" spans="2:25" x14ac:dyDescent="0.25">
      <c r="B697" s="124"/>
      <c r="C697" s="124"/>
      <c r="D697" s="124"/>
      <c r="E697" s="124"/>
      <c r="F697" s="124"/>
      <c r="G697" s="124"/>
      <c r="H697" s="124"/>
      <c r="I697" s="124"/>
      <c r="J697" s="124"/>
      <c r="K697" s="124"/>
      <c r="L697" s="124"/>
      <c r="M697" s="124"/>
      <c r="N697" s="124"/>
      <c r="O697" s="124"/>
      <c r="P697" s="124"/>
      <c r="Q697" s="124"/>
      <c r="R697" s="124"/>
      <c r="S697" s="124"/>
      <c r="T697" s="124"/>
      <c r="U697" s="124"/>
      <c r="V697" s="124"/>
      <c r="W697" s="124"/>
      <c r="X697" s="124"/>
      <c r="Y697" s="124"/>
    </row>
    <row r="698" spans="2:25" x14ac:dyDescent="0.25">
      <c r="B698" s="124"/>
      <c r="C698" s="124"/>
      <c r="D698" s="124"/>
      <c r="E698" s="124"/>
      <c r="F698" s="124"/>
      <c r="G698" s="124"/>
      <c r="H698" s="124"/>
      <c r="I698" s="124"/>
      <c r="J698" s="124"/>
      <c r="K698" s="124"/>
      <c r="L698" s="124"/>
      <c r="M698" s="124"/>
      <c r="N698" s="124"/>
      <c r="O698" s="124"/>
      <c r="P698" s="124"/>
      <c r="Q698" s="124"/>
      <c r="R698" s="124"/>
      <c r="S698" s="124"/>
      <c r="T698" s="124"/>
      <c r="U698" s="124"/>
      <c r="V698" s="124"/>
      <c r="W698" s="124"/>
      <c r="X698" s="124"/>
      <c r="Y698" s="124"/>
    </row>
    <row r="699" spans="2:25" x14ac:dyDescent="0.25">
      <c r="B699" s="124"/>
      <c r="C699" s="124"/>
      <c r="D699" s="124"/>
      <c r="E699" s="124"/>
      <c r="F699" s="124"/>
      <c r="G699" s="124"/>
      <c r="H699" s="124"/>
      <c r="I699" s="124"/>
      <c r="J699" s="124"/>
      <c r="K699" s="124"/>
      <c r="L699" s="124"/>
      <c r="M699" s="124"/>
      <c r="N699" s="124"/>
      <c r="O699" s="124"/>
      <c r="P699" s="124"/>
      <c r="Q699" s="124"/>
      <c r="R699" s="124"/>
      <c r="S699" s="124"/>
      <c r="T699" s="124"/>
      <c r="U699" s="124"/>
      <c r="V699" s="124"/>
      <c r="W699" s="124"/>
      <c r="X699" s="124"/>
      <c r="Y699" s="124"/>
    </row>
    <row r="700" spans="2:25" x14ac:dyDescent="0.25">
      <c r="B700" s="124"/>
      <c r="C700" s="124"/>
      <c r="D700" s="124"/>
      <c r="E700" s="124"/>
      <c r="F700" s="124"/>
      <c r="G700" s="124"/>
      <c r="H700" s="124"/>
      <c r="I700" s="124"/>
      <c r="J700" s="124"/>
      <c r="K700" s="124"/>
      <c r="L700" s="124"/>
      <c r="M700" s="124"/>
      <c r="N700" s="124"/>
      <c r="O700" s="124"/>
      <c r="P700" s="124"/>
      <c r="Q700" s="124"/>
      <c r="R700" s="124"/>
      <c r="S700" s="124"/>
      <c r="T700" s="124"/>
      <c r="U700" s="124"/>
      <c r="V700" s="124"/>
      <c r="W700" s="124"/>
      <c r="X700" s="124"/>
      <c r="Y700" s="124"/>
    </row>
    <row r="701" spans="2:25" x14ac:dyDescent="0.25">
      <c r="B701" s="124"/>
      <c r="C701" s="124"/>
      <c r="D701" s="124"/>
      <c r="E701" s="124"/>
      <c r="F701" s="124"/>
      <c r="G701" s="124"/>
      <c r="H701" s="124"/>
      <c r="I701" s="124"/>
      <c r="J701" s="124"/>
      <c r="K701" s="124"/>
      <c r="L701" s="124"/>
      <c r="M701" s="124"/>
      <c r="N701" s="124"/>
      <c r="O701" s="124"/>
      <c r="P701" s="124"/>
      <c r="Q701" s="124"/>
      <c r="R701" s="124"/>
      <c r="S701" s="124"/>
      <c r="T701" s="124"/>
      <c r="U701" s="124"/>
      <c r="V701" s="124"/>
      <c r="W701" s="124"/>
      <c r="X701" s="124"/>
      <c r="Y701" s="124"/>
    </row>
    <row r="702" spans="2:25" x14ac:dyDescent="0.25">
      <c r="B702" s="124"/>
      <c r="C702" s="124"/>
      <c r="D702" s="124"/>
      <c r="E702" s="124"/>
      <c r="F702" s="124"/>
      <c r="G702" s="124"/>
      <c r="H702" s="124"/>
      <c r="I702" s="124"/>
      <c r="J702" s="124"/>
      <c r="K702" s="124"/>
      <c r="L702" s="124"/>
      <c r="M702" s="124"/>
      <c r="N702" s="124"/>
      <c r="O702" s="124"/>
      <c r="P702" s="124"/>
      <c r="Q702" s="124"/>
      <c r="R702" s="124"/>
      <c r="S702" s="124"/>
      <c r="T702" s="124"/>
      <c r="U702" s="124"/>
      <c r="V702" s="124"/>
      <c r="W702" s="124"/>
      <c r="X702" s="124"/>
      <c r="Y702" s="124"/>
    </row>
    <row r="703" spans="2:25" x14ac:dyDescent="0.25">
      <c r="B703" s="124"/>
      <c r="C703" s="124"/>
      <c r="D703" s="124"/>
      <c r="E703" s="124"/>
      <c r="F703" s="124"/>
      <c r="G703" s="124"/>
      <c r="H703" s="124"/>
      <c r="I703" s="124"/>
      <c r="J703" s="124"/>
      <c r="K703" s="124"/>
      <c r="L703" s="124"/>
      <c r="M703" s="124"/>
      <c r="N703" s="124"/>
      <c r="O703" s="124"/>
      <c r="P703" s="124"/>
      <c r="Q703" s="124"/>
      <c r="R703" s="124"/>
      <c r="S703" s="124"/>
      <c r="T703" s="124"/>
      <c r="U703" s="124"/>
      <c r="V703" s="124"/>
      <c r="W703" s="124"/>
      <c r="X703" s="124"/>
      <c r="Y703" s="124"/>
    </row>
    <row r="704" spans="2:25" x14ac:dyDescent="0.25">
      <c r="B704" s="124"/>
      <c r="C704" s="124"/>
      <c r="D704" s="124"/>
      <c r="E704" s="124"/>
      <c r="F704" s="124"/>
      <c r="G704" s="124"/>
      <c r="H704" s="124"/>
      <c r="I704" s="124"/>
      <c r="J704" s="124"/>
      <c r="K704" s="124"/>
      <c r="L704" s="124"/>
      <c r="M704" s="124"/>
      <c r="N704" s="124"/>
      <c r="O704" s="124"/>
      <c r="P704" s="124"/>
      <c r="Q704" s="124"/>
      <c r="R704" s="124"/>
      <c r="S704" s="124"/>
      <c r="T704" s="124"/>
      <c r="U704" s="124"/>
      <c r="V704" s="124"/>
      <c r="W704" s="124"/>
      <c r="X704" s="124"/>
      <c r="Y704" s="124"/>
    </row>
    <row r="705" spans="2:25" x14ac:dyDescent="0.25">
      <c r="B705" s="124"/>
      <c r="C705" s="124"/>
      <c r="D705" s="124"/>
      <c r="E705" s="124"/>
      <c r="F705" s="124"/>
      <c r="G705" s="124"/>
      <c r="H705" s="124"/>
      <c r="I705" s="124"/>
      <c r="J705" s="124"/>
      <c r="K705" s="124"/>
      <c r="L705" s="124"/>
      <c r="M705" s="124"/>
      <c r="N705" s="124"/>
      <c r="O705" s="124"/>
      <c r="P705" s="124"/>
      <c r="Q705" s="124"/>
      <c r="R705" s="124"/>
      <c r="S705" s="124"/>
      <c r="T705" s="124"/>
      <c r="U705" s="124"/>
      <c r="V705" s="124"/>
      <c r="W705" s="124"/>
      <c r="X705" s="124"/>
      <c r="Y705" s="124"/>
    </row>
    <row r="706" spans="2:25" x14ac:dyDescent="0.25">
      <c r="B706" s="124"/>
      <c r="C706" s="124"/>
      <c r="D706" s="124"/>
      <c r="E706" s="124"/>
      <c r="F706" s="124"/>
      <c r="G706" s="124"/>
      <c r="H706" s="124"/>
      <c r="I706" s="124"/>
      <c r="J706" s="124"/>
      <c r="K706" s="124"/>
      <c r="L706" s="124"/>
      <c r="M706" s="124"/>
      <c r="N706" s="124"/>
      <c r="O706" s="124"/>
      <c r="P706" s="124"/>
      <c r="Q706" s="124"/>
      <c r="R706" s="124"/>
      <c r="S706" s="124"/>
      <c r="T706" s="124"/>
      <c r="U706" s="124"/>
      <c r="V706" s="124"/>
      <c r="W706" s="124"/>
      <c r="X706" s="124"/>
      <c r="Y706" s="124"/>
    </row>
    <row r="707" spans="2:25" x14ac:dyDescent="0.25">
      <c r="B707" s="124"/>
      <c r="C707" s="124"/>
      <c r="D707" s="124"/>
      <c r="E707" s="124"/>
      <c r="F707" s="124"/>
      <c r="G707" s="124"/>
      <c r="H707" s="124"/>
      <c r="I707" s="124"/>
      <c r="J707" s="124"/>
      <c r="K707" s="124"/>
      <c r="L707" s="124"/>
      <c r="M707" s="124"/>
      <c r="N707" s="124"/>
      <c r="O707" s="124"/>
      <c r="P707" s="124"/>
      <c r="Q707" s="124"/>
      <c r="R707" s="124"/>
      <c r="S707" s="124"/>
      <c r="T707" s="124"/>
      <c r="U707" s="124"/>
      <c r="V707" s="124"/>
      <c r="W707" s="124"/>
      <c r="X707" s="124"/>
      <c r="Y707" s="124"/>
    </row>
    <row r="708" spans="2:25" x14ac:dyDescent="0.25">
      <c r="B708" s="124"/>
      <c r="C708" s="124"/>
      <c r="D708" s="124"/>
      <c r="E708" s="124"/>
      <c r="F708" s="124"/>
      <c r="G708" s="124"/>
      <c r="H708" s="124"/>
      <c r="I708" s="124"/>
      <c r="J708" s="124"/>
      <c r="K708" s="124"/>
      <c r="L708" s="124"/>
      <c r="M708" s="124"/>
      <c r="N708" s="124"/>
      <c r="O708" s="124"/>
      <c r="P708" s="124"/>
      <c r="Q708" s="124"/>
      <c r="R708" s="124"/>
      <c r="S708" s="124"/>
      <c r="T708" s="124"/>
      <c r="U708" s="124"/>
      <c r="V708" s="124"/>
      <c r="W708" s="124"/>
      <c r="X708" s="124"/>
      <c r="Y708" s="124"/>
    </row>
    <row r="709" spans="2:25" x14ac:dyDescent="0.25">
      <c r="B709" s="124"/>
      <c r="C709" s="124"/>
      <c r="D709" s="124"/>
      <c r="E709" s="124"/>
      <c r="F709" s="124"/>
      <c r="G709" s="124"/>
      <c r="H709" s="124"/>
      <c r="I709" s="124"/>
      <c r="J709" s="124"/>
      <c r="K709" s="124"/>
      <c r="L709" s="124"/>
      <c r="M709" s="124"/>
      <c r="N709" s="124"/>
      <c r="O709" s="124"/>
      <c r="P709" s="124"/>
      <c r="Q709" s="124"/>
      <c r="R709" s="124"/>
      <c r="S709" s="124"/>
      <c r="T709" s="124"/>
      <c r="U709" s="124"/>
      <c r="V709" s="124"/>
      <c r="W709" s="124"/>
      <c r="X709" s="124"/>
      <c r="Y709" s="124"/>
    </row>
    <row r="710" spans="2:25" x14ac:dyDescent="0.25">
      <c r="B710" s="124"/>
      <c r="C710" s="124"/>
      <c r="D710" s="124"/>
      <c r="E710" s="124"/>
      <c r="F710" s="124"/>
      <c r="G710" s="124"/>
      <c r="H710" s="124"/>
      <c r="I710" s="124"/>
      <c r="J710" s="124"/>
      <c r="K710" s="124"/>
      <c r="L710" s="124"/>
      <c r="M710" s="124"/>
      <c r="N710" s="124"/>
      <c r="O710" s="124"/>
      <c r="P710" s="124"/>
      <c r="Q710" s="124"/>
      <c r="R710" s="124"/>
      <c r="S710" s="124"/>
      <c r="T710" s="124"/>
      <c r="U710" s="124"/>
      <c r="V710" s="124"/>
      <c r="W710" s="124"/>
      <c r="X710" s="124"/>
      <c r="Y710" s="124"/>
    </row>
    <row r="711" spans="2:25" x14ac:dyDescent="0.25">
      <c r="B711" s="124"/>
      <c r="C711" s="124"/>
      <c r="D711" s="124"/>
      <c r="E711" s="124"/>
      <c r="F711" s="124"/>
      <c r="G711" s="124"/>
      <c r="H711" s="124"/>
      <c r="I711" s="124"/>
      <c r="J711" s="124"/>
      <c r="K711" s="124"/>
      <c r="L711" s="124"/>
      <c r="M711" s="124"/>
      <c r="N711" s="124"/>
      <c r="O711" s="124"/>
      <c r="P711" s="124"/>
      <c r="Q711" s="124"/>
      <c r="R711" s="124"/>
      <c r="S711" s="124"/>
      <c r="T711" s="124"/>
      <c r="U711" s="124"/>
      <c r="V711" s="124"/>
      <c r="W711" s="124"/>
      <c r="X711" s="124"/>
      <c r="Y711" s="124"/>
    </row>
    <row r="712" spans="2:25" x14ac:dyDescent="0.25">
      <c r="B712" s="124"/>
      <c r="C712" s="124"/>
      <c r="D712" s="124"/>
      <c r="E712" s="124"/>
      <c r="F712" s="124"/>
      <c r="G712" s="124"/>
      <c r="H712" s="124"/>
      <c r="I712" s="124"/>
      <c r="J712" s="124"/>
      <c r="K712" s="124"/>
      <c r="L712" s="124"/>
      <c r="M712" s="124"/>
      <c r="N712" s="124"/>
      <c r="O712" s="124"/>
      <c r="P712" s="124"/>
      <c r="Q712" s="124"/>
      <c r="R712" s="124"/>
      <c r="S712" s="124"/>
      <c r="T712" s="124"/>
      <c r="U712" s="124"/>
      <c r="V712" s="124"/>
      <c r="W712" s="124"/>
      <c r="X712" s="124"/>
      <c r="Y712" s="124"/>
    </row>
    <row r="713" spans="2:25" x14ac:dyDescent="0.25">
      <c r="B713" s="124"/>
      <c r="C713" s="124"/>
      <c r="D713" s="124"/>
      <c r="E713" s="124"/>
      <c r="F713" s="124"/>
      <c r="G713" s="124"/>
      <c r="H713" s="124"/>
      <c r="I713" s="124"/>
      <c r="J713" s="124"/>
      <c r="K713" s="124"/>
      <c r="L713" s="124"/>
      <c r="M713" s="124"/>
      <c r="N713" s="124"/>
      <c r="O713" s="124"/>
      <c r="P713" s="124"/>
      <c r="Q713" s="124"/>
      <c r="R713" s="124"/>
      <c r="S713" s="124"/>
      <c r="T713" s="124"/>
      <c r="U713" s="124"/>
      <c r="V713" s="124"/>
      <c r="W713" s="124"/>
      <c r="X713" s="124"/>
      <c r="Y713" s="124"/>
    </row>
    <row r="714" spans="2:25" x14ac:dyDescent="0.25">
      <c r="B714" s="124"/>
      <c r="C714" s="124"/>
      <c r="D714" s="124"/>
      <c r="E714" s="124"/>
      <c r="F714" s="124"/>
      <c r="G714" s="124"/>
      <c r="H714" s="124"/>
      <c r="I714" s="124"/>
      <c r="J714" s="124"/>
      <c r="K714" s="124"/>
      <c r="L714" s="124"/>
      <c r="M714" s="124"/>
      <c r="N714" s="124"/>
      <c r="O714" s="124"/>
      <c r="P714" s="124"/>
      <c r="Q714" s="124"/>
      <c r="R714" s="124"/>
      <c r="S714" s="124"/>
      <c r="T714" s="124"/>
      <c r="U714" s="124"/>
      <c r="V714" s="124"/>
      <c r="W714" s="124"/>
      <c r="X714" s="124"/>
      <c r="Y714" s="124"/>
    </row>
    <row r="715" spans="2:25" x14ac:dyDescent="0.25">
      <c r="B715" s="124"/>
      <c r="C715" s="124"/>
      <c r="D715" s="124"/>
      <c r="E715" s="124"/>
      <c r="F715" s="124"/>
      <c r="G715" s="124"/>
      <c r="H715" s="124"/>
      <c r="I715" s="124"/>
      <c r="J715" s="124"/>
      <c r="K715" s="124"/>
      <c r="L715" s="124"/>
      <c r="M715" s="124"/>
      <c r="N715" s="124"/>
      <c r="O715" s="124"/>
      <c r="P715" s="124"/>
      <c r="Q715" s="124"/>
      <c r="R715" s="124"/>
      <c r="S715" s="124"/>
      <c r="T715" s="124"/>
      <c r="U715" s="124"/>
      <c r="V715" s="124"/>
      <c r="W715" s="124"/>
      <c r="X715" s="124"/>
      <c r="Y715" s="124"/>
    </row>
    <row r="716" spans="2:25" x14ac:dyDescent="0.25">
      <c r="B716" s="124"/>
      <c r="C716" s="124"/>
      <c r="D716" s="124"/>
      <c r="E716" s="124"/>
      <c r="F716" s="124"/>
      <c r="G716" s="124"/>
      <c r="H716" s="124"/>
      <c r="I716" s="124"/>
      <c r="J716" s="124"/>
      <c r="K716" s="124"/>
      <c r="L716" s="124"/>
      <c r="M716" s="124"/>
      <c r="N716" s="124"/>
      <c r="O716" s="124"/>
      <c r="P716" s="124"/>
      <c r="Q716" s="124"/>
      <c r="R716" s="124"/>
      <c r="S716" s="124"/>
      <c r="T716" s="124"/>
      <c r="U716" s="124"/>
      <c r="V716" s="124"/>
      <c r="W716" s="124"/>
      <c r="X716" s="124"/>
      <c r="Y716" s="124"/>
    </row>
    <row r="717" spans="2:25" x14ac:dyDescent="0.25">
      <c r="B717" s="124"/>
      <c r="C717" s="124"/>
      <c r="D717" s="124"/>
      <c r="E717" s="124"/>
      <c r="F717" s="124"/>
      <c r="G717" s="124"/>
      <c r="H717" s="124"/>
      <c r="I717" s="124"/>
      <c r="J717" s="124"/>
      <c r="K717" s="124"/>
      <c r="L717" s="124"/>
      <c r="M717" s="124"/>
      <c r="N717" s="124"/>
      <c r="O717" s="124"/>
      <c r="P717" s="124"/>
      <c r="Q717" s="124"/>
      <c r="R717" s="124"/>
      <c r="S717" s="124"/>
      <c r="T717" s="124"/>
      <c r="U717" s="124"/>
      <c r="V717" s="124"/>
      <c r="W717" s="124"/>
      <c r="X717" s="124"/>
      <c r="Y717" s="124"/>
    </row>
    <row r="718" spans="2:25" x14ac:dyDescent="0.25">
      <c r="B718" s="124"/>
      <c r="C718" s="124"/>
      <c r="D718" s="124"/>
      <c r="E718" s="124"/>
      <c r="F718" s="124"/>
      <c r="G718" s="124"/>
      <c r="H718" s="124"/>
      <c r="I718" s="124"/>
      <c r="J718" s="124"/>
      <c r="K718" s="124"/>
      <c r="L718" s="124"/>
      <c r="M718" s="124"/>
      <c r="N718" s="124"/>
      <c r="O718" s="124"/>
      <c r="P718" s="124"/>
      <c r="Q718" s="124"/>
      <c r="R718" s="124"/>
      <c r="S718" s="124"/>
      <c r="T718" s="124"/>
      <c r="U718" s="124"/>
      <c r="V718" s="124"/>
      <c r="W718" s="124"/>
      <c r="X718" s="124"/>
      <c r="Y718" s="124"/>
    </row>
    <row r="719" spans="2:25" x14ac:dyDescent="0.25">
      <c r="B719" s="124"/>
      <c r="C719" s="124"/>
      <c r="D719" s="124"/>
      <c r="E719" s="124"/>
      <c r="F719" s="124"/>
      <c r="G719" s="124"/>
      <c r="H719" s="124"/>
      <c r="I719" s="124"/>
      <c r="J719" s="124"/>
      <c r="K719" s="124"/>
      <c r="L719" s="124"/>
      <c r="M719" s="124"/>
      <c r="N719" s="124"/>
      <c r="O719" s="124"/>
      <c r="P719" s="124"/>
      <c r="Q719" s="124"/>
      <c r="R719" s="124"/>
      <c r="S719" s="124"/>
      <c r="T719" s="124"/>
      <c r="U719" s="124"/>
      <c r="V719" s="124"/>
      <c r="W719" s="124"/>
      <c r="X719" s="124"/>
      <c r="Y719" s="124"/>
    </row>
    <row r="720" spans="2:25" x14ac:dyDescent="0.25">
      <c r="B720" s="124"/>
      <c r="C720" s="124"/>
      <c r="D720" s="124"/>
      <c r="E720" s="124"/>
      <c r="F720" s="124"/>
      <c r="G720" s="124"/>
      <c r="H720" s="124"/>
      <c r="I720" s="124"/>
      <c r="J720" s="124"/>
      <c r="K720" s="124"/>
      <c r="L720" s="124"/>
      <c r="M720" s="124"/>
      <c r="N720" s="124"/>
      <c r="O720" s="124"/>
      <c r="P720" s="124"/>
      <c r="Q720" s="124"/>
      <c r="R720" s="124"/>
      <c r="S720" s="124"/>
      <c r="T720" s="124"/>
      <c r="U720" s="124"/>
      <c r="V720" s="124"/>
      <c r="W720" s="124"/>
      <c r="X720" s="124"/>
      <c r="Y720" s="124"/>
    </row>
    <row r="721" spans="2:25" x14ac:dyDescent="0.25">
      <c r="B721" s="124"/>
      <c r="C721" s="124"/>
      <c r="D721" s="124"/>
      <c r="E721" s="124"/>
      <c r="F721" s="124"/>
      <c r="G721" s="124"/>
      <c r="H721" s="124"/>
      <c r="I721" s="124"/>
      <c r="J721" s="124"/>
      <c r="K721" s="124"/>
      <c r="L721" s="124"/>
      <c r="M721" s="124"/>
      <c r="N721" s="124"/>
      <c r="O721" s="124"/>
      <c r="P721" s="124"/>
      <c r="Q721" s="124"/>
      <c r="R721" s="124"/>
      <c r="S721" s="124"/>
      <c r="T721" s="124"/>
      <c r="U721" s="124"/>
      <c r="V721" s="124"/>
      <c r="W721" s="124"/>
      <c r="X721" s="124"/>
      <c r="Y721" s="124"/>
    </row>
    <row r="722" spans="2:25" x14ac:dyDescent="0.25">
      <c r="B722" s="124"/>
      <c r="C722" s="124"/>
      <c r="D722" s="124"/>
      <c r="E722" s="124"/>
      <c r="F722" s="124"/>
      <c r="G722" s="124"/>
      <c r="H722" s="124"/>
      <c r="I722" s="124"/>
      <c r="J722" s="124"/>
      <c r="K722" s="124"/>
      <c r="L722" s="124"/>
      <c r="M722" s="124"/>
      <c r="N722" s="124"/>
      <c r="O722" s="124"/>
      <c r="P722" s="124"/>
      <c r="Q722" s="124"/>
      <c r="R722" s="124"/>
      <c r="S722" s="124"/>
      <c r="T722" s="124"/>
      <c r="U722" s="124"/>
      <c r="V722" s="124"/>
      <c r="W722" s="124"/>
      <c r="X722" s="124"/>
      <c r="Y722" s="124"/>
    </row>
    <row r="723" spans="2:25" x14ac:dyDescent="0.25">
      <c r="B723" s="124"/>
      <c r="C723" s="124"/>
      <c r="D723" s="124"/>
      <c r="E723" s="124"/>
      <c r="F723" s="124"/>
      <c r="G723" s="124"/>
      <c r="H723" s="124"/>
      <c r="I723" s="124"/>
      <c r="J723" s="124"/>
      <c r="K723" s="124"/>
      <c r="L723" s="124"/>
      <c r="M723" s="124"/>
      <c r="N723" s="124"/>
      <c r="O723" s="124"/>
      <c r="P723" s="124"/>
      <c r="Q723" s="124"/>
      <c r="R723" s="124"/>
      <c r="S723" s="124"/>
      <c r="T723" s="124"/>
      <c r="U723" s="124"/>
      <c r="V723" s="124"/>
      <c r="W723" s="124"/>
      <c r="X723" s="124"/>
      <c r="Y723" s="124"/>
    </row>
    <row r="724" spans="2:25" x14ac:dyDescent="0.25">
      <c r="B724" s="124"/>
      <c r="C724" s="124"/>
      <c r="D724" s="124"/>
      <c r="E724" s="124"/>
      <c r="F724" s="124"/>
      <c r="G724" s="124"/>
      <c r="H724" s="124"/>
      <c r="I724" s="124"/>
      <c r="J724" s="124"/>
      <c r="K724" s="124"/>
      <c r="L724" s="124"/>
      <c r="M724" s="124"/>
      <c r="N724" s="124"/>
      <c r="O724" s="124"/>
      <c r="P724" s="124"/>
      <c r="Q724" s="124"/>
      <c r="R724" s="124"/>
      <c r="S724" s="124"/>
      <c r="T724" s="124"/>
      <c r="U724" s="124"/>
      <c r="V724" s="124"/>
      <c r="W724" s="124"/>
      <c r="X724" s="124"/>
      <c r="Y724" s="124"/>
    </row>
    <row r="725" spans="2:25" x14ac:dyDescent="0.25">
      <c r="B725" s="124"/>
      <c r="C725" s="124"/>
      <c r="D725" s="124"/>
      <c r="E725" s="124"/>
      <c r="F725" s="124"/>
      <c r="G725" s="124"/>
      <c r="H725" s="124"/>
      <c r="I725" s="124"/>
      <c r="J725" s="124"/>
      <c r="K725" s="124"/>
      <c r="L725" s="124"/>
      <c r="M725" s="124"/>
      <c r="N725" s="124"/>
      <c r="O725" s="124"/>
      <c r="P725" s="124"/>
      <c r="Q725" s="124"/>
      <c r="R725" s="124"/>
      <c r="S725" s="124"/>
      <c r="T725" s="124"/>
      <c r="U725" s="124"/>
      <c r="V725" s="124"/>
      <c r="W725" s="124"/>
      <c r="X725" s="124"/>
      <c r="Y725" s="124"/>
    </row>
    <row r="726" spans="2:25" x14ac:dyDescent="0.25">
      <c r="B726" s="124"/>
      <c r="C726" s="124"/>
      <c r="D726" s="124"/>
      <c r="E726" s="124"/>
      <c r="F726" s="124"/>
      <c r="G726" s="124"/>
      <c r="H726" s="124"/>
      <c r="I726" s="124"/>
      <c r="J726" s="124"/>
      <c r="K726" s="124"/>
      <c r="L726" s="124"/>
      <c r="M726" s="124"/>
      <c r="N726" s="124"/>
      <c r="O726" s="124"/>
      <c r="P726" s="124"/>
      <c r="Q726" s="124"/>
      <c r="R726" s="124"/>
      <c r="S726" s="124"/>
      <c r="T726" s="124"/>
      <c r="U726" s="124"/>
      <c r="V726" s="124"/>
      <c r="W726" s="124"/>
      <c r="X726" s="124"/>
      <c r="Y726" s="124"/>
    </row>
    <row r="727" spans="2:25" x14ac:dyDescent="0.25">
      <c r="B727" s="124"/>
      <c r="C727" s="124"/>
      <c r="D727" s="124"/>
      <c r="E727" s="124"/>
      <c r="F727" s="124"/>
      <c r="G727" s="124"/>
      <c r="H727" s="124"/>
      <c r="I727" s="124"/>
      <c r="J727" s="124"/>
      <c r="K727" s="124"/>
      <c r="L727" s="124"/>
      <c r="M727" s="124"/>
      <c r="N727" s="124"/>
      <c r="O727" s="124"/>
      <c r="P727" s="124"/>
      <c r="Q727" s="124"/>
      <c r="R727" s="124"/>
      <c r="S727" s="124"/>
      <c r="T727" s="124"/>
      <c r="U727" s="124"/>
      <c r="V727" s="124"/>
      <c r="W727" s="124"/>
      <c r="X727" s="124"/>
      <c r="Y727" s="124"/>
    </row>
    <row r="728" spans="2:25" x14ac:dyDescent="0.25">
      <c r="B728" s="124"/>
      <c r="C728" s="124"/>
      <c r="D728" s="124"/>
      <c r="E728" s="124"/>
      <c r="F728" s="124"/>
      <c r="G728" s="124"/>
      <c r="H728" s="124"/>
      <c r="I728" s="124"/>
      <c r="J728" s="124"/>
      <c r="K728" s="124"/>
      <c r="L728" s="124"/>
      <c r="M728" s="124"/>
      <c r="N728" s="124"/>
      <c r="O728" s="124"/>
      <c r="P728" s="124"/>
      <c r="Q728" s="124"/>
      <c r="R728" s="124"/>
      <c r="S728" s="124"/>
      <c r="T728" s="124"/>
      <c r="U728" s="124"/>
      <c r="V728" s="124"/>
      <c r="W728" s="124"/>
      <c r="X728" s="124"/>
      <c r="Y728" s="124"/>
    </row>
    <row r="729" spans="2:25" x14ac:dyDescent="0.25">
      <c r="B729" s="124"/>
      <c r="C729" s="124"/>
      <c r="D729" s="124"/>
      <c r="E729" s="124"/>
      <c r="F729" s="124"/>
      <c r="G729" s="124"/>
      <c r="H729" s="124"/>
      <c r="I729" s="124"/>
      <c r="J729" s="124"/>
      <c r="K729" s="124"/>
      <c r="L729" s="124"/>
      <c r="M729" s="124"/>
      <c r="N729" s="124"/>
      <c r="O729" s="124"/>
      <c r="P729" s="124"/>
      <c r="Q729" s="124"/>
      <c r="R729" s="124"/>
      <c r="S729" s="124"/>
      <c r="T729" s="124"/>
      <c r="U729" s="124"/>
      <c r="V729" s="124"/>
      <c r="W729" s="124"/>
      <c r="X729" s="124"/>
      <c r="Y729" s="124"/>
    </row>
    <row r="730" spans="2:25" x14ac:dyDescent="0.25">
      <c r="B730" s="124"/>
      <c r="C730" s="124"/>
      <c r="D730" s="124"/>
      <c r="E730" s="124"/>
      <c r="F730" s="124"/>
      <c r="G730" s="124"/>
      <c r="H730" s="124"/>
      <c r="I730" s="124"/>
      <c r="J730" s="124"/>
      <c r="K730" s="124"/>
      <c r="L730" s="124"/>
      <c r="M730" s="124"/>
      <c r="N730" s="124"/>
      <c r="O730" s="124"/>
      <c r="P730" s="124"/>
      <c r="Q730" s="124"/>
      <c r="R730" s="124"/>
      <c r="S730" s="124"/>
      <c r="T730" s="124"/>
      <c r="U730" s="124"/>
      <c r="V730" s="124"/>
      <c r="W730" s="124"/>
      <c r="X730" s="124"/>
      <c r="Y730" s="124"/>
    </row>
    <row r="731" spans="2:25" x14ac:dyDescent="0.25">
      <c r="B731" s="124"/>
      <c r="C731" s="124"/>
      <c r="D731" s="124"/>
      <c r="E731" s="124"/>
      <c r="F731" s="124"/>
      <c r="G731" s="124"/>
      <c r="H731" s="124"/>
      <c r="I731" s="124"/>
      <c r="J731" s="124"/>
      <c r="K731" s="124"/>
      <c r="L731" s="124"/>
      <c r="M731" s="124"/>
      <c r="N731" s="124"/>
      <c r="O731" s="124"/>
      <c r="P731" s="124"/>
      <c r="Q731" s="124"/>
      <c r="R731" s="124"/>
      <c r="S731" s="124"/>
      <c r="T731" s="124"/>
      <c r="U731" s="124"/>
      <c r="V731" s="124"/>
      <c r="W731" s="124"/>
      <c r="X731" s="124"/>
      <c r="Y731" s="124"/>
    </row>
    <row r="732" spans="2:25" x14ac:dyDescent="0.25">
      <c r="B732" s="124"/>
      <c r="C732" s="124"/>
      <c r="D732" s="124"/>
      <c r="E732" s="124"/>
      <c r="F732" s="124"/>
      <c r="G732" s="124"/>
      <c r="H732" s="124"/>
      <c r="I732" s="124"/>
      <c r="J732" s="124"/>
      <c r="K732" s="124"/>
      <c r="L732" s="124"/>
      <c r="M732" s="124"/>
      <c r="N732" s="124"/>
      <c r="O732" s="124"/>
      <c r="P732" s="124"/>
      <c r="Q732" s="124"/>
      <c r="R732" s="124"/>
      <c r="S732" s="124"/>
      <c r="T732" s="124"/>
      <c r="U732" s="124"/>
      <c r="V732" s="124"/>
      <c r="W732" s="124"/>
      <c r="X732" s="124"/>
      <c r="Y732" s="124"/>
    </row>
    <row r="733" spans="2:25" x14ac:dyDescent="0.25">
      <c r="B733" s="124"/>
      <c r="C733" s="124"/>
      <c r="D733" s="124"/>
      <c r="E733" s="124"/>
      <c r="F733" s="124"/>
      <c r="G733" s="124"/>
      <c r="H733" s="124"/>
      <c r="I733" s="124"/>
      <c r="J733" s="124"/>
      <c r="K733" s="124"/>
      <c r="L733" s="124"/>
      <c r="M733" s="124"/>
      <c r="N733" s="124"/>
      <c r="O733" s="124"/>
      <c r="P733" s="124"/>
      <c r="Q733" s="124"/>
      <c r="R733" s="124"/>
      <c r="S733" s="124"/>
      <c r="T733" s="124"/>
      <c r="U733" s="124"/>
      <c r="V733" s="124"/>
      <c r="W733" s="124"/>
      <c r="X733" s="124"/>
      <c r="Y733" s="124"/>
    </row>
    <row r="734" spans="2:25" x14ac:dyDescent="0.25">
      <c r="B734" s="124"/>
      <c r="C734" s="124"/>
      <c r="D734" s="124"/>
      <c r="E734" s="124"/>
      <c r="F734" s="124"/>
      <c r="G734" s="124"/>
      <c r="H734" s="124"/>
      <c r="I734" s="124"/>
      <c r="J734" s="124"/>
      <c r="K734" s="124"/>
      <c r="L734" s="124"/>
      <c r="M734" s="124"/>
      <c r="N734" s="124"/>
      <c r="O734" s="124"/>
      <c r="P734" s="124"/>
      <c r="Q734" s="124"/>
      <c r="R734" s="124"/>
      <c r="S734" s="124"/>
      <c r="T734" s="124"/>
      <c r="U734" s="124"/>
      <c r="V734" s="124"/>
      <c r="W734" s="124"/>
      <c r="X734" s="124"/>
      <c r="Y734" s="124"/>
    </row>
    <row r="735" spans="2:25" x14ac:dyDescent="0.25">
      <c r="B735" s="124"/>
      <c r="C735" s="124"/>
      <c r="D735" s="124"/>
      <c r="E735" s="124"/>
      <c r="F735" s="124"/>
      <c r="G735" s="124"/>
      <c r="H735" s="124"/>
      <c r="I735" s="124"/>
      <c r="J735" s="124"/>
      <c r="K735" s="124"/>
      <c r="L735" s="124"/>
      <c r="M735" s="124"/>
      <c r="N735" s="124"/>
      <c r="O735" s="124"/>
      <c r="P735" s="124"/>
      <c r="Q735" s="124"/>
      <c r="R735" s="124"/>
      <c r="S735" s="124"/>
      <c r="T735" s="124"/>
      <c r="U735" s="124"/>
      <c r="V735" s="124"/>
      <c r="W735" s="124"/>
      <c r="X735" s="124"/>
      <c r="Y735" s="124"/>
    </row>
    <row r="736" spans="2:25" x14ac:dyDescent="0.25">
      <c r="B736" s="124"/>
      <c r="C736" s="124"/>
      <c r="D736" s="124"/>
      <c r="E736" s="124"/>
      <c r="F736" s="124"/>
      <c r="G736" s="124"/>
      <c r="H736" s="124"/>
      <c r="I736" s="124"/>
      <c r="J736" s="124"/>
      <c r="K736" s="124"/>
      <c r="L736" s="124"/>
      <c r="M736" s="124"/>
      <c r="N736" s="124"/>
      <c r="O736" s="124"/>
      <c r="P736" s="124"/>
      <c r="Q736" s="124"/>
      <c r="R736" s="124"/>
      <c r="S736" s="124"/>
      <c r="T736" s="124"/>
      <c r="U736" s="124"/>
      <c r="V736" s="124"/>
      <c r="W736" s="124"/>
      <c r="X736" s="124"/>
      <c r="Y736" s="124"/>
    </row>
    <row r="737" spans="2:25" x14ac:dyDescent="0.25">
      <c r="B737" s="124"/>
      <c r="C737" s="124"/>
      <c r="D737" s="124"/>
      <c r="E737" s="124"/>
      <c r="F737" s="124"/>
      <c r="G737" s="124"/>
      <c r="H737" s="124"/>
      <c r="I737" s="124"/>
      <c r="J737" s="124"/>
      <c r="K737" s="124"/>
      <c r="L737" s="124"/>
      <c r="M737" s="124"/>
      <c r="N737" s="124"/>
      <c r="O737" s="124"/>
      <c r="P737" s="124"/>
      <c r="Q737" s="124"/>
      <c r="R737" s="124"/>
      <c r="S737" s="124"/>
      <c r="T737" s="124"/>
      <c r="U737" s="124"/>
      <c r="V737" s="124"/>
      <c r="W737" s="124"/>
      <c r="X737" s="124"/>
      <c r="Y737" s="124"/>
    </row>
    <row r="738" spans="2:25" x14ac:dyDescent="0.25">
      <c r="B738" s="124"/>
      <c r="C738" s="124"/>
      <c r="D738" s="124"/>
      <c r="E738" s="124"/>
      <c r="F738" s="124"/>
      <c r="G738" s="124"/>
      <c r="H738" s="124"/>
      <c r="I738" s="124"/>
      <c r="J738" s="124"/>
      <c r="K738" s="124"/>
      <c r="L738" s="124"/>
      <c r="M738" s="124"/>
      <c r="N738" s="124"/>
      <c r="O738" s="124"/>
      <c r="P738" s="124"/>
      <c r="Q738" s="124"/>
      <c r="R738" s="124"/>
      <c r="S738" s="124"/>
      <c r="T738" s="124"/>
      <c r="U738" s="124"/>
      <c r="V738" s="124"/>
      <c r="W738" s="124"/>
      <c r="X738" s="124"/>
      <c r="Y738" s="124"/>
    </row>
    <row r="739" spans="2:25" x14ac:dyDescent="0.25">
      <c r="B739" s="124"/>
      <c r="C739" s="124"/>
      <c r="D739" s="124"/>
      <c r="E739" s="124"/>
      <c r="F739" s="124"/>
      <c r="G739" s="124"/>
      <c r="H739" s="124"/>
      <c r="I739" s="124"/>
      <c r="J739" s="124"/>
      <c r="K739" s="124"/>
      <c r="L739" s="124"/>
      <c r="M739" s="124"/>
      <c r="N739" s="124"/>
      <c r="O739" s="124"/>
      <c r="P739" s="124"/>
      <c r="Q739" s="124"/>
      <c r="R739" s="124"/>
      <c r="S739" s="124"/>
      <c r="T739" s="124"/>
      <c r="U739" s="124"/>
      <c r="V739" s="124"/>
      <c r="W739" s="124"/>
      <c r="X739" s="124"/>
      <c r="Y739" s="124"/>
    </row>
    <row r="740" spans="2:25" x14ac:dyDescent="0.25">
      <c r="B740" s="124"/>
      <c r="C740" s="124"/>
      <c r="D740" s="124"/>
      <c r="E740" s="124"/>
      <c r="F740" s="124"/>
      <c r="G740" s="124"/>
      <c r="H740" s="124"/>
      <c r="I740" s="124"/>
      <c r="J740" s="124"/>
      <c r="K740" s="124"/>
      <c r="L740" s="124"/>
      <c r="M740" s="124"/>
      <c r="N740" s="124"/>
      <c r="O740" s="124"/>
      <c r="P740" s="124"/>
      <c r="Q740" s="124"/>
      <c r="R740" s="124"/>
      <c r="S740" s="124"/>
      <c r="T740" s="124"/>
      <c r="U740" s="124"/>
      <c r="V740" s="124"/>
      <c r="W740" s="124"/>
      <c r="X740" s="124"/>
      <c r="Y740" s="124"/>
    </row>
    <row r="741" spans="2:25" x14ac:dyDescent="0.25">
      <c r="B741" s="124"/>
      <c r="C741" s="124"/>
      <c r="D741" s="124"/>
      <c r="E741" s="124"/>
      <c r="F741" s="124"/>
      <c r="G741" s="124"/>
      <c r="H741" s="124"/>
      <c r="I741" s="124"/>
      <c r="J741" s="124"/>
      <c r="K741" s="124"/>
      <c r="L741" s="124"/>
      <c r="M741" s="124"/>
      <c r="N741" s="124"/>
      <c r="O741" s="124"/>
      <c r="P741" s="124"/>
      <c r="Q741" s="124"/>
      <c r="R741" s="124"/>
      <c r="S741" s="124"/>
      <c r="T741" s="124"/>
      <c r="U741" s="124"/>
      <c r="V741" s="124"/>
      <c r="W741" s="124"/>
      <c r="X741" s="124"/>
      <c r="Y741" s="124"/>
    </row>
    <row r="742" spans="2:25" x14ac:dyDescent="0.25">
      <c r="B742" s="124"/>
      <c r="C742" s="124"/>
      <c r="D742" s="124"/>
      <c r="E742" s="124"/>
      <c r="F742" s="124"/>
      <c r="G742" s="124"/>
      <c r="H742" s="124"/>
      <c r="I742" s="124"/>
      <c r="J742" s="124"/>
      <c r="K742" s="124"/>
      <c r="L742" s="124"/>
      <c r="M742" s="124"/>
      <c r="N742" s="124"/>
      <c r="O742" s="124"/>
      <c r="P742" s="124"/>
      <c r="Q742" s="124"/>
      <c r="R742" s="124"/>
      <c r="S742" s="124"/>
      <c r="T742" s="124"/>
      <c r="U742" s="124"/>
      <c r="V742" s="124"/>
      <c r="W742" s="124"/>
      <c r="X742" s="124"/>
      <c r="Y742" s="124"/>
    </row>
    <row r="743" spans="2:25" x14ac:dyDescent="0.25">
      <c r="B743" s="124"/>
      <c r="C743" s="124"/>
      <c r="D743" s="124"/>
      <c r="E743" s="124"/>
      <c r="F743" s="124"/>
      <c r="G743" s="124"/>
      <c r="H743" s="124"/>
      <c r="I743" s="124"/>
      <c r="J743" s="124"/>
      <c r="K743" s="124"/>
      <c r="L743" s="124"/>
      <c r="M743" s="124"/>
      <c r="N743" s="124"/>
      <c r="O743" s="124"/>
      <c r="P743" s="124"/>
      <c r="Q743" s="124"/>
      <c r="R743" s="124"/>
      <c r="S743" s="124"/>
      <c r="T743" s="124"/>
      <c r="U743" s="124"/>
      <c r="V743" s="124"/>
      <c r="W743" s="124"/>
      <c r="X743" s="124"/>
      <c r="Y743" s="124"/>
    </row>
    <row r="744" spans="2:25" x14ac:dyDescent="0.25">
      <c r="B744" s="124"/>
      <c r="C744" s="124"/>
      <c r="D744" s="124"/>
      <c r="E744" s="124"/>
      <c r="F744" s="124"/>
      <c r="G744" s="124"/>
      <c r="H744" s="124"/>
      <c r="I744" s="124"/>
      <c r="J744" s="124"/>
      <c r="K744" s="124"/>
      <c r="L744" s="124"/>
      <c r="M744" s="124"/>
      <c r="N744" s="124"/>
      <c r="O744" s="124"/>
      <c r="P744" s="124"/>
      <c r="Q744" s="124"/>
      <c r="R744" s="124"/>
      <c r="S744" s="124"/>
      <c r="T744" s="124"/>
      <c r="U744" s="124"/>
      <c r="V744" s="124"/>
      <c r="W744" s="124"/>
      <c r="X744" s="124"/>
      <c r="Y744" s="124"/>
    </row>
    <row r="745" spans="2:25" x14ac:dyDescent="0.25">
      <c r="B745" s="124"/>
      <c r="C745" s="124"/>
      <c r="D745" s="124"/>
      <c r="E745" s="124"/>
      <c r="F745" s="124"/>
      <c r="G745" s="124"/>
      <c r="H745" s="124"/>
      <c r="I745" s="124"/>
      <c r="J745" s="124"/>
      <c r="K745" s="124"/>
      <c r="L745" s="124"/>
      <c r="M745" s="124"/>
      <c r="N745" s="124"/>
      <c r="O745" s="124"/>
      <c r="P745" s="124"/>
      <c r="Q745" s="124"/>
      <c r="R745" s="124"/>
      <c r="S745" s="124"/>
      <c r="T745" s="124"/>
      <c r="U745" s="124"/>
      <c r="V745" s="124"/>
      <c r="W745" s="124"/>
      <c r="X745" s="124"/>
      <c r="Y745" s="124"/>
    </row>
    <row r="746" spans="2:25" x14ac:dyDescent="0.25">
      <c r="B746" s="124"/>
      <c r="C746" s="124"/>
      <c r="D746" s="124"/>
      <c r="E746" s="124"/>
      <c r="F746" s="124"/>
      <c r="G746" s="124"/>
      <c r="H746" s="124"/>
      <c r="I746" s="124"/>
      <c r="J746" s="124"/>
      <c r="K746" s="124"/>
      <c r="L746" s="124"/>
      <c r="M746" s="124"/>
      <c r="N746" s="124"/>
      <c r="O746" s="124"/>
      <c r="P746" s="124"/>
      <c r="Q746" s="124"/>
      <c r="R746" s="124"/>
      <c r="S746" s="124"/>
      <c r="T746" s="124"/>
      <c r="U746" s="124"/>
      <c r="V746" s="124"/>
      <c r="W746" s="124"/>
      <c r="X746" s="124"/>
      <c r="Y746" s="124"/>
    </row>
    <row r="747" spans="2:25" x14ac:dyDescent="0.25">
      <c r="B747" s="124"/>
      <c r="C747" s="124"/>
      <c r="D747" s="124"/>
      <c r="E747" s="124"/>
      <c r="F747" s="124"/>
      <c r="G747" s="124"/>
      <c r="H747" s="124"/>
      <c r="I747" s="124"/>
      <c r="J747" s="124"/>
      <c r="K747" s="124"/>
      <c r="L747" s="124"/>
      <c r="M747" s="124"/>
      <c r="N747" s="124"/>
      <c r="O747" s="124"/>
      <c r="P747" s="124"/>
      <c r="Q747" s="124"/>
      <c r="R747" s="124"/>
      <c r="S747" s="124"/>
      <c r="T747" s="124"/>
      <c r="U747" s="124"/>
      <c r="V747" s="124"/>
      <c r="W747" s="124"/>
      <c r="X747" s="124"/>
      <c r="Y747" s="124"/>
    </row>
    <row r="748" spans="2:25" x14ac:dyDescent="0.25">
      <c r="B748" s="124"/>
      <c r="C748" s="124"/>
      <c r="D748" s="124"/>
      <c r="E748" s="124"/>
      <c r="F748" s="124"/>
      <c r="G748" s="124"/>
      <c r="H748" s="124"/>
      <c r="I748" s="124"/>
      <c r="J748" s="124"/>
      <c r="K748" s="124"/>
      <c r="L748" s="124"/>
      <c r="M748" s="124"/>
      <c r="N748" s="124"/>
      <c r="O748" s="124"/>
      <c r="P748" s="124"/>
      <c r="Q748" s="124"/>
      <c r="R748" s="124"/>
      <c r="S748" s="124"/>
      <c r="T748" s="124"/>
      <c r="U748" s="124"/>
      <c r="V748" s="124"/>
      <c r="W748" s="124"/>
      <c r="X748" s="124"/>
      <c r="Y748" s="124"/>
    </row>
    <row r="749" spans="2:25" x14ac:dyDescent="0.25">
      <c r="B749" s="124"/>
      <c r="C749" s="124"/>
      <c r="D749" s="124"/>
      <c r="E749" s="124"/>
      <c r="F749" s="124"/>
      <c r="G749" s="124"/>
      <c r="H749" s="124"/>
      <c r="I749" s="124"/>
      <c r="J749" s="124"/>
      <c r="K749" s="124"/>
      <c r="L749" s="124"/>
      <c r="M749" s="124"/>
      <c r="N749" s="124"/>
      <c r="O749" s="124"/>
      <c r="P749" s="124"/>
      <c r="Q749" s="124"/>
      <c r="R749" s="124"/>
      <c r="S749" s="124"/>
      <c r="T749" s="124"/>
      <c r="U749" s="124"/>
      <c r="V749" s="124"/>
      <c r="W749" s="124"/>
      <c r="X749" s="124"/>
      <c r="Y749" s="124"/>
    </row>
    <row r="750" spans="2:25" x14ac:dyDescent="0.25">
      <c r="B750" s="124"/>
      <c r="C750" s="124"/>
      <c r="D750" s="124"/>
      <c r="E750" s="124"/>
      <c r="F750" s="124"/>
      <c r="G750" s="124"/>
      <c r="H750" s="124"/>
      <c r="I750" s="124"/>
      <c r="J750" s="124"/>
      <c r="K750" s="124"/>
      <c r="L750" s="124"/>
      <c r="M750" s="124"/>
      <c r="N750" s="124"/>
      <c r="O750" s="124"/>
      <c r="P750" s="124"/>
      <c r="Q750" s="124"/>
      <c r="R750" s="124"/>
      <c r="S750" s="124"/>
      <c r="T750" s="124"/>
      <c r="U750" s="124"/>
      <c r="V750" s="124"/>
      <c r="W750" s="124"/>
      <c r="X750" s="124"/>
      <c r="Y750" s="124"/>
    </row>
    <row r="751" spans="2:25" x14ac:dyDescent="0.25">
      <c r="B751" s="124"/>
      <c r="C751" s="124"/>
      <c r="D751" s="124"/>
      <c r="E751" s="124"/>
      <c r="F751" s="124"/>
      <c r="G751" s="124"/>
      <c r="H751" s="124"/>
      <c r="I751" s="124"/>
      <c r="J751" s="124"/>
      <c r="K751" s="124"/>
      <c r="L751" s="124"/>
      <c r="M751" s="124"/>
      <c r="N751" s="124"/>
      <c r="O751" s="124"/>
      <c r="P751" s="124"/>
      <c r="Q751" s="124"/>
      <c r="R751" s="124"/>
      <c r="S751" s="124"/>
      <c r="T751" s="124"/>
      <c r="U751" s="124"/>
      <c r="V751" s="124"/>
      <c r="W751" s="124"/>
      <c r="X751" s="124"/>
      <c r="Y751" s="124"/>
    </row>
    <row r="752" spans="2:25" x14ac:dyDescent="0.25">
      <c r="B752" s="124"/>
      <c r="C752" s="124"/>
      <c r="D752" s="124"/>
      <c r="E752" s="124"/>
      <c r="F752" s="124"/>
      <c r="G752" s="124"/>
      <c r="H752" s="124"/>
      <c r="I752" s="124"/>
      <c r="J752" s="124"/>
      <c r="K752" s="124"/>
      <c r="L752" s="124"/>
      <c r="M752" s="124"/>
      <c r="N752" s="124"/>
      <c r="O752" s="124"/>
      <c r="P752" s="124"/>
      <c r="Q752" s="124"/>
      <c r="R752" s="124"/>
      <c r="S752" s="124"/>
      <c r="T752" s="124"/>
      <c r="U752" s="124"/>
      <c r="V752" s="124"/>
      <c r="W752" s="124"/>
      <c r="X752" s="124"/>
      <c r="Y752" s="124"/>
    </row>
    <row r="753" spans="2:25" x14ac:dyDescent="0.25">
      <c r="B753" s="124"/>
      <c r="C753" s="124"/>
      <c r="D753" s="124"/>
      <c r="E753" s="124"/>
      <c r="F753" s="124"/>
      <c r="G753" s="124"/>
      <c r="H753" s="124"/>
      <c r="I753" s="124"/>
      <c r="J753" s="124"/>
      <c r="K753" s="124"/>
      <c r="L753" s="124"/>
      <c r="M753" s="124"/>
      <c r="N753" s="124"/>
      <c r="O753" s="124"/>
      <c r="P753" s="124"/>
      <c r="Q753" s="124"/>
      <c r="R753" s="124"/>
      <c r="S753" s="124"/>
      <c r="T753" s="124"/>
      <c r="U753" s="124"/>
      <c r="V753" s="124"/>
      <c r="W753" s="124"/>
      <c r="X753" s="124"/>
      <c r="Y753" s="124"/>
    </row>
    <row r="754" spans="2:25" x14ac:dyDescent="0.25">
      <c r="B754" s="124"/>
      <c r="C754" s="124"/>
      <c r="D754" s="124"/>
      <c r="E754" s="124"/>
      <c r="F754" s="124"/>
      <c r="G754" s="124"/>
      <c r="H754" s="124"/>
      <c r="I754" s="124"/>
      <c r="J754" s="124"/>
      <c r="K754" s="124"/>
      <c r="L754" s="124"/>
      <c r="M754" s="124"/>
      <c r="N754" s="124"/>
      <c r="O754" s="124"/>
      <c r="P754" s="124"/>
      <c r="Q754" s="124"/>
      <c r="R754" s="124"/>
      <c r="S754" s="124"/>
      <c r="T754" s="124"/>
      <c r="U754" s="124"/>
      <c r="V754" s="124"/>
      <c r="W754" s="124"/>
      <c r="X754" s="124"/>
      <c r="Y754" s="124"/>
    </row>
    <row r="755" spans="2:25" x14ac:dyDescent="0.25">
      <c r="B755" s="124"/>
      <c r="C755" s="124"/>
      <c r="D755" s="124"/>
      <c r="E755" s="124"/>
      <c r="F755" s="124"/>
      <c r="G755" s="124"/>
      <c r="H755" s="124"/>
      <c r="I755" s="124"/>
      <c r="J755" s="124"/>
      <c r="K755" s="124"/>
      <c r="L755" s="124"/>
      <c r="M755" s="124"/>
      <c r="N755" s="124"/>
      <c r="O755" s="124"/>
      <c r="P755" s="124"/>
      <c r="Q755" s="124"/>
      <c r="R755" s="124"/>
      <c r="S755" s="124"/>
      <c r="T755" s="124"/>
      <c r="U755" s="124"/>
      <c r="V755" s="124"/>
      <c r="W755" s="124"/>
      <c r="X755" s="124"/>
      <c r="Y755" s="124"/>
    </row>
    <row r="756" spans="2:25" x14ac:dyDescent="0.25">
      <c r="B756" s="124"/>
      <c r="C756" s="124"/>
      <c r="D756" s="124"/>
      <c r="E756" s="124"/>
      <c r="F756" s="124"/>
      <c r="G756" s="124"/>
      <c r="H756" s="124"/>
      <c r="I756" s="124"/>
      <c r="J756" s="124"/>
      <c r="K756" s="124"/>
      <c r="L756" s="124"/>
      <c r="M756" s="124"/>
      <c r="N756" s="124"/>
      <c r="O756" s="124"/>
      <c r="P756" s="124"/>
      <c r="Q756" s="124"/>
      <c r="R756" s="124"/>
      <c r="S756" s="124"/>
      <c r="T756" s="124"/>
      <c r="U756" s="124"/>
      <c r="V756" s="124"/>
      <c r="W756" s="124"/>
      <c r="X756" s="124"/>
      <c r="Y756" s="124"/>
    </row>
    <row r="757" spans="2:25" x14ac:dyDescent="0.25">
      <c r="B757" s="124"/>
      <c r="C757" s="124"/>
      <c r="D757" s="124"/>
      <c r="E757" s="124"/>
      <c r="F757" s="124"/>
      <c r="G757" s="124"/>
      <c r="H757" s="124"/>
      <c r="I757" s="124"/>
      <c r="J757" s="124"/>
      <c r="K757" s="124"/>
      <c r="L757" s="124"/>
      <c r="M757" s="124"/>
      <c r="N757" s="124"/>
      <c r="O757" s="124"/>
      <c r="P757" s="124"/>
      <c r="Q757" s="124"/>
      <c r="R757" s="124"/>
      <c r="S757" s="124"/>
      <c r="T757" s="124"/>
      <c r="U757" s="124"/>
      <c r="V757" s="124"/>
      <c r="W757" s="124"/>
      <c r="X757" s="124"/>
      <c r="Y757" s="124"/>
    </row>
    <row r="758" spans="2:25" x14ac:dyDescent="0.25">
      <c r="B758" s="124"/>
      <c r="C758" s="124"/>
      <c r="D758" s="124"/>
      <c r="E758" s="124"/>
      <c r="F758" s="124"/>
      <c r="G758" s="124"/>
      <c r="H758" s="124"/>
      <c r="I758" s="124"/>
      <c r="J758" s="124"/>
      <c r="K758" s="124"/>
      <c r="L758" s="124"/>
      <c r="M758" s="124"/>
      <c r="N758" s="124"/>
      <c r="O758" s="124"/>
      <c r="P758" s="124"/>
      <c r="Q758" s="124"/>
      <c r="R758" s="124"/>
      <c r="S758" s="124"/>
      <c r="T758" s="124"/>
      <c r="U758" s="124"/>
      <c r="V758" s="124"/>
      <c r="W758" s="124"/>
      <c r="X758" s="124"/>
      <c r="Y758" s="124"/>
    </row>
    <row r="759" spans="2:25" x14ac:dyDescent="0.25">
      <c r="B759" s="124"/>
      <c r="C759" s="124"/>
      <c r="D759" s="124"/>
      <c r="E759" s="124"/>
      <c r="F759" s="124"/>
      <c r="G759" s="124"/>
      <c r="H759" s="124"/>
      <c r="I759" s="124"/>
      <c r="J759" s="124"/>
      <c r="K759" s="124"/>
      <c r="L759" s="124"/>
      <c r="M759" s="124"/>
      <c r="N759" s="124"/>
      <c r="O759" s="124"/>
      <c r="P759" s="124"/>
      <c r="Q759" s="124"/>
      <c r="R759" s="124"/>
      <c r="S759" s="124"/>
      <c r="T759" s="124"/>
      <c r="U759" s="124"/>
      <c r="V759" s="124"/>
      <c r="W759" s="124"/>
      <c r="X759" s="124"/>
      <c r="Y759" s="124"/>
    </row>
    <row r="760" spans="2:25" x14ac:dyDescent="0.25">
      <c r="B760" s="124"/>
      <c r="C760" s="124"/>
      <c r="D760" s="124"/>
      <c r="E760" s="124"/>
      <c r="F760" s="124"/>
      <c r="G760" s="124"/>
      <c r="H760" s="124"/>
      <c r="I760" s="124"/>
      <c r="J760" s="124"/>
      <c r="K760" s="124"/>
      <c r="L760" s="124"/>
      <c r="M760" s="124"/>
      <c r="N760" s="124"/>
      <c r="O760" s="124"/>
      <c r="P760" s="124"/>
      <c r="Q760" s="124"/>
      <c r="R760" s="124"/>
      <c r="S760" s="124"/>
      <c r="T760" s="124"/>
      <c r="U760" s="124"/>
      <c r="V760" s="124"/>
      <c r="W760" s="124"/>
      <c r="X760" s="124"/>
      <c r="Y760" s="124"/>
    </row>
    <row r="761" spans="2:25" x14ac:dyDescent="0.25">
      <c r="B761" s="124"/>
      <c r="C761" s="124"/>
      <c r="D761" s="124"/>
      <c r="E761" s="124"/>
      <c r="F761" s="124"/>
      <c r="G761" s="124"/>
      <c r="H761" s="124"/>
      <c r="I761" s="124"/>
      <c r="J761" s="124"/>
      <c r="K761" s="124"/>
      <c r="L761" s="124"/>
      <c r="M761" s="124"/>
      <c r="N761" s="124"/>
      <c r="O761" s="124"/>
      <c r="P761" s="124"/>
      <c r="Q761" s="124"/>
      <c r="R761" s="124"/>
      <c r="S761" s="124"/>
      <c r="T761" s="124"/>
      <c r="U761" s="124"/>
      <c r="V761" s="124"/>
      <c r="W761" s="124"/>
      <c r="X761" s="124"/>
      <c r="Y761" s="124"/>
    </row>
    <row r="762" spans="2:25" x14ac:dyDescent="0.25">
      <c r="B762" s="124"/>
      <c r="C762" s="124"/>
      <c r="D762" s="124"/>
      <c r="E762" s="124"/>
      <c r="F762" s="124"/>
      <c r="G762" s="124"/>
      <c r="H762" s="124"/>
      <c r="I762" s="124"/>
      <c r="J762" s="124"/>
      <c r="K762" s="124"/>
      <c r="L762" s="124"/>
      <c r="M762" s="124"/>
      <c r="N762" s="124"/>
      <c r="O762" s="124"/>
      <c r="P762" s="124"/>
      <c r="Q762" s="124"/>
      <c r="R762" s="124"/>
      <c r="S762" s="124"/>
      <c r="T762" s="124"/>
      <c r="U762" s="124"/>
      <c r="V762" s="124"/>
      <c r="W762" s="124"/>
      <c r="X762" s="124"/>
      <c r="Y762" s="124"/>
    </row>
    <row r="763" spans="2:25" x14ac:dyDescent="0.25">
      <c r="B763" s="124"/>
      <c r="C763" s="124"/>
      <c r="D763" s="124"/>
      <c r="E763" s="124"/>
      <c r="F763" s="124"/>
      <c r="G763" s="124"/>
      <c r="H763" s="124"/>
      <c r="I763" s="124"/>
      <c r="J763" s="124"/>
      <c r="K763" s="124"/>
      <c r="L763" s="124"/>
      <c r="M763" s="124"/>
      <c r="N763" s="124"/>
      <c r="O763" s="124"/>
      <c r="P763" s="124"/>
      <c r="Q763" s="124"/>
      <c r="R763" s="124"/>
      <c r="S763" s="124"/>
      <c r="T763" s="124"/>
      <c r="U763" s="124"/>
      <c r="V763" s="124"/>
      <c r="W763" s="124"/>
      <c r="X763" s="124"/>
      <c r="Y763" s="124"/>
    </row>
    <row r="764" spans="2:25" x14ac:dyDescent="0.25">
      <c r="B764" s="124"/>
      <c r="C764" s="124"/>
      <c r="D764" s="124"/>
      <c r="E764" s="124"/>
      <c r="F764" s="124"/>
      <c r="G764" s="124"/>
      <c r="H764" s="124"/>
      <c r="I764" s="124"/>
      <c r="J764" s="124"/>
      <c r="K764" s="124"/>
      <c r="L764" s="124"/>
      <c r="M764" s="124"/>
      <c r="N764" s="124"/>
      <c r="O764" s="124"/>
      <c r="P764" s="124"/>
      <c r="Q764" s="124"/>
      <c r="R764" s="124"/>
      <c r="S764" s="124"/>
      <c r="T764" s="124"/>
      <c r="U764" s="124"/>
      <c r="V764" s="124"/>
      <c r="W764" s="124"/>
      <c r="X764" s="124"/>
      <c r="Y764" s="124"/>
    </row>
    <row r="765" spans="2:25" x14ac:dyDescent="0.25">
      <c r="B765" s="124"/>
      <c r="C765" s="124"/>
      <c r="D765" s="124"/>
      <c r="E765" s="124"/>
      <c r="F765" s="124"/>
      <c r="G765" s="124"/>
      <c r="H765" s="124"/>
      <c r="I765" s="124"/>
      <c r="J765" s="124"/>
      <c r="K765" s="124"/>
      <c r="L765" s="124"/>
      <c r="M765" s="124"/>
      <c r="N765" s="124"/>
      <c r="O765" s="124"/>
      <c r="P765" s="124"/>
      <c r="Q765" s="124"/>
      <c r="R765" s="124"/>
      <c r="S765" s="124"/>
      <c r="T765" s="124"/>
      <c r="U765" s="124"/>
      <c r="V765" s="124"/>
      <c r="W765" s="124"/>
      <c r="X765" s="124"/>
      <c r="Y765" s="124"/>
    </row>
    <row r="766" spans="2:25" x14ac:dyDescent="0.25">
      <c r="B766" s="124"/>
      <c r="C766" s="124"/>
      <c r="D766" s="124"/>
      <c r="E766" s="124"/>
      <c r="F766" s="124"/>
      <c r="G766" s="124"/>
      <c r="H766" s="124"/>
      <c r="I766" s="124"/>
      <c r="J766" s="124"/>
      <c r="K766" s="124"/>
      <c r="L766" s="124"/>
      <c r="M766" s="124"/>
      <c r="N766" s="124"/>
      <c r="O766" s="124"/>
      <c r="P766" s="124"/>
      <c r="Q766" s="124"/>
      <c r="R766" s="124"/>
      <c r="S766" s="124"/>
      <c r="T766" s="124"/>
      <c r="U766" s="124"/>
      <c r="V766" s="124"/>
      <c r="W766" s="124"/>
      <c r="X766" s="124"/>
      <c r="Y766" s="124"/>
    </row>
    <row r="767" spans="2:25" x14ac:dyDescent="0.25">
      <c r="B767" s="124"/>
      <c r="C767" s="124"/>
      <c r="D767" s="124"/>
      <c r="E767" s="124"/>
      <c r="F767" s="124"/>
      <c r="G767" s="124"/>
      <c r="H767" s="124"/>
      <c r="I767" s="124"/>
      <c r="J767" s="124"/>
      <c r="K767" s="124"/>
      <c r="L767" s="124"/>
      <c r="M767" s="124"/>
      <c r="N767" s="124"/>
      <c r="O767" s="124"/>
      <c r="P767" s="124"/>
      <c r="Q767" s="124"/>
      <c r="R767" s="124"/>
      <c r="S767" s="124"/>
      <c r="T767" s="124"/>
      <c r="U767" s="124"/>
      <c r="V767" s="124"/>
      <c r="W767" s="124"/>
      <c r="X767" s="124"/>
      <c r="Y767" s="124"/>
    </row>
    <row r="768" spans="2:25" x14ac:dyDescent="0.25">
      <c r="B768" s="124"/>
      <c r="C768" s="124"/>
      <c r="D768" s="124"/>
      <c r="E768" s="124"/>
      <c r="F768" s="124"/>
      <c r="G768" s="124"/>
      <c r="H768" s="124"/>
      <c r="I768" s="124"/>
      <c r="J768" s="124"/>
      <c r="K768" s="124"/>
      <c r="L768" s="124"/>
      <c r="M768" s="124"/>
      <c r="N768" s="124"/>
      <c r="O768" s="124"/>
      <c r="P768" s="124"/>
      <c r="Q768" s="124"/>
      <c r="R768" s="124"/>
      <c r="S768" s="124"/>
      <c r="T768" s="124"/>
      <c r="U768" s="124"/>
      <c r="V768" s="124"/>
      <c r="W768" s="124"/>
      <c r="X768" s="124"/>
      <c r="Y768" s="124"/>
    </row>
    <row r="769" spans="2:25" x14ac:dyDescent="0.25">
      <c r="B769" s="124"/>
      <c r="C769" s="124"/>
      <c r="D769" s="124"/>
      <c r="E769" s="124"/>
      <c r="F769" s="124"/>
      <c r="G769" s="124"/>
      <c r="H769" s="124"/>
      <c r="I769" s="124"/>
      <c r="J769" s="124"/>
      <c r="K769" s="124"/>
      <c r="L769" s="124"/>
      <c r="M769" s="124"/>
      <c r="N769" s="124"/>
      <c r="O769" s="124"/>
      <c r="P769" s="124"/>
      <c r="Q769" s="124"/>
      <c r="R769" s="124"/>
      <c r="S769" s="124"/>
      <c r="T769" s="124"/>
      <c r="U769" s="124"/>
      <c r="V769" s="124"/>
      <c r="W769" s="124"/>
      <c r="X769" s="124"/>
      <c r="Y769" s="124"/>
    </row>
    <row r="770" spans="2:25" x14ac:dyDescent="0.25">
      <c r="B770" s="124"/>
      <c r="C770" s="124"/>
      <c r="D770" s="124"/>
      <c r="E770" s="124"/>
      <c r="F770" s="124"/>
      <c r="G770" s="124"/>
      <c r="H770" s="124"/>
      <c r="I770" s="124"/>
      <c r="J770" s="124"/>
      <c r="K770" s="124"/>
      <c r="L770" s="124"/>
      <c r="M770" s="124"/>
      <c r="N770" s="124"/>
      <c r="O770" s="124"/>
      <c r="P770" s="124"/>
      <c r="Q770" s="124"/>
      <c r="R770" s="124"/>
      <c r="S770" s="124"/>
      <c r="T770" s="124"/>
      <c r="U770" s="124"/>
      <c r="V770" s="124"/>
      <c r="W770" s="124"/>
      <c r="X770" s="124"/>
      <c r="Y770" s="124"/>
    </row>
    <row r="771" spans="2:25" x14ac:dyDescent="0.25">
      <c r="B771" s="124"/>
      <c r="C771" s="124"/>
      <c r="D771" s="124"/>
      <c r="E771" s="124"/>
      <c r="F771" s="124"/>
      <c r="G771" s="124"/>
      <c r="H771" s="124"/>
      <c r="I771" s="124"/>
      <c r="J771" s="124"/>
      <c r="K771" s="124"/>
      <c r="L771" s="124"/>
      <c r="M771" s="124"/>
      <c r="N771" s="124"/>
      <c r="O771" s="124"/>
      <c r="P771" s="124"/>
      <c r="Q771" s="124"/>
      <c r="R771" s="124"/>
      <c r="S771" s="124"/>
      <c r="T771" s="124"/>
      <c r="U771" s="124"/>
      <c r="V771" s="124"/>
      <c r="W771" s="124"/>
      <c r="X771" s="124"/>
      <c r="Y771" s="124"/>
    </row>
    <row r="772" spans="2:25" x14ac:dyDescent="0.25">
      <c r="B772" s="124"/>
      <c r="C772" s="124"/>
      <c r="D772" s="124"/>
      <c r="E772" s="124"/>
      <c r="F772" s="124"/>
      <c r="G772" s="124"/>
      <c r="H772" s="124"/>
      <c r="I772" s="124"/>
      <c r="J772" s="124"/>
      <c r="K772" s="124"/>
      <c r="L772" s="124"/>
      <c r="M772" s="124"/>
      <c r="N772" s="124"/>
      <c r="O772" s="124"/>
      <c r="P772" s="124"/>
      <c r="Q772" s="124"/>
      <c r="R772" s="124"/>
      <c r="S772" s="124"/>
      <c r="T772" s="124"/>
      <c r="U772" s="124"/>
      <c r="V772" s="124"/>
      <c r="W772" s="124"/>
      <c r="X772" s="124"/>
      <c r="Y772" s="124"/>
    </row>
    <row r="773" spans="2:25" x14ac:dyDescent="0.25">
      <c r="B773" s="124"/>
      <c r="C773" s="124"/>
      <c r="D773" s="124"/>
      <c r="E773" s="124"/>
      <c r="F773" s="124"/>
      <c r="G773" s="124"/>
      <c r="H773" s="124"/>
      <c r="I773" s="124"/>
      <c r="J773" s="124"/>
      <c r="K773" s="124"/>
      <c r="L773" s="124"/>
      <c r="M773" s="124"/>
      <c r="N773" s="124"/>
      <c r="O773" s="124"/>
      <c r="P773" s="124"/>
      <c r="Q773" s="124"/>
      <c r="R773" s="124"/>
      <c r="S773" s="124"/>
      <c r="T773" s="124"/>
      <c r="U773" s="124"/>
      <c r="V773" s="124"/>
      <c r="W773" s="124"/>
      <c r="X773" s="124"/>
      <c r="Y773" s="124"/>
    </row>
    <row r="774" spans="2:25" x14ac:dyDescent="0.25">
      <c r="B774" s="124"/>
      <c r="C774" s="124"/>
      <c r="D774" s="124"/>
      <c r="E774" s="124"/>
      <c r="F774" s="124"/>
      <c r="G774" s="124"/>
      <c r="H774" s="124"/>
      <c r="I774" s="124"/>
      <c r="J774" s="124"/>
      <c r="K774" s="124"/>
      <c r="L774" s="124"/>
      <c r="M774" s="124"/>
      <c r="N774" s="124"/>
      <c r="O774" s="124"/>
      <c r="P774" s="124"/>
      <c r="Q774" s="124"/>
      <c r="R774" s="124"/>
      <c r="S774" s="124"/>
      <c r="T774" s="124"/>
      <c r="U774" s="124"/>
      <c r="V774" s="124"/>
      <c r="W774" s="124"/>
      <c r="X774" s="124"/>
      <c r="Y774" s="124"/>
    </row>
    <row r="775" spans="2:25" x14ac:dyDescent="0.25">
      <c r="B775" s="124"/>
      <c r="C775" s="124"/>
      <c r="D775" s="124"/>
      <c r="E775" s="124"/>
      <c r="F775" s="124"/>
      <c r="G775" s="124"/>
      <c r="H775" s="124"/>
      <c r="I775" s="124"/>
      <c r="J775" s="124"/>
      <c r="K775" s="124"/>
      <c r="L775" s="124"/>
      <c r="M775" s="124"/>
      <c r="N775" s="124"/>
      <c r="O775" s="124"/>
      <c r="P775" s="124"/>
      <c r="Q775" s="124"/>
      <c r="R775" s="124"/>
      <c r="S775" s="124"/>
      <c r="T775" s="124"/>
      <c r="U775" s="124"/>
      <c r="V775" s="124"/>
      <c r="W775" s="124"/>
      <c r="X775" s="124"/>
      <c r="Y775" s="124"/>
    </row>
    <row r="776" spans="2:25" x14ac:dyDescent="0.25">
      <c r="B776" s="124"/>
      <c r="C776" s="124"/>
      <c r="D776" s="124"/>
      <c r="E776" s="124"/>
      <c r="F776" s="124"/>
      <c r="G776" s="124"/>
      <c r="H776" s="124"/>
      <c r="I776" s="124"/>
      <c r="J776" s="124"/>
      <c r="K776" s="124"/>
      <c r="L776" s="124"/>
      <c r="M776" s="124"/>
      <c r="N776" s="124"/>
      <c r="O776" s="124"/>
      <c r="P776" s="124"/>
      <c r="Q776" s="124"/>
      <c r="R776" s="124"/>
      <c r="S776" s="124"/>
      <c r="T776" s="124"/>
      <c r="U776" s="124"/>
      <c r="V776" s="124"/>
      <c r="W776" s="124"/>
      <c r="X776" s="124"/>
      <c r="Y776" s="124"/>
    </row>
    <row r="777" spans="2:25" x14ac:dyDescent="0.25">
      <c r="B777" s="124"/>
      <c r="C777" s="124"/>
      <c r="D777" s="124"/>
      <c r="E777" s="124"/>
      <c r="F777" s="124"/>
      <c r="G777" s="124"/>
      <c r="H777" s="124"/>
      <c r="I777" s="124"/>
      <c r="J777" s="124"/>
      <c r="K777" s="124"/>
      <c r="L777" s="124"/>
      <c r="M777" s="124"/>
      <c r="N777" s="124"/>
      <c r="O777" s="124"/>
      <c r="P777" s="124"/>
      <c r="Q777" s="124"/>
      <c r="R777" s="124"/>
      <c r="S777" s="124"/>
      <c r="T777" s="124"/>
      <c r="U777" s="124"/>
      <c r="V777" s="124"/>
      <c r="W777" s="124"/>
      <c r="X777" s="124"/>
      <c r="Y777" s="124"/>
    </row>
    <row r="778" spans="2:25" x14ac:dyDescent="0.25">
      <c r="B778" s="124"/>
      <c r="C778" s="124"/>
      <c r="D778" s="124"/>
      <c r="E778" s="124"/>
      <c r="F778" s="124"/>
      <c r="G778" s="124"/>
      <c r="H778" s="124"/>
      <c r="I778" s="124"/>
      <c r="J778" s="124"/>
      <c r="K778" s="124"/>
      <c r="L778" s="124"/>
      <c r="M778" s="124"/>
      <c r="N778" s="124"/>
      <c r="O778" s="124"/>
      <c r="P778" s="124"/>
      <c r="Q778" s="124"/>
      <c r="R778" s="124"/>
      <c r="S778" s="124"/>
      <c r="T778" s="124"/>
      <c r="U778" s="124"/>
      <c r="V778" s="124"/>
      <c r="W778" s="124"/>
      <c r="X778" s="124"/>
      <c r="Y778" s="124"/>
    </row>
    <row r="779" spans="2:25" x14ac:dyDescent="0.25">
      <c r="B779" s="124"/>
      <c r="C779" s="124"/>
      <c r="D779" s="124"/>
      <c r="E779" s="124"/>
      <c r="F779" s="124"/>
      <c r="G779" s="124"/>
      <c r="H779" s="124"/>
      <c r="I779" s="124"/>
      <c r="J779" s="124"/>
      <c r="K779" s="124"/>
      <c r="L779" s="124"/>
      <c r="M779" s="124"/>
      <c r="N779" s="124"/>
      <c r="O779" s="124"/>
      <c r="P779" s="124"/>
      <c r="Q779" s="124"/>
      <c r="R779" s="124"/>
      <c r="S779" s="124"/>
      <c r="T779" s="124"/>
      <c r="U779" s="124"/>
      <c r="V779" s="124"/>
      <c r="W779" s="124"/>
      <c r="X779" s="124"/>
      <c r="Y779" s="124"/>
    </row>
    <row r="780" spans="2:25" x14ac:dyDescent="0.25">
      <c r="B780" s="124"/>
      <c r="C780" s="124"/>
      <c r="D780" s="124"/>
      <c r="E780" s="124"/>
      <c r="F780" s="124"/>
      <c r="G780" s="124"/>
      <c r="H780" s="124"/>
      <c r="I780" s="124"/>
      <c r="J780" s="124"/>
      <c r="K780" s="124"/>
      <c r="L780" s="124"/>
      <c r="M780" s="124"/>
      <c r="N780" s="124"/>
      <c r="O780" s="124"/>
      <c r="P780" s="124"/>
      <c r="Q780" s="124"/>
      <c r="R780" s="124"/>
      <c r="S780" s="124"/>
      <c r="T780" s="124"/>
      <c r="U780" s="124"/>
      <c r="V780" s="124"/>
      <c r="W780" s="124"/>
      <c r="X780" s="124"/>
      <c r="Y780" s="124"/>
    </row>
    <row r="781" spans="2:25" x14ac:dyDescent="0.25">
      <c r="B781" s="124"/>
      <c r="C781" s="124"/>
      <c r="D781" s="124"/>
      <c r="E781" s="124"/>
      <c r="F781" s="124"/>
      <c r="G781" s="124"/>
      <c r="H781" s="124"/>
      <c r="I781" s="124"/>
      <c r="J781" s="124"/>
      <c r="K781" s="124"/>
      <c r="L781" s="124"/>
      <c r="M781" s="124"/>
      <c r="N781" s="124"/>
      <c r="O781" s="124"/>
      <c r="P781" s="124"/>
      <c r="Q781" s="124"/>
      <c r="R781" s="124"/>
      <c r="S781" s="124"/>
      <c r="T781" s="124"/>
      <c r="U781" s="124"/>
      <c r="V781" s="124"/>
      <c r="W781" s="124"/>
      <c r="X781" s="124"/>
      <c r="Y781" s="124"/>
    </row>
    <row r="782" spans="2:25" x14ac:dyDescent="0.25">
      <c r="B782" s="124"/>
      <c r="C782" s="124"/>
      <c r="D782" s="124"/>
      <c r="E782" s="124"/>
      <c r="F782" s="124"/>
      <c r="G782" s="124"/>
      <c r="H782" s="124"/>
      <c r="I782" s="124"/>
      <c r="J782" s="124"/>
      <c r="K782" s="124"/>
      <c r="L782" s="124"/>
      <c r="M782" s="124"/>
      <c r="N782" s="124"/>
      <c r="O782" s="124"/>
      <c r="P782" s="124"/>
      <c r="Q782" s="124"/>
      <c r="R782" s="124"/>
      <c r="S782" s="124"/>
      <c r="T782" s="124"/>
      <c r="U782" s="124"/>
      <c r="V782" s="124"/>
      <c r="W782" s="124"/>
      <c r="X782" s="124"/>
      <c r="Y782" s="124"/>
    </row>
    <row r="783" spans="2:25" x14ac:dyDescent="0.25">
      <c r="B783" s="124"/>
      <c r="C783" s="124"/>
      <c r="D783" s="124"/>
      <c r="E783" s="124"/>
      <c r="F783" s="124"/>
      <c r="G783" s="124"/>
      <c r="H783" s="124"/>
      <c r="I783" s="124"/>
      <c r="J783" s="124"/>
      <c r="K783" s="124"/>
      <c r="L783" s="124"/>
      <c r="M783" s="124"/>
      <c r="N783" s="124"/>
      <c r="O783" s="124"/>
      <c r="P783" s="124"/>
      <c r="Q783" s="124"/>
      <c r="R783" s="124"/>
      <c r="S783" s="124"/>
      <c r="T783" s="124"/>
      <c r="U783" s="124"/>
      <c r="V783" s="124"/>
      <c r="W783" s="124"/>
      <c r="X783" s="124"/>
      <c r="Y783" s="124"/>
    </row>
    <row r="784" spans="2:25" x14ac:dyDescent="0.25">
      <c r="B784" s="124"/>
      <c r="C784" s="124"/>
      <c r="D784" s="124"/>
      <c r="E784" s="124"/>
      <c r="F784" s="124"/>
      <c r="G784" s="124"/>
      <c r="H784" s="124"/>
      <c r="I784" s="124"/>
      <c r="J784" s="124"/>
      <c r="K784" s="124"/>
      <c r="L784" s="124"/>
      <c r="M784" s="124"/>
      <c r="N784" s="124"/>
      <c r="O784" s="124"/>
      <c r="P784" s="124"/>
      <c r="Q784" s="124"/>
      <c r="R784" s="124"/>
      <c r="S784" s="124"/>
      <c r="T784" s="124"/>
      <c r="U784" s="124"/>
      <c r="V784" s="124"/>
      <c r="W784" s="124"/>
      <c r="X784" s="124"/>
      <c r="Y784" s="124"/>
    </row>
    <row r="785" spans="2:25" x14ac:dyDescent="0.25">
      <c r="B785" s="124"/>
      <c r="C785" s="124"/>
      <c r="D785" s="124"/>
      <c r="E785" s="124"/>
      <c r="F785" s="124"/>
      <c r="G785" s="124"/>
      <c r="H785" s="124"/>
      <c r="I785" s="124"/>
      <c r="J785" s="124"/>
      <c r="K785" s="124"/>
      <c r="L785" s="124"/>
      <c r="M785" s="124"/>
      <c r="N785" s="124"/>
      <c r="O785" s="124"/>
      <c r="P785" s="124"/>
      <c r="Q785" s="124"/>
      <c r="R785" s="124"/>
      <c r="S785" s="124"/>
      <c r="T785" s="124"/>
      <c r="U785" s="124"/>
      <c r="V785" s="124"/>
      <c r="W785" s="124"/>
      <c r="X785" s="124"/>
      <c r="Y785" s="124"/>
    </row>
    <row r="786" spans="2:25" x14ac:dyDescent="0.25">
      <c r="B786" s="124"/>
      <c r="C786" s="124"/>
      <c r="D786" s="124"/>
      <c r="E786" s="124"/>
      <c r="F786" s="124"/>
      <c r="G786" s="124"/>
      <c r="H786" s="124"/>
      <c r="I786" s="124"/>
      <c r="J786" s="124"/>
      <c r="K786" s="124"/>
      <c r="L786" s="124"/>
      <c r="M786" s="124"/>
      <c r="N786" s="124"/>
      <c r="O786" s="124"/>
      <c r="P786" s="124"/>
      <c r="Q786" s="124"/>
      <c r="R786" s="124"/>
      <c r="S786" s="124"/>
      <c r="T786" s="124"/>
      <c r="U786" s="124"/>
      <c r="V786" s="124"/>
      <c r="W786" s="124"/>
      <c r="X786" s="124"/>
      <c r="Y786" s="124"/>
    </row>
    <row r="787" spans="2:25" x14ac:dyDescent="0.25">
      <c r="B787" s="124"/>
      <c r="C787" s="124"/>
      <c r="D787" s="124"/>
      <c r="E787" s="124"/>
      <c r="F787" s="124"/>
      <c r="G787" s="124"/>
      <c r="H787" s="124"/>
      <c r="I787" s="124"/>
      <c r="J787" s="124"/>
      <c r="K787" s="124"/>
      <c r="L787" s="124"/>
      <c r="M787" s="124"/>
      <c r="N787" s="124"/>
      <c r="O787" s="124"/>
      <c r="P787" s="124"/>
      <c r="Q787" s="124"/>
      <c r="R787" s="124"/>
      <c r="S787" s="124"/>
      <c r="T787" s="124"/>
      <c r="U787" s="124"/>
      <c r="V787" s="124"/>
      <c r="W787" s="124"/>
      <c r="X787" s="124"/>
      <c r="Y787" s="124"/>
    </row>
    <row r="788" spans="2:25" x14ac:dyDescent="0.25">
      <c r="B788" s="124"/>
      <c r="C788" s="124"/>
      <c r="D788" s="124"/>
      <c r="E788" s="124"/>
      <c r="F788" s="124"/>
      <c r="G788" s="124"/>
      <c r="H788" s="124"/>
      <c r="I788" s="124"/>
      <c r="J788" s="124"/>
      <c r="K788" s="124"/>
      <c r="L788" s="124"/>
      <c r="M788" s="124"/>
      <c r="N788" s="124"/>
      <c r="O788" s="124"/>
      <c r="P788" s="124"/>
      <c r="Q788" s="124"/>
      <c r="R788" s="124"/>
      <c r="S788" s="124"/>
      <c r="T788" s="124"/>
      <c r="U788" s="124"/>
      <c r="V788" s="124"/>
      <c r="W788" s="124"/>
      <c r="X788" s="124"/>
      <c r="Y788" s="124"/>
    </row>
    <row r="789" spans="2:25" x14ac:dyDescent="0.25">
      <c r="B789" s="124"/>
      <c r="C789" s="124"/>
      <c r="D789" s="124"/>
      <c r="E789" s="124"/>
      <c r="F789" s="124"/>
      <c r="G789" s="124"/>
      <c r="H789" s="124"/>
      <c r="I789" s="124"/>
      <c r="J789" s="124"/>
      <c r="K789" s="124"/>
      <c r="L789" s="124"/>
      <c r="M789" s="124"/>
      <c r="N789" s="124"/>
      <c r="O789" s="124"/>
      <c r="P789" s="124"/>
      <c r="Q789" s="124"/>
      <c r="R789" s="124"/>
      <c r="S789" s="124"/>
      <c r="T789" s="124"/>
      <c r="U789" s="124"/>
      <c r="V789" s="124"/>
      <c r="W789" s="124"/>
      <c r="X789" s="124"/>
      <c r="Y789" s="124"/>
    </row>
    <row r="790" spans="2:25" x14ac:dyDescent="0.25">
      <c r="B790" s="124"/>
      <c r="C790" s="124"/>
      <c r="D790" s="124"/>
      <c r="E790" s="124"/>
      <c r="F790" s="124"/>
      <c r="G790" s="124"/>
      <c r="H790" s="124"/>
      <c r="I790" s="124"/>
      <c r="J790" s="124"/>
      <c r="K790" s="124"/>
      <c r="L790" s="124"/>
      <c r="M790" s="124"/>
      <c r="N790" s="124"/>
      <c r="O790" s="124"/>
      <c r="P790" s="124"/>
      <c r="Q790" s="124"/>
      <c r="R790" s="124"/>
      <c r="S790" s="124"/>
      <c r="T790" s="124"/>
      <c r="U790" s="124"/>
      <c r="V790" s="124"/>
      <c r="W790" s="124"/>
      <c r="X790" s="124"/>
      <c r="Y790" s="124"/>
    </row>
    <row r="791" spans="2:25" x14ac:dyDescent="0.25">
      <c r="B791" s="124"/>
      <c r="C791" s="124"/>
      <c r="D791" s="124"/>
      <c r="E791" s="124"/>
      <c r="F791" s="124"/>
      <c r="G791" s="124"/>
      <c r="H791" s="124"/>
      <c r="I791" s="124"/>
      <c r="J791" s="124"/>
      <c r="K791" s="124"/>
      <c r="L791" s="124"/>
      <c r="M791" s="124"/>
      <c r="N791" s="124"/>
      <c r="O791" s="124"/>
      <c r="P791" s="124"/>
      <c r="Q791" s="124"/>
      <c r="R791" s="124"/>
      <c r="S791" s="124"/>
      <c r="T791" s="124"/>
      <c r="U791" s="124"/>
      <c r="V791" s="124"/>
      <c r="W791" s="124"/>
      <c r="X791" s="124"/>
      <c r="Y791" s="124"/>
    </row>
    <row r="792" spans="2:25" x14ac:dyDescent="0.25">
      <c r="B792" s="124"/>
      <c r="C792" s="124"/>
      <c r="D792" s="124"/>
      <c r="E792" s="124"/>
      <c r="F792" s="124"/>
      <c r="G792" s="124"/>
      <c r="H792" s="124"/>
      <c r="I792" s="124"/>
      <c r="J792" s="124"/>
      <c r="K792" s="124"/>
      <c r="L792" s="124"/>
      <c r="M792" s="124"/>
      <c r="N792" s="124"/>
      <c r="O792" s="124"/>
      <c r="P792" s="124"/>
      <c r="Q792" s="124"/>
      <c r="R792" s="124"/>
      <c r="S792" s="124"/>
      <c r="T792" s="124"/>
      <c r="U792" s="124"/>
      <c r="V792" s="124"/>
      <c r="W792" s="124"/>
      <c r="X792" s="124"/>
      <c r="Y792" s="124"/>
    </row>
    <row r="793" spans="2:25" x14ac:dyDescent="0.25">
      <c r="B793" s="124"/>
      <c r="C793" s="124"/>
      <c r="D793" s="124"/>
      <c r="E793" s="124"/>
      <c r="F793" s="124"/>
      <c r="G793" s="124"/>
      <c r="H793" s="124"/>
      <c r="I793" s="124"/>
      <c r="J793" s="124"/>
      <c r="K793" s="124"/>
      <c r="L793" s="124"/>
      <c r="M793" s="124"/>
      <c r="N793" s="124"/>
      <c r="O793" s="124"/>
      <c r="P793" s="124"/>
      <c r="Q793" s="124"/>
      <c r="R793" s="124"/>
      <c r="S793" s="124"/>
      <c r="T793" s="124"/>
      <c r="U793" s="124"/>
      <c r="V793" s="124"/>
      <c r="W793" s="124"/>
      <c r="X793" s="124"/>
      <c r="Y793" s="124"/>
    </row>
    <row r="794" spans="2:25" x14ac:dyDescent="0.25">
      <c r="B794" s="124"/>
      <c r="C794" s="124"/>
      <c r="D794" s="124"/>
      <c r="E794" s="124"/>
      <c r="F794" s="124"/>
      <c r="G794" s="124"/>
      <c r="H794" s="124"/>
      <c r="I794" s="124"/>
      <c r="J794" s="124"/>
      <c r="K794" s="124"/>
      <c r="L794" s="124"/>
      <c r="M794" s="124"/>
      <c r="N794" s="124"/>
      <c r="O794" s="124"/>
      <c r="P794" s="124"/>
      <c r="Q794" s="124"/>
      <c r="R794" s="124"/>
      <c r="S794" s="124"/>
      <c r="T794" s="124"/>
      <c r="U794" s="124"/>
      <c r="V794" s="124"/>
      <c r="W794" s="124"/>
      <c r="X794" s="124"/>
      <c r="Y794" s="124"/>
    </row>
    <row r="795" spans="2:25" x14ac:dyDescent="0.25">
      <c r="B795" s="124"/>
      <c r="C795" s="124"/>
      <c r="D795" s="124"/>
      <c r="E795" s="124"/>
      <c r="F795" s="124"/>
      <c r="G795" s="124"/>
      <c r="H795" s="124"/>
      <c r="I795" s="124"/>
      <c r="J795" s="124"/>
      <c r="K795" s="124"/>
      <c r="L795" s="124"/>
      <c r="M795" s="124"/>
      <c r="N795" s="124"/>
      <c r="O795" s="124"/>
      <c r="P795" s="124"/>
      <c r="Q795" s="124"/>
      <c r="R795" s="124"/>
      <c r="S795" s="124"/>
      <c r="T795" s="124"/>
      <c r="U795" s="124"/>
      <c r="V795" s="124"/>
      <c r="W795" s="124"/>
      <c r="X795" s="124"/>
      <c r="Y795" s="124"/>
    </row>
    <row r="796" spans="2:25" x14ac:dyDescent="0.25">
      <c r="B796" s="124"/>
      <c r="C796" s="124"/>
      <c r="D796" s="124"/>
      <c r="E796" s="124"/>
      <c r="F796" s="124"/>
      <c r="G796" s="124"/>
      <c r="H796" s="124"/>
      <c r="I796" s="124"/>
      <c r="J796" s="124"/>
      <c r="K796" s="124"/>
      <c r="L796" s="124"/>
      <c r="M796" s="124"/>
      <c r="N796" s="124"/>
      <c r="O796" s="124"/>
      <c r="P796" s="124"/>
      <c r="Q796" s="124"/>
      <c r="R796" s="124"/>
      <c r="S796" s="124"/>
      <c r="T796" s="124"/>
      <c r="U796" s="124"/>
      <c r="V796" s="124"/>
      <c r="W796" s="124"/>
      <c r="X796" s="124"/>
      <c r="Y796" s="124"/>
    </row>
    <row r="797" spans="2:25" x14ac:dyDescent="0.25">
      <c r="B797" s="124"/>
      <c r="C797" s="124"/>
      <c r="D797" s="124"/>
      <c r="E797" s="124"/>
      <c r="F797" s="124"/>
      <c r="G797" s="124"/>
      <c r="H797" s="124"/>
      <c r="I797" s="124"/>
      <c r="J797" s="124"/>
      <c r="K797" s="124"/>
      <c r="L797" s="124"/>
      <c r="M797" s="124"/>
      <c r="N797" s="124"/>
      <c r="O797" s="124"/>
      <c r="P797" s="124"/>
      <c r="Q797" s="124"/>
      <c r="R797" s="124"/>
      <c r="S797" s="124"/>
      <c r="T797" s="124"/>
      <c r="U797" s="124"/>
      <c r="V797" s="124"/>
      <c r="W797" s="124"/>
      <c r="X797" s="124"/>
      <c r="Y797" s="124"/>
    </row>
    <row r="798" spans="2:25" x14ac:dyDescent="0.25">
      <c r="B798" s="124"/>
      <c r="C798" s="124"/>
      <c r="D798" s="124"/>
      <c r="E798" s="124"/>
      <c r="F798" s="124"/>
      <c r="G798" s="124"/>
      <c r="H798" s="124"/>
      <c r="I798" s="124"/>
      <c r="J798" s="124"/>
      <c r="K798" s="124"/>
      <c r="L798" s="124"/>
      <c r="M798" s="124"/>
      <c r="N798" s="124"/>
      <c r="O798" s="124"/>
      <c r="P798" s="124"/>
      <c r="Q798" s="124"/>
      <c r="R798" s="124"/>
      <c r="S798" s="124"/>
      <c r="T798" s="124"/>
      <c r="U798" s="124"/>
      <c r="V798" s="124"/>
      <c r="W798" s="124"/>
      <c r="X798" s="124"/>
      <c r="Y798" s="124"/>
    </row>
    <row r="799" spans="2:25" x14ac:dyDescent="0.25">
      <c r="B799" s="124"/>
      <c r="C799" s="124"/>
      <c r="D799" s="124"/>
      <c r="E799" s="124"/>
      <c r="F799" s="124"/>
      <c r="G799" s="124"/>
      <c r="H799" s="124"/>
      <c r="I799" s="124"/>
      <c r="J799" s="124"/>
      <c r="K799" s="124"/>
      <c r="L799" s="124"/>
      <c r="M799" s="124"/>
      <c r="N799" s="124"/>
      <c r="O799" s="124"/>
      <c r="P799" s="124"/>
      <c r="Q799" s="124"/>
      <c r="R799" s="124"/>
      <c r="S799" s="124"/>
      <c r="T799" s="124"/>
      <c r="U799" s="124"/>
      <c r="V799" s="124"/>
      <c r="W799" s="124"/>
      <c r="X799" s="124"/>
      <c r="Y799" s="124"/>
    </row>
    <row r="800" spans="2:25" x14ac:dyDescent="0.25">
      <c r="B800" s="124"/>
      <c r="C800" s="124"/>
      <c r="D800" s="124"/>
      <c r="E800" s="124"/>
      <c r="F800" s="124"/>
      <c r="G800" s="124"/>
      <c r="H800" s="124"/>
      <c r="I800" s="124"/>
      <c r="J800" s="124"/>
      <c r="K800" s="124"/>
      <c r="L800" s="124"/>
      <c r="M800" s="124"/>
      <c r="N800" s="124"/>
      <c r="O800" s="124"/>
      <c r="P800" s="124"/>
      <c r="Q800" s="124"/>
      <c r="R800" s="124"/>
      <c r="S800" s="124"/>
      <c r="T800" s="124"/>
      <c r="U800" s="124"/>
      <c r="V800" s="124"/>
      <c r="W800" s="124"/>
      <c r="X800" s="124"/>
      <c r="Y800" s="124"/>
    </row>
    <row r="801" spans="2:25" x14ac:dyDescent="0.25">
      <c r="B801" s="124"/>
      <c r="C801" s="124"/>
      <c r="D801" s="124"/>
      <c r="E801" s="124"/>
      <c r="F801" s="124"/>
      <c r="G801" s="124"/>
      <c r="H801" s="124"/>
      <c r="I801" s="124"/>
      <c r="J801" s="124"/>
      <c r="K801" s="124"/>
      <c r="L801" s="124"/>
      <c r="M801" s="124"/>
      <c r="N801" s="124"/>
      <c r="O801" s="124"/>
      <c r="P801" s="124"/>
      <c r="Q801" s="124"/>
      <c r="R801" s="124"/>
      <c r="S801" s="124"/>
      <c r="T801" s="124"/>
      <c r="U801" s="124"/>
      <c r="V801" s="124"/>
      <c r="W801" s="124"/>
      <c r="X801" s="124"/>
      <c r="Y801" s="124"/>
    </row>
    <row r="802" spans="2:25" x14ac:dyDescent="0.25">
      <c r="B802" s="124"/>
      <c r="C802" s="124"/>
      <c r="D802" s="124"/>
      <c r="E802" s="124"/>
      <c r="F802" s="124"/>
      <c r="G802" s="124"/>
      <c r="H802" s="124"/>
      <c r="I802" s="124"/>
      <c r="J802" s="124"/>
      <c r="K802" s="124"/>
      <c r="L802" s="124"/>
      <c r="M802" s="124"/>
      <c r="N802" s="124"/>
      <c r="O802" s="124"/>
      <c r="P802" s="124"/>
      <c r="Q802" s="124"/>
      <c r="R802" s="124"/>
      <c r="S802" s="124"/>
      <c r="T802" s="124"/>
      <c r="U802" s="124"/>
      <c r="V802" s="124"/>
      <c r="W802" s="124"/>
      <c r="X802" s="124"/>
      <c r="Y802" s="124"/>
    </row>
    <row r="803" spans="2:25" x14ac:dyDescent="0.25">
      <c r="B803" s="124"/>
      <c r="C803" s="124"/>
      <c r="D803" s="124"/>
      <c r="E803" s="124"/>
      <c r="F803" s="124"/>
      <c r="G803" s="124"/>
      <c r="H803" s="124"/>
      <c r="I803" s="124"/>
      <c r="J803" s="124"/>
      <c r="K803" s="124"/>
      <c r="L803" s="124"/>
      <c r="M803" s="124"/>
      <c r="N803" s="124"/>
      <c r="O803" s="124"/>
      <c r="P803" s="124"/>
      <c r="Q803" s="124"/>
      <c r="R803" s="124"/>
      <c r="S803" s="124"/>
      <c r="T803" s="124"/>
      <c r="U803" s="124"/>
      <c r="V803" s="124"/>
      <c r="W803" s="124"/>
      <c r="X803" s="124"/>
      <c r="Y803" s="124"/>
    </row>
    <row r="804" spans="2:25" x14ac:dyDescent="0.25">
      <c r="B804" s="124"/>
      <c r="C804" s="124"/>
      <c r="D804" s="124"/>
      <c r="E804" s="124"/>
      <c r="F804" s="124"/>
      <c r="G804" s="124"/>
      <c r="H804" s="124"/>
      <c r="I804" s="124"/>
      <c r="J804" s="124"/>
      <c r="K804" s="124"/>
      <c r="L804" s="124"/>
      <c r="M804" s="124"/>
      <c r="N804" s="124"/>
      <c r="O804" s="124"/>
      <c r="P804" s="124"/>
      <c r="Q804" s="124"/>
      <c r="R804" s="124"/>
      <c r="S804" s="124"/>
      <c r="T804" s="124"/>
      <c r="U804" s="124"/>
      <c r="V804" s="124"/>
      <c r="W804" s="124"/>
      <c r="X804" s="124"/>
      <c r="Y804" s="124"/>
    </row>
    <row r="805" spans="2:25" x14ac:dyDescent="0.25">
      <c r="B805" s="124"/>
      <c r="C805" s="124"/>
      <c r="D805" s="124"/>
      <c r="E805" s="124"/>
      <c r="F805" s="124"/>
      <c r="G805" s="124"/>
      <c r="H805" s="124"/>
      <c r="I805" s="124"/>
      <c r="J805" s="124"/>
      <c r="K805" s="124"/>
      <c r="L805" s="124"/>
      <c r="M805" s="124"/>
      <c r="N805" s="124"/>
      <c r="O805" s="124"/>
      <c r="P805" s="124"/>
      <c r="Q805" s="124"/>
      <c r="R805" s="124"/>
      <c r="S805" s="124"/>
      <c r="T805" s="124"/>
      <c r="U805" s="124"/>
      <c r="V805" s="124"/>
      <c r="W805" s="124"/>
      <c r="X805" s="124"/>
      <c r="Y805" s="124"/>
    </row>
    <row r="806" spans="2:25" x14ac:dyDescent="0.25">
      <c r="B806" s="124"/>
      <c r="C806" s="124"/>
      <c r="D806" s="124"/>
      <c r="E806" s="124"/>
      <c r="F806" s="124"/>
      <c r="G806" s="124"/>
      <c r="H806" s="124"/>
      <c r="I806" s="124"/>
      <c r="J806" s="124"/>
      <c r="K806" s="124"/>
      <c r="L806" s="124"/>
      <c r="M806" s="124"/>
      <c r="N806" s="124"/>
      <c r="O806" s="124"/>
      <c r="P806" s="124"/>
      <c r="Q806" s="124"/>
      <c r="R806" s="124"/>
      <c r="S806" s="124"/>
      <c r="T806" s="124"/>
      <c r="U806" s="124"/>
      <c r="V806" s="124"/>
      <c r="W806" s="124"/>
      <c r="X806" s="124"/>
      <c r="Y806" s="124"/>
    </row>
    <row r="807" spans="2:25" x14ac:dyDescent="0.25">
      <c r="B807" s="124"/>
      <c r="C807" s="124"/>
      <c r="D807" s="124"/>
      <c r="E807" s="124"/>
      <c r="F807" s="124"/>
      <c r="G807" s="124"/>
      <c r="H807" s="124"/>
      <c r="I807" s="124"/>
      <c r="J807" s="124"/>
      <c r="K807" s="124"/>
      <c r="L807" s="124"/>
      <c r="M807" s="124"/>
      <c r="N807" s="124"/>
      <c r="O807" s="124"/>
      <c r="P807" s="124"/>
      <c r="Q807" s="124"/>
      <c r="R807" s="124"/>
      <c r="S807" s="124"/>
      <c r="T807" s="124"/>
      <c r="U807" s="124"/>
      <c r="V807" s="124"/>
      <c r="W807" s="124"/>
      <c r="X807" s="124"/>
      <c r="Y807" s="124"/>
    </row>
    <row r="808" spans="2:25" x14ac:dyDescent="0.25">
      <c r="B808" s="124"/>
      <c r="C808" s="124"/>
      <c r="D808" s="124"/>
      <c r="E808" s="124"/>
      <c r="F808" s="124"/>
      <c r="G808" s="124"/>
      <c r="H808" s="124"/>
      <c r="I808" s="124"/>
      <c r="J808" s="124"/>
      <c r="K808" s="124"/>
      <c r="L808" s="124"/>
      <c r="M808" s="124"/>
      <c r="N808" s="124"/>
      <c r="O808" s="124"/>
      <c r="P808" s="124"/>
      <c r="Q808" s="124"/>
      <c r="R808" s="124"/>
      <c r="S808" s="124"/>
      <c r="T808" s="124"/>
      <c r="U808" s="124"/>
      <c r="V808" s="124"/>
      <c r="W808" s="124"/>
      <c r="X808" s="124"/>
      <c r="Y808" s="124"/>
    </row>
    <row r="809" spans="2:25" x14ac:dyDescent="0.25">
      <c r="B809" s="124"/>
      <c r="C809" s="124"/>
      <c r="D809" s="124"/>
      <c r="E809" s="124"/>
      <c r="F809" s="124"/>
      <c r="G809" s="124"/>
      <c r="H809" s="124"/>
      <c r="I809" s="124"/>
      <c r="J809" s="124"/>
      <c r="K809" s="124"/>
      <c r="L809" s="124"/>
      <c r="M809" s="124"/>
      <c r="N809" s="124"/>
      <c r="O809" s="124"/>
      <c r="P809" s="124"/>
      <c r="Q809" s="124"/>
      <c r="R809" s="124"/>
      <c r="S809" s="124"/>
      <c r="T809" s="124"/>
      <c r="U809" s="124"/>
      <c r="V809" s="124"/>
      <c r="W809" s="124"/>
      <c r="X809" s="124"/>
      <c r="Y809" s="124"/>
    </row>
    <row r="810" spans="2:25" x14ac:dyDescent="0.25">
      <c r="B810" s="124"/>
      <c r="C810" s="124"/>
      <c r="D810" s="124"/>
      <c r="E810" s="124"/>
      <c r="F810" s="124"/>
      <c r="G810" s="124"/>
      <c r="H810" s="124"/>
      <c r="I810" s="124"/>
      <c r="J810" s="124"/>
      <c r="K810" s="124"/>
      <c r="L810" s="124"/>
      <c r="M810" s="124"/>
      <c r="N810" s="124"/>
      <c r="O810" s="124"/>
      <c r="P810" s="124"/>
      <c r="Q810" s="124"/>
      <c r="R810" s="124"/>
      <c r="S810" s="124"/>
      <c r="T810" s="124"/>
      <c r="U810" s="124"/>
      <c r="V810" s="124"/>
      <c r="W810" s="124"/>
      <c r="X810" s="124"/>
      <c r="Y810" s="124"/>
    </row>
    <row r="811" spans="2:25" x14ac:dyDescent="0.25">
      <c r="B811" s="124"/>
      <c r="C811" s="124"/>
      <c r="D811" s="124"/>
      <c r="E811" s="124"/>
      <c r="F811" s="124"/>
      <c r="G811" s="124"/>
      <c r="H811" s="124"/>
      <c r="I811" s="124"/>
      <c r="J811" s="124"/>
      <c r="K811" s="124"/>
      <c r="L811" s="124"/>
      <c r="M811" s="124"/>
      <c r="N811" s="124"/>
      <c r="O811" s="124"/>
      <c r="P811" s="124"/>
      <c r="Q811" s="124"/>
      <c r="R811" s="124"/>
      <c r="S811" s="124"/>
      <c r="T811" s="124"/>
      <c r="U811" s="124"/>
      <c r="V811" s="124"/>
      <c r="W811" s="124"/>
      <c r="X811" s="124"/>
      <c r="Y811" s="124"/>
    </row>
    <row r="812" spans="2:25" x14ac:dyDescent="0.25">
      <c r="B812" s="124"/>
      <c r="C812" s="124"/>
      <c r="D812" s="124"/>
      <c r="E812" s="124"/>
      <c r="F812" s="124"/>
      <c r="G812" s="124"/>
      <c r="H812" s="124"/>
      <c r="I812" s="124"/>
      <c r="J812" s="124"/>
      <c r="K812" s="124"/>
      <c r="L812" s="124"/>
      <c r="M812" s="124"/>
      <c r="N812" s="124"/>
      <c r="O812" s="124"/>
      <c r="P812" s="124"/>
      <c r="Q812" s="124"/>
      <c r="R812" s="124"/>
      <c r="S812" s="124"/>
      <c r="T812" s="124"/>
      <c r="U812" s="124"/>
      <c r="V812" s="124"/>
      <c r="W812" s="124"/>
      <c r="X812" s="124"/>
      <c r="Y812" s="124"/>
    </row>
    <row r="813" spans="2:25" x14ac:dyDescent="0.25">
      <c r="B813" s="124"/>
      <c r="C813" s="124"/>
      <c r="D813" s="124"/>
      <c r="E813" s="124"/>
      <c r="F813" s="124"/>
      <c r="G813" s="124"/>
      <c r="H813" s="124"/>
      <c r="I813" s="124"/>
      <c r="J813" s="124"/>
      <c r="K813" s="124"/>
      <c r="L813" s="124"/>
      <c r="M813" s="124"/>
      <c r="N813" s="124"/>
      <c r="O813" s="124"/>
      <c r="P813" s="124"/>
      <c r="Q813" s="124"/>
      <c r="R813" s="124"/>
      <c r="S813" s="124"/>
      <c r="T813" s="124"/>
      <c r="U813" s="124"/>
      <c r="V813" s="124"/>
      <c r="W813" s="124"/>
      <c r="X813" s="124"/>
      <c r="Y813" s="124"/>
    </row>
    <row r="814" spans="2:25" x14ac:dyDescent="0.25">
      <c r="B814" s="124"/>
      <c r="C814" s="124"/>
      <c r="D814" s="124"/>
      <c r="E814" s="124"/>
      <c r="F814" s="124"/>
      <c r="G814" s="124"/>
      <c r="H814" s="124"/>
      <c r="I814" s="124"/>
      <c r="J814" s="124"/>
      <c r="K814" s="124"/>
      <c r="L814" s="124"/>
      <c r="M814" s="124"/>
      <c r="N814" s="124"/>
      <c r="O814" s="124"/>
      <c r="P814" s="124"/>
      <c r="Q814" s="124"/>
      <c r="R814" s="124"/>
      <c r="S814" s="124"/>
      <c r="T814" s="124"/>
      <c r="U814" s="124"/>
      <c r="V814" s="124"/>
      <c r="W814" s="124"/>
      <c r="X814" s="124"/>
      <c r="Y814" s="124"/>
    </row>
    <row r="815" spans="2:25" x14ac:dyDescent="0.25">
      <c r="B815" s="124"/>
      <c r="C815" s="124"/>
      <c r="D815" s="124"/>
      <c r="E815" s="124"/>
      <c r="F815" s="124"/>
      <c r="G815" s="124"/>
      <c r="H815" s="124"/>
      <c r="I815" s="124"/>
      <c r="J815" s="124"/>
      <c r="K815" s="124"/>
      <c r="L815" s="124"/>
      <c r="M815" s="124"/>
      <c r="N815" s="124"/>
      <c r="O815" s="124"/>
      <c r="P815" s="124"/>
      <c r="Q815" s="124"/>
      <c r="R815" s="124"/>
      <c r="S815" s="124"/>
      <c r="T815" s="124"/>
      <c r="U815" s="124"/>
      <c r="V815" s="124"/>
      <c r="W815" s="124"/>
      <c r="X815" s="124"/>
      <c r="Y815" s="124"/>
    </row>
    <row r="816" spans="2:25" x14ac:dyDescent="0.25">
      <c r="B816" s="124"/>
      <c r="C816" s="124"/>
      <c r="D816" s="124"/>
      <c r="E816" s="124"/>
      <c r="F816" s="124"/>
      <c r="G816" s="124"/>
      <c r="H816" s="124"/>
      <c r="I816" s="124"/>
      <c r="J816" s="124"/>
      <c r="K816" s="124"/>
      <c r="L816" s="124"/>
      <c r="M816" s="124"/>
      <c r="N816" s="124"/>
      <c r="O816" s="124"/>
      <c r="P816" s="124"/>
      <c r="Q816" s="124"/>
      <c r="R816" s="124"/>
      <c r="S816" s="124"/>
      <c r="T816" s="124"/>
      <c r="U816" s="124"/>
      <c r="V816" s="124"/>
      <c r="W816" s="124"/>
      <c r="X816" s="124"/>
      <c r="Y816" s="124"/>
    </row>
    <row r="817" spans="2:25" x14ac:dyDescent="0.25">
      <c r="B817" s="124"/>
      <c r="C817" s="124"/>
      <c r="D817" s="124"/>
      <c r="E817" s="124"/>
      <c r="F817" s="124"/>
      <c r="G817" s="124"/>
      <c r="H817" s="124"/>
      <c r="I817" s="124"/>
      <c r="J817" s="124"/>
      <c r="K817" s="124"/>
      <c r="L817" s="124"/>
      <c r="M817" s="124"/>
      <c r="N817" s="124"/>
      <c r="O817" s="124"/>
      <c r="P817" s="124"/>
      <c r="Q817" s="124"/>
      <c r="R817" s="124"/>
      <c r="S817" s="124"/>
      <c r="T817" s="124"/>
      <c r="U817" s="124"/>
      <c r="V817" s="124"/>
      <c r="W817" s="124"/>
      <c r="X817" s="124"/>
      <c r="Y817" s="124"/>
    </row>
    <row r="818" spans="2:25" x14ac:dyDescent="0.25">
      <c r="B818" s="124"/>
      <c r="C818" s="124"/>
      <c r="D818" s="124"/>
      <c r="E818" s="124"/>
      <c r="F818" s="124"/>
      <c r="G818" s="124"/>
      <c r="H818" s="124"/>
      <c r="I818" s="124"/>
      <c r="J818" s="124"/>
      <c r="K818" s="124"/>
      <c r="L818" s="124"/>
      <c r="M818" s="124"/>
      <c r="N818" s="124"/>
      <c r="O818" s="124"/>
      <c r="P818" s="124"/>
      <c r="Q818" s="124"/>
      <c r="R818" s="124"/>
      <c r="S818" s="124"/>
      <c r="T818" s="124"/>
      <c r="U818" s="124"/>
      <c r="V818" s="124"/>
      <c r="W818" s="124"/>
      <c r="X818" s="124"/>
      <c r="Y818" s="124"/>
    </row>
    <row r="819" spans="2:25" x14ac:dyDescent="0.25">
      <c r="B819" s="124"/>
      <c r="C819" s="124"/>
      <c r="D819" s="124"/>
      <c r="E819" s="124"/>
      <c r="F819" s="124"/>
      <c r="G819" s="124"/>
      <c r="H819" s="124"/>
      <c r="I819" s="124"/>
      <c r="J819" s="124"/>
      <c r="K819" s="124"/>
      <c r="L819" s="124"/>
      <c r="M819" s="124"/>
      <c r="N819" s="124"/>
      <c r="O819" s="124"/>
      <c r="P819" s="124"/>
      <c r="Q819" s="124"/>
      <c r="R819" s="124"/>
      <c r="S819" s="124"/>
      <c r="T819" s="124"/>
      <c r="U819" s="124"/>
      <c r="V819" s="124"/>
      <c r="W819" s="124"/>
      <c r="X819" s="124"/>
      <c r="Y819" s="124"/>
    </row>
    <row r="820" spans="2:25" x14ac:dyDescent="0.25">
      <c r="B820" s="124"/>
      <c r="C820" s="124"/>
      <c r="D820" s="124"/>
      <c r="E820" s="124"/>
      <c r="F820" s="124"/>
      <c r="G820" s="124"/>
      <c r="H820" s="124"/>
      <c r="I820" s="124"/>
      <c r="J820" s="124"/>
      <c r="K820" s="124"/>
      <c r="L820" s="124"/>
      <c r="M820" s="124"/>
      <c r="N820" s="124"/>
      <c r="O820" s="124"/>
      <c r="P820" s="124"/>
      <c r="Q820" s="124"/>
      <c r="R820" s="124"/>
      <c r="S820" s="124"/>
      <c r="T820" s="124"/>
      <c r="U820" s="124"/>
      <c r="V820" s="124"/>
      <c r="W820" s="124"/>
      <c r="X820" s="124"/>
      <c r="Y820" s="124"/>
    </row>
    <row r="821" spans="2:25" x14ac:dyDescent="0.25">
      <c r="B821" s="124"/>
      <c r="C821" s="124"/>
      <c r="D821" s="124"/>
      <c r="E821" s="124"/>
      <c r="F821" s="124"/>
      <c r="G821" s="124"/>
      <c r="H821" s="124"/>
      <c r="I821" s="124"/>
      <c r="J821" s="124"/>
      <c r="K821" s="124"/>
      <c r="L821" s="124"/>
      <c r="M821" s="124"/>
      <c r="N821" s="124"/>
      <c r="O821" s="124"/>
      <c r="P821" s="124"/>
      <c r="Q821" s="124"/>
      <c r="R821" s="124"/>
      <c r="S821" s="124"/>
      <c r="T821" s="124"/>
      <c r="U821" s="124"/>
      <c r="V821" s="124"/>
      <c r="W821" s="124"/>
      <c r="X821" s="124"/>
      <c r="Y821" s="124"/>
    </row>
    <row r="822" spans="2:25" x14ac:dyDescent="0.25">
      <c r="B822" s="124"/>
      <c r="C822" s="124"/>
      <c r="D822" s="124"/>
      <c r="E822" s="124"/>
      <c r="F822" s="124"/>
      <c r="G822" s="124"/>
      <c r="H822" s="124"/>
      <c r="I822" s="124"/>
      <c r="J822" s="124"/>
      <c r="K822" s="124"/>
      <c r="L822" s="124"/>
      <c r="M822" s="124"/>
      <c r="N822" s="124"/>
      <c r="O822" s="124"/>
      <c r="P822" s="124"/>
      <c r="Q822" s="124"/>
      <c r="R822" s="124"/>
      <c r="S822" s="124"/>
      <c r="T822" s="124"/>
      <c r="U822" s="124"/>
      <c r="V822" s="124"/>
      <c r="W822" s="124"/>
      <c r="X822" s="124"/>
      <c r="Y822" s="124"/>
    </row>
    <row r="823" spans="2:25" x14ac:dyDescent="0.25">
      <c r="B823" s="124"/>
      <c r="C823" s="124"/>
      <c r="D823" s="124"/>
      <c r="E823" s="124"/>
      <c r="F823" s="124"/>
      <c r="G823" s="124"/>
      <c r="H823" s="124"/>
      <c r="I823" s="124"/>
      <c r="J823" s="124"/>
      <c r="K823" s="124"/>
      <c r="L823" s="124"/>
      <c r="M823" s="124"/>
      <c r="N823" s="124"/>
      <c r="O823" s="124"/>
      <c r="P823" s="124"/>
      <c r="Q823" s="124"/>
      <c r="R823" s="124"/>
      <c r="S823" s="124"/>
      <c r="T823" s="124"/>
      <c r="U823" s="124"/>
      <c r="V823" s="124"/>
      <c r="W823" s="124"/>
      <c r="X823" s="124"/>
      <c r="Y823" s="124"/>
    </row>
    <row r="824" spans="2:25" x14ac:dyDescent="0.25">
      <c r="B824" s="124"/>
      <c r="C824" s="124"/>
      <c r="D824" s="124"/>
      <c r="E824" s="124"/>
      <c r="F824" s="124"/>
      <c r="G824" s="124"/>
      <c r="H824" s="124"/>
      <c r="I824" s="124"/>
      <c r="J824" s="124"/>
      <c r="K824" s="124"/>
      <c r="L824" s="124"/>
      <c r="M824" s="124"/>
      <c r="N824" s="124"/>
      <c r="O824" s="124"/>
      <c r="P824" s="124"/>
      <c r="Q824" s="124"/>
      <c r="R824" s="124"/>
      <c r="S824" s="124"/>
      <c r="T824" s="124"/>
      <c r="U824" s="124"/>
      <c r="V824" s="124"/>
      <c r="W824" s="124"/>
      <c r="X824" s="124"/>
      <c r="Y824" s="124"/>
    </row>
    <row r="825" spans="2:25" x14ac:dyDescent="0.25">
      <c r="B825" s="124"/>
      <c r="C825" s="124"/>
      <c r="D825" s="124"/>
      <c r="E825" s="124"/>
      <c r="F825" s="124"/>
      <c r="G825" s="124"/>
      <c r="H825" s="124"/>
      <c r="I825" s="124"/>
      <c r="J825" s="124"/>
      <c r="K825" s="124"/>
      <c r="L825" s="124"/>
      <c r="M825" s="124"/>
      <c r="N825" s="124"/>
      <c r="O825" s="124"/>
      <c r="P825" s="124"/>
      <c r="Q825" s="124"/>
      <c r="R825" s="124"/>
      <c r="S825" s="124"/>
      <c r="T825" s="124"/>
      <c r="U825" s="124"/>
      <c r="V825" s="124"/>
      <c r="W825" s="124"/>
      <c r="X825" s="124"/>
      <c r="Y825" s="124"/>
    </row>
    <row r="826" spans="2:25" x14ac:dyDescent="0.25">
      <c r="B826" s="124"/>
      <c r="C826" s="124"/>
      <c r="D826" s="124"/>
      <c r="E826" s="124"/>
      <c r="F826" s="124"/>
      <c r="G826" s="124"/>
      <c r="H826" s="124"/>
      <c r="I826" s="124"/>
      <c r="J826" s="124"/>
      <c r="K826" s="124"/>
      <c r="L826" s="124"/>
      <c r="M826" s="124"/>
      <c r="N826" s="124"/>
      <c r="O826" s="124"/>
      <c r="P826" s="124"/>
      <c r="Q826" s="124"/>
      <c r="R826" s="124"/>
      <c r="S826" s="124"/>
      <c r="T826" s="124"/>
      <c r="U826" s="124"/>
      <c r="V826" s="124"/>
      <c r="W826" s="124"/>
      <c r="X826" s="124"/>
      <c r="Y826" s="124"/>
    </row>
    <row r="827" spans="2:25" x14ac:dyDescent="0.25">
      <c r="B827" s="124"/>
      <c r="C827" s="124"/>
      <c r="D827" s="124"/>
      <c r="E827" s="124"/>
      <c r="F827" s="124"/>
      <c r="G827" s="124"/>
      <c r="H827" s="124"/>
      <c r="I827" s="124"/>
      <c r="J827" s="124"/>
      <c r="K827" s="124"/>
      <c r="L827" s="124"/>
      <c r="M827" s="124"/>
      <c r="N827" s="124"/>
      <c r="O827" s="124"/>
      <c r="P827" s="124"/>
      <c r="Q827" s="124"/>
      <c r="R827" s="124"/>
      <c r="S827" s="124"/>
      <c r="T827" s="124"/>
      <c r="U827" s="124"/>
      <c r="V827" s="124"/>
      <c r="W827" s="124"/>
      <c r="X827" s="124"/>
      <c r="Y827" s="124"/>
    </row>
    <row r="828" spans="2:25" x14ac:dyDescent="0.25">
      <c r="B828" s="124"/>
      <c r="C828" s="124"/>
      <c r="D828" s="124"/>
      <c r="E828" s="124"/>
      <c r="F828" s="124"/>
      <c r="G828" s="124"/>
      <c r="H828" s="124"/>
      <c r="I828" s="124"/>
      <c r="J828" s="124"/>
      <c r="K828" s="124"/>
      <c r="L828" s="124"/>
      <c r="M828" s="124"/>
      <c r="N828" s="124"/>
      <c r="O828" s="124"/>
      <c r="P828" s="124"/>
      <c r="Q828" s="124"/>
      <c r="R828" s="124"/>
      <c r="S828" s="124"/>
      <c r="T828" s="124"/>
      <c r="U828" s="124"/>
      <c r="V828" s="124"/>
      <c r="W828" s="124"/>
      <c r="X828" s="124"/>
      <c r="Y828" s="124"/>
    </row>
    <row r="829" spans="2:25" x14ac:dyDescent="0.25">
      <c r="B829" s="124"/>
      <c r="C829" s="124"/>
      <c r="D829" s="124"/>
      <c r="E829" s="124"/>
      <c r="F829" s="124"/>
      <c r="G829" s="124"/>
      <c r="H829" s="124"/>
      <c r="I829" s="124"/>
      <c r="J829" s="124"/>
      <c r="K829" s="124"/>
      <c r="L829" s="124"/>
      <c r="M829" s="124"/>
      <c r="N829" s="124"/>
      <c r="O829" s="124"/>
      <c r="P829" s="124"/>
      <c r="Q829" s="124"/>
      <c r="R829" s="124"/>
      <c r="S829" s="124"/>
      <c r="T829" s="124"/>
      <c r="U829" s="124"/>
      <c r="V829" s="124"/>
      <c r="W829" s="124"/>
      <c r="X829" s="124"/>
      <c r="Y829" s="124"/>
    </row>
    <row r="830" spans="2:25" x14ac:dyDescent="0.25">
      <c r="B830" s="124"/>
      <c r="C830" s="124"/>
      <c r="D830" s="124"/>
      <c r="E830" s="124"/>
      <c r="F830" s="124"/>
      <c r="G830" s="124"/>
      <c r="H830" s="124"/>
      <c r="I830" s="124"/>
      <c r="J830" s="124"/>
      <c r="K830" s="124"/>
      <c r="L830" s="124"/>
      <c r="M830" s="124"/>
      <c r="N830" s="124"/>
      <c r="O830" s="124"/>
      <c r="P830" s="124"/>
      <c r="Q830" s="124"/>
      <c r="R830" s="124"/>
      <c r="S830" s="124"/>
      <c r="T830" s="124"/>
      <c r="U830" s="124"/>
      <c r="V830" s="124"/>
      <c r="W830" s="124"/>
      <c r="X830" s="124"/>
      <c r="Y830" s="124"/>
    </row>
    <row r="831" spans="2:25" x14ac:dyDescent="0.25">
      <c r="B831" s="124"/>
      <c r="C831" s="124"/>
      <c r="D831" s="124"/>
      <c r="E831" s="124"/>
      <c r="F831" s="124"/>
      <c r="G831" s="124"/>
      <c r="H831" s="124"/>
      <c r="I831" s="124"/>
      <c r="J831" s="124"/>
      <c r="K831" s="124"/>
      <c r="L831" s="124"/>
      <c r="M831" s="124"/>
      <c r="N831" s="124"/>
      <c r="O831" s="124"/>
      <c r="P831" s="124"/>
      <c r="Q831" s="124"/>
      <c r="R831" s="124"/>
      <c r="S831" s="124"/>
      <c r="T831" s="124"/>
      <c r="U831" s="124"/>
      <c r="V831" s="124"/>
      <c r="W831" s="124"/>
      <c r="X831" s="124"/>
      <c r="Y831" s="124"/>
    </row>
    <row r="832" spans="2:25" x14ac:dyDescent="0.25">
      <c r="B832" s="124"/>
      <c r="C832" s="124"/>
      <c r="D832" s="124"/>
      <c r="E832" s="124"/>
      <c r="F832" s="124"/>
      <c r="G832" s="124"/>
      <c r="H832" s="124"/>
      <c r="I832" s="124"/>
      <c r="J832" s="124"/>
      <c r="K832" s="124"/>
      <c r="L832" s="124"/>
      <c r="M832" s="124"/>
      <c r="N832" s="124"/>
      <c r="O832" s="124"/>
      <c r="P832" s="124"/>
      <c r="Q832" s="124"/>
      <c r="R832" s="124"/>
      <c r="S832" s="124"/>
      <c r="T832" s="124"/>
      <c r="U832" s="124"/>
      <c r="V832" s="124"/>
      <c r="W832" s="124"/>
      <c r="X832" s="124"/>
      <c r="Y832" s="124"/>
    </row>
    <row r="833" spans="2:25" x14ac:dyDescent="0.25">
      <c r="B833" s="124"/>
      <c r="C833" s="124"/>
      <c r="D833" s="124"/>
      <c r="E833" s="124"/>
      <c r="F833" s="124"/>
      <c r="G833" s="124"/>
      <c r="H833" s="124"/>
      <c r="I833" s="124"/>
      <c r="J833" s="124"/>
      <c r="K833" s="124"/>
      <c r="L833" s="124"/>
      <c r="M833" s="124"/>
      <c r="N833" s="124"/>
      <c r="O833" s="124"/>
      <c r="P833" s="124"/>
      <c r="Q833" s="124"/>
      <c r="R833" s="124"/>
      <c r="S833" s="124"/>
      <c r="T833" s="124"/>
      <c r="U833" s="124"/>
      <c r="V833" s="124"/>
      <c r="W833" s="124"/>
      <c r="X833" s="124"/>
      <c r="Y833" s="124"/>
    </row>
    <row r="834" spans="2:25" x14ac:dyDescent="0.25">
      <c r="B834" s="124"/>
      <c r="C834" s="124"/>
      <c r="D834" s="124"/>
      <c r="E834" s="124"/>
      <c r="F834" s="124"/>
      <c r="G834" s="124"/>
      <c r="H834" s="124"/>
      <c r="I834" s="124"/>
      <c r="J834" s="124"/>
      <c r="K834" s="124"/>
      <c r="L834" s="124"/>
      <c r="M834" s="124"/>
      <c r="N834" s="124"/>
      <c r="O834" s="124"/>
      <c r="P834" s="124"/>
      <c r="Q834" s="124"/>
      <c r="R834" s="124"/>
      <c r="S834" s="124"/>
      <c r="T834" s="124"/>
      <c r="U834" s="124"/>
      <c r="V834" s="124"/>
      <c r="W834" s="124"/>
      <c r="X834" s="124"/>
      <c r="Y834" s="124"/>
    </row>
    <row r="835" spans="2:25" x14ac:dyDescent="0.25">
      <c r="B835" s="124"/>
      <c r="C835" s="124"/>
      <c r="D835" s="124"/>
      <c r="E835" s="124"/>
      <c r="F835" s="124"/>
      <c r="G835" s="124"/>
      <c r="H835" s="124"/>
      <c r="I835" s="124"/>
      <c r="J835" s="124"/>
      <c r="K835" s="124"/>
      <c r="L835" s="124"/>
      <c r="M835" s="124"/>
      <c r="N835" s="124"/>
      <c r="O835" s="124"/>
      <c r="P835" s="124"/>
      <c r="Q835" s="124"/>
      <c r="R835" s="124"/>
      <c r="S835" s="124"/>
      <c r="T835" s="124"/>
      <c r="U835" s="124"/>
      <c r="V835" s="124"/>
      <c r="W835" s="124"/>
      <c r="X835" s="124"/>
      <c r="Y835" s="124"/>
    </row>
    <row r="836" spans="2:25" x14ac:dyDescent="0.25">
      <c r="B836" s="124"/>
      <c r="C836" s="124"/>
      <c r="D836" s="124"/>
      <c r="E836" s="124"/>
      <c r="F836" s="124"/>
      <c r="G836" s="124"/>
      <c r="H836" s="124"/>
      <c r="I836" s="124"/>
      <c r="J836" s="124"/>
      <c r="K836" s="124"/>
      <c r="L836" s="124"/>
      <c r="M836" s="124"/>
      <c r="N836" s="124"/>
      <c r="O836" s="124"/>
      <c r="P836" s="124"/>
      <c r="Q836" s="124"/>
      <c r="R836" s="124"/>
      <c r="S836" s="124"/>
      <c r="T836" s="124"/>
      <c r="U836" s="124"/>
      <c r="V836" s="124"/>
      <c r="W836" s="124"/>
      <c r="X836" s="124"/>
      <c r="Y836" s="124"/>
    </row>
    <row r="837" spans="2:25" x14ac:dyDescent="0.25">
      <c r="B837" s="124"/>
      <c r="C837" s="124"/>
      <c r="D837" s="124"/>
      <c r="E837" s="124"/>
      <c r="F837" s="124"/>
      <c r="G837" s="124"/>
      <c r="H837" s="124"/>
      <c r="I837" s="124"/>
      <c r="J837" s="124"/>
      <c r="K837" s="124"/>
      <c r="L837" s="124"/>
      <c r="M837" s="124"/>
      <c r="N837" s="124"/>
      <c r="O837" s="124"/>
      <c r="P837" s="124"/>
      <c r="Q837" s="124"/>
      <c r="R837" s="124"/>
      <c r="S837" s="124"/>
      <c r="T837" s="124"/>
      <c r="U837" s="124"/>
      <c r="V837" s="124"/>
      <c r="W837" s="124"/>
      <c r="X837" s="124"/>
      <c r="Y837" s="124"/>
    </row>
    <row r="838" spans="2:25" x14ac:dyDescent="0.25">
      <c r="B838" s="124"/>
      <c r="C838" s="124"/>
      <c r="D838" s="124"/>
      <c r="E838" s="124"/>
      <c r="F838" s="124"/>
      <c r="G838" s="124"/>
      <c r="H838" s="124"/>
      <c r="I838" s="124"/>
      <c r="J838" s="124"/>
      <c r="K838" s="124"/>
      <c r="L838" s="124"/>
      <c r="M838" s="124"/>
      <c r="N838" s="124"/>
      <c r="O838" s="124"/>
      <c r="P838" s="124"/>
      <c r="Q838" s="124"/>
      <c r="R838" s="124"/>
      <c r="S838" s="124"/>
      <c r="T838" s="124"/>
      <c r="U838" s="124"/>
      <c r="V838" s="124"/>
      <c r="W838" s="124"/>
      <c r="X838" s="124"/>
      <c r="Y838" s="124"/>
    </row>
    <row r="839" spans="2:25" x14ac:dyDescent="0.25">
      <c r="B839" s="124"/>
      <c r="C839" s="124"/>
      <c r="D839" s="124"/>
      <c r="E839" s="124"/>
      <c r="F839" s="124"/>
      <c r="G839" s="124"/>
      <c r="H839" s="124"/>
      <c r="I839" s="124"/>
      <c r="J839" s="124"/>
      <c r="K839" s="124"/>
      <c r="L839" s="124"/>
      <c r="M839" s="124"/>
      <c r="N839" s="124"/>
      <c r="O839" s="124"/>
      <c r="P839" s="124"/>
      <c r="Q839" s="124"/>
      <c r="R839" s="124"/>
      <c r="S839" s="124"/>
      <c r="T839" s="124"/>
      <c r="U839" s="124"/>
      <c r="V839" s="124"/>
      <c r="W839" s="124"/>
      <c r="X839" s="124"/>
      <c r="Y839" s="124"/>
    </row>
    <row r="840" spans="2:25" x14ac:dyDescent="0.25">
      <c r="B840" s="124"/>
      <c r="C840" s="124"/>
      <c r="D840" s="124"/>
      <c r="E840" s="124"/>
      <c r="F840" s="124"/>
      <c r="G840" s="124"/>
      <c r="H840" s="124"/>
      <c r="I840" s="124"/>
      <c r="J840" s="124"/>
      <c r="K840" s="124"/>
      <c r="L840" s="124"/>
      <c r="M840" s="124"/>
      <c r="N840" s="124"/>
      <c r="O840" s="124"/>
      <c r="P840" s="124"/>
      <c r="Q840" s="124"/>
      <c r="R840" s="124"/>
      <c r="S840" s="124"/>
      <c r="T840" s="124"/>
      <c r="U840" s="124"/>
      <c r="V840" s="124"/>
      <c r="W840" s="124"/>
      <c r="X840" s="124"/>
      <c r="Y840" s="124"/>
    </row>
    <row r="841" spans="2:25" x14ac:dyDescent="0.25">
      <c r="B841" s="124"/>
      <c r="C841" s="124"/>
      <c r="D841" s="124"/>
      <c r="E841" s="124"/>
      <c r="F841" s="124"/>
      <c r="G841" s="124"/>
      <c r="H841" s="124"/>
      <c r="I841" s="124"/>
      <c r="J841" s="124"/>
      <c r="K841" s="124"/>
      <c r="L841" s="124"/>
      <c r="M841" s="124"/>
      <c r="N841" s="124"/>
      <c r="O841" s="124"/>
      <c r="P841" s="124"/>
      <c r="Q841" s="124"/>
      <c r="R841" s="124"/>
      <c r="S841" s="124"/>
      <c r="T841" s="124"/>
      <c r="U841" s="124"/>
      <c r="V841" s="124"/>
      <c r="W841" s="124"/>
      <c r="X841" s="124"/>
      <c r="Y841" s="124"/>
    </row>
    <row r="842" spans="2:25" x14ac:dyDescent="0.25">
      <c r="B842" s="124"/>
      <c r="C842" s="124"/>
      <c r="D842" s="124"/>
      <c r="E842" s="124"/>
      <c r="F842" s="124"/>
      <c r="G842" s="124"/>
      <c r="H842" s="124"/>
      <c r="I842" s="124"/>
      <c r="J842" s="124"/>
      <c r="K842" s="124"/>
      <c r="L842" s="124"/>
      <c r="M842" s="124"/>
      <c r="N842" s="124"/>
      <c r="O842" s="124"/>
      <c r="P842" s="124"/>
      <c r="Q842" s="124"/>
      <c r="R842" s="124"/>
      <c r="S842" s="124"/>
      <c r="T842" s="124"/>
      <c r="U842" s="124"/>
      <c r="V842" s="124"/>
      <c r="W842" s="124"/>
      <c r="X842" s="124"/>
      <c r="Y842" s="124"/>
    </row>
    <row r="843" spans="2:25" x14ac:dyDescent="0.25">
      <c r="B843" s="124"/>
      <c r="C843" s="124"/>
      <c r="D843" s="124"/>
      <c r="E843" s="124"/>
      <c r="F843" s="124"/>
      <c r="G843" s="124"/>
      <c r="H843" s="124"/>
      <c r="I843" s="124"/>
      <c r="J843" s="124"/>
      <c r="K843" s="124"/>
      <c r="L843" s="124"/>
      <c r="M843" s="124"/>
      <c r="N843" s="124"/>
      <c r="O843" s="124"/>
      <c r="P843" s="124"/>
      <c r="Q843" s="124"/>
      <c r="R843" s="124"/>
      <c r="S843" s="124"/>
      <c r="T843" s="124"/>
      <c r="U843" s="124"/>
      <c r="V843" s="124"/>
      <c r="W843" s="124"/>
      <c r="X843" s="124"/>
      <c r="Y843" s="124"/>
    </row>
    <row r="844" spans="2:25" x14ac:dyDescent="0.25">
      <c r="B844" s="124"/>
      <c r="C844" s="124"/>
      <c r="D844" s="124"/>
      <c r="E844" s="124"/>
      <c r="F844" s="124"/>
      <c r="G844" s="124"/>
      <c r="H844" s="124"/>
      <c r="I844" s="124"/>
      <c r="J844" s="124"/>
      <c r="K844" s="124"/>
      <c r="L844" s="124"/>
      <c r="M844" s="124"/>
      <c r="N844" s="124"/>
      <c r="O844" s="124"/>
      <c r="P844" s="124"/>
      <c r="Q844" s="124"/>
      <c r="R844" s="124"/>
      <c r="S844" s="124"/>
      <c r="T844" s="124"/>
      <c r="U844" s="124"/>
      <c r="V844" s="124"/>
      <c r="W844" s="124"/>
      <c r="X844" s="124"/>
      <c r="Y844" s="124"/>
    </row>
    <row r="845" spans="2:25" x14ac:dyDescent="0.25">
      <c r="B845" s="124"/>
      <c r="C845" s="124"/>
      <c r="D845" s="124"/>
      <c r="E845" s="124"/>
      <c r="F845" s="124"/>
      <c r="G845" s="124"/>
      <c r="H845" s="124"/>
      <c r="I845" s="124"/>
      <c r="J845" s="124"/>
      <c r="K845" s="124"/>
      <c r="L845" s="124"/>
      <c r="M845" s="124"/>
      <c r="N845" s="124"/>
      <c r="O845" s="124"/>
      <c r="P845" s="124"/>
      <c r="Q845" s="124"/>
      <c r="R845" s="124"/>
      <c r="S845" s="124"/>
      <c r="T845" s="124"/>
      <c r="U845" s="124"/>
      <c r="V845" s="124"/>
      <c r="W845" s="124"/>
      <c r="X845" s="124"/>
      <c r="Y845" s="124"/>
    </row>
    <row r="846" spans="2:25" x14ac:dyDescent="0.25">
      <c r="B846" s="124"/>
      <c r="C846" s="124"/>
      <c r="D846" s="124"/>
      <c r="E846" s="124"/>
      <c r="F846" s="124"/>
      <c r="G846" s="124"/>
      <c r="H846" s="124"/>
      <c r="I846" s="124"/>
      <c r="J846" s="124"/>
      <c r="K846" s="124"/>
      <c r="L846" s="124"/>
      <c r="M846" s="124"/>
      <c r="N846" s="124"/>
      <c r="O846" s="124"/>
      <c r="P846" s="124"/>
      <c r="Q846" s="124"/>
      <c r="R846" s="124"/>
      <c r="S846" s="124"/>
      <c r="T846" s="124"/>
      <c r="U846" s="124"/>
      <c r="V846" s="124"/>
      <c r="W846" s="124"/>
      <c r="X846" s="124"/>
      <c r="Y846" s="124"/>
    </row>
    <row r="847" spans="2:25" x14ac:dyDescent="0.25">
      <c r="B847" s="124"/>
      <c r="C847" s="124"/>
      <c r="D847" s="124"/>
      <c r="E847" s="124"/>
      <c r="F847" s="124"/>
      <c r="G847" s="124"/>
      <c r="H847" s="124"/>
      <c r="I847" s="124"/>
      <c r="J847" s="124"/>
      <c r="K847" s="124"/>
      <c r="L847" s="124"/>
      <c r="M847" s="124"/>
      <c r="N847" s="124"/>
      <c r="O847" s="124"/>
      <c r="P847" s="124"/>
      <c r="Q847" s="124"/>
      <c r="R847" s="124"/>
      <c r="S847" s="124"/>
      <c r="T847" s="124"/>
      <c r="U847" s="124"/>
      <c r="V847" s="124"/>
      <c r="W847" s="124"/>
      <c r="X847" s="124"/>
      <c r="Y847" s="124"/>
    </row>
    <row r="848" spans="2:25" x14ac:dyDescent="0.25">
      <c r="B848" s="124"/>
      <c r="C848" s="124"/>
      <c r="D848" s="124"/>
      <c r="E848" s="124"/>
      <c r="F848" s="124"/>
      <c r="G848" s="124"/>
      <c r="H848" s="124"/>
      <c r="I848" s="124"/>
      <c r="J848" s="124"/>
      <c r="K848" s="124"/>
      <c r="L848" s="124"/>
      <c r="M848" s="124"/>
      <c r="N848" s="124"/>
      <c r="O848" s="124"/>
      <c r="P848" s="124"/>
      <c r="Q848" s="124"/>
      <c r="R848" s="124"/>
      <c r="S848" s="124"/>
      <c r="T848" s="124"/>
      <c r="U848" s="124"/>
      <c r="V848" s="124"/>
      <c r="W848" s="124"/>
      <c r="X848" s="124"/>
      <c r="Y848" s="124"/>
    </row>
    <row r="849" spans="2:25" x14ac:dyDescent="0.25">
      <c r="B849" s="124"/>
      <c r="C849" s="124"/>
      <c r="D849" s="124"/>
      <c r="E849" s="124"/>
      <c r="F849" s="124"/>
      <c r="G849" s="124"/>
      <c r="H849" s="124"/>
      <c r="I849" s="124"/>
      <c r="J849" s="124"/>
      <c r="K849" s="124"/>
      <c r="L849" s="124"/>
      <c r="M849" s="124"/>
      <c r="N849" s="124"/>
      <c r="O849" s="124"/>
      <c r="P849" s="124"/>
      <c r="Q849" s="124"/>
      <c r="R849" s="124"/>
      <c r="S849" s="124"/>
      <c r="T849" s="124"/>
      <c r="U849" s="124"/>
      <c r="V849" s="124"/>
      <c r="W849" s="124"/>
      <c r="X849" s="124"/>
      <c r="Y849" s="124"/>
    </row>
    <row r="850" spans="2:25" x14ac:dyDescent="0.25">
      <c r="B850" s="124"/>
      <c r="C850" s="124"/>
      <c r="D850" s="124"/>
      <c r="E850" s="124"/>
      <c r="F850" s="124"/>
      <c r="G850" s="124"/>
      <c r="H850" s="124"/>
      <c r="I850" s="124"/>
      <c r="J850" s="124"/>
      <c r="K850" s="124"/>
      <c r="L850" s="124"/>
      <c r="M850" s="124"/>
      <c r="N850" s="124"/>
      <c r="O850" s="124"/>
      <c r="P850" s="124"/>
      <c r="Q850" s="124"/>
      <c r="R850" s="124"/>
      <c r="S850" s="124"/>
      <c r="T850" s="124"/>
      <c r="U850" s="124"/>
      <c r="V850" s="124"/>
      <c r="W850" s="124"/>
      <c r="X850" s="124"/>
      <c r="Y850" s="124"/>
    </row>
    <row r="851" spans="2:25" x14ac:dyDescent="0.25">
      <c r="B851" s="124"/>
      <c r="C851" s="124"/>
      <c r="D851" s="124"/>
      <c r="E851" s="124"/>
      <c r="F851" s="124"/>
      <c r="G851" s="124"/>
      <c r="H851" s="124"/>
      <c r="I851" s="124"/>
      <c r="J851" s="124"/>
      <c r="K851" s="124"/>
      <c r="L851" s="124"/>
      <c r="M851" s="124"/>
      <c r="N851" s="124"/>
      <c r="O851" s="124"/>
      <c r="P851" s="124"/>
      <c r="Q851" s="124"/>
      <c r="R851" s="124"/>
      <c r="S851" s="124"/>
      <c r="T851" s="124"/>
      <c r="U851" s="124"/>
      <c r="V851" s="124"/>
      <c r="W851" s="124"/>
      <c r="X851" s="124"/>
      <c r="Y851" s="124"/>
    </row>
    <row r="852" spans="2:25" x14ac:dyDescent="0.25">
      <c r="B852" s="124"/>
      <c r="C852" s="124"/>
      <c r="D852" s="124"/>
      <c r="E852" s="124"/>
      <c r="F852" s="124"/>
      <c r="G852" s="124"/>
      <c r="H852" s="124"/>
      <c r="I852" s="124"/>
      <c r="J852" s="124"/>
      <c r="K852" s="124"/>
      <c r="L852" s="124"/>
      <c r="M852" s="124"/>
      <c r="N852" s="124"/>
      <c r="O852" s="124"/>
      <c r="P852" s="124"/>
      <c r="Q852" s="124"/>
      <c r="R852" s="124"/>
      <c r="S852" s="124"/>
      <c r="T852" s="124"/>
      <c r="U852" s="124"/>
      <c r="V852" s="124"/>
      <c r="W852" s="124"/>
      <c r="X852" s="124"/>
      <c r="Y852" s="124"/>
    </row>
    <row r="853" spans="2:25" x14ac:dyDescent="0.25">
      <c r="B853" s="124"/>
      <c r="C853" s="124"/>
      <c r="D853" s="124"/>
      <c r="E853" s="124"/>
      <c r="F853" s="124"/>
      <c r="G853" s="124"/>
      <c r="H853" s="124"/>
      <c r="I853" s="124"/>
      <c r="J853" s="124"/>
      <c r="K853" s="124"/>
      <c r="L853" s="124"/>
      <c r="M853" s="124"/>
      <c r="N853" s="124"/>
      <c r="O853" s="124"/>
      <c r="P853" s="124"/>
      <c r="Q853" s="124"/>
      <c r="R853" s="124"/>
      <c r="S853" s="124"/>
      <c r="T853" s="124"/>
      <c r="U853" s="124"/>
      <c r="V853" s="124"/>
      <c r="W853" s="124"/>
      <c r="X853" s="124"/>
      <c r="Y853" s="124"/>
    </row>
    <row r="854" spans="2:25" x14ac:dyDescent="0.25">
      <c r="B854" s="124"/>
      <c r="C854" s="124"/>
      <c r="D854" s="124"/>
      <c r="E854" s="124"/>
      <c r="F854" s="124"/>
      <c r="G854" s="124"/>
      <c r="H854" s="124"/>
      <c r="I854" s="124"/>
      <c r="J854" s="124"/>
      <c r="K854" s="124"/>
      <c r="L854" s="124"/>
      <c r="M854" s="124"/>
      <c r="N854" s="124"/>
      <c r="O854" s="124"/>
      <c r="P854" s="124"/>
      <c r="Q854" s="124"/>
      <c r="R854" s="124"/>
      <c r="S854" s="124"/>
      <c r="T854" s="124"/>
      <c r="U854" s="124"/>
      <c r="V854" s="124"/>
      <c r="W854" s="124"/>
      <c r="X854" s="124"/>
      <c r="Y854" s="124"/>
    </row>
    <row r="855" spans="2:25" x14ac:dyDescent="0.25">
      <c r="B855" s="124"/>
      <c r="C855" s="124"/>
      <c r="D855" s="124"/>
      <c r="E855" s="124"/>
      <c r="F855" s="124"/>
      <c r="G855" s="124"/>
      <c r="H855" s="124"/>
      <c r="I855" s="124"/>
      <c r="J855" s="124"/>
      <c r="K855" s="124"/>
      <c r="L855" s="124"/>
      <c r="M855" s="124"/>
      <c r="N855" s="124"/>
      <c r="O855" s="124"/>
      <c r="P855" s="124"/>
      <c r="Q855" s="124"/>
      <c r="R855" s="124"/>
      <c r="S855" s="124"/>
      <c r="T855" s="124"/>
      <c r="U855" s="124"/>
      <c r="V855" s="124"/>
      <c r="W855" s="124"/>
      <c r="X855" s="124"/>
      <c r="Y855" s="124"/>
    </row>
    <row r="856" spans="2:25" x14ac:dyDescent="0.25">
      <c r="B856" s="124"/>
      <c r="C856" s="124"/>
      <c r="D856" s="124"/>
      <c r="E856" s="124"/>
      <c r="F856" s="124"/>
      <c r="G856" s="124"/>
      <c r="H856" s="124"/>
      <c r="I856" s="124"/>
      <c r="J856" s="124"/>
      <c r="K856" s="124"/>
      <c r="L856" s="124"/>
      <c r="M856" s="124"/>
      <c r="N856" s="124"/>
      <c r="O856" s="124"/>
      <c r="P856" s="124"/>
      <c r="Q856" s="124"/>
      <c r="R856" s="124"/>
      <c r="S856" s="124"/>
      <c r="T856" s="124"/>
      <c r="U856" s="124"/>
      <c r="V856" s="124"/>
      <c r="W856" s="124"/>
      <c r="X856" s="124"/>
      <c r="Y856" s="124"/>
    </row>
    <row r="857" spans="2:25" x14ac:dyDescent="0.25">
      <c r="B857" s="124"/>
      <c r="C857" s="124"/>
      <c r="D857" s="124"/>
      <c r="E857" s="124"/>
      <c r="F857" s="124"/>
      <c r="G857" s="124"/>
      <c r="H857" s="124"/>
      <c r="I857" s="124"/>
      <c r="J857" s="124"/>
      <c r="K857" s="124"/>
      <c r="L857" s="124"/>
      <c r="M857" s="124"/>
      <c r="N857" s="124"/>
      <c r="O857" s="124"/>
      <c r="P857" s="124"/>
      <c r="Q857" s="124"/>
      <c r="R857" s="124"/>
      <c r="S857" s="124"/>
      <c r="T857" s="124"/>
      <c r="U857" s="124"/>
      <c r="V857" s="124"/>
      <c r="W857" s="124"/>
      <c r="X857" s="124"/>
      <c r="Y857" s="124"/>
    </row>
    <row r="858" spans="2:25" x14ac:dyDescent="0.25">
      <c r="B858" s="124"/>
      <c r="C858" s="124"/>
      <c r="D858" s="124"/>
      <c r="E858" s="124"/>
      <c r="F858" s="124"/>
      <c r="G858" s="124"/>
      <c r="H858" s="124"/>
      <c r="I858" s="124"/>
      <c r="J858" s="124"/>
      <c r="K858" s="124"/>
      <c r="L858" s="124"/>
      <c r="M858" s="124"/>
      <c r="N858" s="124"/>
      <c r="O858" s="124"/>
      <c r="P858" s="124"/>
      <c r="Q858" s="124"/>
      <c r="R858" s="124"/>
      <c r="S858" s="124"/>
      <c r="T858" s="124"/>
      <c r="U858" s="124"/>
      <c r="V858" s="124"/>
      <c r="W858" s="124"/>
      <c r="X858" s="124"/>
      <c r="Y858" s="124"/>
    </row>
    <row r="859" spans="2:25" x14ac:dyDescent="0.25">
      <c r="B859" s="124"/>
      <c r="C859" s="124"/>
      <c r="D859" s="124"/>
      <c r="E859" s="124"/>
      <c r="F859" s="124"/>
      <c r="G859" s="124"/>
      <c r="H859" s="124"/>
      <c r="I859" s="124"/>
      <c r="J859" s="124"/>
      <c r="K859" s="124"/>
      <c r="L859" s="124"/>
      <c r="M859" s="124"/>
      <c r="N859" s="124"/>
      <c r="O859" s="124"/>
      <c r="P859" s="124"/>
      <c r="Q859" s="124"/>
      <c r="R859" s="124"/>
      <c r="S859" s="124"/>
      <c r="T859" s="124"/>
      <c r="U859" s="124"/>
      <c r="V859" s="124"/>
      <c r="W859" s="124"/>
      <c r="X859" s="124"/>
      <c r="Y859" s="124"/>
    </row>
    <row r="860" spans="2:25" x14ac:dyDescent="0.25">
      <c r="B860" s="124"/>
      <c r="C860" s="124"/>
      <c r="D860" s="124"/>
      <c r="E860" s="124"/>
      <c r="F860" s="124"/>
      <c r="G860" s="124"/>
      <c r="H860" s="124"/>
      <c r="I860" s="124"/>
      <c r="J860" s="124"/>
      <c r="K860" s="124"/>
      <c r="L860" s="124"/>
      <c r="M860" s="124"/>
      <c r="N860" s="124"/>
      <c r="O860" s="124"/>
      <c r="P860" s="124"/>
      <c r="Q860" s="124"/>
      <c r="R860" s="124"/>
      <c r="S860" s="124"/>
      <c r="T860" s="124"/>
      <c r="U860" s="124"/>
      <c r="V860" s="124"/>
      <c r="W860" s="124"/>
      <c r="X860" s="124"/>
      <c r="Y860" s="124"/>
    </row>
    <row r="861" spans="2:25" x14ac:dyDescent="0.25">
      <c r="B861" s="124"/>
      <c r="C861" s="124"/>
      <c r="D861" s="124"/>
      <c r="E861" s="124"/>
      <c r="F861" s="124"/>
      <c r="G861" s="124"/>
      <c r="H861" s="124"/>
      <c r="I861" s="124"/>
      <c r="J861" s="124"/>
      <c r="K861" s="124"/>
      <c r="L861" s="124"/>
      <c r="M861" s="124"/>
      <c r="N861" s="124"/>
      <c r="O861" s="124"/>
      <c r="P861" s="124"/>
      <c r="Q861" s="124"/>
      <c r="R861" s="124"/>
      <c r="S861" s="124"/>
      <c r="T861" s="124"/>
      <c r="U861" s="124"/>
      <c r="V861" s="124"/>
      <c r="W861" s="124"/>
      <c r="X861" s="124"/>
      <c r="Y861" s="124"/>
    </row>
    <row r="862" spans="2:25" x14ac:dyDescent="0.25">
      <c r="B862" s="124"/>
      <c r="C862" s="124"/>
      <c r="D862" s="124"/>
      <c r="E862" s="124"/>
      <c r="F862" s="124"/>
      <c r="G862" s="124"/>
      <c r="H862" s="124"/>
      <c r="I862" s="124"/>
      <c r="J862" s="124"/>
      <c r="K862" s="124"/>
      <c r="L862" s="124"/>
      <c r="M862" s="124"/>
      <c r="N862" s="124"/>
      <c r="O862" s="124"/>
      <c r="P862" s="124"/>
      <c r="Q862" s="124"/>
      <c r="R862" s="124"/>
      <c r="S862" s="124"/>
      <c r="T862" s="124"/>
      <c r="U862" s="124"/>
      <c r="V862" s="124"/>
      <c r="W862" s="124"/>
      <c r="X862" s="124"/>
      <c r="Y862" s="124"/>
    </row>
    <row r="863" spans="2:25" x14ac:dyDescent="0.25">
      <c r="B863" s="124"/>
      <c r="C863" s="124"/>
      <c r="D863" s="124"/>
      <c r="E863" s="124"/>
      <c r="F863" s="124"/>
      <c r="G863" s="124"/>
      <c r="H863" s="124"/>
      <c r="I863" s="124"/>
      <c r="J863" s="124"/>
      <c r="K863" s="124"/>
      <c r="L863" s="124"/>
      <c r="M863" s="124"/>
      <c r="N863" s="124"/>
      <c r="O863" s="124"/>
      <c r="P863" s="124"/>
      <c r="Q863" s="124"/>
      <c r="R863" s="124"/>
      <c r="S863" s="124"/>
      <c r="T863" s="124"/>
      <c r="U863" s="124"/>
      <c r="V863" s="124"/>
      <c r="W863" s="124"/>
      <c r="X863" s="124"/>
      <c r="Y863" s="124"/>
    </row>
    <row r="864" spans="2:25" x14ac:dyDescent="0.25">
      <c r="B864" s="124"/>
      <c r="C864" s="124"/>
      <c r="D864" s="124"/>
      <c r="E864" s="124"/>
      <c r="F864" s="124"/>
      <c r="G864" s="124"/>
      <c r="H864" s="124"/>
      <c r="I864" s="124"/>
      <c r="J864" s="124"/>
      <c r="K864" s="124"/>
      <c r="L864" s="124"/>
      <c r="M864" s="124"/>
      <c r="N864" s="124"/>
      <c r="O864" s="124"/>
      <c r="P864" s="124"/>
      <c r="Q864" s="124"/>
      <c r="R864" s="124"/>
      <c r="S864" s="124"/>
      <c r="T864" s="124"/>
      <c r="U864" s="124"/>
      <c r="V864" s="124"/>
      <c r="W864" s="124"/>
      <c r="X864" s="124"/>
      <c r="Y864" s="124"/>
    </row>
    <row r="865" spans="2:25" x14ac:dyDescent="0.25">
      <c r="B865" s="124"/>
      <c r="C865" s="124"/>
      <c r="D865" s="124"/>
      <c r="E865" s="124"/>
      <c r="F865" s="124"/>
      <c r="G865" s="124"/>
      <c r="H865" s="124"/>
      <c r="I865" s="124"/>
      <c r="J865" s="124"/>
      <c r="K865" s="124"/>
      <c r="L865" s="124"/>
      <c r="M865" s="124"/>
      <c r="N865" s="124"/>
      <c r="O865" s="124"/>
      <c r="P865" s="124"/>
      <c r="Q865" s="124"/>
      <c r="R865" s="124"/>
      <c r="S865" s="124"/>
      <c r="T865" s="124"/>
      <c r="U865" s="124"/>
      <c r="V865" s="124"/>
      <c r="W865" s="124"/>
      <c r="X865" s="124"/>
      <c r="Y865" s="124"/>
    </row>
    <row r="866" spans="2:25" x14ac:dyDescent="0.25">
      <c r="B866" s="124"/>
      <c r="C866" s="124"/>
      <c r="D866" s="124"/>
      <c r="E866" s="124"/>
      <c r="F866" s="124"/>
      <c r="G866" s="124"/>
      <c r="H866" s="124"/>
      <c r="I866" s="124"/>
      <c r="J866" s="124"/>
      <c r="K866" s="124"/>
      <c r="L866" s="124"/>
      <c r="M866" s="124"/>
      <c r="N866" s="124"/>
      <c r="O866" s="124"/>
      <c r="P866" s="124"/>
      <c r="Q866" s="124"/>
      <c r="R866" s="124"/>
      <c r="S866" s="124"/>
      <c r="T866" s="124"/>
      <c r="U866" s="124"/>
      <c r="V866" s="124"/>
      <c r="W866" s="124"/>
      <c r="X866" s="124"/>
      <c r="Y866" s="124"/>
    </row>
    <row r="867" spans="2:25" x14ac:dyDescent="0.25">
      <c r="B867" s="124"/>
      <c r="C867" s="124"/>
      <c r="D867" s="124"/>
      <c r="E867" s="124"/>
      <c r="F867" s="124"/>
      <c r="G867" s="124"/>
      <c r="H867" s="124"/>
      <c r="I867" s="124"/>
      <c r="J867" s="124"/>
      <c r="K867" s="124"/>
      <c r="L867" s="124"/>
      <c r="M867" s="124"/>
      <c r="N867" s="124"/>
      <c r="O867" s="124"/>
      <c r="P867" s="124"/>
      <c r="Q867" s="124"/>
      <c r="R867" s="124"/>
      <c r="S867" s="124"/>
      <c r="T867" s="124"/>
      <c r="U867" s="124"/>
      <c r="V867" s="124"/>
      <c r="W867" s="124"/>
      <c r="X867" s="124"/>
      <c r="Y867" s="124"/>
    </row>
    <row r="868" spans="2:25" x14ac:dyDescent="0.25">
      <c r="B868" s="124"/>
      <c r="C868" s="124"/>
      <c r="D868" s="124"/>
      <c r="E868" s="124"/>
      <c r="F868" s="124"/>
      <c r="G868" s="124"/>
      <c r="H868" s="124"/>
      <c r="I868" s="124"/>
      <c r="J868" s="124"/>
      <c r="K868" s="124"/>
      <c r="L868" s="124"/>
      <c r="M868" s="124"/>
      <c r="N868" s="124"/>
      <c r="O868" s="124"/>
      <c r="P868" s="124"/>
      <c r="Q868" s="124"/>
      <c r="R868" s="124"/>
      <c r="S868" s="124"/>
      <c r="T868" s="124"/>
      <c r="U868" s="124"/>
      <c r="V868" s="124"/>
      <c r="W868" s="124"/>
      <c r="X868" s="124"/>
      <c r="Y868" s="124"/>
    </row>
    <row r="869" spans="2:25" x14ac:dyDescent="0.25">
      <c r="B869" s="124"/>
      <c r="C869" s="124"/>
      <c r="D869" s="124"/>
      <c r="E869" s="124"/>
      <c r="F869" s="124"/>
      <c r="G869" s="124"/>
      <c r="H869" s="124"/>
      <c r="I869" s="124"/>
      <c r="J869" s="124"/>
      <c r="K869" s="124"/>
      <c r="L869" s="124"/>
      <c r="M869" s="124"/>
      <c r="N869" s="124"/>
      <c r="O869" s="124"/>
      <c r="P869" s="124"/>
      <c r="Q869" s="124"/>
      <c r="R869" s="124"/>
      <c r="S869" s="124"/>
      <c r="T869" s="124"/>
      <c r="U869" s="124"/>
      <c r="V869" s="124"/>
      <c r="W869" s="124"/>
      <c r="X869" s="124"/>
      <c r="Y869" s="124"/>
    </row>
    <row r="870" spans="2:25" x14ac:dyDescent="0.25">
      <c r="B870" s="124"/>
      <c r="C870" s="124"/>
      <c r="D870" s="124"/>
      <c r="E870" s="124"/>
      <c r="F870" s="124"/>
      <c r="G870" s="124"/>
      <c r="H870" s="124"/>
      <c r="I870" s="124"/>
      <c r="J870" s="124"/>
      <c r="K870" s="124"/>
      <c r="L870" s="124"/>
      <c r="M870" s="124"/>
      <c r="N870" s="124"/>
      <c r="O870" s="124"/>
      <c r="P870" s="124"/>
      <c r="Q870" s="124"/>
      <c r="R870" s="124"/>
      <c r="S870" s="124"/>
      <c r="T870" s="124"/>
      <c r="U870" s="124"/>
      <c r="V870" s="124"/>
      <c r="W870" s="124"/>
      <c r="X870" s="124"/>
      <c r="Y870" s="124"/>
    </row>
    <row r="871" spans="2:25" x14ac:dyDescent="0.25">
      <c r="B871" s="124"/>
      <c r="C871" s="124"/>
      <c r="D871" s="124"/>
      <c r="E871" s="124"/>
      <c r="F871" s="124"/>
      <c r="G871" s="124"/>
      <c r="H871" s="124"/>
      <c r="I871" s="124"/>
      <c r="J871" s="124"/>
      <c r="K871" s="124"/>
      <c r="L871" s="124"/>
      <c r="M871" s="124"/>
      <c r="N871" s="124"/>
      <c r="O871" s="124"/>
      <c r="P871" s="124"/>
      <c r="Q871" s="124"/>
      <c r="R871" s="124"/>
      <c r="S871" s="124"/>
      <c r="T871" s="124"/>
      <c r="U871" s="124"/>
      <c r="V871" s="124"/>
      <c r="W871" s="124"/>
      <c r="X871" s="124"/>
      <c r="Y871" s="124"/>
    </row>
    <row r="872" spans="2:25" x14ac:dyDescent="0.25">
      <c r="B872" s="124"/>
      <c r="C872" s="124"/>
      <c r="D872" s="124"/>
      <c r="E872" s="124"/>
      <c r="F872" s="124"/>
      <c r="G872" s="124"/>
      <c r="H872" s="124"/>
      <c r="I872" s="124"/>
      <c r="J872" s="124"/>
      <c r="K872" s="124"/>
      <c r="L872" s="124"/>
      <c r="M872" s="124"/>
      <c r="N872" s="124"/>
      <c r="O872" s="124"/>
      <c r="P872" s="124"/>
      <c r="Q872" s="124"/>
      <c r="R872" s="124"/>
      <c r="S872" s="124"/>
      <c r="T872" s="124"/>
      <c r="U872" s="124"/>
      <c r="V872" s="124"/>
      <c r="W872" s="124"/>
      <c r="X872" s="124"/>
      <c r="Y872" s="124"/>
    </row>
    <row r="873" spans="2:25" x14ac:dyDescent="0.25">
      <c r="B873" s="124"/>
      <c r="C873" s="124"/>
      <c r="D873" s="124"/>
      <c r="E873" s="124"/>
      <c r="F873" s="124"/>
      <c r="G873" s="124"/>
      <c r="H873" s="124"/>
      <c r="I873" s="124"/>
      <c r="J873" s="124"/>
      <c r="K873" s="124"/>
      <c r="L873" s="124"/>
      <c r="M873" s="124"/>
      <c r="N873" s="124"/>
      <c r="O873" s="124"/>
      <c r="P873" s="124"/>
      <c r="Q873" s="124"/>
      <c r="R873" s="124"/>
      <c r="S873" s="124"/>
      <c r="T873" s="124"/>
      <c r="U873" s="124"/>
      <c r="V873" s="124"/>
      <c r="W873" s="124"/>
      <c r="X873" s="124"/>
      <c r="Y873" s="124"/>
    </row>
    <row r="874" spans="2:25" x14ac:dyDescent="0.25">
      <c r="B874" s="124"/>
      <c r="C874" s="124"/>
      <c r="D874" s="124"/>
      <c r="E874" s="124"/>
      <c r="F874" s="124"/>
      <c r="G874" s="124"/>
      <c r="H874" s="124"/>
      <c r="I874" s="124"/>
      <c r="J874" s="124"/>
      <c r="K874" s="124"/>
      <c r="L874" s="124"/>
      <c r="M874" s="124"/>
      <c r="N874" s="124"/>
      <c r="O874" s="124"/>
      <c r="P874" s="124"/>
      <c r="Q874" s="124"/>
      <c r="R874" s="124"/>
      <c r="S874" s="124"/>
      <c r="T874" s="124"/>
      <c r="U874" s="124"/>
      <c r="V874" s="124"/>
      <c r="W874" s="124"/>
      <c r="X874" s="124"/>
      <c r="Y874" s="124"/>
    </row>
    <row r="875" spans="2:25" x14ac:dyDescent="0.25">
      <c r="B875" s="124"/>
      <c r="C875" s="124"/>
      <c r="D875" s="124"/>
      <c r="E875" s="124"/>
      <c r="F875" s="124"/>
      <c r="G875" s="124"/>
      <c r="H875" s="124"/>
      <c r="I875" s="124"/>
      <c r="J875" s="124"/>
      <c r="K875" s="124"/>
      <c r="L875" s="124"/>
      <c r="M875" s="124"/>
      <c r="N875" s="124"/>
      <c r="O875" s="124"/>
      <c r="P875" s="124"/>
      <c r="Q875" s="124"/>
      <c r="R875" s="124"/>
      <c r="S875" s="124"/>
      <c r="T875" s="124"/>
      <c r="U875" s="124"/>
      <c r="V875" s="124"/>
      <c r="W875" s="124"/>
      <c r="X875" s="124"/>
      <c r="Y875" s="124"/>
    </row>
    <row r="876" spans="2:25" x14ac:dyDescent="0.25">
      <c r="B876" s="124"/>
      <c r="C876" s="124"/>
      <c r="D876" s="124"/>
      <c r="E876" s="124"/>
      <c r="F876" s="124"/>
      <c r="G876" s="124"/>
      <c r="H876" s="124"/>
      <c r="I876" s="124"/>
      <c r="J876" s="124"/>
      <c r="K876" s="124"/>
      <c r="L876" s="124"/>
      <c r="M876" s="124"/>
      <c r="N876" s="124"/>
      <c r="O876" s="124"/>
      <c r="P876" s="124"/>
      <c r="Q876" s="124"/>
      <c r="R876" s="124"/>
      <c r="S876" s="124"/>
      <c r="T876" s="124"/>
      <c r="U876" s="124"/>
      <c r="V876" s="124"/>
      <c r="W876" s="124"/>
      <c r="X876" s="124"/>
      <c r="Y876" s="124"/>
    </row>
    <row r="877" spans="2:25" x14ac:dyDescent="0.25">
      <c r="B877" s="124"/>
      <c r="C877" s="124"/>
      <c r="D877" s="124"/>
      <c r="E877" s="124"/>
      <c r="F877" s="124"/>
      <c r="G877" s="124"/>
      <c r="H877" s="124"/>
      <c r="I877" s="124"/>
      <c r="J877" s="124"/>
      <c r="K877" s="124"/>
      <c r="L877" s="124"/>
      <c r="M877" s="124"/>
      <c r="N877" s="124"/>
      <c r="O877" s="124"/>
      <c r="P877" s="124"/>
      <c r="Q877" s="124"/>
      <c r="R877" s="124"/>
      <c r="S877" s="124"/>
      <c r="T877" s="124"/>
      <c r="U877" s="124"/>
      <c r="V877" s="124"/>
      <c r="W877" s="124"/>
      <c r="X877" s="124"/>
      <c r="Y877" s="124"/>
    </row>
    <row r="878" spans="2:25" x14ac:dyDescent="0.25">
      <c r="B878" s="124"/>
      <c r="C878" s="124"/>
      <c r="D878" s="124"/>
      <c r="E878" s="124"/>
      <c r="F878" s="124"/>
      <c r="G878" s="124"/>
      <c r="H878" s="124"/>
      <c r="I878" s="124"/>
      <c r="J878" s="124"/>
      <c r="K878" s="124"/>
      <c r="L878" s="124"/>
      <c r="M878" s="124"/>
      <c r="N878" s="124"/>
      <c r="O878" s="124"/>
      <c r="P878" s="124"/>
      <c r="Q878" s="124"/>
      <c r="R878" s="124"/>
      <c r="S878" s="124"/>
      <c r="T878" s="124"/>
      <c r="U878" s="124"/>
      <c r="V878" s="124"/>
      <c r="W878" s="124"/>
      <c r="X878" s="124"/>
      <c r="Y878" s="124"/>
    </row>
    <row r="879" spans="2:25" x14ac:dyDescent="0.25">
      <c r="B879" s="124"/>
      <c r="C879" s="124"/>
      <c r="D879" s="124"/>
      <c r="E879" s="124"/>
      <c r="F879" s="124"/>
      <c r="G879" s="124"/>
      <c r="H879" s="124"/>
      <c r="I879" s="124"/>
      <c r="J879" s="124"/>
      <c r="K879" s="124"/>
      <c r="L879" s="124"/>
      <c r="M879" s="124"/>
      <c r="N879" s="124"/>
      <c r="O879" s="124"/>
      <c r="P879" s="124"/>
      <c r="Q879" s="124"/>
      <c r="R879" s="124"/>
      <c r="S879" s="124"/>
      <c r="T879" s="124"/>
      <c r="U879" s="124"/>
      <c r="V879" s="124"/>
      <c r="W879" s="124"/>
      <c r="X879" s="124"/>
      <c r="Y879" s="124"/>
    </row>
    <row r="880" spans="2:25" x14ac:dyDescent="0.25">
      <c r="B880" s="124"/>
      <c r="C880" s="124"/>
      <c r="D880" s="124"/>
      <c r="E880" s="124"/>
      <c r="F880" s="124"/>
      <c r="G880" s="124"/>
      <c r="H880" s="124"/>
      <c r="I880" s="124"/>
      <c r="J880" s="124"/>
      <c r="K880" s="124"/>
      <c r="L880" s="124"/>
      <c r="M880" s="124"/>
      <c r="N880" s="124"/>
      <c r="O880" s="124"/>
      <c r="P880" s="124"/>
      <c r="Q880" s="124"/>
      <c r="R880" s="124"/>
      <c r="S880" s="124"/>
      <c r="T880" s="124"/>
      <c r="U880" s="124"/>
      <c r="V880" s="124"/>
      <c r="W880" s="124"/>
      <c r="X880" s="124"/>
      <c r="Y880" s="124"/>
    </row>
    <row r="881" spans="2:25" x14ac:dyDescent="0.25">
      <c r="B881" s="124"/>
      <c r="C881" s="124"/>
      <c r="D881" s="124"/>
      <c r="E881" s="124"/>
      <c r="F881" s="124"/>
      <c r="G881" s="124"/>
      <c r="H881" s="124"/>
      <c r="I881" s="124"/>
      <c r="J881" s="124"/>
      <c r="K881" s="124"/>
      <c r="L881" s="124"/>
      <c r="M881" s="124"/>
      <c r="N881" s="124"/>
      <c r="O881" s="124"/>
      <c r="P881" s="124"/>
      <c r="Q881" s="124"/>
      <c r="R881" s="124"/>
      <c r="S881" s="124"/>
      <c r="T881" s="124"/>
      <c r="U881" s="124"/>
      <c r="V881" s="124"/>
      <c r="W881" s="124"/>
      <c r="X881" s="124"/>
      <c r="Y881" s="124"/>
    </row>
    <row r="882" spans="2:25" x14ac:dyDescent="0.25">
      <c r="B882" s="124"/>
      <c r="C882" s="124"/>
      <c r="D882" s="124"/>
      <c r="E882" s="124"/>
      <c r="F882" s="124"/>
      <c r="G882" s="124"/>
      <c r="H882" s="124"/>
      <c r="I882" s="124"/>
      <c r="J882" s="124"/>
      <c r="K882" s="124"/>
      <c r="L882" s="124"/>
      <c r="M882" s="124"/>
      <c r="N882" s="124"/>
      <c r="O882" s="124"/>
      <c r="P882" s="124"/>
      <c r="Q882" s="124"/>
      <c r="R882" s="124"/>
      <c r="S882" s="124"/>
      <c r="T882" s="124"/>
      <c r="U882" s="124"/>
      <c r="V882" s="124"/>
      <c r="W882" s="124"/>
      <c r="X882" s="124"/>
      <c r="Y882" s="124"/>
    </row>
    <row r="883" spans="2:25" x14ac:dyDescent="0.25">
      <c r="B883" s="124"/>
      <c r="C883" s="124"/>
      <c r="D883" s="124"/>
      <c r="E883" s="124"/>
      <c r="F883" s="124"/>
      <c r="G883" s="124"/>
      <c r="H883" s="124"/>
      <c r="I883" s="124"/>
      <c r="J883" s="124"/>
      <c r="K883" s="124"/>
      <c r="L883" s="124"/>
      <c r="M883" s="124"/>
      <c r="N883" s="124"/>
      <c r="O883" s="124"/>
      <c r="P883" s="124"/>
      <c r="Q883" s="124"/>
      <c r="R883" s="124"/>
      <c r="S883" s="124"/>
      <c r="T883" s="124"/>
      <c r="U883" s="124"/>
      <c r="V883" s="124"/>
      <c r="W883" s="124"/>
      <c r="X883" s="124"/>
      <c r="Y883" s="124"/>
    </row>
    <row r="884" spans="2:25" x14ac:dyDescent="0.25">
      <c r="B884" s="124"/>
      <c r="C884" s="124"/>
      <c r="D884" s="124"/>
      <c r="E884" s="124"/>
      <c r="F884" s="124"/>
      <c r="G884" s="124"/>
      <c r="H884" s="124"/>
      <c r="I884" s="124"/>
      <c r="J884" s="124"/>
      <c r="K884" s="124"/>
      <c r="L884" s="124"/>
      <c r="M884" s="124"/>
      <c r="N884" s="124"/>
      <c r="O884" s="124"/>
      <c r="P884" s="124"/>
      <c r="Q884" s="124"/>
      <c r="R884" s="124"/>
      <c r="S884" s="124"/>
      <c r="T884" s="124"/>
      <c r="U884" s="124"/>
      <c r="V884" s="124"/>
      <c r="W884" s="124"/>
      <c r="X884" s="124"/>
      <c r="Y884" s="124"/>
    </row>
    <row r="885" spans="2:25" x14ac:dyDescent="0.25">
      <c r="B885" s="124"/>
      <c r="C885" s="124"/>
      <c r="D885" s="124"/>
      <c r="E885" s="124"/>
      <c r="F885" s="124"/>
      <c r="G885" s="124"/>
      <c r="H885" s="124"/>
      <c r="I885" s="124"/>
      <c r="J885" s="124"/>
      <c r="K885" s="124"/>
      <c r="L885" s="124"/>
      <c r="M885" s="124"/>
      <c r="N885" s="124"/>
      <c r="O885" s="124"/>
      <c r="P885" s="124"/>
      <c r="Q885" s="124"/>
      <c r="R885" s="124"/>
      <c r="S885" s="124"/>
      <c r="T885" s="124"/>
      <c r="U885" s="124"/>
      <c r="V885" s="124"/>
      <c r="W885" s="124"/>
      <c r="X885" s="124"/>
      <c r="Y885" s="124"/>
    </row>
    <row r="886" spans="2:25" x14ac:dyDescent="0.25">
      <c r="B886" s="124"/>
      <c r="C886" s="124"/>
      <c r="D886" s="124"/>
      <c r="E886" s="124"/>
      <c r="F886" s="124"/>
      <c r="G886" s="124"/>
      <c r="H886" s="124"/>
      <c r="I886" s="124"/>
      <c r="J886" s="124"/>
      <c r="K886" s="124"/>
      <c r="L886" s="124"/>
      <c r="M886" s="124"/>
      <c r="N886" s="124"/>
      <c r="O886" s="124"/>
      <c r="P886" s="124"/>
      <c r="Q886" s="124"/>
      <c r="R886" s="124"/>
      <c r="S886" s="124"/>
      <c r="T886" s="124"/>
      <c r="U886" s="124"/>
      <c r="V886" s="124"/>
      <c r="W886" s="124"/>
      <c r="X886" s="124"/>
      <c r="Y886" s="124"/>
    </row>
    <row r="887" spans="2:25" x14ac:dyDescent="0.25">
      <c r="B887" s="124"/>
      <c r="C887" s="124"/>
      <c r="D887" s="124"/>
      <c r="E887" s="124"/>
      <c r="F887" s="124"/>
      <c r="G887" s="124"/>
      <c r="H887" s="124"/>
      <c r="I887" s="124"/>
      <c r="J887" s="124"/>
      <c r="K887" s="124"/>
      <c r="L887" s="124"/>
      <c r="M887" s="124"/>
      <c r="N887" s="124"/>
      <c r="O887" s="124"/>
      <c r="P887" s="124"/>
      <c r="Q887" s="124"/>
      <c r="R887" s="124"/>
      <c r="S887" s="124"/>
      <c r="T887" s="124"/>
      <c r="U887" s="124"/>
      <c r="V887" s="124"/>
      <c r="W887" s="124"/>
      <c r="X887" s="124"/>
      <c r="Y887" s="124"/>
    </row>
    <row r="888" spans="2:25" x14ac:dyDescent="0.25">
      <c r="B888" s="124"/>
      <c r="C888" s="124"/>
      <c r="D888" s="124"/>
      <c r="E888" s="124"/>
      <c r="F888" s="124"/>
      <c r="G888" s="124"/>
      <c r="H888" s="124"/>
      <c r="I888" s="124"/>
      <c r="J888" s="124"/>
      <c r="K888" s="124"/>
      <c r="L888" s="124"/>
      <c r="M888" s="124"/>
      <c r="N888" s="124"/>
      <c r="O888" s="124"/>
      <c r="P888" s="124"/>
      <c r="Q888" s="124"/>
      <c r="R888" s="124"/>
      <c r="S888" s="124"/>
      <c r="T888" s="124"/>
      <c r="U888" s="124"/>
      <c r="V888" s="124"/>
      <c r="W888" s="124"/>
      <c r="X888" s="124"/>
      <c r="Y888" s="124"/>
    </row>
    <row r="889" spans="2:25" x14ac:dyDescent="0.25">
      <c r="B889" s="124"/>
      <c r="C889" s="124"/>
      <c r="D889" s="124"/>
      <c r="E889" s="124"/>
      <c r="F889" s="124"/>
      <c r="G889" s="124"/>
      <c r="H889" s="124"/>
      <c r="I889" s="124"/>
      <c r="J889" s="124"/>
      <c r="K889" s="124"/>
      <c r="L889" s="124"/>
      <c r="M889" s="124"/>
      <c r="N889" s="124"/>
      <c r="O889" s="124"/>
      <c r="P889" s="124"/>
      <c r="Q889" s="124"/>
      <c r="R889" s="124"/>
      <c r="S889" s="124"/>
      <c r="T889" s="124"/>
      <c r="U889" s="124"/>
      <c r="V889" s="124"/>
      <c r="W889" s="124"/>
      <c r="X889" s="124"/>
      <c r="Y889" s="124"/>
    </row>
    <row r="890" spans="2:25" x14ac:dyDescent="0.25">
      <c r="B890" s="124"/>
      <c r="C890" s="124"/>
      <c r="D890" s="124"/>
      <c r="E890" s="124"/>
      <c r="F890" s="124"/>
      <c r="G890" s="124"/>
      <c r="H890" s="124"/>
      <c r="I890" s="124"/>
      <c r="J890" s="124"/>
      <c r="K890" s="124"/>
      <c r="L890" s="124"/>
      <c r="M890" s="124"/>
      <c r="N890" s="124"/>
      <c r="O890" s="124"/>
      <c r="P890" s="124"/>
      <c r="Q890" s="124"/>
      <c r="R890" s="124"/>
      <c r="S890" s="124"/>
      <c r="T890" s="124"/>
      <c r="U890" s="124"/>
      <c r="V890" s="124"/>
      <c r="W890" s="124"/>
      <c r="X890" s="124"/>
      <c r="Y890" s="124"/>
    </row>
    <row r="891" spans="2:25" x14ac:dyDescent="0.25">
      <c r="B891" s="124"/>
      <c r="C891" s="124"/>
      <c r="D891" s="124"/>
      <c r="E891" s="124"/>
      <c r="F891" s="124"/>
      <c r="G891" s="124"/>
      <c r="H891" s="124"/>
      <c r="I891" s="124"/>
      <c r="J891" s="124"/>
      <c r="K891" s="124"/>
      <c r="L891" s="124"/>
      <c r="M891" s="124"/>
      <c r="N891" s="124"/>
      <c r="O891" s="124"/>
      <c r="P891" s="124"/>
      <c r="Q891" s="124"/>
      <c r="R891" s="124"/>
      <c r="S891" s="124"/>
      <c r="T891" s="124"/>
      <c r="U891" s="124"/>
      <c r="V891" s="124"/>
      <c r="W891" s="124"/>
      <c r="X891" s="124"/>
      <c r="Y891" s="124"/>
    </row>
    <row r="892" spans="2:25" x14ac:dyDescent="0.25">
      <c r="B892" s="124"/>
      <c r="C892" s="124"/>
      <c r="D892" s="124"/>
      <c r="E892" s="124"/>
      <c r="F892" s="124"/>
      <c r="G892" s="124"/>
      <c r="H892" s="124"/>
      <c r="I892" s="124"/>
      <c r="J892" s="124"/>
      <c r="K892" s="124"/>
      <c r="L892" s="124"/>
      <c r="M892" s="124"/>
      <c r="N892" s="124"/>
      <c r="O892" s="124"/>
      <c r="P892" s="124"/>
      <c r="Q892" s="124"/>
      <c r="R892" s="124"/>
      <c r="S892" s="124"/>
      <c r="T892" s="124"/>
      <c r="U892" s="124"/>
      <c r="V892" s="124"/>
      <c r="W892" s="124"/>
      <c r="X892" s="124"/>
      <c r="Y892" s="124"/>
    </row>
    <row r="893" spans="2:25" x14ac:dyDescent="0.25">
      <c r="B893" s="124"/>
      <c r="C893" s="124"/>
      <c r="D893" s="124"/>
      <c r="E893" s="124"/>
      <c r="F893" s="124"/>
      <c r="G893" s="124"/>
      <c r="H893" s="124"/>
      <c r="I893" s="124"/>
      <c r="J893" s="124"/>
      <c r="K893" s="124"/>
      <c r="L893" s="124"/>
      <c r="M893" s="124"/>
      <c r="N893" s="124"/>
      <c r="O893" s="124"/>
      <c r="P893" s="124"/>
      <c r="Q893" s="124"/>
      <c r="R893" s="124"/>
      <c r="S893" s="124"/>
      <c r="T893" s="124"/>
      <c r="U893" s="124"/>
      <c r="V893" s="124"/>
      <c r="W893" s="124"/>
      <c r="X893" s="124"/>
      <c r="Y893" s="124"/>
    </row>
    <row r="894" spans="2:25" x14ac:dyDescent="0.25">
      <c r="B894" s="124"/>
      <c r="C894" s="124"/>
      <c r="D894" s="124"/>
      <c r="E894" s="124"/>
      <c r="F894" s="124"/>
      <c r="G894" s="124"/>
      <c r="H894" s="124"/>
      <c r="I894" s="124"/>
      <c r="J894" s="124"/>
      <c r="K894" s="124"/>
      <c r="L894" s="124"/>
      <c r="M894" s="124"/>
      <c r="N894" s="124"/>
      <c r="O894" s="124"/>
      <c r="P894" s="124"/>
      <c r="Q894" s="124"/>
      <c r="R894" s="124"/>
      <c r="S894" s="124"/>
      <c r="T894" s="124"/>
      <c r="U894" s="124"/>
      <c r="V894" s="124"/>
      <c r="W894" s="124"/>
      <c r="X894" s="124"/>
      <c r="Y894" s="124"/>
    </row>
    <row r="895" spans="2:25" x14ac:dyDescent="0.25">
      <c r="B895" s="124"/>
      <c r="C895" s="124"/>
      <c r="D895" s="124"/>
      <c r="E895" s="124"/>
      <c r="F895" s="124"/>
      <c r="G895" s="124"/>
      <c r="H895" s="124"/>
      <c r="I895" s="124"/>
      <c r="J895" s="124"/>
      <c r="K895" s="124"/>
      <c r="L895" s="124"/>
      <c r="M895" s="124"/>
      <c r="N895" s="124"/>
      <c r="O895" s="124"/>
      <c r="P895" s="124"/>
      <c r="Q895" s="124"/>
      <c r="R895" s="124"/>
      <c r="S895" s="124"/>
      <c r="T895" s="124"/>
      <c r="U895" s="124"/>
      <c r="V895" s="124"/>
      <c r="W895" s="124"/>
      <c r="X895" s="124"/>
      <c r="Y895" s="124"/>
    </row>
    <row r="896" spans="2:25" x14ac:dyDescent="0.25">
      <c r="B896" s="124"/>
      <c r="C896" s="124"/>
      <c r="D896" s="124"/>
      <c r="E896" s="124"/>
      <c r="F896" s="124"/>
      <c r="G896" s="124"/>
      <c r="H896" s="124"/>
      <c r="I896" s="124"/>
      <c r="J896" s="124"/>
      <c r="K896" s="124"/>
      <c r="L896" s="124"/>
      <c r="M896" s="124"/>
      <c r="N896" s="124"/>
      <c r="O896" s="124"/>
      <c r="P896" s="124"/>
      <c r="Q896" s="124"/>
      <c r="R896" s="124"/>
      <c r="S896" s="124"/>
      <c r="T896" s="124"/>
      <c r="U896" s="124"/>
      <c r="V896" s="124"/>
      <c r="W896" s="124"/>
      <c r="X896" s="124"/>
      <c r="Y896" s="124"/>
    </row>
    <row r="897" spans="2:25" x14ac:dyDescent="0.25">
      <c r="B897" s="124"/>
      <c r="C897" s="124"/>
      <c r="D897" s="124"/>
      <c r="E897" s="124"/>
      <c r="F897" s="124"/>
      <c r="G897" s="124"/>
      <c r="H897" s="124"/>
      <c r="I897" s="124"/>
      <c r="J897" s="124"/>
      <c r="K897" s="124"/>
      <c r="L897" s="124"/>
      <c r="M897" s="124"/>
      <c r="N897" s="124"/>
      <c r="O897" s="124"/>
      <c r="P897" s="124"/>
      <c r="Q897" s="124"/>
      <c r="R897" s="124"/>
      <c r="S897" s="124"/>
      <c r="T897" s="124"/>
      <c r="U897" s="124"/>
      <c r="V897" s="124"/>
      <c r="W897" s="124"/>
      <c r="X897" s="124"/>
      <c r="Y897" s="124"/>
    </row>
    <row r="898" spans="2:25" x14ac:dyDescent="0.25">
      <c r="B898" s="124"/>
      <c r="C898" s="124"/>
      <c r="D898" s="124"/>
      <c r="E898" s="124"/>
      <c r="F898" s="124"/>
      <c r="G898" s="124"/>
      <c r="H898" s="124"/>
      <c r="I898" s="124"/>
      <c r="J898" s="124"/>
      <c r="K898" s="124"/>
      <c r="L898" s="124"/>
      <c r="M898" s="124"/>
      <c r="N898" s="124"/>
      <c r="O898" s="124"/>
      <c r="P898" s="124"/>
      <c r="Q898" s="124"/>
      <c r="R898" s="124"/>
      <c r="S898" s="124"/>
      <c r="T898" s="124"/>
      <c r="U898" s="124"/>
      <c r="V898" s="124"/>
      <c r="W898" s="124"/>
      <c r="X898" s="124"/>
      <c r="Y898" s="124"/>
    </row>
    <row r="899" spans="2:25" x14ac:dyDescent="0.25">
      <c r="B899" s="124"/>
      <c r="C899" s="124"/>
      <c r="D899" s="124"/>
      <c r="E899" s="124"/>
      <c r="F899" s="124"/>
      <c r="G899" s="124"/>
      <c r="H899" s="124"/>
      <c r="I899" s="124"/>
      <c r="J899" s="124"/>
      <c r="K899" s="124"/>
      <c r="L899" s="124"/>
      <c r="M899" s="124"/>
      <c r="N899" s="124"/>
      <c r="O899" s="124"/>
      <c r="P899" s="124"/>
      <c r="Q899" s="124"/>
      <c r="R899" s="124"/>
      <c r="S899" s="124"/>
      <c r="T899" s="124"/>
      <c r="U899" s="124"/>
      <c r="V899" s="124"/>
      <c r="W899" s="124"/>
      <c r="X899" s="124"/>
      <c r="Y899" s="124"/>
    </row>
    <row r="900" spans="2:25" x14ac:dyDescent="0.25">
      <c r="B900" s="124"/>
      <c r="C900" s="124"/>
      <c r="D900" s="124"/>
      <c r="E900" s="124"/>
      <c r="F900" s="124"/>
      <c r="G900" s="124"/>
      <c r="H900" s="124"/>
      <c r="I900" s="124"/>
      <c r="J900" s="124"/>
      <c r="K900" s="124"/>
      <c r="L900" s="124"/>
      <c r="M900" s="124"/>
      <c r="N900" s="124"/>
      <c r="O900" s="124"/>
      <c r="P900" s="124"/>
      <c r="Q900" s="124"/>
      <c r="R900" s="124"/>
      <c r="S900" s="124"/>
      <c r="T900" s="124"/>
      <c r="U900" s="124"/>
      <c r="V900" s="124"/>
      <c r="W900" s="124"/>
      <c r="X900" s="124"/>
      <c r="Y900" s="124"/>
    </row>
    <row r="901" spans="2:25" x14ac:dyDescent="0.25">
      <c r="B901" s="124"/>
      <c r="C901" s="124"/>
      <c r="D901" s="124"/>
      <c r="E901" s="124"/>
      <c r="F901" s="124"/>
      <c r="G901" s="124"/>
      <c r="H901" s="124"/>
      <c r="I901" s="124"/>
      <c r="J901" s="124"/>
      <c r="K901" s="124"/>
      <c r="L901" s="124"/>
      <c r="M901" s="124"/>
      <c r="N901" s="124"/>
      <c r="O901" s="124"/>
      <c r="P901" s="124"/>
      <c r="Q901" s="124"/>
      <c r="R901" s="124"/>
      <c r="S901" s="124"/>
      <c r="T901" s="124"/>
      <c r="U901" s="124"/>
      <c r="V901" s="124"/>
      <c r="W901" s="124"/>
      <c r="X901" s="124"/>
      <c r="Y901" s="124"/>
    </row>
    <row r="902" spans="2:25" x14ac:dyDescent="0.25">
      <c r="B902" s="124"/>
      <c r="C902" s="124"/>
      <c r="D902" s="124"/>
      <c r="E902" s="124"/>
      <c r="F902" s="124"/>
      <c r="G902" s="124"/>
      <c r="H902" s="124"/>
      <c r="I902" s="124"/>
      <c r="J902" s="124"/>
      <c r="K902" s="124"/>
      <c r="L902" s="124"/>
      <c r="M902" s="124"/>
      <c r="N902" s="124"/>
      <c r="O902" s="124"/>
      <c r="P902" s="124"/>
      <c r="Q902" s="124"/>
      <c r="R902" s="124"/>
      <c r="S902" s="124"/>
      <c r="T902" s="124"/>
      <c r="U902" s="124"/>
      <c r="V902" s="124"/>
      <c r="W902" s="124"/>
      <c r="X902" s="124"/>
      <c r="Y902" s="124"/>
    </row>
    <row r="903" spans="2:25" x14ac:dyDescent="0.25">
      <c r="B903" s="124"/>
      <c r="C903" s="124"/>
      <c r="D903" s="124"/>
      <c r="E903" s="124"/>
      <c r="F903" s="124"/>
      <c r="G903" s="124"/>
      <c r="H903" s="124"/>
      <c r="I903" s="124"/>
      <c r="J903" s="124"/>
      <c r="K903" s="124"/>
      <c r="L903" s="124"/>
      <c r="M903" s="124"/>
      <c r="N903" s="124"/>
      <c r="O903" s="124"/>
      <c r="P903" s="124"/>
      <c r="Q903" s="124"/>
      <c r="R903" s="124"/>
      <c r="S903" s="124"/>
      <c r="T903" s="124"/>
      <c r="U903" s="124"/>
      <c r="V903" s="124"/>
      <c r="W903" s="124"/>
      <c r="X903" s="124"/>
      <c r="Y903" s="124"/>
    </row>
    <row r="904" spans="2:25" x14ac:dyDescent="0.25">
      <c r="B904" s="124"/>
      <c r="C904" s="124"/>
      <c r="D904" s="124"/>
      <c r="E904" s="124"/>
      <c r="F904" s="124"/>
      <c r="G904" s="124"/>
      <c r="H904" s="124"/>
      <c r="I904" s="124"/>
      <c r="J904" s="124"/>
      <c r="K904" s="124"/>
      <c r="L904" s="124"/>
      <c r="M904" s="124"/>
      <c r="N904" s="124"/>
      <c r="O904" s="124"/>
      <c r="P904" s="124"/>
      <c r="Q904" s="124"/>
      <c r="R904" s="124"/>
      <c r="S904" s="124"/>
      <c r="T904" s="124"/>
      <c r="U904" s="124"/>
      <c r="V904" s="124"/>
      <c r="W904" s="124"/>
      <c r="X904" s="124"/>
      <c r="Y904" s="124"/>
    </row>
    <row r="905" spans="2:25" x14ac:dyDescent="0.25">
      <c r="B905" s="124"/>
      <c r="C905" s="124"/>
      <c r="D905" s="124"/>
      <c r="E905" s="124"/>
      <c r="F905" s="124"/>
      <c r="G905" s="124"/>
      <c r="H905" s="124"/>
      <c r="I905" s="124"/>
      <c r="J905" s="124"/>
      <c r="K905" s="124"/>
      <c r="L905" s="124"/>
      <c r="M905" s="124"/>
      <c r="N905" s="124"/>
      <c r="O905" s="124"/>
      <c r="P905" s="124"/>
      <c r="Q905" s="124"/>
      <c r="R905" s="124"/>
      <c r="S905" s="124"/>
      <c r="T905" s="124"/>
      <c r="U905" s="124"/>
      <c r="V905" s="124"/>
      <c r="W905" s="124"/>
      <c r="X905" s="124"/>
      <c r="Y905" s="124"/>
    </row>
    <row r="906" spans="2:25" x14ac:dyDescent="0.25">
      <c r="B906" s="124"/>
      <c r="C906" s="124"/>
      <c r="D906" s="124"/>
      <c r="E906" s="124"/>
      <c r="F906" s="124"/>
      <c r="G906" s="124"/>
      <c r="H906" s="124"/>
      <c r="I906" s="124"/>
      <c r="J906" s="124"/>
      <c r="K906" s="124"/>
      <c r="L906" s="124"/>
      <c r="M906" s="124"/>
      <c r="N906" s="124"/>
      <c r="O906" s="124"/>
      <c r="P906" s="124"/>
      <c r="Q906" s="124"/>
      <c r="R906" s="124"/>
      <c r="S906" s="124"/>
      <c r="T906" s="124"/>
      <c r="U906" s="124"/>
      <c r="V906" s="124"/>
      <c r="W906" s="124"/>
      <c r="X906" s="124"/>
      <c r="Y906" s="124"/>
    </row>
    <row r="907" spans="2:25" x14ac:dyDescent="0.25">
      <c r="B907" s="124"/>
      <c r="C907" s="124"/>
      <c r="D907" s="124"/>
      <c r="E907" s="124"/>
      <c r="F907" s="124"/>
      <c r="G907" s="124"/>
      <c r="H907" s="124"/>
      <c r="I907" s="124"/>
      <c r="J907" s="124"/>
      <c r="K907" s="124"/>
      <c r="L907" s="124"/>
      <c r="M907" s="124"/>
      <c r="N907" s="124"/>
      <c r="O907" s="124"/>
      <c r="P907" s="124"/>
      <c r="Q907" s="124"/>
      <c r="R907" s="124"/>
      <c r="S907" s="124"/>
      <c r="T907" s="124"/>
      <c r="U907" s="124"/>
      <c r="V907" s="124"/>
      <c r="W907" s="124"/>
      <c r="X907" s="124"/>
      <c r="Y907" s="124"/>
    </row>
    <row r="908" spans="2:25" x14ac:dyDescent="0.25">
      <c r="B908" s="124"/>
      <c r="C908" s="124"/>
      <c r="D908" s="124"/>
      <c r="E908" s="124"/>
      <c r="F908" s="124"/>
      <c r="G908" s="124"/>
      <c r="H908" s="124"/>
      <c r="I908" s="124"/>
      <c r="J908" s="124"/>
      <c r="K908" s="124"/>
      <c r="L908" s="124"/>
      <c r="M908" s="124"/>
      <c r="N908" s="124"/>
      <c r="O908" s="124"/>
      <c r="P908" s="124"/>
      <c r="Q908" s="124"/>
      <c r="R908" s="124"/>
      <c r="S908" s="124"/>
      <c r="T908" s="124"/>
      <c r="U908" s="124"/>
      <c r="V908" s="124"/>
      <c r="W908" s="124"/>
      <c r="X908" s="124"/>
      <c r="Y908" s="124"/>
    </row>
    <row r="909" spans="2:25" x14ac:dyDescent="0.25">
      <c r="B909" s="124"/>
      <c r="C909" s="124"/>
      <c r="D909" s="124"/>
      <c r="E909" s="124"/>
      <c r="F909" s="124"/>
      <c r="G909" s="124"/>
      <c r="H909" s="124"/>
      <c r="I909" s="124"/>
      <c r="J909" s="124"/>
      <c r="K909" s="124"/>
      <c r="L909" s="124"/>
      <c r="M909" s="124"/>
      <c r="N909" s="124"/>
      <c r="O909" s="124"/>
      <c r="P909" s="124"/>
      <c r="Q909" s="124"/>
      <c r="R909" s="124"/>
      <c r="S909" s="124"/>
      <c r="T909" s="124"/>
      <c r="U909" s="124"/>
      <c r="V909" s="124"/>
      <c r="W909" s="124"/>
      <c r="X909" s="124"/>
      <c r="Y909" s="124"/>
    </row>
    <row r="910" spans="2:25" x14ac:dyDescent="0.25">
      <c r="B910" s="124"/>
      <c r="C910" s="124"/>
      <c r="D910" s="124"/>
      <c r="E910" s="124"/>
      <c r="F910" s="124"/>
      <c r="G910" s="124"/>
      <c r="H910" s="124"/>
      <c r="I910" s="124"/>
      <c r="J910" s="124"/>
      <c r="K910" s="124"/>
      <c r="L910" s="124"/>
      <c r="M910" s="124"/>
      <c r="N910" s="124"/>
      <c r="O910" s="124"/>
      <c r="P910" s="124"/>
      <c r="Q910" s="124"/>
      <c r="R910" s="124"/>
      <c r="S910" s="124"/>
      <c r="T910" s="124"/>
      <c r="U910" s="124"/>
      <c r="V910" s="124"/>
      <c r="W910" s="124"/>
      <c r="X910" s="124"/>
      <c r="Y910" s="124"/>
    </row>
    <row r="911" spans="2:25" x14ac:dyDescent="0.25">
      <c r="B911" s="124"/>
      <c r="C911" s="124"/>
      <c r="D911" s="124"/>
      <c r="E911" s="124"/>
      <c r="F911" s="124"/>
      <c r="G911" s="124"/>
      <c r="H911" s="124"/>
      <c r="I911" s="124"/>
      <c r="J911" s="124"/>
      <c r="K911" s="124"/>
      <c r="L911" s="124"/>
      <c r="M911" s="124"/>
      <c r="N911" s="124"/>
      <c r="O911" s="124"/>
      <c r="P911" s="124"/>
      <c r="Q911" s="124"/>
      <c r="R911" s="124"/>
      <c r="S911" s="124"/>
      <c r="T911" s="124"/>
      <c r="U911" s="124"/>
      <c r="V911" s="124"/>
      <c r="W911" s="124"/>
      <c r="X911" s="124"/>
      <c r="Y911" s="124"/>
    </row>
    <row r="912" spans="2:25" x14ac:dyDescent="0.25">
      <c r="B912" s="124"/>
      <c r="C912" s="124"/>
      <c r="D912" s="124"/>
      <c r="E912" s="124"/>
      <c r="F912" s="124"/>
      <c r="G912" s="124"/>
      <c r="H912" s="124"/>
      <c r="I912" s="124"/>
      <c r="J912" s="124"/>
      <c r="K912" s="124"/>
      <c r="L912" s="124"/>
      <c r="M912" s="124"/>
      <c r="N912" s="124"/>
      <c r="O912" s="124"/>
      <c r="P912" s="124"/>
      <c r="Q912" s="124"/>
      <c r="R912" s="124"/>
      <c r="S912" s="124"/>
      <c r="T912" s="124"/>
      <c r="U912" s="124"/>
      <c r="V912" s="124"/>
      <c r="W912" s="124"/>
      <c r="X912" s="124"/>
      <c r="Y912" s="124"/>
    </row>
    <row r="913" spans="2:25" x14ac:dyDescent="0.25">
      <c r="B913" s="124"/>
      <c r="C913" s="124"/>
      <c r="D913" s="124"/>
      <c r="E913" s="124"/>
      <c r="F913" s="124"/>
      <c r="G913" s="124"/>
      <c r="H913" s="124"/>
      <c r="I913" s="124"/>
      <c r="J913" s="124"/>
      <c r="K913" s="124"/>
      <c r="L913" s="124"/>
      <c r="M913" s="124"/>
      <c r="N913" s="124"/>
      <c r="O913" s="124"/>
      <c r="P913" s="124"/>
      <c r="Q913" s="124"/>
      <c r="R913" s="124"/>
      <c r="S913" s="124"/>
      <c r="T913" s="124"/>
      <c r="U913" s="124"/>
      <c r="V913" s="124"/>
      <c r="W913" s="124"/>
      <c r="X913" s="124"/>
      <c r="Y913" s="124"/>
    </row>
    <row r="914" spans="2:25" x14ac:dyDescent="0.25">
      <c r="B914" s="124"/>
      <c r="C914" s="124"/>
      <c r="D914" s="124"/>
      <c r="E914" s="124"/>
      <c r="F914" s="124"/>
      <c r="G914" s="124"/>
      <c r="H914" s="124"/>
      <c r="I914" s="124"/>
      <c r="J914" s="124"/>
      <c r="K914" s="124"/>
      <c r="L914" s="124"/>
      <c r="M914" s="124"/>
      <c r="N914" s="124"/>
      <c r="O914" s="124"/>
      <c r="P914" s="124"/>
      <c r="Q914" s="124"/>
      <c r="R914" s="124"/>
      <c r="S914" s="124"/>
      <c r="T914" s="124"/>
      <c r="U914" s="124"/>
      <c r="V914" s="124"/>
      <c r="W914" s="124"/>
      <c r="X914" s="124"/>
      <c r="Y914" s="124"/>
    </row>
    <row r="915" spans="2:25" x14ac:dyDescent="0.25">
      <c r="B915" s="124"/>
      <c r="C915" s="124"/>
      <c r="D915" s="124"/>
      <c r="E915" s="124"/>
      <c r="F915" s="124"/>
      <c r="G915" s="124"/>
      <c r="H915" s="124"/>
      <c r="I915" s="124"/>
      <c r="J915" s="124"/>
      <c r="K915" s="124"/>
      <c r="L915" s="124"/>
      <c r="M915" s="124"/>
      <c r="N915" s="124"/>
      <c r="O915" s="124"/>
      <c r="P915" s="124"/>
      <c r="Q915" s="124"/>
      <c r="R915" s="124"/>
      <c r="S915" s="124"/>
      <c r="T915" s="124"/>
      <c r="U915" s="124"/>
      <c r="V915" s="124"/>
      <c r="W915" s="124"/>
      <c r="X915" s="124"/>
      <c r="Y915" s="124"/>
    </row>
    <row r="916" spans="2:25" x14ac:dyDescent="0.25">
      <c r="B916" s="124"/>
      <c r="C916" s="124"/>
      <c r="D916" s="124"/>
      <c r="E916" s="124"/>
      <c r="F916" s="124"/>
      <c r="G916" s="124"/>
      <c r="H916" s="124"/>
      <c r="I916" s="124"/>
      <c r="J916" s="124"/>
      <c r="K916" s="124"/>
      <c r="L916" s="124"/>
      <c r="M916" s="124"/>
      <c r="N916" s="124"/>
      <c r="O916" s="124"/>
      <c r="P916" s="124"/>
      <c r="Q916" s="124"/>
      <c r="R916" s="124"/>
      <c r="S916" s="124"/>
      <c r="T916" s="124"/>
      <c r="U916" s="124"/>
      <c r="V916" s="124"/>
      <c r="W916" s="124"/>
      <c r="X916" s="124"/>
      <c r="Y916" s="124"/>
    </row>
    <row r="917" spans="2:25" x14ac:dyDescent="0.25">
      <c r="B917" s="124"/>
      <c r="C917" s="124"/>
      <c r="D917" s="124"/>
      <c r="E917" s="124"/>
      <c r="F917" s="124"/>
      <c r="G917" s="124"/>
      <c r="H917" s="124"/>
      <c r="I917" s="124"/>
      <c r="J917" s="124"/>
      <c r="K917" s="124"/>
      <c r="L917" s="124"/>
      <c r="M917" s="124"/>
      <c r="N917" s="124"/>
      <c r="O917" s="124"/>
      <c r="P917" s="124"/>
      <c r="Q917" s="124"/>
      <c r="R917" s="124"/>
      <c r="S917" s="124"/>
      <c r="T917" s="124"/>
      <c r="U917" s="124"/>
      <c r="V917" s="124"/>
      <c r="W917" s="124"/>
      <c r="X917" s="124"/>
      <c r="Y917" s="124"/>
    </row>
    <row r="918" spans="2:25" x14ac:dyDescent="0.25">
      <c r="B918" s="124"/>
      <c r="C918" s="124"/>
      <c r="D918" s="124"/>
      <c r="E918" s="124"/>
      <c r="F918" s="124"/>
      <c r="G918" s="124"/>
      <c r="H918" s="124"/>
      <c r="I918" s="124"/>
      <c r="J918" s="124"/>
      <c r="K918" s="124"/>
      <c r="L918" s="124"/>
      <c r="M918" s="124"/>
      <c r="N918" s="124"/>
      <c r="O918" s="124"/>
      <c r="P918" s="124"/>
      <c r="Q918" s="124"/>
      <c r="R918" s="124"/>
      <c r="S918" s="124"/>
      <c r="T918" s="124"/>
      <c r="U918" s="124"/>
      <c r="V918" s="124"/>
      <c r="W918" s="124"/>
      <c r="X918" s="124"/>
      <c r="Y918" s="124"/>
    </row>
    <row r="919" spans="2:25" x14ac:dyDescent="0.25">
      <c r="B919" s="124"/>
      <c r="C919" s="124"/>
      <c r="D919" s="124"/>
      <c r="E919" s="124"/>
      <c r="F919" s="124"/>
      <c r="G919" s="124"/>
      <c r="H919" s="124"/>
      <c r="I919" s="124"/>
      <c r="J919" s="124"/>
      <c r="K919" s="124"/>
      <c r="L919" s="124"/>
      <c r="M919" s="124"/>
      <c r="N919" s="124"/>
      <c r="O919" s="124"/>
      <c r="P919" s="124"/>
      <c r="Q919" s="124"/>
      <c r="R919" s="124"/>
      <c r="S919" s="124"/>
      <c r="T919" s="124"/>
      <c r="U919" s="124"/>
      <c r="V919" s="124"/>
      <c r="W919" s="124"/>
      <c r="X919" s="124"/>
      <c r="Y919" s="124"/>
    </row>
    <row r="920" spans="2:25" x14ac:dyDescent="0.25">
      <c r="B920" s="124"/>
      <c r="C920" s="124"/>
      <c r="D920" s="124"/>
      <c r="E920" s="124"/>
      <c r="F920" s="124"/>
      <c r="G920" s="124"/>
      <c r="H920" s="124"/>
      <c r="I920" s="124"/>
      <c r="J920" s="124"/>
      <c r="K920" s="124"/>
      <c r="L920" s="124"/>
      <c r="M920" s="124"/>
      <c r="N920" s="124"/>
      <c r="O920" s="124"/>
      <c r="P920" s="124"/>
      <c r="Q920" s="124"/>
      <c r="R920" s="124"/>
      <c r="S920" s="124"/>
      <c r="T920" s="124"/>
      <c r="U920" s="124"/>
      <c r="V920" s="124"/>
      <c r="W920" s="124"/>
      <c r="X920" s="124"/>
      <c r="Y920" s="124"/>
    </row>
    <row r="921" spans="2:25" x14ac:dyDescent="0.25">
      <c r="B921" s="124"/>
      <c r="C921" s="124"/>
      <c r="D921" s="124"/>
      <c r="E921" s="124"/>
      <c r="F921" s="124"/>
      <c r="G921" s="124"/>
      <c r="H921" s="124"/>
      <c r="I921" s="124"/>
      <c r="J921" s="124"/>
      <c r="K921" s="124"/>
      <c r="L921" s="124"/>
      <c r="M921" s="124"/>
      <c r="N921" s="124"/>
      <c r="O921" s="124"/>
      <c r="P921" s="124"/>
      <c r="Q921" s="124"/>
      <c r="R921" s="124"/>
      <c r="S921" s="124"/>
      <c r="T921" s="124"/>
      <c r="U921" s="124"/>
      <c r="V921" s="124"/>
      <c r="W921" s="124"/>
      <c r="X921" s="124"/>
      <c r="Y921" s="124"/>
    </row>
    <row r="922" spans="2:25" x14ac:dyDescent="0.25">
      <c r="B922" s="124"/>
      <c r="C922" s="124"/>
      <c r="D922" s="124"/>
      <c r="E922" s="124"/>
      <c r="F922" s="124"/>
      <c r="G922" s="124"/>
      <c r="H922" s="124"/>
      <c r="I922" s="124"/>
      <c r="J922" s="124"/>
      <c r="K922" s="124"/>
      <c r="L922" s="124"/>
      <c r="M922" s="124"/>
      <c r="N922" s="124"/>
      <c r="O922" s="124"/>
      <c r="P922" s="124"/>
      <c r="Q922" s="124"/>
      <c r="R922" s="124"/>
      <c r="S922" s="124"/>
      <c r="T922" s="124"/>
      <c r="U922" s="124"/>
      <c r="V922" s="124"/>
      <c r="W922" s="124"/>
      <c r="X922" s="124"/>
      <c r="Y922" s="124"/>
    </row>
    <row r="923" spans="2:25" x14ac:dyDescent="0.25">
      <c r="B923" s="124"/>
      <c r="C923" s="124"/>
      <c r="D923" s="124"/>
      <c r="E923" s="124"/>
      <c r="F923" s="124"/>
      <c r="G923" s="124"/>
      <c r="H923" s="124"/>
      <c r="I923" s="124"/>
      <c r="J923" s="124"/>
      <c r="K923" s="124"/>
      <c r="L923" s="124"/>
      <c r="M923" s="124"/>
      <c r="N923" s="124"/>
      <c r="O923" s="124"/>
      <c r="P923" s="124"/>
      <c r="Q923" s="124"/>
      <c r="R923" s="124"/>
      <c r="S923" s="124"/>
      <c r="T923" s="124"/>
      <c r="U923" s="124"/>
      <c r="V923" s="124"/>
      <c r="W923" s="124"/>
      <c r="X923" s="124"/>
      <c r="Y923" s="124"/>
    </row>
    <row r="924" spans="2:25" x14ac:dyDescent="0.25">
      <c r="B924" s="124"/>
      <c r="C924" s="124"/>
      <c r="D924" s="124"/>
      <c r="E924" s="124"/>
      <c r="F924" s="124"/>
      <c r="G924" s="124"/>
      <c r="H924" s="124"/>
      <c r="I924" s="124"/>
      <c r="J924" s="124"/>
      <c r="K924" s="124"/>
      <c r="L924" s="124"/>
      <c r="M924" s="124"/>
      <c r="N924" s="124"/>
      <c r="O924" s="124"/>
      <c r="P924" s="124"/>
      <c r="Q924" s="124"/>
      <c r="R924" s="124"/>
      <c r="S924" s="124"/>
      <c r="T924" s="124"/>
      <c r="U924" s="124"/>
      <c r="V924" s="124"/>
      <c r="W924" s="124"/>
      <c r="X924" s="124"/>
      <c r="Y924" s="124"/>
    </row>
    <row r="925" spans="2:25" x14ac:dyDescent="0.25">
      <c r="B925" s="124"/>
      <c r="C925" s="124"/>
      <c r="D925" s="124"/>
      <c r="E925" s="124"/>
      <c r="F925" s="124"/>
      <c r="G925" s="124"/>
      <c r="H925" s="124"/>
      <c r="I925" s="124"/>
      <c r="J925" s="124"/>
      <c r="K925" s="124"/>
      <c r="L925" s="124"/>
      <c r="M925" s="124"/>
      <c r="N925" s="124"/>
      <c r="O925" s="124"/>
      <c r="P925" s="124"/>
      <c r="Q925" s="124"/>
      <c r="R925" s="124"/>
      <c r="S925" s="124"/>
      <c r="T925" s="124"/>
      <c r="U925" s="124"/>
      <c r="V925" s="124"/>
      <c r="W925" s="124"/>
      <c r="X925" s="124"/>
      <c r="Y925" s="124"/>
    </row>
    <row r="926" spans="2:25" x14ac:dyDescent="0.25">
      <c r="B926" s="124"/>
      <c r="C926" s="124"/>
      <c r="D926" s="124"/>
      <c r="E926" s="124"/>
      <c r="F926" s="124"/>
      <c r="G926" s="124"/>
      <c r="H926" s="124"/>
      <c r="I926" s="124"/>
      <c r="J926" s="124"/>
      <c r="K926" s="124"/>
      <c r="L926" s="124"/>
      <c r="M926" s="124"/>
      <c r="N926" s="124"/>
      <c r="O926" s="124"/>
      <c r="P926" s="124"/>
      <c r="Q926" s="124"/>
      <c r="R926" s="124"/>
      <c r="S926" s="124"/>
      <c r="T926" s="124"/>
      <c r="U926" s="124"/>
      <c r="V926" s="124"/>
      <c r="W926" s="124"/>
      <c r="X926" s="124"/>
      <c r="Y926" s="124"/>
    </row>
    <row r="927" spans="2:25" x14ac:dyDescent="0.25">
      <c r="B927" s="124"/>
      <c r="C927" s="124"/>
      <c r="D927" s="124"/>
      <c r="E927" s="124"/>
      <c r="F927" s="124"/>
      <c r="G927" s="124"/>
      <c r="H927" s="124"/>
      <c r="I927" s="124"/>
      <c r="J927" s="124"/>
      <c r="K927" s="124"/>
      <c r="L927" s="124"/>
      <c r="M927" s="124"/>
      <c r="N927" s="124"/>
      <c r="O927" s="124"/>
      <c r="P927" s="124"/>
      <c r="Q927" s="124"/>
      <c r="R927" s="124"/>
      <c r="S927" s="124"/>
      <c r="T927" s="124"/>
      <c r="U927" s="124"/>
      <c r="V927" s="124"/>
      <c r="W927" s="124"/>
      <c r="X927" s="124"/>
      <c r="Y927" s="124"/>
    </row>
    <row r="928" spans="2:25" x14ac:dyDescent="0.25">
      <c r="B928" s="124"/>
      <c r="C928" s="124"/>
      <c r="D928" s="124"/>
      <c r="E928" s="124"/>
      <c r="F928" s="124"/>
      <c r="G928" s="124"/>
      <c r="H928" s="124"/>
      <c r="I928" s="124"/>
      <c r="J928" s="124"/>
      <c r="K928" s="124"/>
      <c r="L928" s="124"/>
      <c r="M928" s="124"/>
      <c r="N928" s="124"/>
      <c r="O928" s="124"/>
      <c r="P928" s="124"/>
      <c r="Q928" s="124"/>
      <c r="R928" s="124"/>
      <c r="S928" s="124"/>
      <c r="T928" s="124"/>
      <c r="U928" s="124"/>
      <c r="V928" s="124"/>
      <c r="W928" s="124"/>
      <c r="X928" s="124"/>
      <c r="Y928" s="124"/>
    </row>
    <row r="929" spans="2:25" x14ac:dyDescent="0.25">
      <c r="B929" s="124"/>
      <c r="C929" s="124"/>
      <c r="D929" s="124"/>
      <c r="E929" s="124"/>
      <c r="F929" s="124"/>
      <c r="G929" s="124"/>
      <c r="H929" s="124"/>
      <c r="I929" s="124"/>
      <c r="J929" s="124"/>
      <c r="K929" s="124"/>
      <c r="L929" s="124"/>
      <c r="M929" s="124"/>
      <c r="N929" s="124"/>
      <c r="O929" s="124"/>
      <c r="P929" s="124"/>
      <c r="Q929" s="124"/>
      <c r="R929" s="124"/>
      <c r="S929" s="124"/>
      <c r="T929" s="124"/>
      <c r="U929" s="124"/>
      <c r="V929" s="124"/>
      <c r="W929" s="124"/>
      <c r="X929" s="124"/>
      <c r="Y929" s="124"/>
    </row>
    <row r="930" spans="2:25" x14ac:dyDescent="0.25">
      <c r="B930" s="124"/>
      <c r="C930" s="124"/>
      <c r="D930" s="124"/>
      <c r="E930" s="124"/>
      <c r="F930" s="124"/>
      <c r="G930" s="124"/>
      <c r="H930" s="124"/>
      <c r="I930" s="124"/>
      <c r="J930" s="124"/>
      <c r="K930" s="124"/>
      <c r="L930" s="124"/>
      <c r="M930" s="124"/>
      <c r="N930" s="124"/>
      <c r="O930" s="124"/>
      <c r="P930" s="124"/>
      <c r="Q930" s="124"/>
      <c r="R930" s="124"/>
      <c r="S930" s="124"/>
      <c r="T930" s="124"/>
      <c r="U930" s="124"/>
      <c r="V930" s="124"/>
      <c r="W930" s="124"/>
      <c r="X930" s="124"/>
      <c r="Y930" s="124"/>
    </row>
    <row r="931" spans="2:25" x14ac:dyDescent="0.25">
      <c r="B931" s="124"/>
      <c r="C931" s="124"/>
      <c r="D931" s="124"/>
      <c r="E931" s="124"/>
      <c r="F931" s="124"/>
      <c r="G931" s="124"/>
      <c r="H931" s="124"/>
      <c r="I931" s="124"/>
      <c r="J931" s="124"/>
      <c r="K931" s="124"/>
      <c r="L931" s="124"/>
      <c r="M931" s="124"/>
      <c r="N931" s="124"/>
      <c r="O931" s="124"/>
      <c r="P931" s="124"/>
      <c r="Q931" s="124"/>
      <c r="R931" s="124"/>
      <c r="S931" s="124"/>
      <c r="T931" s="124"/>
      <c r="U931" s="124"/>
      <c r="V931" s="124"/>
      <c r="W931" s="124"/>
      <c r="X931" s="124"/>
      <c r="Y931" s="124"/>
    </row>
    <row r="932" spans="2:25" x14ac:dyDescent="0.25">
      <c r="B932" s="124"/>
      <c r="C932" s="124"/>
      <c r="D932" s="124"/>
      <c r="E932" s="124"/>
      <c r="F932" s="124"/>
      <c r="G932" s="124"/>
      <c r="H932" s="124"/>
      <c r="I932" s="124"/>
      <c r="J932" s="124"/>
      <c r="K932" s="124"/>
      <c r="L932" s="124"/>
      <c r="M932" s="124"/>
      <c r="N932" s="124"/>
      <c r="O932" s="124"/>
      <c r="P932" s="124"/>
      <c r="Q932" s="124"/>
      <c r="R932" s="124"/>
      <c r="S932" s="124"/>
      <c r="T932" s="124"/>
      <c r="U932" s="124"/>
      <c r="V932" s="124"/>
      <c r="W932" s="124"/>
      <c r="X932" s="124"/>
      <c r="Y932" s="124"/>
    </row>
    <row r="933" spans="2:25" x14ac:dyDescent="0.25">
      <c r="B933" s="124"/>
      <c r="C933" s="124"/>
      <c r="D933" s="124"/>
      <c r="E933" s="124"/>
      <c r="F933" s="124"/>
      <c r="G933" s="124"/>
      <c r="H933" s="124"/>
      <c r="I933" s="124"/>
      <c r="J933" s="124"/>
      <c r="K933" s="124"/>
      <c r="L933" s="124"/>
      <c r="M933" s="124"/>
      <c r="N933" s="124"/>
      <c r="O933" s="124"/>
      <c r="P933" s="124"/>
      <c r="Q933" s="124"/>
      <c r="R933" s="124"/>
      <c r="S933" s="124"/>
      <c r="T933" s="124"/>
      <c r="U933" s="124"/>
      <c r="V933" s="124"/>
      <c r="W933" s="124"/>
      <c r="X933" s="124"/>
      <c r="Y933" s="124"/>
    </row>
    <row r="934" spans="2:25" x14ac:dyDescent="0.25">
      <c r="B934" s="124"/>
      <c r="C934" s="124"/>
      <c r="D934" s="124"/>
      <c r="E934" s="124"/>
      <c r="F934" s="124"/>
      <c r="G934" s="124"/>
      <c r="H934" s="124"/>
      <c r="I934" s="124"/>
      <c r="J934" s="124"/>
      <c r="K934" s="124"/>
      <c r="L934" s="124"/>
      <c r="M934" s="124"/>
      <c r="N934" s="124"/>
      <c r="O934" s="124"/>
      <c r="P934" s="124"/>
      <c r="Q934" s="124"/>
      <c r="R934" s="124"/>
      <c r="S934" s="124"/>
      <c r="T934" s="124"/>
      <c r="U934" s="124"/>
      <c r="V934" s="124"/>
      <c r="W934" s="124"/>
      <c r="X934" s="124"/>
      <c r="Y934" s="124"/>
    </row>
    <row r="935" spans="2:25" x14ac:dyDescent="0.25">
      <c r="B935" s="124"/>
      <c r="C935" s="124"/>
      <c r="D935" s="124"/>
      <c r="E935" s="124"/>
      <c r="F935" s="124"/>
      <c r="G935" s="124"/>
      <c r="H935" s="124"/>
      <c r="I935" s="124"/>
      <c r="J935" s="124"/>
      <c r="K935" s="124"/>
      <c r="L935" s="124"/>
      <c r="M935" s="124"/>
      <c r="N935" s="124"/>
      <c r="O935" s="124"/>
      <c r="P935" s="124"/>
      <c r="Q935" s="124"/>
      <c r="R935" s="124"/>
      <c r="S935" s="124"/>
      <c r="T935" s="124"/>
      <c r="U935" s="124"/>
      <c r="V935" s="124"/>
      <c r="W935" s="124"/>
      <c r="X935" s="124"/>
      <c r="Y935" s="124"/>
    </row>
    <row r="936" spans="2:25" x14ac:dyDescent="0.25">
      <c r="B936" s="124"/>
      <c r="C936" s="124"/>
      <c r="D936" s="124"/>
      <c r="E936" s="124"/>
      <c r="F936" s="124"/>
      <c r="G936" s="124"/>
      <c r="H936" s="124"/>
      <c r="I936" s="124"/>
      <c r="J936" s="124"/>
      <c r="K936" s="124"/>
      <c r="L936" s="124"/>
      <c r="M936" s="124"/>
      <c r="N936" s="124"/>
      <c r="O936" s="124"/>
      <c r="P936" s="124"/>
      <c r="Q936" s="124"/>
      <c r="R936" s="124"/>
      <c r="S936" s="124"/>
      <c r="T936" s="124"/>
      <c r="U936" s="124"/>
      <c r="V936" s="124"/>
      <c r="W936" s="124"/>
      <c r="X936" s="124"/>
      <c r="Y936" s="124"/>
    </row>
    <row r="937" spans="2:25" x14ac:dyDescent="0.25">
      <c r="B937" s="124"/>
      <c r="C937" s="124"/>
      <c r="D937" s="124"/>
      <c r="E937" s="124"/>
      <c r="F937" s="124"/>
      <c r="G937" s="124"/>
      <c r="H937" s="124"/>
      <c r="I937" s="124"/>
      <c r="J937" s="124"/>
      <c r="K937" s="124"/>
      <c r="L937" s="124"/>
      <c r="M937" s="124"/>
      <c r="N937" s="124"/>
      <c r="O937" s="124"/>
      <c r="P937" s="124"/>
      <c r="Q937" s="124"/>
      <c r="R937" s="124"/>
      <c r="S937" s="124"/>
      <c r="T937" s="124"/>
      <c r="U937" s="124"/>
      <c r="V937" s="124"/>
      <c r="W937" s="124"/>
      <c r="X937" s="124"/>
      <c r="Y937" s="124"/>
    </row>
    <row r="938" spans="2:25" x14ac:dyDescent="0.25">
      <c r="B938" s="124"/>
      <c r="C938" s="124"/>
      <c r="D938" s="124"/>
      <c r="E938" s="124"/>
      <c r="F938" s="124"/>
      <c r="G938" s="124"/>
      <c r="H938" s="124"/>
      <c r="I938" s="124"/>
      <c r="J938" s="124"/>
      <c r="K938" s="124"/>
      <c r="L938" s="124"/>
      <c r="M938" s="124"/>
      <c r="N938" s="124"/>
      <c r="O938" s="124"/>
      <c r="P938" s="124"/>
      <c r="Q938" s="124"/>
      <c r="R938" s="124"/>
      <c r="S938" s="124"/>
      <c r="T938" s="124"/>
      <c r="U938" s="124"/>
      <c r="V938" s="124"/>
      <c r="W938" s="124"/>
      <c r="X938" s="124"/>
      <c r="Y938" s="124"/>
    </row>
    <row r="939" spans="2:25" x14ac:dyDescent="0.25">
      <c r="B939" s="124"/>
      <c r="C939" s="124"/>
      <c r="D939" s="124"/>
      <c r="E939" s="124"/>
      <c r="F939" s="124"/>
      <c r="G939" s="124"/>
      <c r="H939" s="124"/>
      <c r="I939" s="124"/>
      <c r="J939" s="124"/>
      <c r="K939" s="124"/>
      <c r="L939" s="124"/>
      <c r="M939" s="124"/>
      <c r="N939" s="124"/>
      <c r="O939" s="124"/>
      <c r="P939" s="124"/>
      <c r="Q939" s="124"/>
      <c r="R939" s="124"/>
      <c r="S939" s="124"/>
      <c r="T939" s="124"/>
      <c r="U939" s="124"/>
      <c r="V939" s="124"/>
      <c r="W939" s="124"/>
      <c r="X939" s="124"/>
      <c r="Y939" s="124"/>
    </row>
    <row r="940" spans="2:25" x14ac:dyDescent="0.25">
      <c r="B940" s="124"/>
      <c r="C940" s="124"/>
      <c r="D940" s="124"/>
      <c r="E940" s="124"/>
      <c r="F940" s="124"/>
      <c r="G940" s="124"/>
      <c r="H940" s="124"/>
      <c r="I940" s="124"/>
      <c r="J940" s="124"/>
      <c r="K940" s="124"/>
      <c r="L940" s="124"/>
      <c r="M940" s="124"/>
      <c r="N940" s="124"/>
      <c r="O940" s="124"/>
      <c r="P940" s="124"/>
      <c r="Q940" s="124"/>
      <c r="R940" s="124"/>
      <c r="S940" s="124"/>
      <c r="T940" s="124"/>
      <c r="U940" s="124"/>
      <c r="V940" s="124"/>
      <c r="W940" s="124"/>
      <c r="X940" s="124"/>
      <c r="Y940" s="124"/>
    </row>
    <row r="941" spans="2:25" x14ac:dyDescent="0.25">
      <c r="B941" s="124"/>
      <c r="C941" s="124"/>
      <c r="D941" s="124"/>
      <c r="E941" s="124"/>
      <c r="F941" s="124"/>
      <c r="G941" s="124"/>
      <c r="H941" s="124"/>
      <c r="I941" s="124"/>
      <c r="J941" s="124"/>
      <c r="K941" s="124"/>
      <c r="L941" s="124"/>
      <c r="M941" s="124"/>
      <c r="N941" s="124"/>
      <c r="O941" s="124"/>
      <c r="P941" s="124"/>
      <c r="Q941" s="124"/>
      <c r="R941" s="124"/>
      <c r="S941" s="124"/>
      <c r="T941" s="124"/>
      <c r="U941" s="124"/>
      <c r="V941" s="124"/>
      <c r="W941" s="124"/>
      <c r="X941" s="124"/>
      <c r="Y941" s="124"/>
    </row>
    <row r="942" spans="2:25" x14ac:dyDescent="0.25">
      <c r="B942" s="124"/>
      <c r="C942" s="124"/>
      <c r="D942" s="124"/>
      <c r="E942" s="124"/>
      <c r="F942" s="124"/>
      <c r="G942" s="124"/>
      <c r="H942" s="124"/>
      <c r="I942" s="124"/>
      <c r="J942" s="124"/>
      <c r="K942" s="124"/>
      <c r="L942" s="124"/>
      <c r="M942" s="124"/>
      <c r="N942" s="124"/>
      <c r="O942" s="124"/>
      <c r="P942" s="124"/>
      <c r="Q942" s="124"/>
      <c r="R942" s="124"/>
      <c r="S942" s="124"/>
      <c r="T942" s="124"/>
      <c r="U942" s="124"/>
      <c r="V942" s="124"/>
      <c r="W942" s="124"/>
      <c r="X942" s="124"/>
      <c r="Y942" s="124"/>
    </row>
    <row r="943" spans="2:25" x14ac:dyDescent="0.25">
      <c r="B943" s="124"/>
      <c r="C943" s="124"/>
      <c r="D943" s="124"/>
      <c r="E943" s="124"/>
      <c r="F943" s="124"/>
      <c r="G943" s="124"/>
      <c r="H943" s="124"/>
      <c r="I943" s="124"/>
      <c r="J943" s="124"/>
      <c r="K943" s="124"/>
      <c r="L943" s="124"/>
      <c r="M943" s="124"/>
      <c r="N943" s="124"/>
      <c r="O943" s="124"/>
      <c r="P943" s="124"/>
      <c r="Q943" s="124"/>
      <c r="R943" s="124"/>
      <c r="S943" s="124"/>
      <c r="T943" s="124"/>
      <c r="U943" s="124"/>
      <c r="V943" s="124"/>
      <c r="W943" s="124"/>
      <c r="X943" s="124"/>
      <c r="Y943" s="124"/>
    </row>
    <row r="944" spans="2:25" x14ac:dyDescent="0.25">
      <c r="B944" s="124"/>
      <c r="C944" s="124"/>
      <c r="D944" s="124"/>
      <c r="E944" s="124"/>
      <c r="F944" s="124"/>
      <c r="G944" s="124"/>
      <c r="H944" s="124"/>
      <c r="I944" s="124"/>
      <c r="J944" s="124"/>
      <c r="K944" s="124"/>
      <c r="L944" s="124"/>
      <c r="M944" s="124"/>
      <c r="N944" s="124"/>
      <c r="O944" s="124"/>
      <c r="P944" s="124"/>
      <c r="Q944" s="124"/>
      <c r="R944" s="124"/>
      <c r="S944" s="124"/>
      <c r="T944" s="124"/>
      <c r="U944" s="124"/>
      <c r="V944" s="124"/>
      <c r="W944" s="124"/>
      <c r="X944" s="124"/>
      <c r="Y944" s="124"/>
    </row>
    <row r="945" spans="2:25" x14ac:dyDescent="0.25">
      <c r="B945" s="124"/>
      <c r="C945" s="124"/>
      <c r="D945" s="124"/>
      <c r="E945" s="124"/>
      <c r="F945" s="124"/>
      <c r="G945" s="124"/>
      <c r="H945" s="124"/>
      <c r="I945" s="124"/>
      <c r="J945" s="124"/>
      <c r="K945" s="124"/>
      <c r="L945" s="124"/>
      <c r="M945" s="124"/>
      <c r="N945" s="124"/>
      <c r="O945" s="124"/>
      <c r="P945" s="124"/>
      <c r="Q945" s="124"/>
      <c r="R945" s="124"/>
      <c r="S945" s="124"/>
      <c r="T945" s="124"/>
      <c r="U945" s="124"/>
      <c r="V945" s="124"/>
      <c r="W945" s="124"/>
      <c r="X945" s="124"/>
      <c r="Y945" s="124"/>
    </row>
    <row r="946" spans="2:25" x14ac:dyDescent="0.25">
      <c r="B946" s="124"/>
      <c r="C946" s="124"/>
      <c r="D946" s="124"/>
      <c r="E946" s="124"/>
      <c r="F946" s="124"/>
      <c r="G946" s="124"/>
      <c r="H946" s="124"/>
      <c r="I946" s="124"/>
      <c r="J946" s="124"/>
      <c r="K946" s="124"/>
      <c r="L946" s="124"/>
      <c r="M946" s="124"/>
      <c r="N946" s="124"/>
      <c r="O946" s="124"/>
      <c r="P946" s="124"/>
      <c r="Q946" s="124"/>
      <c r="R946" s="124"/>
      <c r="S946" s="124"/>
      <c r="T946" s="124"/>
      <c r="U946" s="124"/>
      <c r="V946" s="124"/>
      <c r="W946" s="124"/>
      <c r="X946" s="124"/>
      <c r="Y946" s="124"/>
    </row>
    <row r="947" spans="2:25" x14ac:dyDescent="0.25">
      <c r="B947" s="124"/>
      <c r="C947" s="124"/>
      <c r="D947" s="124"/>
      <c r="E947" s="124"/>
      <c r="F947" s="124"/>
      <c r="G947" s="124"/>
      <c r="H947" s="124"/>
      <c r="I947" s="124"/>
      <c r="J947" s="124"/>
      <c r="K947" s="124"/>
      <c r="L947" s="124"/>
      <c r="M947" s="124"/>
      <c r="N947" s="124"/>
      <c r="O947" s="124"/>
      <c r="P947" s="124"/>
      <c r="Q947" s="124"/>
      <c r="R947" s="124"/>
      <c r="S947" s="124"/>
      <c r="T947" s="124"/>
      <c r="U947" s="124"/>
      <c r="V947" s="124"/>
      <c r="W947" s="124"/>
      <c r="X947" s="124"/>
      <c r="Y947" s="124"/>
    </row>
    <row r="948" spans="2:25" x14ac:dyDescent="0.25">
      <c r="B948" s="124"/>
      <c r="C948" s="124"/>
      <c r="D948" s="124"/>
      <c r="E948" s="124"/>
      <c r="F948" s="124"/>
      <c r="G948" s="124"/>
      <c r="H948" s="124"/>
      <c r="I948" s="124"/>
      <c r="J948" s="124"/>
      <c r="K948" s="124"/>
      <c r="L948" s="124"/>
      <c r="M948" s="124"/>
      <c r="N948" s="124"/>
      <c r="O948" s="124"/>
      <c r="P948" s="124"/>
      <c r="Q948" s="124"/>
      <c r="R948" s="124"/>
      <c r="S948" s="124"/>
      <c r="T948" s="124"/>
      <c r="U948" s="124"/>
      <c r="V948" s="124"/>
      <c r="W948" s="124"/>
      <c r="X948" s="124"/>
      <c r="Y948" s="124"/>
    </row>
    <row r="949" spans="2:25" x14ac:dyDescent="0.25">
      <c r="B949" s="124"/>
      <c r="C949" s="124"/>
      <c r="D949" s="124"/>
      <c r="E949" s="124"/>
      <c r="F949" s="124"/>
      <c r="G949" s="124"/>
      <c r="H949" s="124"/>
      <c r="I949" s="124"/>
      <c r="J949" s="124"/>
      <c r="K949" s="124"/>
      <c r="L949" s="124"/>
      <c r="M949" s="124"/>
      <c r="N949" s="124"/>
      <c r="O949" s="124"/>
      <c r="P949" s="124"/>
      <c r="Q949" s="124"/>
      <c r="R949" s="124"/>
      <c r="S949" s="124"/>
      <c r="T949" s="124"/>
      <c r="U949" s="124"/>
      <c r="V949" s="124"/>
      <c r="W949" s="124"/>
      <c r="X949" s="124"/>
      <c r="Y949" s="124"/>
    </row>
    <row r="950" spans="2:25" x14ac:dyDescent="0.25">
      <c r="B950" s="124"/>
      <c r="C950" s="124"/>
      <c r="D950" s="124"/>
      <c r="E950" s="124"/>
      <c r="F950" s="124"/>
      <c r="G950" s="124"/>
      <c r="H950" s="124"/>
      <c r="I950" s="124"/>
      <c r="J950" s="124"/>
      <c r="K950" s="124"/>
      <c r="L950" s="124"/>
      <c r="M950" s="124"/>
      <c r="N950" s="124"/>
      <c r="O950" s="124"/>
      <c r="P950" s="124"/>
      <c r="Q950" s="124"/>
      <c r="R950" s="124"/>
      <c r="S950" s="124"/>
      <c r="T950" s="124"/>
      <c r="U950" s="124"/>
      <c r="V950" s="124"/>
      <c r="W950" s="124"/>
      <c r="X950" s="124"/>
      <c r="Y950" s="124"/>
    </row>
    <row r="951" spans="2:25" x14ac:dyDescent="0.25">
      <c r="B951" s="124"/>
      <c r="C951" s="124"/>
      <c r="D951" s="124"/>
      <c r="E951" s="124"/>
      <c r="F951" s="124"/>
      <c r="G951" s="124"/>
      <c r="H951" s="124"/>
      <c r="I951" s="124"/>
      <c r="J951" s="124"/>
      <c r="K951" s="124"/>
      <c r="L951" s="124"/>
      <c r="M951" s="124"/>
      <c r="N951" s="124"/>
      <c r="O951" s="124"/>
      <c r="P951" s="124"/>
      <c r="Q951" s="124"/>
      <c r="R951" s="124"/>
      <c r="S951" s="124"/>
      <c r="T951" s="124"/>
      <c r="U951" s="124"/>
      <c r="V951" s="124"/>
      <c r="W951" s="124"/>
      <c r="X951" s="124"/>
      <c r="Y951" s="124"/>
    </row>
    <row r="952" spans="2:25" x14ac:dyDescent="0.25">
      <c r="B952" s="124"/>
      <c r="C952" s="124"/>
      <c r="D952" s="124"/>
      <c r="E952" s="124"/>
      <c r="F952" s="124"/>
      <c r="G952" s="124"/>
      <c r="H952" s="124"/>
      <c r="I952" s="124"/>
      <c r="J952" s="124"/>
      <c r="K952" s="124"/>
      <c r="L952" s="124"/>
      <c r="M952" s="124"/>
      <c r="N952" s="124"/>
      <c r="O952" s="124"/>
      <c r="P952" s="124"/>
      <c r="Q952" s="124"/>
      <c r="R952" s="124"/>
      <c r="S952" s="124"/>
      <c r="T952" s="124"/>
      <c r="U952" s="124"/>
      <c r="V952" s="124"/>
      <c r="W952" s="124"/>
      <c r="X952" s="124"/>
      <c r="Y952" s="124"/>
    </row>
    <row r="953" spans="2:25" x14ac:dyDescent="0.25">
      <c r="B953" s="124"/>
      <c r="C953" s="124"/>
      <c r="D953" s="124"/>
      <c r="E953" s="124"/>
      <c r="F953" s="124"/>
      <c r="G953" s="124"/>
      <c r="H953" s="124"/>
      <c r="I953" s="124"/>
      <c r="J953" s="124"/>
      <c r="K953" s="124"/>
      <c r="L953" s="124"/>
      <c r="M953" s="124"/>
      <c r="N953" s="124"/>
      <c r="O953" s="124"/>
      <c r="P953" s="124"/>
      <c r="Q953" s="124"/>
      <c r="R953" s="124"/>
      <c r="S953" s="124"/>
      <c r="T953" s="124"/>
      <c r="U953" s="124"/>
      <c r="V953" s="124"/>
      <c r="W953" s="124"/>
      <c r="X953" s="124"/>
      <c r="Y953" s="124"/>
    </row>
    <row r="954" spans="2:25" x14ac:dyDescent="0.25">
      <c r="B954" s="124"/>
      <c r="C954" s="124"/>
      <c r="D954" s="124"/>
      <c r="E954" s="124"/>
      <c r="F954" s="124"/>
      <c r="G954" s="124"/>
      <c r="H954" s="124"/>
      <c r="I954" s="124"/>
      <c r="J954" s="124"/>
      <c r="K954" s="124"/>
      <c r="L954" s="124"/>
      <c r="M954" s="124"/>
      <c r="N954" s="124"/>
      <c r="O954" s="124"/>
      <c r="P954" s="124"/>
      <c r="Q954" s="124"/>
      <c r="R954" s="124"/>
      <c r="S954" s="124"/>
      <c r="T954" s="124"/>
      <c r="U954" s="124"/>
      <c r="V954" s="124"/>
      <c r="W954" s="124"/>
      <c r="X954" s="124"/>
      <c r="Y954" s="124"/>
    </row>
    <row r="955" spans="2:25" x14ac:dyDescent="0.25">
      <c r="B955" s="124"/>
      <c r="C955" s="124"/>
      <c r="D955" s="124"/>
      <c r="E955" s="124"/>
      <c r="F955" s="124"/>
      <c r="G955" s="124"/>
      <c r="H955" s="124"/>
      <c r="I955" s="124"/>
      <c r="J955" s="124"/>
      <c r="K955" s="124"/>
      <c r="L955" s="124"/>
      <c r="M955" s="124"/>
      <c r="N955" s="124"/>
      <c r="O955" s="124"/>
      <c r="P955" s="124"/>
      <c r="Q955" s="124"/>
      <c r="R955" s="124"/>
      <c r="S955" s="124"/>
      <c r="T955" s="124"/>
      <c r="U955" s="124"/>
      <c r="V955" s="124"/>
      <c r="W955" s="124"/>
      <c r="X955" s="124"/>
      <c r="Y955" s="124"/>
    </row>
    <row r="956" spans="2:25" x14ac:dyDescent="0.25">
      <c r="B956" s="124"/>
      <c r="C956" s="124"/>
      <c r="D956" s="124"/>
      <c r="E956" s="124"/>
      <c r="F956" s="124"/>
      <c r="G956" s="124"/>
      <c r="H956" s="124"/>
      <c r="I956" s="124"/>
      <c r="J956" s="124"/>
      <c r="K956" s="124"/>
      <c r="L956" s="124"/>
      <c r="M956" s="124"/>
      <c r="N956" s="124"/>
      <c r="O956" s="124"/>
      <c r="P956" s="124"/>
      <c r="Q956" s="124"/>
      <c r="R956" s="124"/>
      <c r="S956" s="124"/>
      <c r="T956" s="124"/>
      <c r="U956" s="124"/>
      <c r="V956" s="124"/>
      <c r="W956" s="124"/>
      <c r="X956" s="124"/>
      <c r="Y956" s="124"/>
    </row>
    <row r="957" spans="2:25" x14ac:dyDescent="0.25">
      <c r="B957" s="124"/>
      <c r="C957" s="124"/>
      <c r="D957" s="124"/>
      <c r="E957" s="124"/>
      <c r="F957" s="124"/>
      <c r="G957" s="124"/>
      <c r="H957" s="124"/>
      <c r="I957" s="124"/>
      <c r="J957" s="124"/>
      <c r="K957" s="124"/>
      <c r="L957" s="124"/>
      <c r="M957" s="124"/>
      <c r="N957" s="124"/>
      <c r="O957" s="124"/>
      <c r="P957" s="124"/>
      <c r="Q957" s="124"/>
      <c r="R957" s="124"/>
      <c r="S957" s="124"/>
      <c r="T957" s="124"/>
      <c r="U957" s="124"/>
      <c r="V957" s="124"/>
      <c r="W957" s="124"/>
      <c r="X957" s="124"/>
      <c r="Y957" s="124"/>
    </row>
    <row r="958" spans="2:25" x14ac:dyDescent="0.25">
      <c r="B958" s="124"/>
      <c r="C958" s="124"/>
      <c r="D958" s="124"/>
      <c r="E958" s="124"/>
      <c r="F958" s="124"/>
      <c r="G958" s="124"/>
      <c r="H958" s="124"/>
      <c r="I958" s="124"/>
      <c r="J958" s="124"/>
      <c r="K958" s="124"/>
      <c r="L958" s="124"/>
      <c r="M958" s="124"/>
      <c r="N958" s="124"/>
      <c r="O958" s="124"/>
      <c r="P958" s="124"/>
      <c r="Q958" s="124"/>
      <c r="R958" s="124"/>
      <c r="S958" s="124"/>
      <c r="T958" s="124"/>
      <c r="U958" s="124"/>
      <c r="V958" s="124"/>
      <c r="W958" s="124"/>
      <c r="X958" s="124"/>
      <c r="Y958" s="124"/>
    </row>
    <row r="959" spans="2:25" x14ac:dyDescent="0.25">
      <c r="B959" s="124"/>
      <c r="C959" s="124"/>
      <c r="D959" s="124"/>
      <c r="E959" s="124"/>
      <c r="F959" s="124"/>
      <c r="G959" s="124"/>
      <c r="H959" s="124"/>
      <c r="I959" s="124"/>
      <c r="J959" s="124"/>
      <c r="K959" s="124"/>
      <c r="L959" s="124"/>
      <c r="M959" s="124"/>
      <c r="N959" s="124"/>
      <c r="O959" s="124"/>
      <c r="P959" s="124"/>
      <c r="Q959" s="124"/>
      <c r="R959" s="124"/>
      <c r="S959" s="124"/>
      <c r="T959" s="124"/>
      <c r="U959" s="124"/>
      <c r="V959" s="124"/>
      <c r="W959" s="124"/>
      <c r="X959" s="124"/>
      <c r="Y959" s="124"/>
    </row>
    <row r="960" spans="2:25" x14ac:dyDescent="0.25">
      <c r="B960" s="124"/>
      <c r="C960" s="124"/>
      <c r="D960" s="124"/>
      <c r="E960" s="124"/>
      <c r="F960" s="124"/>
      <c r="G960" s="124"/>
      <c r="H960" s="124"/>
      <c r="I960" s="124"/>
      <c r="J960" s="124"/>
      <c r="K960" s="124"/>
      <c r="L960" s="124"/>
      <c r="M960" s="124"/>
      <c r="N960" s="124"/>
      <c r="O960" s="124"/>
      <c r="P960" s="124"/>
      <c r="Q960" s="124"/>
      <c r="R960" s="124"/>
      <c r="S960" s="124"/>
      <c r="T960" s="124"/>
      <c r="U960" s="124"/>
      <c r="V960" s="124"/>
      <c r="W960" s="124"/>
      <c r="X960" s="124"/>
      <c r="Y960" s="124"/>
    </row>
    <row r="961" spans="2:25" x14ac:dyDescent="0.25">
      <c r="B961" s="124"/>
      <c r="C961" s="124"/>
      <c r="D961" s="124"/>
      <c r="E961" s="124"/>
      <c r="F961" s="124"/>
      <c r="G961" s="124"/>
      <c r="H961" s="124"/>
      <c r="I961" s="124"/>
      <c r="J961" s="124"/>
      <c r="K961" s="124"/>
      <c r="L961" s="124"/>
      <c r="M961" s="124"/>
      <c r="N961" s="124"/>
      <c r="O961" s="124"/>
      <c r="P961" s="124"/>
      <c r="Q961" s="124"/>
      <c r="R961" s="124"/>
      <c r="S961" s="124"/>
      <c r="T961" s="124"/>
      <c r="U961" s="124"/>
      <c r="V961" s="124"/>
      <c r="W961" s="124"/>
      <c r="X961" s="124"/>
      <c r="Y961" s="124"/>
    </row>
    <row r="962" spans="2:25" x14ac:dyDescent="0.25">
      <c r="B962" s="124"/>
      <c r="C962" s="124"/>
      <c r="D962" s="124"/>
      <c r="E962" s="124"/>
      <c r="F962" s="124"/>
      <c r="G962" s="124"/>
      <c r="H962" s="124"/>
      <c r="I962" s="124"/>
      <c r="J962" s="124"/>
      <c r="K962" s="124"/>
      <c r="L962" s="124"/>
      <c r="M962" s="124"/>
      <c r="N962" s="124"/>
      <c r="O962" s="124"/>
      <c r="P962" s="124"/>
      <c r="Q962" s="124"/>
      <c r="R962" s="124"/>
      <c r="S962" s="124"/>
      <c r="T962" s="124"/>
      <c r="U962" s="124"/>
      <c r="V962" s="124"/>
      <c r="W962" s="124"/>
      <c r="X962" s="124"/>
      <c r="Y962" s="124"/>
    </row>
    <row r="963" spans="2:25" x14ac:dyDescent="0.25">
      <c r="B963" s="124"/>
      <c r="C963" s="124"/>
      <c r="D963" s="124"/>
      <c r="E963" s="124"/>
      <c r="F963" s="124"/>
      <c r="G963" s="124"/>
      <c r="H963" s="124"/>
      <c r="I963" s="124"/>
      <c r="J963" s="124"/>
      <c r="K963" s="124"/>
      <c r="L963" s="124"/>
      <c r="M963" s="124"/>
      <c r="N963" s="124"/>
      <c r="O963" s="124"/>
      <c r="P963" s="124"/>
      <c r="Q963" s="124"/>
      <c r="R963" s="124"/>
      <c r="S963" s="124"/>
      <c r="T963" s="124"/>
      <c r="U963" s="124"/>
      <c r="V963" s="124"/>
      <c r="W963" s="124"/>
      <c r="X963" s="124"/>
      <c r="Y963" s="124"/>
    </row>
    <row r="964" spans="2:25" x14ac:dyDescent="0.25">
      <c r="B964" s="124"/>
      <c r="C964" s="124"/>
      <c r="D964" s="124"/>
      <c r="E964" s="124"/>
      <c r="F964" s="124"/>
      <c r="G964" s="124"/>
      <c r="H964" s="124"/>
      <c r="I964" s="124"/>
      <c r="J964" s="124"/>
      <c r="K964" s="124"/>
      <c r="L964" s="124"/>
      <c r="M964" s="124"/>
      <c r="N964" s="124"/>
      <c r="O964" s="124"/>
      <c r="P964" s="124"/>
      <c r="Q964" s="124"/>
      <c r="R964" s="124"/>
      <c r="S964" s="124"/>
      <c r="T964" s="124"/>
      <c r="U964" s="124"/>
      <c r="V964" s="124"/>
      <c r="W964" s="124"/>
      <c r="X964" s="124"/>
      <c r="Y964" s="124"/>
    </row>
    <row r="965" spans="2:25" x14ac:dyDescent="0.25">
      <c r="B965" s="124"/>
      <c r="C965" s="124"/>
      <c r="D965" s="124"/>
      <c r="E965" s="124"/>
      <c r="F965" s="124"/>
      <c r="G965" s="124"/>
      <c r="H965" s="124"/>
      <c r="I965" s="124"/>
      <c r="J965" s="124"/>
      <c r="K965" s="124"/>
      <c r="L965" s="124"/>
      <c r="M965" s="124"/>
      <c r="N965" s="124"/>
      <c r="O965" s="124"/>
      <c r="P965" s="124"/>
      <c r="Q965" s="124"/>
      <c r="R965" s="124"/>
      <c r="S965" s="124"/>
      <c r="T965" s="124"/>
      <c r="U965" s="124"/>
      <c r="V965" s="124"/>
      <c r="W965" s="124"/>
      <c r="X965" s="124"/>
      <c r="Y965" s="124"/>
    </row>
    <row r="966" spans="2:25" x14ac:dyDescent="0.25">
      <c r="B966" s="124"/>
      <c r="C966" s="124"/>
      <c r="D966" s="124"/>
      <c r="E966" s="124"/>
      <c r="F966" s="124"/>
      <c r="G966" s="124"/>
      <c r="H966" s="124"/>
      <c r="I966" s="124"/>
      <c r="J966" s="124"/>
      <c r="K966" s="124"/>
      <c r="L966" s="124"/>
      <c r="M966" s="124"/>
      <c r="N966" s="124"/>
      <c r="O966" s="124"/>
      <c r="P966" s="124"/>
      <c r="Q966" s="124"/>
      <c r="R966" s="124"/>
      <c r="S966" s="124"/>
      <c r="T966" s="124"/>
      <c r="U966" s="124"/>
      <c r="V966" s="124"/>
      <c r="W966" s="124"/>
      <c r="X966" s="124"/>
      <c r="Y966" s="124"/>
    </row>
    <row r="967" spans="2:25" x14ac:dyDescent="0.25">
      <c r="B967" s="124"/>
      <c r="C967" s="124"/>
      <c r="D967" s="124"/>
      <c r="E967" s="124"/>
      <c r="F967" s="124"/>
      <c r="G967" s="124"/>
      <c r="H967" s="124"/>
      <c r="I967" s="124"/>
      <c r="J967" s="124"/>
      <c r="K967" s="124"/>
      <c r="L967" s="124"/>
      <c r="M967" s="124"/>
      <c r="N967" s="124"/>
      <c r="O967" s="124"/>
      <c r="P967" s="124"/>
      <c r="Q967" s="124"/>
      <c r="R967" s="124"/>
      <c r="S967" s="124"/>
      <c r="T967" s="124"/>
      <c r="U967" s="124"/>
      <c r="V967" s="124"/>
      <c r="W967" s="124"/>
      <c r="X967" s="124"/>
      <c r="Y967" s="124"/>
    </row>
    <row r="968" spans="2:25" x14ac:dyDescent="0.25">
      <c r="B968" s="124"/>
      <c r="C968" s="124"/>
      <c r="D968" s="124"/>
      <c r="E968" s="124"/>
      <c r="F968" s="124"/>
      <c r="G968" s="124"/>
      <c r="H968" s="124"/>
      <c r="I968" s="124"/>
      <c r="J968" s="124"/>
      <c r="K968" s="124"/>
      <c r="L968" s="124"/>
      <c r="M968" s="124"/>
      <c r="N968" s="124"/>
      <c r="O968" s="124"/>
      <c r="P968" s="124"/>
      <c r="Q968" s="124"/>
      <c r="R968" s="124"/>
      <c r="S968" s="124"/>
      <c r="T968" s="124"/>
      <c r="U968" s="124"/>
      <c r="V968" s="124"/>
      <c r="W968" s="124"/>
      <c r="X968" s="124"/>
      <c r="Y968" s="124"/>
    </row>
    <row r="969" spans="2:25" x14ac:dyDescent="0.25">
      <c r="B969" s="124"/>
      <c r="C969" s="124"/>
      <c r="D969" s="124"/>
      <c r="E969" s="124"/>
      <c r="F969" s="124"/>
      <c r="G969" s="124"/>
      <c r="H969" s="124"/>
      <c r="I969" s="124"/>
      <c r="J969" s="124"/>
      <c r="K969" s="124"/>
      <c r="L969" s="124"/>
      <c r="M969" s="124"/>
      <c r="N969" s="124"/>
      <c r="O969" s="124"/>
      <c r="P969" s="124"/>
      <c r="Q969" s="124"/>
      <c r="R969" s="124"/>
      <c r="S969" s="124"/>
      <c r="T969" s="124"/>
      <c r="U969" s="124"/>
      <c r="V969" s="124"/>
      <c r="W969" s="124"/>
      <c r="X969" s="124"/>
      <c r="Y969" s="124"/>
    </row>
    <row r="970" spans="2:25" x14ac:dyDescent="0.25">
      <c r="B970" s="124"/>
      <c r="C970" s="124"/>
      <c r="D970" s="124"/>
      <c r="E970" s="124"/>
      <c r="F970" s="124"/>
      <c r="G970" s="124"/>
      <c r="H970" s="124"/>
      <c r="I970" s="124"/>
      <c r="J970" s="124"/>
      <c r="K970" s="124"/>
      <c r="L970" s="124"/>
      <c r="M970" s="124"/>
      <c r="N970" s="124"/>
      <c r="O970" s="124"/>
      <c r="P970" s="124"/>
      <c r="Q970" s="124"/>
      <c r="R970" s="124"/>
      <c r="S970" s="124"/>
      <c r="T970" s="124"/>
      <c r="U970" s="124"/>
      <c r="V970" s="124"/>
      <c r="W970" s="124"/>
      <c r="X970" s="124"/>
      <c r="Y970" s="124"/>
    </row>
    <row r="971" spans="2:25" x14ac:dyDescent="0.25">
      <c r="B971" s="124"/>
      <c r="C971" s="124"/>
      <c r="D971" s="124"/>
      <c r="E971" s="124"/>
      <c r="F971" s="124"/>
      <c r="G971" s="124"/>
      <c r="H971" s="124"/>
      <c r="I971" s="124"/>
      <c r="J971" s="124"/>
      <c r="K971" s="124"/>
      <c r="L971" s="124"/>
      <c r="M971" s="124"/>
      <c r="N971" s="124"/>
      <c r="O971" s="124"/>
      <c r="P971" s="124"/>
      <c r="Q971" s="124"/>
      <c r="R971" s="124"/>
      <c r="S971" s="124"/>
      <c r="T971" s="124"/>
      <c r="U971" s="124"/>
      <c r="V971" s="124"/>
      <c r="W971" s="124"/>
      <c r="X971" s="124"/>
      <c r="Y971" s="124"/>
    </row>
    <row r="972" spans="2:25" x14ac:dyDescent="0.25">
      <c r="B972" s="124"/>
      <c r="C972" s="124"/>
      <c r="D972" s="124"/>
      <c r="E972" s="124"/>
      <c r="F972" s="124"/>
      <c r="G972" s="124"/>
      <c r="H972" s="124"/>
      <c r="I972" s="124"/>
      <c r="J972" s="124"/>
      <c r="K972" s="124"/>
      <c r="L972" s="124"/>
      <c r="M972" s="124"/>
      <c r="N972" s="124"/>
      <c r="O972" s="124"/>
      <c r="P972" s="124"/>
      <c r="Q972" s="124"/>
      <c r="R972" s="124"/>
      <c r="S972" s="124"/>
      <c r="T972" s="124"/>
      <c r="U972" s="124"/>
      <c r="V972" s="124"/>
      <c r="W972" s="124"/>
      <c r="X972" s="124"/>
      <c r="Y972" s="124"/>
    </row>
    <row r="973" spans="2:25" x14ac:dyDescent="0.25">
      <c r="B973" s="124"/>
      <c r="C973" s="124"/>
      <c r="D973" s="124"/>
      <c r="E973" s="124"/>
      <c r="F973" s="124"/>
      <c r="G973" s="124"/>
      <c r="H973" s="124"/>
      <c r="I973" s="124"/>
      <c r="J973" s="124"/>
      <c r="K973" s="124"/>
      <c r="L973" s="124"/>
      <c r="M973" s="124"/>
      <c r="N973" s="124"/>
      <c r="O973" s="124"/>
      <c r="P973" s="124"/>
      <c r="Q973" s="124"/>
      <c r="R973" s="124"/>
      <c r="S973" s="124"/>
      <c r="T973" s="124"/>
      <c r="U973" s="124"/>
      <c r="V973" s="124"/>
      <c r="W973" s="124"/>
      <c r="X973" s="124"/>
      <c r="Y973" s="124"/>
    </row>
    <row r="974" spans="2:25" x14ac:dyDescent="0.25">
      <c r="B974" s="124"/>
      <c r="C974" s="124"/>
      <c r="D974" s="124"/>
      <c r="E974" s="124"/>
      <c r="F974" s="124"/>
      <c r="G974" s="124"/>
      <c r="H974" s="124"/>
      <c r="I974" s="124"/>
      <c r="J974" s="124"/>
      <c r="K974" s="124"/>
      <c r="L974" s="124"/>
      <c r="M974" s="124"/>
      <c r="N974" s="124"/>
      <c r="O974" s="124"/>
      <c r="P974" s="124"/>
      <c r="Q974" s="124"/>
      <c r="R974" s="124"/>
      <c r="S974" s="124"/>
      <c r="T974" s="124"/>
      <c r="U974" s="124"/>
      <c r="V974" s="124"/>
      <c r="W974" s="124"/>
      <c r="X974" s="124"/>
      <c r="Y974" s="124"/>
    </row>
    <row r="975" spans="2:25" x14ac:dyDescent="0.25">
      <c r="B975" s="124"/>
      <c r="C975" s="124"/>
      <c r="D975" s="124"/>
      <c r="E975" s="124"/>
      <c r="F975" s="124"/>
      <c r="G975" s="124"/>
      <c r="H975" s="124"/>
      <c r="I975" s="124"/>
      <c r="J975" s="124"/>
      <c r="K975" s="124"/>
      <c r="L975" s="124"/>
      <c r="M975" s="124"/>
      <c r="N975" s="124"/>
      <c r="O975" s="124"/>
      <c r="P975" s="124"/>
      <c r="Q975" s="124"/>
      <c r="R975" s="124"/>
      <c r="S975" s="124"/>
      <c r="T975" s="124"/>
      <c r="U975" s="124"/>
      <c r="V975" s="124"/>
      <c r="W975" s="124"/>
      <c r="X975" s="124"/>
      <c r="Y975" s="124"/>
    </row>
    <row r="976" spans="2:25" x14ac:dyDescent="0.25">
      <c r="B976" s="124"/>
      <c r="C976" s="124"/>
      <c r="D976" s="124"/>
      <c r="E976" s="124"/>
      <c r="F976" s="124"/>
      <c r="G976" s="124"/>
      <c r="H976" s="124"/>
      <c r="I976" s="124"/>
      <c r="J976" s="124"/>
      <c r="K976" s="124"/>
      <c r="L976" s="124"/>
      <c r="M976" s="124"/>
      <c r="N976" s="124"/>
      <c r="O976" s="124"/>
      <c r="P976" s="124"/>
      <c r="Q976" s="124"/>
      <c r="R976" s="124"/>
      <c r="S976" s="124"/>
      <c r="T976" s="124"/>
      <c r="U976" s="124"/>
      <c r="V976" s="124"/>
      <c r="W976" s="124"/>
      <c r="X976" s="124"/>
      <c r="Y976" s="124"/>
    </row>
    <row r="977" spans="2:25" x14ac:dyDescent="0.25">
      <c r="B977" s="124"/>
      <c r="C977" s="124"/>
      <c r="D977" s="124"/>
      <c r="E977" s="124"/>
      <c r="F977" s="124"/>
      <c r="G977" s="124"/>
      <c r="H977" s="124"/>
      <c r="I977" s="124"/>
      <c r="J977" s="124"/>
      <c r="K977" s="124"/>
      <c r="L977" s="124"/>
      <c r="M977" s="124"/>
      <c r="N977" s="124"/>
      <c r="O977" s="124"/>
      <c r="P977" s="124"/>
      <c r="Q977" s="124"/>
      <c r="R977" s="124"/>
      <c r="S977" s="124"/>
      <c r="T977" s="124"/>
      <c r="U977" s="124"/>
      <c r="V977" s="124"/>
      <c r="W977" s="124"/>
      <c r="X977" s="124"/>
      <c r="Y977" s="124"/>
    </row>
    <row r="978" spans="2:25" x14ac:dyDescent="0.25">
      <c r="B978" s="124"/>
      <c r="C978" s="124"/>
      <c r="D978" s="124"/>
      <c r="E978" s="124"/>
      <c r="F978" s="124"/>
      <c r="G978" s="124"/>
      <c r="H978" s="124"/>
      <c r="I978" s="124"/>
      <c r="J978" s="124"/>
      <c r="K978" s="124"/>
      <c r="L978" s="124"/>
      <c r="M978" s="124"/>
      <c r="N978" s="124"/>
      <c r="O978" s="124"/>
      <c r="P978" s="124"/>
      <c r="Q978" s="124"/>
      <c r="R978" s="124"/>
      <c r="S978" s="124"/>
      <c r="T978" s="124"/>
      <c r="U978" s="124"/>
      <c r="V978" s="124"/>
      <c r="W978" s="124"/>
      <c r="X978" s="124"/>
      <c r="Y978" s="124"/>
    </row>
    <row r="979" spans="2:25" x14ac:dyDescent="0.25">
      <c r="B979" s="124"/>
      <c r="C979" s="124"/>
      <c r="D979" s="124"/>
      <c r="E979" s="124"/>
      <c r="F979" s="124"/>
      <c r="G979" s="124"/>
      <c r="H979" s="124"/>
      <c r="I979" s="124"/>
      <c r="J979" s="124"/>
      <c r="K979" s="124"/>
      <c r="L979" s="124"/>
      <c r="M979" s="124"/>
      <c r="N979" s="124"/>
      <c r="O979" s="124"/>
      <c r="P979" s="124"/>
      <c r="Q979" s="124"/>
      <c r="R979" s="124"/>
      <c r="S979" s="124"/>
      <c r="T979" s="124"/>
      <c r="U979" s="124"/>
      <c r="V979" s="124"/>
      <c r="W979" s="124"/>
      <c r="X979" s="124"/>
      <c r="Y979" s="124"/>
    </row>
    <row r="980" spans="2:25" x14ac:dyDescent="0.25">
      <c r="B980" s="124"/>
      <c r="C980" s="124"/>
      <c r="D980" s="124"/>
      <c r="E980" s="124"/>
      <c r="F980" s="124"/>
      <c r="G980" s="124"/>
      <c r="H980" s="124"/>
      <c r="I980" s="124"/>
      <c r="J980" s="124"/>
      <c r="K980" s="124"/>
      <c r="L980" s="124"/>
      <c r="M980" s="124"/>
      <c r="N980" s="124"/>
      <c r="O980" s="124"/>
      <c r="P980" s="124"/>
      <c r="Q980" s="124"/>
      <c r="R980" s="124"/>
      <c r="S980" s="124"/>
      <c r="T980" s="124"/>
      <c r="U980" s="124"/>
      <c r="V980" s="124"/>
      <c r="W980" s="124"/>
      <c r="X980" s="124"/>
      <c r="Y980" s="124"/>
    </row>
    <row r="981" spans="2:25" x14ac:dyDescent="0.25">
      <c r="B981" s="124"/>
      <c r="C981" s="124"/>
      <c r="D981" s="124"/>
      <c r="E981" s="124"/>
      <c r="F981" s="124"/>
      <c r="G981" s="124"/>
      <c r="H981" s="124"/>
      <c r="I981" s="124"/>
      <c r="J981" s="124"/>
      <c r="K981" s="124"/>
      <c r="L981" s="124"/>
      <c r="M981" s="124"/>
      <c r="N981" s="124"/>
      <c r="O981" s="124"/>
      <c r="P981" s="124"/>
      <c r="Q981" s="124"/>
      <c r="R981" s="124"/>
      <c r="S981" s="124"/>
      <c r="T981" s="124"/>
      <c r="U981" s="124"/>
      <c r="V981" s="124"/>
      <c r="W981" s="124"/>
      <c r="X981" s="124"/>
      <c r="Y981" s="124"/>
    </row>
    <row r="982" spans="2:25" x14ac:dyDescent="0.25">
      <c r="B982" s="124"/>
      <c r="C982" s="124"/>
      <c r="D982" s="124"/>
      <c r="E982" s="124"/>
      <c r="F982" s="124"/>
      <c r="G982" s="124"/>
      <c r="H982" s="124"/>
      <c r="I982" s="124"/>
      <c r="J982" s="124"/>
      <c r="K982" s="124"/>
      <c r="L982" s="124"/>
      <c r="M982" s="124"/>
      <c r="N982" s="124"/>
      <c r="O982" s="124"/>
      <c r="P982" s="124"/>
      <c r="Q982" s="124"/>
      <c r="R982" s="124"/>
      <c r="S982" s="124"/>
      <c r="T982" s="124"/>
      <c r="U982" s="124"/>
      <c r="V982" s="124"/>
      <c r="W982" s="124"/>
      <c r="X982" s="124"/>
      <c r="Y982" s="124"/>
    </row>
    <row r="983" spans="2:25" x14ac:dyDescent="0.25">
      <c r="B983" s="124"/>
      <c r="C983" s="124"/>
      <c r="D983" s="124"/>
      <c r="E983" s="124"/>
      <c r="F983" s="124"/>
      <c r="G983" s="124"/>
      <c r="H983" s="124"/>
      <c r="I983" s="124"/>
      <c r="J983" s="124"/>
      <c r="K983" s="124"/>
      <c r="L983" s="124"/>
      <c r="M983" s="124"/>
      <c r="N983" s="124"/>
      <c r="O983" s="124"/>
      <c r="P983" s="124"/>
      <c r="Q983" s="124"/>
      <c r="R983" s="124"/>
      <c r="S983" s="124"/>
      <c r="T983" s="124"/>
      <c r="U983" s="124"/>
      <c r="V983" s="124"/>
      <c r="W983" s="124"/>
      <c r="X983" s="124"/>
      <c r="Y983" s="124"/>
    </row>
    <row r="984" spans="2:25" x14ac:dyDescent="0.25">
      <c r="B984" s="124"/>
      <c r="C984" s="124"/>
      <c r="D984" s="124"/>
      <c r="E984" s="124"/>
      <c r="F984" s="124"/>
      <c r="G984" s="124"/>
      <c r="H984" s="124"/>
      <c r="I984" s="124"/>
      <c r="J984" s="124"/>
      <c r="K984" s="124"/>
      <c r="L984" s="124"/>
      <c r="M984" s="124"/>
      <c r="N984" s="124"/>
      <c r="O984" s="124"/>
      <c r="P984" s="124"/>
      <c r="Q984" s="124"/>
      <c r="R984" s="124"/>
      <c r="S984" s="124"/>
      <c r="T984" s="124"/>
      <c r="U984" s="124"/>
      <c r="V984" s="124"/>
      <c r="W984" s="124"/>
      <c r="X984" s="124"/>
      <c r="Y984" s="124"/>
    </row>
    <row r="985" spans="2:25" x14ac:dyDescent="0.25">
      <c r="B985" s="124"/>
      <c r="C985" s="124"/>
      <c r="D985" s="124"/>
      <c r="E985" s="124"/>
      <c r="F985" s="124"/>
      <c r="G985" s="124"/>
      <c r="H985" s="124"/>
      <c r="I985" s="124"/>
      <c r="J985" s="124"/>
      <c r="K985" s="124"/>
      <c r="L985" s="124"/>
      <c r="M985" s="124"/>
      <c r="N985" s="124"/>
      <c r="O985" s="124"/>
      <c r="P985" s="124"/>
      <c r="Q985" s="124"/>
      <c r="R985" s="124"/>
      <c r="S985" s="124"/>
      <c r="T985" s="124"/>
      <c r="U985" s="124"/>
      <c r="V985" s="124"/>
      <c r="W985" s="124"/>
      <c r="X985" s="124"/>
      <c r="Y985" s="124"/>
    </row>
    <row r="986" spans="2:25" x14ac:dyDescent="0.25">
      <c r="B986" s="124"/>
      <c r="C986" s="124"/>
      <c r="D986" s="124"/>
      <c r="E986" s="124"/>
      <c r="F986" s="124"/>
      <c r="G986" s="124"/>
      <c r="H986" s="124"/>
      <c r="I986" s="124"/>
      <c r="J986" s="124"/>
      <c r="K986" s="124"/>
      <c r="L986" s="124"/>
      <c r="M986" s="124"/>
      <c r="N986" s="124"/>
      <c r="O986" s="124"/>
      <c r="P986" s="124"/>
      <c r="Q986" s="124"/>
      <c r="R986" s="124"/>
      <c r="S986" s="124"/>
      <c r="T986" s="124"/>
      <c r="U986" s="124"/>
      <c r="V986" s="124"/>
      <c r="W986" s="124"/>
      <c r="X986" s="124"/>
      <c r="Y986" s="124"/>
    </row>
    <row r="987" spans="2:25" x14ac:dyDescent="0.25">
      <c r="B987" s="124"/>
      <c r="C987" s="124"/>
      <c r="D987" s="124"/>
      <c r="E987" s="124"/>
      <c r="F987" s="124"/>
      <c r="G987" s="124"/>
      <c r="H987" s="124"/>
      <c r="I987" s="124"/>
      <c r="J987" s="124"/>
      <c r="K987" s="124"/>
      <c r="L987" s="124"/>
      <c r="M987" s="124"/>
      <c r="N987" s="124"/>
      <c r="O987" s="124"/>
      <c r="P987" s="124"/>
      <c r="Q987" s="124"/>
      <c r="R987" s="124"/>
      <c r="S987" s="124"/>
      <c r="T987" s="124"/>
      <c r="U987" s="124"/>
      <c r="V987" s="124"/>
      <c r="W987" s="124"/>
      <c r="X987" s="124"/>
      <c r="Y987" s="124"/>
    </row>
    <row r="988" spans="2:25" x14ac:dyDescent="0.25">
      <c r="B988" s="124"/>
      <c r="C988" s="124"/>
      <c r="D988" s="124"/>
      <c r="E988" s="124"/>
      <c r="F988" s="124"/>
      <c r="G988" s="124"/>
      <c r="H988" s="124"/>
      <c r="I988" s="124"/>
      <c r="J988" s="124"/>
      <c r="K988" s="124"/>
      <c r="L988" s="124"/>
      <c r="M988" s="124"/>
      <c r="N988" s="124"/>
      <c r="O988" s="124"/>
      <c r="P988" s="124"/>
      <c r="Q988" s="124"/>
      <c r="R988" s="124"/>
      <c r="S988" s="124"/>
      <c r="T988" s="124"/>
      <c r="U988" s="124"/>
      <c r="V988" s="124"/>
      <c r="W988" s="124"/>
      <c r="X988" s="124"/>
      <c r="Y988" s="124"/>
    </row>
    <row r="989" spans="2:25" x14ac:dyDescent="0.25">
      <c r="B989" s="124"/>
      <c r="C989" s="124"/>
      <c r="D989" s="124"/>
      <c r="E989" s="124"/>
      <c r="F989" s="124"/>
      <c r="G989" s="124"/>
      <c r="H989" s="124"/>
      <c r="I989" s="124"/>
      <c r="J989" s="124"/>
      <c r="K989" s="124"/>
      <c r="L989" s="124"/>
      <c r="M989" s="124"/>
      <c r="N989" s="124"/>
      <c r="O989" s="124"/>
      <c r="P989" s="124"/>
      <c r="Q989" s="124"/>
      <c r="R989" s="124"/>
      <c r="S989" s="124"/>
      <c r="T989" s="124"/>
      <c r="U989" s="124"/>
      <c r="V989" s="124"/>
      <c r="W989" s="124"/>
      <c r="X989" s="124"/>
      <c r="Y989" s="124"/>
    </row>
    <row r="990" spans="2:25" x14ac:dyDescent="0.25">
      <c r="B990" s="124"/>
      <c r="C990" s="124"/>
      <c r="D990" s="124"/>
      <c r="E990" s="124"/>
      <c r="F990" s="124"/>
      <c r="G990" s="124"/>
      <c r="H990" s="124"/>
      <c r="I990" s="124"/>
      <c r="J990" s="124"/>
      <c r="K990" s="124"/>
      <c r="L990" s="124"/>
      <c r="M990" s="124"/>
      <c r="N990" s="124"/>
      <c r="O990" s="124"/>
      <c r="P990" s="124"/>
      <c r="Q990" s="124"/>
      <c r="R990" s="124"/>
      <c r="S990" s="124"/>
      <c r="T990" s="124"/>
      <c r="U990" s="124"/>
      <c r="V990" s="124"/>
      <c r="W990" s="124"/>
      <c r="X990" s="124"/>
      <c r="Y990" s="124"/>
    </row>
    <row r="991" spans="2:25" x14ac:dyDescent="0.25">
      <c r="B991" s="124"/>
      <c r="C991" s="124"/>
      <c r="D991" s="124"/>
      <c r="E991" s="124"/>
      <c r="F991" s="124"/>
      <c r="G991" s="124"/>
      <c r="H991" s="124"/>
      <c r="I991" s="124"/>
      <c r="J991" s="124"/>
      <c r="K991" s="124"/>
      <c r="L991" s="124"/>
      <c r="M991" s="124"/>
      <c r="N991" s="124"/>
      <c r="O991" s="124"/>
      <c r="P991" s="124"/>
      <c r="Q991" s="124"/>
      <c r="R991" s="124"/>
      <c r="S991" s="124"/>
      <c r="T991" s="124"/>
      <c r="U991" s="124"/>
      <c r="V991" s="124"/>
      <c r="W991" s="124"/>
      <c r="X991" s="124"/>
      <c r="Y991" s="124"/>
    </row>
    <row r="992" spans="2:25" x14ac:dyDescent="0.25">
      <c r="B992" s="124"/>
      <c r="C992" s="124"/>
      <c r="D992" s="124"/>
      <c r="E992" s="124"/>
      <c r="F992" s="124"/>
      <c r="G992" s="124"/>
      <c r="H992" s="124"/>
      <c r="I992" s="124"/>
      <c r="J992" s="124"/>
      <c r="K992" s="124"/>
      <c r="L992" s="124"/>
      <c r="M992" s="124"/>
      <c r="N992" s="124"/>
      <c r="O992" s="124"/>
      <c r="P992" s="124"/>
      <c r="Q992" s="124"/>
      <c r="R992" s="124"/>
      <c r="S992" s="124"/>
      <c r="T992" s="124"/>
      <c r="U992" s="124"/>
      <c r="V992" s="124"/>
      <c r="W992" s="124"/>
      <c r="X992" s="124"/>
      <c r="Y992" s="124"/>
    </row>
    <row r="993" spans="2:25" x14ac:dyDescent="0.25">
      <c r="B993" s="124"/>
      <c r="C993" s="124"/>
      <c r="D993" s="124"/>
      <c r="E993" s="124"/>
      <c r="F993" s="124"/>
      <c r="G993" s="124"/>
      <c r="H993" s="124"/>
      <c r="I993" s="124"/>
      <c r="J993" s="124"/>
      <c r="K993" s="124"/>
      <c r="L993" s="124"/>
      <c r="M993" s="124"/>
      <c r="N993" s="124"/>
      <c r="O993" s="124"/>
      <c r="P993" s="124"/>
      <c r="Q993" s="124"/>
      <c r="R993" s="124"/>
      <c r="S993" s="124"/>
      <c r="T993" s="124"/>
      <c r="U993" s="124"/>
      <c r="V993" s="124"/>
      <c r="W993" s="124"/>
      <c r="X993" s="124"/>
      <c r="Y993" s="124"/>
    </row>
    <row r="994" spans="2:25" x14ac:dyDescent="0.25">
      <c r="B994" s="124"/>
      <c r="C994" s="124"/>
      <c r="D994" s="124"/>
      <c r="E994" s="124"/>
      <c r="F994" s="124"/>
      <c r="G994" s="124"/>
      <c r="H994" s="124"/>
      <c r="I994" s="124"/>
      <c r="J994" s="124"/>
      <c r="K994" s="124"/>
      <c r="L994" s="124"/>
      <c r="M994" s="124"/>
      <c r="N994" s="124"/>
      <c r="O994" s="124"/>
      <c r="P994" s="124"/>
      <c r="Q994" s="124"/>
      <c r="R994" s="124"/>
      <c r="S994" s="124"/>
      <c r="T994" s="124"/>
      <c r="U994" s="124"/>
      <c r="V994" s="124"/>
      <c r="W994" s="124"/>
      <c r="X994" s="124"/>
      <c r="Y994" s="124"/>
    </row>
    <row r="995" spans="2:25" x14ac:dyDescent="0.25">
      <c r="B995" s="124"/>
      <c r="C995" s="124"/>
      <c r="D995" s="124"/>
      <c r="E995" s="124"/>
      <c r="F995" s="124"/>
      <c r="G995" s="124"/>
      <c r="H995" s="124"/>
      <c r="I995" s="124"/>
      <c r="J995" s="124"/>
      <c r="K995" s="124"/>
      <c r="L995" s="124"/>
      <c r="M995" s="124"/>
      <c r="N995" s="124"/>
      <c r="O995" s="124"/>
      <c r="P995" s="124"/>
      <c r="Q995" s="124"/>
      <c r="R995" s="124"/>
      <c r="S995" s="124"/>
      <c r="T995" s="124"/>
      <c r="U995" s="124"/>
      <c r="V995" s="124"/>
      <c r="W995" s="124"/>
      <c r="X995" s="124"/>
      <c r="Y995" s="124"/>
    </row>
    <row r="996" spans="2:25" x14ac:dyDescent="0.25">
      <c r="B996" s="124"/>
      <c r="C996" s="124"/>
      <c r="D996" s="124"/>
      <c r="E996" s="124"/>
      <c r="F996" s="124"/>
      <c r="G996" s="124"/>
      <c r="H996" s="124"/>
      <c r="I996" s="124"/>
      <c r="J996" s="124"/>
      <c r="K996" s="124"/>
      <c r="L996" s="124"/>
      <c r="M996" s="124"/>
      <c r="N996" s="124"/>
      <c r="O996" s="124"/>
      <c r="P996" s="124"/>
      <c r="Q996" s="124"/>
      <c r="R996" s="124"/>
      <c r="S996" s="124"/>
      <c r="T996" s="124"/>
      <c r="U996" s="124"/>
      <c r="V996" s="124"/>
      <c r="W996" s="124"/>
      <c r="X996" s="124"/>
      <c r="Y996" s="124"/>
    </row>
    <row r="997" spans="2:25" x14ac:dyDescent="0.25">
      <c r="B997" s="124"/>
      <c r="C997" s="124"/>
      <c r="D997" s="124"/>
      <c r="E997" s="124"/>
      <c r="F997" s="124"/>
      <c r="G997" s="124"/>
      <c r="H997" s="124"/>
      <c r="I997" s="124"/>
      <c r="J997" s="124"/>
      <c r="K997" s="124"/>
      <c r="L997" s="124"/>
      <c r="M997" s="124"/>
      <c r="N997" s="124"/>
      <c r="O997" s="124"/>
      <c r="P997" s="124"/>
      <c r="Q997" s="124"/>
      <c r="R997" s="124"/>
      <c r="S997" s="124"/>
      <c r="T997" s="124"/>
      <c r="U997" s="124"/>
      <c r="V997" s="124"/>
      <c r="W997" s="124"/>
      <c r="X997" s="124"/>
      <c r="Y997" s="124"/>
    </row>
    <row r="998" spans="2:25" x14ac:dyDescent="0.25">
      <c r="B998" s="124"/>
      <c r="C998" s="124"/>
      <c r="D998" s="124"/>
      <c r="E998" s="124"/>
      <c r="F998" s="124"/>
      <c r="G998" s="124"/>
      <c r="H998" s="124"/>
      <c r="I998" s="124"/>
      <c r="J998" s="124"/>
      <c r="K998" s="124"/>
      <c r="L998" s="124"/>
      <c r="M998" s="124"/>
      <c r="N998" s="124"/>
      <c r="O998" s="124"/>
      <c r="P998" s="124"/>
      <c r="Q998" s="124"/>
      <c r="R998" s="124"/>
      <c r="S998" s="124"/>
      <c r="T998" s="124"/>
      <c r="U998" s="124"/>
      <c r="V998" s="124"/>
      <c r="W998" s="124"/>
      <c r="X998" s="124"/>
      <c r="Y998" s="124"/>
    </row>
    <row r="999" spans="2:25" x14ac:dyDescent="0.25">
      <c r="B999" s="124"/>
      <c r="C999" s="124"/>
      <c r="D999" s="124"/>
      <c r="E999" s="124"/>
      <c r="F999" s="124"/>
      <c r="G999" s="124"/>
      <c r="H999" s="124"/>
      <c r="I999" s="124"/>
      <c r="J999" s="124"/>
      <c r="K999" s="124"/>
      <c r="L999" s="124"/>
      <c r="M999" s="124"/>
      <c r="N999" s="124"/>
      <c r="O999" s="124"/>
      <c r="P999" s="124"/>
      <c r="Q999" s="124"/>
      <c r="R999" s="124"/>
      <c r="S999" s="124"/>
      <c r="T999" s="124"/>
      <c r="U999" s="124"/>
      <c r="V999" s="124"/>
      <c r="W999" s="124"/>
      <c r="X999" s="124"/>
      <c r="Y999" s="124"/>
    </row>
    <row r="1000" spans="2:25" x14ac:dyDescent="0.25">
      <c r="B1000" s="124"/>
      <c r="C1000" s="124"/>
      <c r="D1000" s="124"/>
      <c r="E1000" s="124"/>
      <c r="F1000" s="124"/>
      <c r="G1000" s="124"/>
      <c r="H1000" s="124"/>
      <c r="I1000" s="124"/>
      <c r="J1000" s="124"/>
      <c r="K1000" s="124"/>
      <c r="L1000" s="124"/>
      <c r="M1000" s="124"/>
      <c r="N1000" s="124"/>
      <c r="O1000" s="124"/>
      <c r="P1000" s="124"/>
      <c r="Q1000" s="124"/>
      <c r="R1000" s="124"/>
      <c r="S1000" s="124"/>
      <c r="T1000" s="124"/>
      <c r="U1000" s="124"/>
      <c r="V1000" s="124"/>
      <c r="W1000" s="124"/>
      <c r="X1000" s="124"/>
      <c r="Y1000" s="124"/>
    </row>
    <row r="1001" spans="2:25" x14ac:dyDescent="0.25">
      <c r="B1001" s="124"/>
      <c r="C1001" s="124"/>
      <c r="D1001" s="124"/>
      <c r="E1001" s="124"/>
      <c r="F1001" s="124"/>
      <c r="G1001" s="124"/>
      <c r="H1001" s="124"/>
      <c r="I1001" s="124"/>
      <c r="J1001" s="124"/>
      <c r="K1001" s="124"/>
      <c r="L1001" s="124"/>
      <c r="M1001" s="124"/>
      <c r="N1001" s="124"/>
      <c r="O1001" s="124"/>
      <c r="P1001" s="124"/>
      <c r="Q1001" s="124"/>
      <c r="R1001" s="124"/>
      <c r="S1001" s="124"/>
      <c r="T1001" s="124"/>
      <c r="U1001" s="124"/>
      <c r="V1001" s="124"/>
      <c r="W1001" s="124"/>
      <c r="X1001" s="124"/>
      <c r="Y1001" s="124"/>
    </row>
    <row r="1002" spans="2:25" x14ac:dyDescent="0.25">
      <c r="B1002" s="124"/>
      <c r="C1002" s="124"/>
      <c r="D1002" s="124"/>
      <c r="E1002" s="124"/>
      <c r="F1002" s="124"/>
      <c r="G1002" s="124"/>
      <c r="H1002" s="124"/>
      <c r="I1002" s="124"/>
      <c r="J1002" s="124"/>
      <c r="K1002" s="124"/>
      <c r="L1002" s="124"/>
      <c r="M1002" s="124"/>
      <c r="N1002" s="124"/>
      <c r="O1002" s="124"/>
      <c r="P1002" s="124"/>
      <c r="Q1002" s="124"/>
      <c r="R1002" s="124"/>
      <c r="S1002" s="124"/>
      <c r="T1002" s="124"/>
      <c r="U1002" s="124"/>
      <c r="V1002" s="124"/>
      <c r="W1002" s="124"/>
      <c r="X1002" s="124"/>
      <c r="Y1002" s="124"/>
    </row>
    <row r="1003" spans="2:25" x14ac:dyDescent="0.25">
      <c r="B1003" s="124"/>
      <c r="C1003" s="124"/>
      <c r="D1003" s="124"/>
      <c r="E1003" s="124"/>
      <c r="F1003" s="124"/>
      <c r="G1003" s="124"/>
      <c r="H1003" s="124"/>
      <c r="I1003" s="124"/>
      <c r="J1003" s="124"/>
      <c r="K1003" s="124"/>
      <c r="L1003" s="124"/>
      <c r="M1003" s="124"/>
      <c r="N1003" s="124"/>
      <c r="O1003" s="124"/>
      <c r="P1003" s="124"/>
      <c r="Q1003" s="124"/>
      <c r="R1003" s="124"/>
      <c r="S1003" s="124"/>
      <c r="T1003" s="124"/>
      <c r="U1003" s="124"/>
      <c r="V1003" s="124"/>
      <c r="W1003" s="124"/>
      <c r="X1003" s="124"/>
      <c r="Y1003" s="124"/>
    </row>
    <row r="1004" spans="2:25" x14ac:dyDescent="0.25">
      <c r="B1004" s="124"/>
      <c r="C1004" s="124"/>
      <c r="D1004" s="124"/>
      <c r="E1004" s="124"/>
      <c r="F1004" s="124"/>
      <c r="G1004" s="124"/>
      <c r="H1004" s="124"/>
      <c r="I1004" s="124"/>
      <c r="J1004" s="124"/>
      <c r="K1004" s="124"/>
      <c r="L1004" s="124"/>
      <c r="M1004" s="124"/>
      <c r="N1004" s="124"/>
      <c r="O1004" s="124"/>
      <c r="P1004" s="124"/>
      <c r="Q1004" s="124"/>
      <c r="R1004" s="124"/>
      <c r="S1004" s="124"/>
      <c r="T1004" s="124"/>
      <c r="U1004" s="124"/>
      <c r="V1004" s="124"/>
      <c r="W1004" s="124"/>
      <c r="X1004" s="124"/>
      <c r="Y1004" s="124"/>
    </row>
    <row r="1005" spans="2:25" x14ac:dyDescent="0.25">
      <c r="B1005" s="124"/>
      <c r="C1005" s="124"/>
      <c r="D1005" s="124"/>
      <c r="E1005" s="124"/>
      <c r="F1005" s="124"/>
      <c r="G1005" s="124"/>
      <c r="H1005" s="124"/>
      <c r="I1005" s="124"/>
      <c r="J1005" s="124"/>
      <c r="K1005" s="124"/>
      <c r="L1005" s="124"/>
      <c r="M1005" s="124"/>
      <c r="N1005" s="124"/>
      <c r="O1005" s="124"/>
      <c r="P1005" s="124"/>
      <c r="Q1005" s="124"/>
      <c r="R1005" s="124"/>
      <c r="S1005" s="124"/>
      <c r="T1005" s="124"/>
      <c r="U1005" s="124"/>
      <c r="V1005" s="124"/>
      <c r="W1005" s="124"/>
      <c r="X1005" s="124"/>
      <c r="Y1005" s="124"/>
    </row>
    <row r="1006" spans="2:25" x14ac:dyDescent="0.25">
      <c r="B1006" s="124"/>
      <c r="C1006" s="124"/>
      <c r="D1006" s="124"/>
      <c r="E1006" s="124"/>
      <c r="F1006" s="124"/>
      <c r="G1006" s="124"/>
      <c r="H1006" s="124"/>
      <c r="I1006" s="124"/>
      <c r="J1006" s="124"/>
      <c r="K1006" s="124"/>
      <c r="L1006" s="124"/>
      <c r="M1006" s="124"/>
      <c r="N1006" s="124"/>
      <c r="O1006" s="124"/>
      <c r="P1006" s="124"/>
      <c r="Q1006" s="124"/>
      <c r="R1006" s="124"/>
      <c r="S1006" s="124"/>
      <c r="T1006" s="124"/>
      <c r="U1006" s="124"/>
      <c r="V1006" s="124"/>
      <c r="W1006" s="124"/>
      <c r="X1006" s="124"/>
      <c r="Y1006" s="124"/>
    </row>
    <row r="1007" spans="2:25" x14ac:dyDescent="0.25">
      <c r="B1007" s="124"/>
      <c r="C1007" s="124"/>
      <c r="D1007" s="124"/>
      <c r="E1007" s="124"/>
      <c r="F1007" s="124"/>
      <c r="G1007" s="124"/>
      <c r="H1007" s="124"/>
      <c r="I1007" s="124"/>
      <c r="J1007" s="124"/>
      <c r="K1007" s="124"/>
      <c r="L1007" s="124"/>
      <c r="M1007" s="124"/>
      <c r="N1007" s="124"/>
      <c r="O1007" s="124"/>
      <c r="P1007" s="124"/>
      <c r="Q1007" s="124"/>
      <c r="R1007" s="124"/>
      <c r="S1007" s="124"/>
      <c r="T1007" s="124"/>
      <c r="U1007" s="124"/>
      <c r="V1007" s="124"/>
      <c r="W1007" s="124"/>
      <c r="X1007" s="124"/>
      <c r="Y1007" s="124"/>
    </row>
    <row r="1008" spans="2:25" x14ac:dyDescent="0.25">
      <c r="B1008" s="124"/>
      <c r="C1008" s="124"/>
      <c r="D1008" s="124"/>
      <c r="E1008" s="124"/>
      <c r="F1008" s="124"/>
      <c r="G1008" s="124"/>
      <c r="H1008" s="124"/>
      <c r="I1008" s="124"/>
      <c r="J1008" s="124"/>
      <c r="K1008" s="124"/>
      <c r="L1008" s="124"/>
      <c r="M1008" s="124"/>
      <c r="N1008" s="124"/>
      <c r="O1008" s="124"/>
      <c r="P1008" s="124"/>
      <c r="Q1008" s="124"/>
      <c r="R1008" s="124"/>
      <c r="S1008" s="124"/>
      <c r="T1008" s="124"/>
      <c r="U1008" s="124"/>
      <c r="V1008" s="124"/>
      <c r="W1008" s="124"/>
      <c r="X1008" s="124"/>
      <c r="Y1008" s="124"/>
    </row>
    <row r="1009" spans="2:25" x14ac:dyDescent="0.25">
      <c r="B1009" s="124"/>
      <c r="C1009" s="124"/>
      <c r="D1009" s="124"/>
      <c r="E1009" s="124"/>
      <c r="F1009" s="124"/>
      <c r="G1009" s="124"/>
      <c r="H1009" s="124"/>
      <c r="I1009" s="124"/>
      <c r="J1009" s="124"/>
      <c r="K1009" s="124"/>
      <c r="L1009" s="124"/>
      <c r="M1009" s="124"/>
      <c r="N1009" s="124"/>
      <c r="O1009" s="124"/>
      <c r="P1009" s="124"/>
      <c r="Q1009" s="124"/>
      <c r="R1009" s="124"/>
      <c r="S1009" s="124"/>
      <c r="T1009" s="124"/>
      <c r="U1009" s="124"/>
      <c r="V1009" s="124"/>
      <c r="W1009" s="124"/>
      <c r="X1009" s="124"/>
      <c r="Y1009" s="124"/>
    </row>
    <row r="1010" spans="2:25" x14ac:dyDescent="0.25">
      <c r="B1010" s="124"/>
      <c r="C1010" s="124"/>
      <c r="D1010" s="124"/>
      <c r="E1010" s="124"/>
      <c r="F1010" s="124"/>
      <c r="G1010" s="124"/>
      <c r="H1010" s="124"/>
      <c r="I1010" s="124"/>
      <c r="J1010" s="124"/>
      <c r="K1010" s="124"/>
      <c r="L1010" s="124"/>
      <c r="M1010" s="124"/>
      <c r="N1010" s="124"/>
      <c r="O1010" s="124"/>
      <c r="P1010" s="124"/>
      <c r="Q1010" s="124"/>
      <c r="R1010" s="124"/>
      <c r="S1010" s="124"/>
      <c r="T1010" s="124"/>
      <c r="U1010" s="124"/>
      <c r="V1010" s="124"/>
      <c r="W1010" s="124"/>
      <c r="X1010" s="124"/>
      <c r="Y1010" s="124"/>
    </row>
    <row r="1011" spans="2:25" x14ac:dyDescent="0.25">
      <c r="B1011" s="124"/>
      <c r="C1011" s="124"/>
      <c r="D1011" s="124"/>
      <c r="E1011" s="124"/>
      <c r="F1011" s="124"/>
      <c r="G1011" s="124"/>
      <c r="H1011" s="124"/>
      <c r="I1011" s="124"/>
      <c r="J1011" s="124"/>
      <c r="K1011" s="124"/>
      <c r="L1011" s="124"/>
      <c r="M1011" s="124"/>
      <c r="N1011" s="124"/>
      <c r="O1011" s="124"/>
      <c r="P1011" s="124"/>
      <c r="Q1011" s="124"/>
      <c r="R1011" s="124"/>
      <c r="S1011" s="124"/>
      <c r="T1011" s="124"/>
      <c r="U1011" s="124"/>
      <c r="V1011" s="124"/>
      <c r="W1011" s="124"/>
      <c r="X1011" s="124"/>
      <c r="Y1011" s="124"/>
    </row>
    <row r="1012" spans="2:25" x14ac:dyDescent="0.25">
      <c r="B1012" s="124"/>
      <c r="C1012" s="124"/>
      <c r="D1012" s="124"/>
      <c r="E1012" s="124"/>
      <c r="F1012" s="124"/>
      <c r="G1012" s="124"/>
      <c r="H1012" s="124"/>
      <c r="I1012" s="124"/>
      <c r="J1012" s="124"/>
      <c r="K1012" s="124"/>
      <c r="L1012" s="124"/>
      <c r="M1012" s="124"/>
      <c r="N1012" s="124"/>
      <c r="O1012" s="124"/>
      <c r="P1012" s="124"/>
      <c r="Q1012" s="124"/>
      <c r="R1012" s="124"/>
      <c r="S1012" s="124"/>
      <c r="T1012" s="124"/>
      <c r="U1012" s="124"/>
      <c r="V1012" s="124"/>
      <c r="W1012" s="124"/>
      <c r="X1012" s="124"/>
      <c r="Y1012" s="124"/>
    </row>
    <row r="1013" spans="2:25" x14ac:dyDescent="0.25">
      <c r="B1013" s="124"/>
      <c r="C1013" s="124"/>
      <c r="D1013" s="124"/>
      <c r="E1013" s="124"/>
      <c r="F1013" s="124"/>
      <c r="G1013" s="124"/>
      <c r="H1013" s="124"/>
      <c r="I1013" s="124"/>
      <c r="J1013" s="124"/>
      <c r="K1013" s="124"/>
      <c r="L1013" s="124"/>
      <c r="M1013" s="124"/>
      <c r="N1013" s="124"/>
      <c r="O1013" s="124"/>
      <c r="P1013" s="124"/>
      <c r="Q1013" s="124"/>
      <c r="R1013" s="124"/>
      <c r="S1013" s="124"/>
      <c r="T1013" s="124"/>
      <c r="U1013" s="124"/>
      <c r="V1013" s="124"/>
      <c r="W1013" s="124"/>
      <c r="X1013" s="124"/>
      <c r="Y1013" s="124"/>
    </row>
    <row r="1014" spans="2:25" x14ac:dyDescent="0.25">
      <c r="B1014" s="124"/>
      <c r="C1014" s="124"/>
      <c r="D1014" s="124"/>
      <c r="E1014" s="124"/>
      <c r="F1014" s="124"/>
      <c r="G1014" s="124"/>
      <c r="H1014" s="124"/>
      <c r="I1014" s="124"/>
      <c r="J1014" s="124"/>
      <c r="K1014" s="124"/>
      <c r="L1014" s="124"/>
      <c r="M1014" s="124"/>
      <c r="N1014" s="124"/>
      <c r="O1014" s="124"/>
      <c r="P1014" s="124"/>
      <c r="Q1014" s="124"/>
      <c r="R1014" s="124"/>
      <c r="S1014" s="124"/>
      <c r="T1014" s="124"/>
      <c r="U1014" s="124"/>
      <c r="V1014" s="124"/>
      <c r="W1014" s="124"/>
      <c r="X1014" s="124"/>
      <c r="Y1014" s="124"/>
    </row>
    <row r="1015" spans="2:25" x14ac:dyDescent="0.25">
      <c r="B1015" s="124"/>
      <c r="C1015" s="124"/>
      <c r="D1015" s="124"/>
      <c r="E1015" s="124"/>
      <c r="F1015" s="124"/>
      <c r="G1015" s="124"/>
      <c r="H1015" s="124"/>
      <c r="I1015" s="124"/>
      <c r="J1015" s="124"/>
      <c r="K1015" s="124"/>
      <c r="L1015" s="124"/>
      <c r="M1015" s="124"/>
      <c r="N1015" s="124"/>
      <c r="O1015" s="124"/>
      <c r="P1015" s="124"/>
      <c r="Q1015" s="124"/>
      <c r="R1015" s="124"/>
      <c r="S1015" s="124"/>
      <c r="T1015" s="124"/>
      <c r="U1015" s="124"/>
      <c r="V1015" s="124"/>
      <c r="W1015" s="124"/>
      <c r="X1015" s="124"/>
      <c r="Y1015" s="124"/>
    </row>
    <row r="1016" spans="2:25" x14ac:dyDescent="0.25">
      <c r="B1016" s="124"/>
      <c r="C1016" s="124"/>
      <c r="D1016" s="124"/>
      <c r="E1016" s="124"/>
      <c r="F1016" s="124"/>
      <c r="G1016" s="124"/>
      <c r="H1016" s="124"/>
      <c r="I1016" s="124"/>
      <c r="J1016" s="124"/>
      <c r="K1016" s="124"/>
      <c r="L1016" s="124"/>
      <c r="M1016" s="124"/>
      <c r="N1016" s="124"/>
      <c r="O1016" s="124"/>
      <c r="P1016" s="124"/>
      <c r="Q1016" s="124"/>
      <c r="R1016" s="124"/>
      <c r="S1016" s="124"/>
      <c r="T1016" s="124"/>
      <c r="U1016" s="124"/>
      <c r="V1016" s="124"/>
      <c r="W1016" s="124"/>
      <c r="X1016" s="124"/>
      <c r="Y1016" s="124"/>
    </row>
    <row r="1017" spans="2:25" x14ac:dyDescent="0.25">
      <c r="B1017" s="124"/>
      <c r="C1017" s="124"/>
      <c r="D1017" s="124"/>
      <c r="E1017" s="124"/>
      <c r="F1017" s="124"/>
      <c r="G1017" s="124"/>
      <c r="H1017" s="124"/>
      <c r="I1017" s="124"/>
      <c r="J1017" s="124"/>
      <c r="K1017" s="124"/>
      <c r="L1017" s="124"/>
      <c r="M1017" s="124"/>
      <c r="N1017" s="124"/>
      <c r="O1017" s="124"/>
      <c r="P1017" s="124"/>
      <c r="Q1017" s="124"/>
      <c r="R1017" s="124"/>
      <c r="S1017" s="124"/>
      <c r="T1017" s="124"/>
      <c r="U1017" s="124"/>
      <c r="V1017" s="124"/>
      <c r="W1017" s="124"/>
      <c r="X1017" s="124"/>
      <c r="Y1017" s="124"/>
    </row>
    <row r="1018" spans="2:25" x14ac:dyDescent="0.25">
      <c r="B1018" s="124"/>
      <c r="C1018" s="124"/>
      <c r="D1018" s="124"/>
      <c r="E1018" s="124"/>
      <c r="F1018" s="124"/>
      <c r="G1018" s="124"/>
      <c r="H1018" s="124"/>
      <c r="I1018" s="124"/>
      <c r="J1018" s="124"/>
      <c r="K1018" s="124"/>
      <c r="L1018" s="124"/>
      <c r="M1018" s="124"/>
      <c r="N1018" s="124"/>
      <c r="O1018" s="124"/>
      <c r="P1018" s="124"/>
      <c r="Q1018" s="124"/>
      <c r="R1018" s="124"/>
      <c r="S1018" s="124"/>
      <c r="T1018" s="124"/>
      <c r="U1018" s="124"/>
      <c r="V1018" s="124"/>
      <c r="W1018" s="124"/>
      <c r="X1018" s="124"/>
      <c r="Y1018" s="124"/>
    </row>
    <row r="1019" spans="2:25" x14ac:dyDescent="0.25">
      <c r="B1019" s="124"/>
      <c r="C1019" s="124"/>
      <c r="D1019" s="124"/>
      <c r="E1019" s="124"/>
      <c r="F1019" s="124"/>
      <c r="G1019" s="124"/>
      <c r="H1019" s="124"/>
      <c r="I1019" s="124"/>
      <c r="J1019" s="124"/>
      <c r="K1019" s="124"/>
      <c r="L1019" s="124"/>
      <c r="M1019" s="124"/>
      <c r="N1019" s="124"/>
      <c r="O1019" s="124"/>
      <c r="P1019" s="124"/>
      <c r="Q1019" s="124"/>
      <c r="R1019" s="124"/>
      <c r="S1019" s="124"/>
      <c r="T1019" s="124"/>
      <c r="U1019" s="124"/>
      <c r="V1019" s="124"/>
      <c r="W1019" s="124"/>
      <c r="X1019" s="124"/>
      <c r="Y1019" s="124"/>
    </row>
    <row r="1020" spans="2:25" x14ac:dyDescent="0.25">
      <c r="B1020" s="124"/>
      <c r="C1020" s="124"/>
      <c r="D1020" s="124"/>
      <c r="E1020" s="124"/>
      <c r="F1020" s="124"/>
      <c r="G1020" s="124"/>
      <c r="H1020" s="124"/>
      <c r="I1020" s="124"/>
      <c r="J1020" s="124"/>
      <c r="K1020" s="124"/>
      <c r="L1020" s="124"/>
      <c r="M1020" s="124"/>
      <c r="N1020" s="124"/>
      <c r="O1020" s="124"/>
      <c r="P1020" s="124"/>
      <c r="Q1020" s="124"/>
      <c r="R1020" s="124"/>
      <c r="S1020" s="124"/>
      <c r="T1020" s="124"/>
      <c r="U1020" s="124"/>
      <c r="V1020" s="124"/>
      <c r="W1020" s="124"/>
      <c r="X1020" s="124"/>
      <c r="Y1020" s="124"/>
    </row>
    <row r="1021" spans="2:25" x14ac:dyDescent="0.25">
      <c r="B1021" s="124"/>
      <c r="C1021" s="124"/>
      <c r="D1021" s="124"/>
      <c r="E1021" s="124"/>
      <c r="F1021" s="124"/>
      <c r="G1021" s="124"/>
      <c r="H1021" s="124"/>
      <c r="I1021" s="124"/>
      <c r="J1021" s="124"/>
      <c r="K1021" s="124"/>
      <c r="L1021" s="124"/>
      <c r="M1021" s="124"/>
      <c r="N1021" s="124"/>
      <c r="O1021" s="124"/>
      <c r="P1021" s="124"/>
      <c r="Q1021" s="124"/>
      <c r="R1021" s="124"/>
      <c r="S1021" s="124"/>
      <c r="T1021" s="124"/>
      <c r="U1021" s="124"/>
      <c r="V1021" s="124"/>
      <c r="W1021" s="124"/>
      <c r="X1021" s="124"/>
      <c r="Y1021" s="124"/>
    </row>
    <row r="1022" spans="2:25" x14ac:dyDescent="0.25">
      <c r="B1022" s="124"/>
      <c r="C1022" s="124"/>
      <c r="D1022" s="124"/>
      <c r="E1022" s="124"/>
      <c r="F1022" s="124"/>
      <c r="G1022" s="124"/>
      <c r="H1022" s="124"/>
      <c r="I1022" s="124"/>
      <c r="J1022" s="124"/>
      <c r="K1022" s="124"/>
      <c r="L1022" s="124"/>
      <c r="M1022" s="124"/>
      <c r="N1022" s="124"/>
      <c r="O1022" s="124"/>
      <c r="P1022" s="124"/>
      <c r="Q1022" s="124"/>
      <c r="R1022" s="124"/>
      <c r="S1022" s="124"/>
      <c r="T1022" s="124"/>
      <c r="U1022" s="124"/>
      <c r="V1022" s="124"/>
      <c r="W1022" s="124"/>
      <c r="X1022" s="124"/>
      <c r="Y1022" s="124"/>
    </row>
    <row r="1023" spans="2:25" x14ac:dyDescent="0.25">
      <c r="B1023" s="124"/>
      <c r="C1023" s="124"/>
      <c r="D1023" s="124"/>
      <c r="E1023" s="124"/>
      <c r="F1023" s="124"/>
      <c r="G1023" s="124"/>
      <c r="H1023" s="124"/>
      <c r="I1023" s="124"/>
      <c r="J1023" s="124"/>
      <c r="K1023" s="124"/>
      <c r="L1023" s="124"/>
      <c r="M1023" s="124"/>
      <c r="N1023" s="124"/>
      <c r="O1023" s="124"/>
      <c r="P1023" s="124"/>
      <c r="Q1023" s="124"/>
      <c r="R1023" s="124"/>
      <c r="S1023" s="124"/>
      <c r="T1023" s="124"/>
      <c r="U1023" s="124"/>
      <c r="V1023" s="124"/>
      <c r="W1023" s="124"/>
      <c r="X1023" s="124"/>
      <c r="Y1023" s="124"/>
    </row>
    <row r="1024" spans="2:25" x14ac:dyDescent="0.25">
      <c r="B1024" s="124"/>
      <c r="C1024" s="124"/>
      <c r="D1024" s="124"/>
      <c r="E1024" s="124"/>
      <c r="F1024" s="124"/>
      <c r="G1024" s="124"/>
      <c r="H1024" s="124"/>
      <c r="I1024" s="124"/>
      <c r="J1024" s="124"/>
      <c r="K1024" s="124"/>
      <c r="L1024" s="124"/>
      <c r="M1024" s="124"/>
      <c r="N1024" s="124"/>
      <c r="O1024" s="124"/>
      <c r="P1024" s="124"/>
      <c r="Q1024" s="124"/>
      <c r="R1024" s="124"/>
      <c r="S1024" s="124"/>
      <c r="T1024" s="124"/>
      <c r="U1024" s="124"/>
      <c r="V1024" s="124"/>
      <c r="W1024" s="124"/>
      <c r="X1024" s="124"/>
      <c r="Y1024" s="124"/>
    </row>
    <row r="1025" spans="2:25" x14ac:dyDescent="0.25">
      <c r="B1025" s="124"/>
      <c r="C1025" s="124"/>
      <c r="D1025" s="124"/>
      <c r="E1025" s="124"/>
      <c r="F1025" s="124"/>
      <c r="G1025" s="124"/>
      <c r="H1025" s="124"/>
      <c r="I1025" s="124"/>
      <c r="J1025" s="124"/>
      <c r="K1025" s="124"/>
      <c r="L1025" s="124"/>
      <c r="M1025" s="124"/>
      <c r="N1025" s="124"/>
      <c r="O1025" s="124"/>
      <c r="P1025" s="124"/>
      <c r="Q1025" s="124"/>
      <c r="R1025" s="124"/>
      <c r="S1025" s="124"/>
      <c r="T1025" s="124"/>
      <c r="U1025" s="124"/>
      <c r="V1025" s="124"/>
      <c r="W1025" s="124"/>
      <c r="X1025" s="124"/>
      <c r="Y1025" s="124"/>
    </row>
    <row r="1026" spans="2:25" x14ac:dyDescent="0.25">
      <c r="B1026" s="124"/>
      <c r="C1026" s="124"/>
      <c r="D1026" s="124"/>
      <c r="E1026" s="124"/>
      <c r="F1026" s="124"/>
      <c r="G1026" s="124"/>
      <c r="H1026" s="124"/>
      <c r="I1026" s="124"/>
      <c r="J1026" s="124"/>
      <c r="K1026" s="124"/>
      <c r="L1026" s="124"/>
      <c r="M1026" s="124"/>
      <c r="N1026" s="124"/>
      <c r="O1026" s="124"/>
      <c r="P1026" s="124"/>
      <c r="Q1026" s="124"/>
      <c r="R1026" s="124"/>
      <c r="S1026" s="124"/>
      <c r="T1026" s="124"/>
      <c r="U1026" s="124"/>
      <c r="V1026" s="124"/>
      <c r="W1026" s="124"/>
      <c r="X1026" s="124"/>
      <c r="Y1026" s="124"/>
    </row>
    <row r="1027" spans="2:25" x14ac:dyDescent="0.25">
      <c r="B1027" s="124"/>
      <c r="C1027" s="124"/>
      <c r="D1027" s="124"/>
      <c r="E1027" s="124"/>
      <c r="F1027" s="124"/>
      <c r="G1027" s="124"/>
      <c r="H1027" s="124"/>
      <c r="I1027" s="124"/>
      <c r="J1027" s="124"/>
      <c r="K1027" s="124"/>
      <c r="L1027" s="124"/>
      <c r="M1027" s="124"/>
      <c r="N1027" s="124"/>
      <c r="O1027" s="124"/>
      <c r="P1027" s="124"/>
      <c r="Q1027" s="124"/>
      <c r="R1027" s="124"/>
      <c r="S1027" s="124"/>
      <c r="T1027" s="124"/>
      <c r="U1027" s="124"/>
      <c r="V1027" s="124"/>
      <c r="W1027" s="124"/>
      <c r="X1027" s="124"/>
      <c r="Y1027" s="124"/>
    </row>
    <row r="1028" spans="2:25" x14ac:dyDescent="0.25">
      <c r="B1028" s="124"/>
      <c r="C1028" s="124"/>
      <c r="D1028" s="124"/>
      <c r="E1028" s="124"/>
      <c r="F1028" s="124"/>
      <c r="G1028" s="124"/>
      <c r="H1028" s="124"/>
      <c r="I1028" s="124"/>
      <c r="J1028" s="124"/>
      <c r="K1028" s="124"/>
      <c r="L1028" s="124"/>
      <c r="M1028" s="124"/>
      <c r="N1028" s="124"/>
      <c r="O1028" s="124"/>
      <c r="P1028" s="124"/>
      <c r="Q1028" s="124"/>
      <c r="R1028" s="124"/>
      <c r="S1028" s="124"/>
      <c r="T1028" s="124"/>
      <c r="U1028" s="124"/>
      <c r="V1028" s="124"/>
      <c r="W1028" s="124"/>
      <c r="X1028" s="124"/>
      <c r="Y1028" s="124"/>
    </row>
    <row r="1029" spans="2:25" x14ac:dyDescent="0.25">
      <c r="B1029" s="124"/>
      <c r="C1029" s="124"/>
      <c r="D1029" s="124"/>
      <c r="E1029" s="124"/>
      <c r="F1029" s="124"/>
      <c r="G1029" s="124"/>
      <c r="H1029" s="124"/>
      <c r="I1029" s="124"/>
      <c r="J1029" s="124"/>
      <c r="K1029" s="124"/>
      <c r="L1029" s="124"/>
      <c r="M1029" s="124"/>
      <c r="N1029" s="124"/>
      <c r="O1029" s="124"/>
      <c r="P1029" s="124"/>
      <c r="Q1029" s="124"/>
      <c r="R1029" s="124"/>
      <c r="S1029" s="124"/>
      <c r="T1029" s="124"/>
      <c r="U1029" s="124"/>
      <c r="V1029" s="124"/>
      <c r="W1029" s="124"/>
      <c r="X1029" s="124"/>
      <c r="Y1029" s="124"/>
    </row>
    <row r="1030" spans="2:25" x14ac:dyDescent="0.25">
      <c r="B1030" s="124"/>
      <c r="C1030" s="124"/>
      <c r="D1030" s="124"/>
      <c r="E1030" s="124"/>
      <c r="F1030" s="124"/>
      <c r="G1030" s="124"/>
      <c r="H1030" s="124"/>
      <c r="I1030" s="124"/>
      <c r="J1030" s="124"/>
      <c r="K1030" s="124"/>
      <c r="L1030" s="124"/>
      <c r="M1030" s="124"/>
      <c r="N1030" s="124"/>
      <c r="O1030" s="124"/>
      <c r="P1030" s="124"/>
      <c r="Q1030" s="124"/>
      <c r="R1030" s="124"/>
      <c r="S1030" s="124"/>
      <c r="T1030" s="124"/>
      <c r="U1030" s="124"/>
      <c r="V1030" s="124"/>
      <c r="W1030" s="124"/>
      <c r="X1030" s="124"/>
      <c r="Y1030" s="124"/>
    </row>
    <row r="1031" spans="2:25" x14ac:dyDescent="0.25">
      <c r="B1031" s="124"/>
      <c r="C1031" s="124"/>
      <c r="D1031" s="124"/>
      <c r="E1031" s="124"/>
      <c r="F1031" s="124"/>
      <c r="G1031" s="124"/>
      <c r="H1031" s="124"/>
      <c r="I1031" s="124"/>
      <c r="J1031" s="124"/>
      <c r="K1031" s="124"/>
      <c r="L1031" s="124"/>
      <c r="M1031" s="124"/>
      <c r="N1031" s="124"/>
      <c r="O1031" s="124"/>
      <c r="P1031" s="124"/>
      <c r="Q1031" s="124"/>
      <c r="R1031" s="124"/>
      <c r="S1031" s="124"/>
      <c r="T1031" s="124"/>
      <c r="U1031" s="124"/>
      <c r="V1031" s="124"/>
      <c r="W1031" s="124"/>
      <c r="X1031" s="124"/>
      <c r="Y1031" s="124"/>
    </row>
    <row r="1032" spans="2:25" x14ac:dyDescent="0.25">
      <c r="B1032" s="124"/>
      <c r="C1032" s="124"/>
      <c r="D1032" s="124"/>
      <c r="E1032" s="124"/>
      <c r="F1032" s="124"/>
      <c r="G1032" s="124"/>
      <c r="H1032" s="124"/>
      <c r="I1032" s="124"/>
      <c r="J1032" s="124"/>
      <c r="K1032" s="124"/>
      <c r="L1032" s="124"/>
      <c r="M1032" s="124"/>
      <c r="N1032" s="124"/>
      <c r="O1032" s="124"/>
      <c r="P1032" s="124"/>
      <c r="Q1032" s="124"/>
      <c r="R1032" s="124"/>
      <c r="S1032" s="124"/>
      <c r="T1032" s="124"/>
      <c r="U1032" s="124"/>
      <c r="V1032" s="124"/>
      <c r="W1032" s="124"/>
      <c r="X1032" s="124"/>
      <c r="Y1032" s="124"/>
    </row>
    <row r="1033" spans="2:25" x14ac:dyDescent="0.25">
      <c r="B1033" s="124"/>
      <c r="C1033" s="124"/>
      <c r="D1033" s="124"/>
      <c r="E1033" s="124"/>
      <c r="F1033" s="124"/>
      <c r="G1033" s="124"/>
      <c r="H1033" s="124"/>
      <c r="I1033" s="124"/>
      <c r="J1033" s="124"/>
      <c r="K1033" s="124"/>
      <c r="L1033" s="124"/>
      <c r="M1033" s="124"/>
      <c r="N1033" s="124"/>
      <c r="O1033" s="124"/>
      <c r="P1033" s="124"/>
      <c r="Q1033" s="124"/>
      <c r="R1033" s="124"/>
      <c r="S1033" s="124"/>
      <c r="T1033" s="124"/>
      <c r="U1033" s="124"/>
      <c r="V1033" s="124"/>
      <c r="W1033" s="124"/>
      <c r="X1033" s="124"/>
      <c r="Y1033" s="124"/>
    </row>
    <row r="1034" spans="2:25" x14ac:dyDescent="0.25">
      <c r="B1034" s="124"/>
      <c r="C1034" s="124"/>
      <c r="D1034" s="124"/>
      <c r="E1034" s="124"/>
      <c r="F1034" s="124"/>
      <c r="G1034" s="124"/>
      <c r="H1034" s="124"/>
      <c r="I1034" s="124"/>
      <c r="J1034" s="124"/>
      <c r="K1034" s="124"/>
      <c r="L1034" s="124"/>
      <c r="M1034" s="124"/>
      <c r="N1034" s="124"/>
      <c r="O1034" s="124"/>
      <c r="P1034" s="124"/>
      <c r="Q1034" s="124"/>
      <c r="R1034" s="124"/>
      <c r="S1034" s="124"/>
      <c r="T1034" s="124"/>
      <c r="U1034" s="124"/>
      <c r="V1034" s="124"/>
      <c r="W1034" s="124"/>
      <c r="X1034" s="124"/>
      <c r="Y1034" s="124"/>
    </row>
    <row r="1035" spans="2:25" x14ac:dyDescent="0.25">
      <c r="B1035" s="124"/>
      <c r="C1035" s="124"/>
      <c r="D1035" s="124"/>
      <c r="E1035" s="124"/>
      <c r="F1035" s="124"/>
      <c r="G1035" s="124"/>
      <c r="H1035" s="124"/>
      <c r="I1035" s="124"/>
      <c r="J1035" s="124"/>
      <c r="K1035" s="124"/>
      <c r="L1035" s="124"/>
      <c r="M1035" s="124"/>
      <c r="N1035" s="124"/>
      <c r="O1035" s="124"/>
      <c r="P1035" s="124"/>
      <c r="Q1035" s="124"/>
      <c r="R1035" s="124"/>
      <c r="S1035" s="124"/>
      <c r="T1035" s="124"/>
      <c r="U1035" s="124"/>
      <c r="V1035" s="124"/>
      <c r="W1035" s="124"/>
      <c r="X1035" s="124"/>
      <c r="Y1035" s="124"/>
    </row>
    <row r="1036" spans="2:25" x14ac:dyDescent="0.25">
      <c r="B1036" s="124"/>
      <c r="C1036" s="124"/>
      <c r="D1036" s="124"/>
      <c r="E1036" s="124"/>
      <c r="F1036" s="124"/>
      <c r="G1036" s="124"/>
      <c r="H1036" s="124"/>
      <c r="I1036" s="124"/>
      <c r="J1036" s="124"/>
      <c r="K1036" s="124"/>
      <c r="L1036" s="124"/>
      <c r="M1036" s="124"/>
      <c r="N1036" s="124"/>
      <c r="O1036" s="124"/>
      <c r="P1036" s="124"/>
      <c r="Q1036" s="124"/>
      <c r="R1036" s="124"/>
      <c r="S1036" s="124"/>
      <c r="T1036" s="124"/>
      <c r="U1036" s="124"/>
      <c r="V1036" s="124"/>
      <c r="W1036" s="124"/>
      <c r="X1036" s="124"/>
      <c r="Y1036" s="124"/>
    </row>
    <row r="1037" spans="2:25" x14ac:dyDescent="0.25">
      <c r="B1037" s="124"/>
      <c r="C1037" s="124"/>
      <c r="D1037" s="124"/>
      <c r="E1037" s="124"/>
      <c r="F1037" s="124"/>
      <c r="G1037" s="124"/>
      <c r="H1037" s="124"/>
      <c r="I1037" s="124"/>
      <c r="J1037" s="124"/>
      <c r="K1037" s="124"/>
      <c r="L1037" s="124"/>
      <c r="M1037" s="124"/>
      <c r="N1037" s="124"/>
      <c r="O1037" s="124"/>
      <c r="P1037" s="124"/>
      <c r="Q1037" s="124"/>
      <c r="R1037" s="124"/>
      <c r="S1037" s="124"/>
      <c r="T1037" s="124"/>
      <c r="U1037" s="124"/>
      <c r="V1037" s="124"/>
      <c r="W1037" s="124"/>
      <c r="X1037" s="124"/>
      <c r="Y1037" s="124"/>
    </row>
    <row r="1038" spans="2:25" x14ac:dyDescent="0.25">
      <c r="B1038" s="124"/>
      <c r="C1038" s="124"/>
      <c r="D1038" s="124"/>
      <c r="E1038" s="124"/>
      <c r="F1038" s="124"/>
      <c r="G1038" s="124"/>
      <c r="H1038" s="124"/>
      <c r="I1038" s="124"/>
      <c r="J1038" s="124"/>
      <c r="K1038" s="124"/>
      <c r="L1038" s="124"/>
      <c r="M1038" s="124"/>
      <c r="N1038" s="124"/>
      <c r="O1038" s="124"/>
      <c r="P1038" s="124"/>
      <c r="Q1038" s="124"/>
      <c r="R1038" s="124"/>
      <c r="S1038" s="124"/>
      <c r="T1038" s="124"/>
      <c r="U1038" s="124"/>
      <c r="V1038" s="124"/>
      <c r="W1038" s="124"/>
      <c r="X1038" s="124"/>
      <c r="Y1038" s="124"/>
    </row>
    <row r="1039" spans="2:25" x14ac:dyDescent="0.25">
      <c r="B1039" s="124"/>
      <c r="C1039" s="124"/>
      <c r="D1039" s="124"/>
      <c r="E1039" s="124"/>
      <c r="F1039" s="124"/>
      <c r="G1039" s="124"/>
      <c r="H1039" s="124"/>
      <c r="I1039" s="124"/>
      <c r="J1039" s="124"/>
      <c r="K1039" s="124"/>
      <c r="L1039" s="124"/>
      <c r="M1039" s="124"/>
      <c r="N1039" s="124"/>
      <c r="O1039" s="124"/>
      <c r="P1039" s="124"/>
      <c r="Q1039" s="124"/>
      <c r="R1039" s="124"/>
      <c r="S1039" s="124"/>
      <c r="T1039" s="124"/>
      <c r="U1039" s="124"/>
      <c r="V1039" s="124"/>
      <c r="W1039" s="124"/>
      <c r="X1039" s="124"/>
      <c r="Y1039" s="124"/>
    </row>
    <row r="1040" spans="2:25" x14ac:dyDescent="0.25">
      <c r="B1040" s="124"/>
      <c r="C1040" s="124"/>
      <c r="D1040" s="124"/>
      <c r="E1040" s="124"/>
      <c r="F1040" s="124"/>
      <c r="G1040" s="124"/>
      <c r="H1040" s="124"/>
      <c r="I1040" s="124"/>
      <c r="J1040" s="124"/>
      <c r="K1040" s="124"/>
      <c r="L1040" s="124"/>
      <c r="M1040" s="124"/>
      <c r="N1040" s="124"/>
      <c r="O1040" s="124"/>
      <c r="P1040" s="124"/>
      <c r="Q1040" s="124"/>
      <c r="R1040" s="124"/>
      <c r="S1040" s="124"/>
      <c r="T1040" s="124"/>
      <c r="U1040" s="124"/>
      <c r="V1040" s="124"/>
      <c r="W1040" s="124"/>
      <c r="X1040" s="124"/>
      <c r="Y1040" s="124"/>
    </row>
    <row r="1041" spans="2:25" x14ac:dyDescent="0.25">
      <c r="B1041" s="124"/>
      <c r="C1041" s="124"/>
      <c r="D1041" s="124"/>
      <c r="E1041" s="124"/>
      <c r="F1041" s="124"/>
      <c r="G1041" s="124"/>
      <c r="H1041" s="124"/>
      <c r="I1041" s="124"/>
      <c r="J1041" s="124"/>
      <c r="K1041" s="124"/>
      <c r="L1041" s="124"/>
      <c r="M1041" s="124"/>
      <c r="N1041" s="124"/>
      <c r="O1041" s="124"/>
      <c r="P1041" s="124"/>
      <c r="Q1041" s="124"/>
      <c r="R1041" s="124"/>
      <c r="S1041" s="124"/>
      <c r="T1041" s="124"/>
      <c r="U1041" s="124"/>
      <c r="V1041" s="124"/>
      <c r="W1041" s="124"/>
      <c r="X1041" s="124"/>
      <c r="Y1041" s="124"/>
    </row>
    <row r="1042" spans="2:25" x14ac:dyDescent="0.25">
      <c r="B1042" s="124"/>
      <c r="C1042" s="124"/>
      <c r="D1042" s="124"/>
      <c r="E1042" s="124"/>
      <c r="F1042" s="124"/>
      <c r="G1042" s="124"/>
      <c r="H1042" s="124"/>
      <c r="I1042" s="124"/>
      <c r="J1042" s="124"/>
      <c r="K1042" s="124"/>
      <c r="L1042" s="124"/>
      <c r="M1042" s="124"/>
      <c r="N1042" s="124"/>
      <c r="O1042" s="124"/>
      <c r="P1042" s="124"/>
      <c r="Q1042" s="124"/>
      <c r="R1042" s="124"/>
      <c r="S1042" s="124"/>
      <c r="T1042" s="124"/>
      <c r="U1042" s="124"/>
      <c r="V1042" s="124"/>
      <c r="W1042" s="124"/>
      <c r="X1042" s="124"/>
      <c r="Y1042" s="124"/>
    </row>
    <row r="1043" spans="2:25" x14ac:dyDescent="0.25">
      <c r="B1043" s="124"/>
      <c r="C1043" s="124"/>
      <c r="D1043" s="124"/>
      <c r="E1043" s="124"/>
      <c r="F1043" s="124"/>
      <c r="G1043" s="124"/>
      <c r="H1043" s="124"/>
      <c r="I1043" s="124"/>
      <c r="J1043" s="124"/>
      <c r="K1043" s="124"/>
      <c r="L1043" s="124"/>
      <c r="M1043" s="124"/>
      <c r="N1043" s="124"/>
      <c r="O1043" s="124"/>
      <c r="P1043" s="124"/>
      <c r="Q1043" s="124"/>
      <c r="R1043" s="124"/>
      <c r="S1043" s="124"/>
      <c r="T1043" s="124"/>
      <c r="U1043" s="124"/>
      <c r="V1043" s="124"/>
      <c r="W1043" s="124"/>
      <c r="X1043" s="124"/>
      <c r="Y1043" s="124"/>
    </row>
    <row r="1044" spans="2:25" x14ac:dyDescent="0.25">
      <c r="B1044" s="124"/>
      <c r="C1044" s="124"/>
      <c r="D1044" s="124"/>
      <c r="E1044" s="124"/>
      <c r="F1044" s="124"/>
      <c r="G1044" s="124"/>
      <c r="H1044" s="124"/>
      <c r="I1044" s="124"/>
      <c r="J1044" s="124"/>
      <c r="K1044" s="124"/>
      <c r="L1044" s="124"/>
      <c r="M1044" s="124"/>
      <c r="N1044" s="124"/>
      <c r="O1044" s="124"/>
      <c r="P1044" s="124"/>
      <c r="Q1044" s="124"/>
      <c r="R1044" s="124"/>
      <c r="S1044" s="124"/>
      <c r="T1044" s="124"/>
      <c r="U1044" s="124"/>
      <c r="V1044" s="124"/>
      <c r="W1044" s="124"/>
      <c r="X1044" s="124"/>
      <c r="Y1044" s="124"/>
    </row>
    <row r="1045" spans="2:25" x14ac:dyDescent="0.25">
      <c r="B1045" s="124"/>
      <c r="C1045" s="124"/>
      <c r="D1045" s="124"/>
      <c r="E1045" s="124"/>
      <c r="F1045" s="124"/>
      <c r="G1045" s="124"/>
      <c r="H1045" s="124"/>
      <c r="I1045" s="124"/>
      <c r="J1045" s="124"/>
      <c r="K1045" s="124"/>
      <c r="L1045" s="124"/>
      <c r="M1045" s="124"/>
      <c r="N1045" s="124"/>
      <c r="O1045" s="124"/>
      <c r="P1045" s="124"/>
      <c r="Q1045" s="124"/>
      <c r="R1045" s="124"/>
      <c r="S1045" s="124"/>
      <c r="T1045" s="124"/>
      <c r="U1045" s="124"/>
      <c r="V1045" s="124"/>
      <c r="W1045" s="124"/>
      <c r="X1045" s="124"/>
      <c r="Y1045" s="124"/>
    </row>
    <row r="1046" spans="2:25" x14ac:dyDescent="0.25">
      <c r="B1046" s="124"/>
      <c r="C1046" s="124"/>
      <c r="D1046" s="124"/>
      <c r="E1046" s="124"/>
      <c r="F1046" s="124"/>
      <c r="G1046" s="124"/>
      <c r="H1046" s="124"/>
      <c r="I1046" s="124"/>
      <c r="J1046" s="124"/>
      <c r="K1046" s="124"/>
      <c r="L1046" s="124"/>
      <c r="M1046" s="124"/>
      <c r="N1046" s="124"/>
      <c r="O1046" s="124"/>
      <c r="P1046" s="124"/>
      <c r="Q1046" s="124"/>
      <c r="R1046" s="124"/>
      <c r="S1046" s="124"/>
      <c r="T1046" s="124"/>
      <c r="U1046" s="124"/>
      <c r="V1046" s="124"/>
      <c r="W1046" s="124"/>
      <c r="X1046" s="124"/>
      <c r="Y1046" s="124"/>
    </row>
    <row r="1047" spans="2:25" x14ac:dyDescent="0.25">
      <c r="B1047" s="124"/>
      <c r="C1047" s="124"/>
      <c r="D1047" s="124"/>
      <c r="E1047" s="124"/>
      <c r="F1047" s="124"/>
      <c r="G1047" s="124"/>
      <c r="H1047" s="124"/>
      <c r="I1047" s="124"/>
      <c r="J1047" s="124"/>
      <c r="K1047" s="124"/>
      <c r="L1047" s="124"/>
      <c r="M1047" s="124"/>
      <c r="N1047" s="124"/>
      <c r="O1047" s="124"/>
      <c r="P1047" s="124"/>
      <c r="Q1047" s="124"/>
      <c r="R1047" s="124"/>
      <c r="S1047" s="124"/>
      <c r="T1047" s="124"/>
      <c r="U1047" s="124"/>
      <c r="V1047" s="124"/>
      <c r="W1047" s="124"/>
      <c r="X1047" s="124"/>
      <c r="Y1047" s="124"/>
    </row>
    <row r="1048" spans="2:25" x14ac:dyDescent="0.25">
      <c r="B1048" s="124"/>
      <c r="C1048" s="124"/>
      <c r="D1048" s="124"/>
      <c r="E1048" s="124"/>
      <c r="F1048" s="124"/>
      <c r="G1048" s="124"/>
      <c r="H1048" s="124"/>
      <c r="I1048" s="124"/>
      <c r="J1048" s="124"/>
      <c r="K1048" s="124"/>
      <c r="L1048" s="124"/>
      <c r="M1048" s="124"/>
      <c r="N1048" s="124"/>
      <c r="O1048" s="124"/>
      <c r="P1048" s="124"/>
      <c r="Q1048" s="124"/>
      <c r="R1048" s="124"/>
      <c r="S1048" s="124"/>
      <c r="T1048" s="124"/>
      <c r="U1048" s="124"/>
      <c r="V1048" s="124"/>
      <c r="W1048" s="124"/>
      <c r="X1048" s="124"/>
      <c r="Y1048" s="124"/>
    </row>
    <row r="1049" spans="2:25" x14ac:dyDescent="0.25">
      <c r="B1049" s="124"/>
      <c r="C1049" s="124"/>
      <c r="D1049" s="124"/>
      <c r="E1049" s="124"/>
      <c r="F1049" s="124"/>
      <c r="G1049" s="124"/>
      <c r="H1049" s="124"/>
      <c r="I1049" s="124"/>
      <c r="J1049" s="124"/>
      <c r="K1049" s="124"/>
      <c r="L1049" s="124"/>
      <c r="M1049" s="124"/>
      <c r="N1049" s="124"/>
      <c r="O1049" s="124"/>
      <c r="P1049" s="124"/>
      <c r="Q1049" s="124"/>
      <c r="R1049" s="124"/>
      <c r="S1049" s="124"/>
      <c r="T1049" s="124"/>
      <c r="U1049" s="124"/>
      <c r="V1049" s="124"/>
      <c r="W1049" s="124"/>
      <c r="X1049" s="124"/>
      <c r="Y1049" s="124"/>
    </row>
    <row r="1050" spans="2:25" x14ac:dyDescent="0.25">
      <c r="B1050" s="124"/>
      <c r="C1050" s="124"/>
      <c r="D1050" s="124"/>
      <c r="E1050" s="124"/>
      <c r="F1050" s="124"/>
      <c r="G1050" s="124"/>
      <c r="H1050" s="124"/>
      <c r="I1050" s="124"/>
      <c r="J1050" s="124"/>
      <c r="K1050" s="124"/>
      <c r="L1050" s="124"/>
      <c r="M1050" s="124"/>
      <c r="N1050" s="124"/>
      <c r="O1050" s="124"/>
      <c r="P1050" s="124"/>
      <c r="Q1050" s="124"/>
      <c r="R1050" s="124"/>
      <c r="S1050" s="124"/>
      <c r="T1050" s="124"/>
      <c r="U1050" s="124"/>
      <c r="V1050" s="124"/>
      <c r="W1050" s="124"/>
      <c r="X1050" s="124"/>
      <c r="Y1050" s="124"/>
    </row>
    <row r="1051" spans="2:25" x14ac:dyDescent="0.25">
      <c r="B1051" s="124"/>
      <c r="C1051" s="124"/>
      <c r="D1051" s="124"/>
      <c r="E1051" s="124"/>
      <c r="F1051" s="124"/>
      <c r="G1051" s="124"/>
      <c r="H1051" s="124"/>
      <c r="I1051" s="124"/>
      <c r="J1051" s="124"/>
      <c r="K1051" s="124"/>
      <c r="L1051" s="124"/>
      <c r="M1051" s="124"/>
      <c r="N1051" s="124"/>
      <c r="O1051" s="124"/>
      <c r="P1051" s="124"/>
      <c r="Q1051" s="124"/>
      <c r="R1051" s="124"/>
      <c r="S1051" s="124"/>
      <c r="T1051" s="124"/>
      <c r="U1051" s="124"/>
      <c r="V1051" s="124"/>
      <c r="W1051" s="124"/>
      <c r="X1051" s="124"/>
      <c r="Y1051" s="124"/>
    </row>
    <row r="1052" spans="2:25" x14ac:dyDescent="0.25">
      <c r="B1052" s="124"/>
      <c r="C1052" s="124"/>
      <c r="D1052" s="124"/>
      <c r="E1052" s="124"/>
      <c r="F1052" s="124"/>
      <c r="G1052" s="124"/>
      <c r="H1052" s="124"/>
      <c r="I1052" s="124"/>
      <c r="J1052" s="124"/>
      <c r="K1052" s="124"/>
      <c r="L1052" s="124"/>
      <c r="M1052" s="124"/>
      <c r="N1052" s="124"/>
      <c r="O1052" s="124"/>
      <c r="P1052" s="124"/>
      <c r="Q1052" s="124"/>
      <c r="R1052" s="124"/>
      <c r="S1052" s="124"/>
      <c r="T1052" s="124"/>
      <c r="U1052" s="124"/>
      <c r="V1052" s="124"/>
      <c r="W1052" s="124"/>
      <c r="X1052" s="124"/>
      <c r="Y1052" s="124"/>
    </row>
    <row r="1053" spans="2:25" x14ac:dyDescent="0.25">
      <c r="B1053" s="124"/>
      <c r="C1053" s="124"/>
      <c r="D1053" s="124"/>
      <c r="E1053" s="124"/>
      <c r="F1053" s="124"/>
      <c r="G1053" s="124"/>
      <c r="H1053" s="124"/>
      <c r="I1053" s="124"/>
      <c r="J1053" s="124"/>
      <c r="K1053" s="124"/>
      <c r="L1053" s="124"/>
      <c r="M1053" s="124"/>
      <c r="N1053" s="124"/>
      <c r="O1053" s="124"/>
      <c r="P1053" s="124"/>
      <c r="Q1053" s="124"/>
      <c r="R1053" s="124"/>
      <c r="S1053" s="124"/>
      <c r="T1053" s="124"/>
      <c r="U1053" s="124"/>
      <c r="V1053" s="124"/>
      <c r="W1053" s="124"/>
      <c r="X1053" s="124"/>
      <c r="Y1053" s="124"/>
    </row>
    <row r="1054" spans="2:25" x14ac:dyDescent="0.25">
      <c r="B1054" s="124"/>
      <c r="C1054" s="124"/>
      <c r="D1054" s="124"/>
      <c r="E1054" s="124"/>
      <c r="F1054" s="124"/>
      <c r="G1054" s="124"/>
      <c r="H1054" s="124"/>
      <c r="I1054" s="124"/>
      <c r="J1054" s="124"/>
      <c r="K1054" s="124"/>
      <c r="L1054" s="124"/>
      <c r="M1054" s="124"/>
      <c r="N1054" s="124"/>
      <c r="O1054" s="124"/>
      <c r="P1054" s="124"/>
      <c r="Q1054" s="124"/>
      <c r="R1054" s="124"/>
      <c r="S1054" s="124"/>
      <c r="T1054" s="124"/>
      <c r="U1054" s="124"/>
      <c r="V1054" s="124"/>
      <c r="W1054" s="124"/>
      <c r="X1054" s="124"/>
      <c r="Y1054" s="124"/>
    </row>
    <row r="1055" spans="2:25" x14ac:dyDescent="0.25">
      <c r="B1055" s="124"/>
      <c r="C1055" s="124"/>
      <c r="D1055" s="124"/>
      <c r="E1055" s="124"/>
      <c r="F1055" s="124"/>
      <c r="G1055" s="124"/>
      <c r="H1055" s="124"/>
      <c r="I1055" s="124"/>
      <c r="J1055" s="124"/>
      <c r="K1055" s="124"/>
      <c r="L1055" s="124"/>
      <c r="M1055" s="124"/>
      <c r="N1055" s="124"/>
      <c r="O1055" s="124"/>
      <c r="P1055" s="124"/>
      <c r="Q1055" s="124"/>
      <c r="R1055" s="124"/>
      <c r="S1055" s="124"/>
      <c r="T1055" s="124"/>
      <c r="U1055" s="124"/>
      <c r="V1055" s="124"/>
      <c r="W1055" s="124"/>
      <c r="X1055" s="124"/>
      <c r="Y1055" s="124"/>
    </row>
    <row r="1056" spans="2:25" x14ac:dyDescent="0.25">
      <c r="B1056" s="124"/>
      <c r="C1056" s="124"/>
      <c r="D1056" s="124"/>
      <c r="E1056" s="124"/>
      <c r="F1056" s="124"/>
      <c r="G1056" s="124"/>
      <c r="H1056" s="124"/>
      <c r="I1056" s="124"/>
      <c r="J1056" s="124"/>
      <c r="K1056" s="124"/>
      <c r="L1056" s="124"/>
      <c r="M1056" s="124"/>
      <c r="N1056" s="124"/>
      <c r="O1056" s="124"/>
      <c r="P1056" s="124"/>
      <c r="Q1056" s="124"/>
      <c r="R1056" s="124"/>
      <c r="S1056" s="124"/>
      <c r="T1056" s="124"/>
      <c r="U1056" s="124"/>
      <c r="V1056" s="124"/>
      <c r="W1056" s="124"/>
      <c r="X1056" s="124"/>
      <c r="Y1056" s="124"/>
    </row>
    <row r="1057" spans="2:25" x14ac:dyDescent="0.25">
      <c r="B1057" s="124"/>
      <c r="C1057" s="124"/>
      <c r="D1057" s="124"/>
      <c r="E1057" s="124"/>
      <c r="F1057" s="124"/>
      <c r="G1057" s="124"/>
      <c r="H1057" s="124"/>
      <c r="I1057" s="124"/>
      <c r="J1057" s="124"/>
      <c r="K1057" s="124"/>
      <c r="L1057" s="124"/>
      <c r="M1057" s="124"/>
      <c r="N1057" s="124"/>
      <c r="O1057" s="124"/>
      <c r="P1057" s="124"/>
      <c r="Q1057" s="124"/>
      <c r="R1057" s="124"/>
      <c r="S1057" s="124"/>
      <c r="T1057" s="124"/>
      <c r="U1057" s="124"/>
      <c r="V1057" s="124"/>
      <c r="W1057" s="124"/>
      <c r="X1057" s="124"/>
      <c r="Y1057" s="124"/>
    </row>
    <row r="1058" spans="2:25" x14ac:dyDescent="0.25">
      <c r="B1058" s="124"/>
      <c r="C1058" s="124"/>
      <c r="D1058" s="124"/>
      <c r="E1058" s="124"/>
      <c r="F1058" s="124"/>
      <c r="G1058" s="124"/>
      <c r="H1058" s="124"/>
      <c r="I1058" s="124"/>
      <c r="J1058" s="124"/>
      <c r="K1058" s="124"/>
      <c r="L1058" s="124"/>
      <c r="M1058" s="124"/>
      <c r="N1058" s="124"/>
      <c r="O1058" s="124"/>
      <c r="P1058" s="124"/>
      <c r="Q1058" s="124"/>
      <c r="R1058" s="124"/>
      <c r="S1058" s="124"/>
      <c r="T1058" s="124"/>
      <c r="U1058" s="124"/>
      <c r="V1058" s="124"/>
      <c r="W1058" s="124"/>
      <c r="X1058" s="124"/>
      <c r="Y1058" s="124"/>
    </row>
    <row r="1059" spans="2:25" x14ac:dyDescent="0.25">
      <c r="B1059" s="124"/>
      <c r="C1059" s="124"/>
      <c r="D1059" s="124"/>
      <c r="E1059" s="124"/>
      <c r="F1059" s="124"/>
      <c r="G1059" s="124"/>
      <c r="H1059" s="124"/>
      <c r="I1059" s="124"/>
      <c r="J1059" s="124"/>
      <c r="K1059" s="124"/>
      <c r="L1059" s="124"/>
      <c r="M1059" s="124"/>
      <c r="N1059" s="124"/>
      <c r="O1059" s="124"/>
      <c r="P1059" s="124"/>
      <c r="Q1059" s="124"/>
      <c r="R1059" s="124"/>
      <c r="S1059" s="124"/>
      <c r="T1059" s="124"/>
      <c r="U1059" s="124"/>
      <c r="V1059" s="124"/>
      <c r="W1059" s="124"/>
      <c r="X1059" s="124"/>
      <c r="Y1059" s="124"/>
    </row>
    <row r="1060" spans="2:25" x14ac:dyDescent="0.25">
      <c r="B1060" s="124"/>
      <c r="C1060" s="124"/>
      <c r="D1060" s="124"/>
      <c r="E1060" s="124"/>
      <c r="F1060" s="124"/>
      <c r="G1060" s="124"/>
      <c r="H1060" s="124"/>
      <c r="I1060" s="124"/>
      <c r="J1060" s="124"/>
      <c r="K1060" s="124"/>
      <c r="L1060" s="124"/>
      <c r="M1060" s="124"/>
      <c r="N1060" s="124"/>
      <c r="O1060" s="124"/>
      <c r="P1060" s="124"/>
      <c r="Q1060" s="124"/>
      <c r="R1060" s="124"/>
      <c r="S1060" s="124"/>
      <c r="T1060" s="124"/>
      <c r="U1060" s="124"/>
      <c r="V1060" s="124"/>
      <c r="W1060" s="124"/>
      <c r="X1060" s="124"/>
      <c r="Y1060" s="124"/>
    </row>
    <row r="1061" spans="2:25" x14ac:dyDescent="0.25">
      <c r="B1061" s="124"/>
      <c r="C1061" s="124"/>
      <c r="D1061" s="124"/>
      <c r="E1061" s="124"/>
      <c r="F1061" s="124"/>
      <c r="G1061" s="124"/>
      <c r="H1061" s="124"/>
      <c r="I1061" s="124"/>
      <c r="J1061" s="124"/>
      <c r="K1061" s="124"/>
      <c r="L1061" s="124"/>
      <c r="M1061" s="124"/>
      <c r="N1061" s="124"/>
      <c r="O1061" s="124"/>
      <c r="P1061" s="124"/>
      <c r="Q1061" s="124"/>
      <c r="R1061" s="124"/>
      <c r="S1061" s="124"/>
      <c r="T1061" s="124"/>
      <c r="U1061" s="124"/>
      <c r="V1061" s="124"/>
      <c r="W1061" s="124"/>
      <c r="X1061" s="124"/>
      <c r="Y1061" s="124"/>
    </row>
    <row r="1062" spans="2:25" x14ac:dyDescent="0.25">
      <c r="B1062" s="124"/>
      <c r="C1062" s="124"/>
      <c r="D1062" s="124"/>
      <c r="E1062" s="124"/>
      <c r="F1062" s="124"/>
      <c r="G1062" s="124"/>
      <c r="H1062" s="124"/>
      <c r="I1062" s="124"/>
      <c r="J1062" s="124"/>
      <c r="K1062" s="124"/>
      <c r="L1062" s="124"/>
      <c r="M1062" s="124"/>
      <c r="N1062" s="124"/>
      <c r="O1062" s="124"/>
      <c r="P1062" s="124"/>
      <c r="Q1062" s="124"/>
      <c r="R1062" s="124"/>
      <c r="S1062" s="124"/>
      <c r="T1062" s="124"/>
      <c r="U1062" s="124"/>
      <c r="V1062" s="124"/>
      <c r="W1062" s="124"/>
      <c r="X1062" s="124"/>
      <c r="Y1062" s="124"/>
    </row>
    <row r="1063" spans="2:25" x14ac:dyDescent="0.25">
      <c r="B1063" s="124"/>
      <c r="C1063" s="124"/>
      <c r="D1063" s="124"/>
      <c r="E1063" s="124"/>
      <c r="F1063" s="124"/>
      <c r="G1063" s="124"/>
      <c r="H1063" s="124"/>
      <c r="I1063" s="124"/>
      <c r="J1063" s="124"/>
      <c r="K1063" s="124"/>
      <c r="L1063" s="124"/>
      <c r="M1063" s="124"/>
      <c r="N1063" s="124"/>
      <c r="O1063" s="124"/>
      <c r="P1063" s="124"/>
      <c r="Q1063" s="124"/>
      <c r="R1063" s="124"/>
      <c r="S1063" s="124"/>
      <c r="T1063" s="124"/>
      <c r="U1063" s="124"/>
      <c r="V1063" s="124"/>
      <c r="W1063" s="124"/>
      <c r="X1063" s="124"/>
      <c r="Y1063" s="124"/>
    </row>
    <row r="1064" spans="2:25" x14ac:dyDescent="0.25">
      <c r="B1064" s="124"/>
      <c r="C1064" s="124"/>
      <c r="D1064" s="124"/>
      <c r="E1064" s="124"/>
      <c r="F1064" s="124"/>
      <c r="G1064" s="124"/>
      <c r="H1064" s="124"/>
      <c r="I1064" s="124"/>
      <c r="J1064" s="124"/>
      <c r="K1064" s="124"/>
      <c r="L1064" s="124"/>
      <c r="M1064" s="124"/>
      <c r="N1064" s="124"/>
      <c r="O1064" s="124"/>
      <c r="P1064" s="124"/>
      <c r="Q1064" s="124"/>
      <c r="R1064" s="124"/>
      <c r="S1064" s="124"/>
      <c r="T1064" s="124"/>
      <c r="U1064" s="124"/>
      <c r="V1064" s="124"/>
      <c r="W1064" s="124"/>
      <c r="X1064" s="124"/>
      <c r="Y1064" s="124"/>
    </row>
    <row r="1065" spans="2:25" x14ac:dyDescent="0.25">
      <c r="B1065" s="124"/>
      <c r="C1065" s="124"/>
      <c r="D1065" s="124"/>
      <c r="E1065" s="124"/>
      <c r="F1065" s="124"/>
      <c r="G1065" s="124"/>
      <c r="H1065" s="124"/>
      <c r="I1065" s="124"/>
      <c r="J1065" s="124"/>
      <c r="K1065" s="124"/>
      <c r="L1065" s="124"/>
      <c r="M1065" s="124"/>
      <c r="N1065" s="124"/>
      <c r="O1065" s="124"/>
      <c r="P1065" s="124"/>
      <c r="Q1065" s="124"/>
      <c r="R1065" s="124"/>
      <c r="S1065" s="124"/>
      <c r="T1065" s="124"/>
      <c r="U1065" s="124"/>
      <c r="V1065" s="124"/>
      <c r="W1065" s="124"/>
      <c r="X1065" s="124"/>
      <c r="Y1065" s="124"/>
    </row>
    <row r="1066" spans="2:25" x14ac:dyDescent="0.25">
      <c r="B1066" s="124"/>
      <c r="C1066" s="124"/>
      <c r="D1066" s="124"/>
      <c r="E1066" s="124"/>
      <c r="F1066" s="124"/>
      <c r="G1066" s="124"/>
      <c r="H1066" s="124"/>
      <c r="I1066" s="124"/>
      <c r="J1066" s="124"/>
      <c r="K1066" s="124"/>
      <c r="L1066" s="124"/>
      <c r="M1066" s="124"/>
      <c r="N1066" s="124"/>
      <c r="O1066" s="124"/>
      <c r="P1066" s="124"/>
      <c r="Q1066" s="124"/>
      <c r="R1066" s="124"/>
      <c r="S1066" s="124"/>
      <c r="T1066" s="124"/>
      <c r="U1066" s="124"/>
      <c r="V1066" s="124"/>
      <c r="W1066" s="124"/>
      <c r="X1066" s="124"/>
      <c r="Y1066" s="124"/>
    </row>
    <row r="1067" spans="2:25" x14ac:dyDescent="0.25">
      <c r="B1067" s="124"/>
      <c r="C1067" s="124"/>
      <c r="D1067" s="124"/>
      <c r="E1067" s="124"/>
      <c r="F1067" s="124"/>
      <c r="G1067" s="124"/>
      <c r="H1067" s="124"/>
      <c r="I1067" s="124"/>
      <c r="J1067" s="124"/>
      <c r="K1067" s="124"/>
      <c r="L1067" s="124"/>
      <c r="M1067" s="124"/>
      <c r="N1067" s="124"/>
      <c r="O1067" s="124"/>
      <c r="P1067" s="124"/>
      <c r="Q1067" s="124"/>
      <c r="R1067" s="124"/>
      <c r="S1067" s="124"/>
      <c r="T1067" s="124"/>
      <c r="U1067" s="124"/>
      <c r="V1067" s="124"/>
      <c r="W1067" s="124"/>
      <c r="X1067" s="124"/>
      <c r="Y1067" s="124"/>
    </row>
    <row r="1068" spans="2:25" x14ac:dyDescent="0.25">
      <c r="B1068" s="124"/>
      <c r="C1068" s="124"/>
      <c r="D1068" s="124"/>
      <c r="E1068" s="124"/>
      <c r="F1068" s="124"/>
      <c r="G1068" s="124"/>
      <c r="H1068" s="124"/>
      <c r="I1068" s="124"/>
      <c r="J1068" s="124"/>
      <c r="K1068" s="124"/>
      <c r="L1068" s="124"/>
      <c r="M1068" s="124"/>
      <c r="N1068" s="124"/>
      <c r="O1068" s="124"/>
      <c r="P1068" s="124"/>
      <c r="Q1068" s="124"/>
      <c r="R1068" s="124"/>
      <c r="S1068" s="124"/>
      <c r="T1068" s="124"/>
      <c r="U1068" s="124"/>
      <c r="V1068" s="124"/>
      <c r="W1068" s="124"/>
      <c r="X1068" s="124"/>
      <c r="Y1068" s="124"/>
    </row>
    <row r="1069" spans="2:25" x14ac:dyDescent="0.25">
      <c r="B1069" s="124"/>
      <c r="C1069" s="124"/>
      <c r="D1069" s="124"/>
      <c r="E1069" s="124"/>
      <c r="F1069" s="124"/>
      <c r="G1069" s="124"/>
      <c r="H1069" s="124"/>
      <c r="I1069" s="124"/>
      <c r="J1069" s="124"/>
      <c r="K1069" s="124"/>
      <c r="L1069" s="124"/>
      <c r="M1069" s="124"/>
      <c r="N1069" s="124"/>
      <c r="O1069" s="124"/>
      <c r="P1069" s="124"/>
      <c r="Q1069" s="124"/>
      <c r="R1069" s="124"/>
      <c r="S1069" s="124"/>
      <c r="T1069" s="124"/>
      <c r="U1069" s="124"/>
      <c r="V1069" s="124"/>
      <c r="W1069" s="124"/>
      <c r="X1069" s="124"/>
      <c r="Y1069" s="124"/>
    </row>
    <row r="1070" spans="2:25" x14ac:dyDescent="0.25">
      <c r="B1070" s="124"/>
      <c r="C1070" s="124"/>
      <c r="D1070" s="124"/>
      <c r="E1070" s="124"/>
      <c r="F1070" s="124"/>
      <c r="G1070" s="124"/>
      <c r="H1070" s="124"/>
      <c r="I1070" s="124"/>
      <c r="J1070" s="124"/>
      <c r="K1070" s="124"/>
      <c r="L1070" s="124"/>
      <c r="M1070" s="124"/>
      <c r="N1070" s="124"/>
      <c r="O1070" s="124"/>
      <c r="P1070" s="124"/>
      <c r="Q1070" s="124"/>
      <c r="R1070" s="124"/>
      <c r="S1070" s="124"/>
      <c r="T1070" s="124"/>
      <c r="U1070" s="124"/>
      <c r="V1070" s="124"/>
      <c r="W1070" s="124"/>
      <c r="X1070" s="124"/>
      <c r="Y1070" s="124"/>
    </row>
    <row r="1071" spans="2:25" x14ac:dyDescent="0.25">
      <c r="B1071" s="124"/>
      <c r="C1071" s="124"/>
      <c r="D1071" s="124"/>
      <c r="E1071" s="124"/>
      <c r="F1071" s="124"/>
      <c r="G1071" s="124"/>
      <c r="H1071" s="124"/>
      <c r="I1071" s="124"/>
      <c r="J1071" s="124"/>
      <c r="K1071" s="124"/>
      <c r="L1071" s="124"/>
      <c r="M1071" s="124"/>
      <c r="N1071" s="124"/>
      <c r="O1071" s="124"/>
      <c r="P1071" s="124"/>
      <c r="Q1071" s="124"/>
      <c r="R1071" s="124"/>
      <c r="S1071" s="124"/>
      <c r="T1071" s="124"/>
      <c r="U1071" s="124"/>
      <c r="V1071" s="124"/>
      <c r="W1071" s="124"/>
      <c r="X1071" s="124"/>
      <c r="Y1071" s="124"/>
    </row>
    <row r="1072" spans="2:25" x14ac:dyDescent="0.25">
      <c r="B1072" s="124"/>
      <c r="C1072" s="124"/>
      <c r="D1072" s="124"/>
      <c r="E1072" s="124"/>
      <c r="F1072" s="124"/>
      <c r="G1072" s="124"/>
      <c r="H1072" s="124"/>
      <c r="I1072" s="124"/>
      <c r="J1072" s="124"/>
      <c r="K1072" s="124"/>
      <c r="L1072" s="124"/>
      <c r="M1072" s="124"/>
      <c r="N1072" s="124"/>
      <c r="O1072" s="124"/>
      <c r="P1072" s="124"/>
      <c r="Q1072" s="124"/>
      <c r="R1072" s="124"/>
      <c r="S1072" s="124"/>
      <c r="T1072" s="124"/>
      <c r="U1072" s="124"/>
      <c r="V1072" s="124"/>
      <c r="W1072" s="124"/>
      <c r="X1072" s="124"/>
      <c r="Y1072" s="124"/>
    </row>
    <row r="1073" spans="2:25" x14ac:dyDescent="0.25">
      <c r="B1073" s="124"/>
      <c r="C1073" s="124"/>
      <c r="D1073" s="124"/>
      <c r="E1073" s="124"/>
      <c r="F1073" s="124"/>
      <c r="G1073" s="124"/>
      <c r="H1073" s="124"/>
      <c r="I1073" s="124"/>
      <c r="J1073" s="124"/>
      <c r="K1073" s="124"/>
      <c r="L1073" s="124"/>
      <c r="M1073" s="124"/>
      <c r="N1073" s="124"/>
      <c r="O1073" s="124"/>
      <c r="P1073" s="124"/>
      <c r="Q1073" s="124"/>
      <c r="R1073" s="124"/>
      <c r="S1073" s="124"/>
      <c r="T1073" s="124"/>
      <c r="U1073" s="124"/>
      <c r="V1073" s="124"/>
      <c r="W1073" s="124"/>
      <c r="X1073" s="124"/>
      <c r="Y1073" s="124"/>
    </row>
    <row r="1074" spans="2:25" x14ac:dyDescent="0.25">
      <c r="B1074" s="124"/>
      <c r="C1074" s="124"/>
      <c r="D1074" s="124"/>
      <c r="E1074" s="124"/>
      <c r="F1074" s="124"/>
      <c r="G1074" s="124"/>
      <c r="H1074" s="124"/>
      <c r="I1074" s="124"/>
      <c r="J1074" s="124"/>
      <c r="K1074" s="124"/>
      <c r="L1074" s="124"/>
      <c r="M1074" s="124"/>
      <c r="N1074" s="124"/>
      <c r="O1074" s="124"/>
      <c r="P1074" s="124"/>
      <c r="Q1074" s="124"/>
      <c r="R1074" s="124"/>
      <c r="S1074" s="124"/>
      <c r="T1074" s="124"/>
      <c r="U1074" s="124"/>
      <c r="V1074" s="124"/>
      <c r="W1074" s="124"/>
      <c r="X1074" s="124"/>
      <c r="Y1074" s="124"/>
    </row>
    <row r="1075" spans="2:25" x14ac:dyDescent="0.25">
      <c r="B1075" s="124"/>
      <c r="C1075" s="124"/>
      <c r="D1075" s="124"/>
      <c r="E1075" s="124"/>
      <c r="F1075" s="124"/>
      <c r="G1075" s="124"/>
      <c r="H1075" s="124"/>
      <c r="I1075" s="124"/>
      <c r="J1075" s="124"/>
      <c r="K1075" s="124"/>
      <c r="L1075" s="124"/>
      <c r="M1075" s="124"/>
      <c r="N1075" s="124"/>
      <c r="O1075" s="124"/>
      <c r="P1075" s="124"/>
      <c r="Q1075" s="124"/>
      <c r="R1075" s="124"/>
      <c r="S1075" s="124"/>
      <c r="T1075" s="124"/>
      <c r="U1075" s="124"/>
      <c r="V1075" s="124"/>
      <c r="W1075" s="124"/>
      <c r="X1075" s="124"/>
      <c r="Y1075" s="124"/>
    </row>
    <row r="1076" spans="2:25" x14ac:dyDescent="0.25">
      <c r="B1076" s="124"/>
      <c r="C1076" s="124"/>
      <c r="D1076" s="124"/>
      <c r="E1076" s="124"/>
      <c r="F1076" s="124"/>
      <c r="G1076" s="124"/>
      <c r="H1076" s="124"/>
      <c r="I1076" s="124"/>
      <c r="J1076" s="124"/>
      <c r="K1076" s="124"/>
      <c r="L1076" s="124"/>
      <c r="M1076" s="124"/>
      <c r="N1076" s="124"/>
      <c r="O1076" s="124"/>
      <c r="P1076" s="124"/>
      <c r="Q1076" s="124"/>
      <c r="R1076" s="124"/>
      <c r="S1076" s="124"/>
      <c r="T1076" s="124"/>
      <c r="U1076" s="124"/>
      <c r="V1076" s="124"/>
      <c r="W1076" s="124"/>
      <c r="X1076" s="124"/>
      <c r="Y1076" s="124"/>
    </row>
    <row r="1077" spans="2:25" x14ac:dyDescent="0.25">
      <c r="B1077" s="124"/>
      <c r="C1077" s="124"/>
      <c r="D1077" s="124"/>
      <c r="E1077" s="124"/>
      <c r="F1077" s="124"/>
      <c r="G1077" s="124"/>
      <c r="H1077" s="124"/>
      <c r="I1077" s="124"/>
      <c r="J1077" s="124"/>
      <c r="K1077" s="124"/>
      <c r="L1077" s="124"/>
      <c r="M1077" s="124"/>
      <c r="N1077" s="124"/>
      <c r="O1077" s="124"/>
      <c r="P1077" s="124"/>
      <c r="Q1077" s="124"/>
      <c r="R1077" s="124"/>
      <c r="S1077" s="124"/>
      <c r="T1077" s="124"/>
      <c r="U1077" s="124"/>
      <c r="V1077" s="124"/>
      <c r="W1077" s="124"/>
      <c r="X1077" s="124"/>
      <c r="Y1077" s="124"/>
    </row>
    <row r="1078" spans="2:25" x14ac:dyDescent="0.25">
      <c r="B1078" s="124"/>
      <c r="C1078" s="124"/>
      <c r="D1078" s="124"/>
      <c r="E1078" s="124"/>
      <c r="F1078" s="124"/>
      <c r="G1078" s="124"/>
      <c r="H1078" s="124"/>
      <c r="I1078" s="124"/>
      <c r="J1078" s="124"/>
      <c r="K1078" s="124"/>
      <c r="L1078" s="124"/>
      <c r="M1078" s="124"/>
      <c r="N1078" s="124"/>
      <c r="O1078" s="124"/>
      <c r="P1078" s="124"/>
      <c r="Q1078" s="124"/>
      <c r="R1078" s="124"/>
      <c r="S1078" s="124"/>
      <c r="T1078" s="124"/>
      <c r="U1078" s="124"/>
      <c r="V1078" s="124"/>
      <c r="W1078" s="124"/>
      <c r="X1078" s="124"/>
      <c r="Y1078" s="124"/>
    </row>
    <row r="1079" spans="2:25" x14ac:dyDescent="0.25">
      <c r="B1079" s="124"/>
      <c r="C1079" s="124"/>
      <c r="D1079" s="124"/>
      <c r="E1079" s="124"/>
      <c r="F1079" s="124"/>
      <c r="G1079" s="124"/>
      <c r="H1079" s="124"/>
      <c r="I1079" s="124"/>
      <c r="J1079" s="124"/>
      <c r="K1079" s="124"/>
      <c r="L1079" s="124"/>
      <c r="M1079" s="124"/>
      <c r="N1079" s="124"/>
      <c r="O1079" s="124"/>
      <c r="P1079" s="124"/>
      <c r="Q1079" s="124"/>
      <c r="R1079" s="124"/>
      <c r="S1079" s="124"/>
      <c r="T1079" s="124"/>
      <c r="U1079" s="124"/>
      <c r="V1079" s="124"/>
      <c r="W1079" s="124"/>
      <c r="X1079" s="124"/>
      <c r="Y1079" s="124"/>
    </row>
    <row r="1080" spans="2:25" x14ac:dyDescent="0.25">
      <c r="B1080" s="124"/>
      <c r="C1080" s="124"/>
      <c r="D1080" s="124"/>
      <c r="E1080" s="124"/>
      <c r="F1080" s="124"/>
      <c r="G1080" s="124"/>
      <c r="H1080" s="124"/>
      <c r="I1080" s="124"/>
      <c r="J1080" s="124"/>
      <c r="K1080" s="124"/>
      <c r="L1080" s="124"/>
      <c r="M1080" s="124"/>
      <c r="N1080" s="124"/>
      <c r="O1080" s="124"/>
      <c r="P1080" s="124"/>
      <c r="Q1080" s="124"/>
      <c r="R1080" s="124"/>
      <c r="S1080" s="124"/>
      <c r="T1080" s="124"/>
      <c r="U1080" s="124"/>
      <c r="V1080" s="124"/>
      <c r="W1080" s="124"/>
      <c r="X1080" s="124"/>
      <c r="Y1080" s="124"/>
    </row>
    <row r="1081" spans="2:25" x14ac:dyDescent="0.25">
      <c r="B1081" s="124"/>
      <c r="C1081" s="124"/>
      <c r="D1081" s="124"/>
      <c r="E1081" s="124"/>
      <c r="F1081" s="124"/>
      <c r="G1081" s="124"/>
      <c r="H1081" s="124"/>
      <c r="I1081" s="124"/>
      <c r="J1081" s="124"/>
      <c r="K1081" s="124"/>
      <c r="L1081" s="124"/>
      <c r="M1081" s="124"/>
      <c r="N1081" s="124"/>
      <c r="O1081" s="124"/>
      <c r="P1081" s="124"/>
      <c r="Q1081" s="124"/>
      <c r="R1081" s="124"/>
      <c r="S1081" s="124"/>
      <c r="T1081" s="124"/>
      <c r="U1081" s="124"/>
      <c r="V1081" s="124"/>
      <c r="W1081" s="124"/>
      <c r="X1081" s="124"/>
      <c r="Y1081" s="124"/>
    </row>
    <row r="1082" spans="2:25" x14ac:dyDescent="0.25">
      <c r="B1082" s="124"/>
      <c r="C1082" s="124"/>
      <c r="D1082" s="124"/>
      <c r="E1082" s="124"/>
      <c r="F1082" s="124"/>
      <c r="G1082" s="124"/>
      <c r="H1082" s="124"/>
      <c r="I1082" s="124"/>
      <c r="J1082" s="124"/>
      <c r="K1082" s="124"/>
      <c r="L1082" s="124"/>
      <c r="M1082" s="124"/>
      <c r="N1082" s="124"/>
      <c r="O1082" s="124"/>
      <c r="P1082" s="124"/>
      <c r="Q1082" s="124"/>
      <c r="R1082" s="124"/>
      <c r="S1082" s="124"/>
      <c r="T1082" s="124"/>
      <c r="U1082" s="124"/>
      <c r="V1082" s="124"/>
      <c r="W1082" s="124"/>
      <c r="X1082" s="124"/>
      <c r="Y1082" s="124"/>
    </row>
    <row r="1083" spans="2:25" x14ac:dyDescent="0.25">
      <c r="B1083" s="124"/>
      <c r="C1083" s="124"/>
      <c r="D1083" s="124"/>
      <c r="E1083" s="124"/>
      <c r="F1083" s="124"/>
      <c r="G1083" s="124"/>
      <c r="H1083" s="124"/>
      <c r="I1083" s="124"/>
      <c r="J1083" s="124"/>
      <c r="K1083" s="124"/>
      <c r="L1083" s="124"/>
      <c r="M1083" s="124"/>
      <c r="N1083" s="124"/>
      <c r="O1083" s="124"/>
      <c r="P1083" s="124"/>
      <c r="Q1083" s="124"/>
      <c r="R1083" s="124"/>
      <c r="S1083" s="124"/>
      <c r="T1083" s="124"/>
      <c r="U1083" s="124"/>
      <c r="V1083" s="124"/>
      <c r="W1083" s="124"/>
      <c r="X1083" s="124"/>
      <c r="Y1083" s="124"/>
    </row>
    <row r="1084" spans="2:25" x14ac:dyDescent="0.25">
      <c r="B1084" s="124"/>
      <c r="C1084" s="124"/>
      <c r="D1084" s="124"/>
      <c r="E1084" s="124"/>
      <c r="F1084" s="124"/>
      <c r="G1084" s="124"/>
      <c r="H1084" s="124"/>
      <c r="I1084" s="124"/>
      <c r="J1084" s="124"/>
      <c r="K1084" s="124"/>
      <c r="L1084" s="124"/>
      <c r="M1084" s="124"/>
      <c r="N1084" s="124"/>
      <c r="O1084" s="124"/>
      <c r="P1084" s="124"/>
      <c r="Q1084" s="124"/>
      <c r="R1084" s="124"/>
      <c r="S1084" s="124"/>
      <c r="T1084" s="124"/>
      <c r="U1084" s="124"/>
      <c r="V1084" s="124"/>
      <c r="W1084" s="124"/>
      <c r="X1084" s="124"/>
      <c r="Y1084" s="124"/>
    </row>
    <row r="1085" spans="2:25" x14ac:dyDescent="0.25">
      <c r="B1085" s="124"/>
      <c r="C1085" s="124"/>
      <c r="D1085" s="124"/>
      <c r="E1085" s="124"/>
      <c r="F1085" s="124"/>
      <c r="G1085" s="124"/>
      <c r="H1085" s="124"/>
      <c r="I1085" s="124"/>
      <c r="J1085" s="124"/>
      <c r="K1085" s="124"/>
      <c r="L1085" s="124"/>
      <c r="M1085" s="124"/>
      <c r="N1085" s="124"/>
      <c r="O1085" s="124"/>
      <c r="P1085" s="124"/>
      <c r="Q1085" s="124"/>
      <c r="R1085" s="124"/>
      <c r="S1085" s="124"/>
      <c r="T1085" s="124"/>
      <c r="U1085" s="124"/>
      <c r="V1085" s="124"/>
      <c r="W1085" s="124"/>
      <c r="X1085" s="124"/>
      <c r="Y1085" s="124"/>
    </row>
    <row r="1086" spans="2:25" x14ac:dyDescent="0.25">
      <c r="B1086" s="124"/>
      <c r="C1086" s="124"/>
      <c r="D1086" s="124"/>
      <c r="E1086" s="124"/>
      <c r="F1086" s="124"/>
      <c r="G1086" s="124"/>
      <c r="H1086" s="124"/>
      <c r="I1086" s="124"/>
      <c r="J1086" s="124"/>
      <c r="K1086" s="124"/>
      <c r="L1086" s="124"/>
      <c r="M1086" s="124"/>
      <c r="N1086" s="124"/>
      <c r="O1086" s="124"/>
      <c r="P1086" s="124"/>
      <c r="Q1086" s="124"/>
      <c r="R1086" s="124"/>
      <c r="S1086" s="124"/>
      <c r="T1086" s="124"/>
      <c r="U1086" s="124"/>
      <c r="V1086" s="124"/>
      <c r="W1086" s="124"/>
      <c r="X1086" s="124"/>
      <c r="Y1086" s="124"/>
    </row>
    <row r="1087" spans="2:25" x14ac:dyDescent="0.25">
      <c r="B1087" s="124"/>
      <c r="C1087" s="124"/>
      <c r="D1087" s="124"/>
      <c r="E1087" s="124"/>
      <c r="F1087" s="124"/>
      <c r="G1087" s="124"/>
      <c r="H1087" s="124"/>
      <c r="I1087" s="124"/>
      <c r="J1087" s="124"/>
      <c r="K1087" s="124"/>
      <c r="L1087" s="124"/>
      <c r="M1087" s="124"/>
      <c r="N1087" s="124"/>
      <c r="O1087" s="124"/>
      <c r="P1087" s="124"/>
      <c r="Q1087" s="124"/>
      <c r="R1087" s="124"/>
      <c r="S1087" s="124"/>
      <c r="T1087" s="124"/>
      <c r="U1087" s="124"/>
      <c r="V1087" s="124"/>
      <c r="W1087" s="124"/>
      <c r="X1087" s="124"/>
      <c r="Y1087" s="124"/>
    </row>
    <row r="1088" spans="2:25" x14ac:dyDescent="0.25">
      <c r="B1088" s="124"/>
      <c r="C1088" s="124"/>
      <c r="D1088" s="124"/>
      <c r="E1088" s="124"/>
      <c r="F1088" s="124"/>
      <c r="G1088" s="124"/>
      <c r="H1088" s="124"/>
      <c r="I1088" s="124"/>
      <c r="J1088" s="124"/>
      <c r="K1088" s="124"/>
      <c r="L1088" s="124"/>
      <c r="M1088" s="124"/>
      <c r="N1088" s="124"/>
      <c r="O1088" s="124"/>
      <c r="P1088" s="124"/>
      <c r="Q1088" s="124"/>
      <c r="R1088" s="124"/>
      <c r="S1088" s="124"/>
      <c r="T1088" s="124"/>
      <c r="U1088" s="124"/>
      <c r="V1088" s="124"/>
      <c r="W1088" s="124"/>
      <c r="X1088" s="124"/>
      <c r="Y1088" s="124"/>
    </row>
    <row r="1089" spans="2:25" x14ac:dyDescent="0.25">
      <c r="B1089" s="124"/>
      <c r="C1089" s="124"/>
      <c r="D1089" s="124"/>
      <c r="E1089" s="124"/>
      <c r="F1089" s="124"/>
      <c r="G1089" s="124"/>
      <c r="H1089" s="124"/>
      <c r="I1089" s="124"/>
      <c r="J1089" s="124"/>
      <c r="K1089" s="124"/>
      <c r="L1089" s="124"/>
      <c r="M1089" s="124"/>
      <c r="N1089" s="124"/>
      <c r="O1089" s="124"/>
      <c r="P1089" s="124"/>
      <c r="Q1089" s="124"/>
      <c r="R1089" s="124"/>
      <c r="S1089" s="124"/>
      <c r="T1089" s="124"/>
      <c r="U1089" s="124"/>
      <c r="V1089" s="124"/>
      <c r="W1089" s="124"/>
      <c r="X1089" s="124"/>
      <c r="Y1089" s="124"/>
    </row>
    <row r="1090" spans="2:25" x14ac:dyDescent="0.25">
      <c r="B1090" s="124"/>
      <c r="C1090" s="124"/>
      <c r="D1090" s="124"/>
      <c r="E1090" s="124"/>
      <c r="F1090" s="124"/>
      <c r="G1090" s="124"/>
      <c r="H1090" s="124"/>
      <c r="I1090" s="124"/>
      <c r="J1090" s="124"/>
      <c r="K1090" s="124"/>
      <c r="L1090" s="124"/>
      <c r="M1090" s="124"/>
      <c r="N1090" s="124"/>
      <c r="O1090" s="124"/>
      <c r="P1090" s="124"/>
      <c r="Q1090" s="124"/>
      <c r="R1090" s="124"/>
      <c r="S1090" s="124"/>
      <c r="T1090" s="124"/>
      <c r="U1090" s="124"/>
      <c r="V1090" s="124"/>
      <c r="W1090" s="124"/>
      <c r="X1090" s="124"/>
      <c r="Y1090" s="124"/>
    </row>
    <row r="1091" spans="2:25" x14ac:dyDescent="0.25">
      <c r="B1091" s="124"/>
      <c r="C1091" s="124"/>
      <c r="D1091" s="124"/>
      <c r="E1091" s="124"/>
      <c r="F1091" s="124"/>
      <c r="G1091" s="124"/>
      <c r="H1091" s="124"/>
      <c r="I1091" s="124"/>
      <c r="J1091" s="124"/>
      <c r="K1091" s="124"/>
      <c r="L1091" s="124"/>
      <c r="M1091" s="124"/>
      <c r="N1091" s="124"/>
      <c r="O1091" s="124"/>
      <c r="P1091" s="124"/>
      <c r="Q1091" s="124"/>
      <c r="R1091" s="124"/>
      <c r="S1091" s="124"/>
      <c r="T1091" s="124"/>
      <c r="U1091" s="124"/>
      <c r="V1091" s="124"/>
      <c r="W1091" s="124"/>
      <c r="X1091" s="124"/>
      <c r="Y1091" s="124"/>
    </row>
    <row r="1092" spans="2:25" x14ac:dyDescent="0.25">
      <c r="B1092" s="124"/>
      <c r="C1092" s="124"/>
      <c r="D1092" s="124"/>
      <c r="E1092" s="124"/>
      <c r="F1092" s="124"/>
      <c r="G1092" s="124"/>
      <c r="H1092" s="124"/>
      <c r="I1092" s="124"/>
      <c r="J1092" s="124"/>
      <c r="K1092" s="124"/>
      <c r="L1092" s="124"/>
      <c r="M1092" s="124"/>
      <c r="N1092" s="124"/>
      <c r="O1092" s="124"/>
      <c r="P1092" s="124"/>
      <c r="Q1092" s="124"/>
      <c r="R1092" s="124"/>
      <c r="S1092" s="124"/>
      <c r="T1092" s="124"/>
      <c r="U1092" s="124"/>
      <c r="V1092" s="124"/>
      <c r="W1092" s="124"/>
      <c r="X1092" s="124"/>
      <c r="Y1092" s="124"/>
    </row>
    <row r="1093" spans="2:25" x14ac:dyDescent="0.25">
      <c r="B1093" s="124"/>
      <c r="C1093" s="124"/>
      <c r="D1093" s="124"/>
      <c r="E1093" s="124"/>
      <c r="F1093" s="124"/>
      <c r="G1093" s="124"/>
      <c r="H1093" s="124"/>
      <c r="I1093" s="124"/>
      <c r="J1093" s="124"/>
      <c r="K1093" s="124"/>
      <c r="L1093" s="124"/>
      <c r="M1093" s="124"/>
      <c r="N1093" s="124"/>
      <c r="O1093" s="124"/>
      <c r="P1093" s="124"/>
      <c r="Q1093" s="124"/>
      <c r="R1093" s="124"/>
      <c r="S1093" s="124"/>
      <c r="T1093" s="124"/>
      <c r="U1093" s="124"/>
      <c r="V1093" s="124"/>
      <c r="W1093" s="124"/>
      <c r="X1093" s="124"/>
      <c r="Y1093" s="124"/>
    </row>
    <row r="1094" spans="2:25" x14ac:dyDescent="0.25">
      <c r="B1094" s="124"/>
      <c r="C1094" s="124"/>
      <c r="D1094" s="124"/>
      <c r="E1094" s="124"/>
      <c r="F1094" s="124"/>
      <c r="G1094" s="124"/>
      <c r="H1094" s="124"/>
      <c r="I1094" s="124"/>
      <c r="J1094" s="124"/>
      <c r="K1094" s="124"/>
      <c r="L1094" s="124"/>
      <c r="M1094" s="124"/>
      <c r="N1094" s="124"/>
      <c r="O1094" s="124"/>
      <c r="P1094" s="124"/>
      <c r="Q1094" s="124"/>
      <c r="R1094" s="124"/>
      <c r="S1094" s="124"/>
      <c r="T1094" s="124"/>
      <c r="U1094" s="124"/>
      <c r="V1094" s="124"/>
      <c r="W1094" s="124"/>
      <c r="X1094" s="124"/>
      <c r="Y1094" s="124"/>
    </row>
    <row r="1095" spans="2:25" x14ac:dyDescent="0.25">
      <c r="B1095" s="124"/>
      <c r="C1095" s="124"/>
      <c r="D1095" s="124"/>
      <c r="E1095" s="124"/>
      <c r="F1095" s="124"/>
      <c r="G1095" s="124"/>
      <c r="H1095" s="124"/>
      <c r="I1095" s="124"/>
      <c r="J1095" s="124"/>
      <c r="K1095" s="124"/>
      <c r="L1095" s="124"/>
      <c r="M1095" s="124"/>
      <c r="N1095" s="124"/>
      <c r="O1095" s="124"/>
      <c r="P1095" s="124"/>
      <c r="Q1095" s="124"/>
      <c r="R1095" s="124"/>
      <c r="S1095" s="124"/>
      <c r="T1095" s="124"/>
      <c r="U1095" s="124"/>
      <c r="V1095" s="124"/>
      <c r="W1095" s="124"/>
      <c r="X1095" s="124"/>
      <c r="Y1095" s="124"/>
    </row>
    <row r="1096" spans="2:25" x14ac:dyDescent="0.25">
      <c r="B1096" s="124"/>
      <c r="C1096" s="124"/>
      <c r="D1096" s="124"/>
      <c r="E1096" s="124"/>
      <c r="F1096" s="124"/>
      <c r="G1096" s="124"/>
      <c r="H1096" s="124"/>
      <c r="I1096" s="124"/>
      <c r="J1096" s="124"/>
      <c r="K1096" s="124"/>
      <c r="L1096" s="124"/>
      <c r="M1096" s="124"/>
      <c r="N1096" s="124"/>
      <c r="O1096" s="124"/>
      <c r="P1096" s="124"/>
      <c r="Q1096" s="124"/>
      <c r="R1096" s="124"/>
      <c r="S1096" s="124"/>
      <c r="T1096" s="124"/>
      <c r="U1096" s="124"/>
      <c r="V1096" s="124"/>
      <c r="W1096" s="124"/>
      <c r="X1096" s="124"/>
      <c r="Y1096" s="124"/>
    </row>
    <row r="1097" spans="2:25" x14ac:dyDescent="0.25">
      <c r="B1097" s="124"/>
      <c r="C1097" s="124"/>
      <c r="D1097" s="124"/>
      <c r="E1097" s="124"/>
      <c r="F1097" s="124"/>
      <c r="G1097" s="124"/>
      <c r="H1097" s="124"/>
      <c r="I1097" s="124"/>
      <c r="J1097" s="124"/>
      <c r="K1097" s="124"/>
      <c r="L1097" s="124"/>
      <c r="M1097" s="124"/>
      <c r="N1097" s="124"/>
      <c r="O1097" s="124"/>
      <c r="P1097" s="124"/>
      <c r="Q1097" s="124"/>
      <c r="R1097" s="124"/>
      <c r="S1097" s="124"/>
      <c r="T1097" s="124"/>
      <c r="U1097" s="124"/>
      <c r="V1097" s="124"/>
      <c r="W1097" s="124"/>
      <c r="X1097" s="124"/>
      <c r="Y1097" s="124"/>
    </row>
    <row r="1098" spans="2:25" x14ac:dyDescent="0.25">
      <c r="B1098" s="124"/>
      <c r="C1098" s="124"/>
      <c r="D1098" s="124"/>
      <c r="E1098" s="124"/>
      <c r="F1098" s="124"/>
      <c r="G1098" s="124"/>
      <c r="H1098" s="124"/>
      <c r="I1098" s="124"/>
      <c r="J1098" s="124"/>
      <c r="K1098" s="124"/>
      <c r="L1098" s="124"/>
      <c r="M1098" s="124"/>
      <c r="N1098" s="124"/>
      <c r="O1098" s="124"/>
      <c r="P1098" s="124"/>
      <c r="Q1098" s="124"/>
      <c r="R1098" s="124"/>
      <c r="S1098" s="124"/>
      <c r="T1098" s="124"/>
      <c r="U1098" s="124"/>
      <c r="V1098" s="124"/>
      <c r="W1098" s="124"/>
      <c r="X1098" s="124"/>
      <c r="Y1098" s="124"/>
    </row>
    <row r="1099" spans="2:25" x14ac:dyDescent="0.25">
      <c r="B1099" s="124"/>
      <c r="C1099" s="124"/>
      <c r="D1099" s="124"/>
      <c r="E1099" s="124"/>
      <c r="F1099" s="124"/>
      <c r="G1099" s="124"/>
      <c r="H1099" s="124"/>
      <c r="I1099" s="124"/>
      <c r="J1099" s="124"/>
      <c r="K1099" s="124"/>
      <c r="L1099" s="124"/>
      <c r="M1099" s="124"/>
      <c r="N1099" s="124"/>
      <c r="O1099" s="124"/>
      <c r="P1099" s="124"/>
      <c r="Q1099" s="124"/>
      <c r="R1099" s="124"/>
      <c r="S1099" s="124"/>
      <c r="T1099" s="124"/>
      <c r="U1099" s="124"/>
      <c r="V1099" s="124"/>
      <c r="W1099" s="124"/>
      <c r="X1099" s="124"/>
      <c r="Y1099" s="124"/>
    </row>
    <row r="1100" spans="2:25" x14ac:dyDescent="0.25">
      <c r="B1100" s="124"/>
      <c r="C1100" s="124"/>
      <c r="D1100" s="124"/>
      <c r="E1100" s="124"/>
      <c r="F1100" s="124"/>
      <c r="G1100" s="124"/>
      <c r="H1100" s="124"/>
      <c r="I1100" s="124"/>
      <c r="J1100" s="124"/>
      <c r="K1100" s="124"/>
      <c r="L1100" s="124"/>
      <c r="M1100" s="124"/>
      <c r="N1100" s="124"/>
      <c r="O1100" s="124"/>
      <c r="P1100" s="124"/>
      <c r="Q1100" s="124"/>
      <c r="R1100" s="124"/>
      <c r="S1100" s="124"/>
      <c r="T1100" s="124"/>
      <c r="U1100" s="124"/>
      <c r="V1100" s="124"/>
      <c r="W1100" s="124"/>
      <c r="X1100" s="124"/>
      <c r="Y1100" s="124"/>
    </row>
    <row r="1101" spans="2:25" x14ac:dyDescent="0.25">
      <c r="B1101" s="124"/>
      <c r="C1101" s="124"/>
      <c r="D1101" s="124"/>
      <c r="E1101" s="124"/>
      <c r="F1101" s="124"/>
      <c r="G1101" s="124"/>
      <c r="H1101" s="124"/>
      <c r="I1101" s="124"/>
      <c r="J1101" s="124"/>
      <c r="K1101" s="124"/>
      <c r="L1101" s="124"/>
      <c r="M1101" s="124"/>
      <c r="N1101" s="124"/>
      <c r="O1101" s="124"/>
      <c r="P1101" s="124"/>
      <c r="Q1101" s="124"/>
      <c r="R1101" s="124"/>
      <c r="S1101" s="124"/>
      <c r="T1101" s="124"/>
      <c r="U1101" s="124"/>
      <c r="V1101" s="124"/>
      <c r="W1101" s="124"/>
      <c r="X1101" s="124"/>
      <c r="Y1101" s="124"/>
    </row>
    <row r="1102" spans="2:25" x14ac:dyDescent="0.25">
      <c r="B1102" s="124"/>
      <c r="C1102" s="124"/>
      <c r="D1102" s="124"/>
      <c r="E1102" s="124"/>
      <c r="F1102" s="124"/>
      <c r="G1102" s="124"/>
      <c r="H1102" s="124"/>
      <c r="I1102" s="124"/>
      <c r="J1102" s="124"/>
      <c r="K1102" s="124"/>
      <c r="L1102" s="124"/>
      <c r="M1102" s="124"/>
      <c r="N1102" s="124"/>
      <c r="O1102" s="124"/>
      <c r="P1102" s="124"/>
      <c r="Q1102" s="124"/>
      <c r="R1102" s="124"/>
      <c r="S1102" s="124"/>
      <c r="T1102" s="124"/>
      <c r="U1102" s="124"/>
      <c r="V1102" s="124"/>
      <c r="W1102" s="124"/>
      <c r="X1102" s="124"/>
      <c r="Y1102" s="124"/>
    </row>
    <row r="1103" spans="2:25" x14ac:dyDescent="0.25">
      <c r="B1103" s="124"/>
      <c r="C1103" s="124"/>
      <c r="D1103" s="124"/>
      <c r="E1103" s="124"/>
      <c r="F1103" s="124"/>
      <c r="G1103" s="124"/>
      <c r="H1103" s="124"/>
      <c r="I1103" s="124"/>
      <c r="J1103" s="124"/>
      <c r="K1103" s="124"/>
      <c r="L1103" s="124"/>
      <c r="M1103" s="124"/>
      <c r="N1103" s="124"/>
      <c r="O1103" s="124"/>
      <c r="P1103" s="124"/>
      <c r="Q1103" s="124"/>
      <c r="R1103" s="124"/>
      <c r="S1103" s="124"/>
      <c r="T1103" s="124"/>
      <c r="U1103" s="124"/>
      <c r="V1103" s="124"/>
      <c r="W1103" s="124"/>
      <c r="X1103" s="124"/>
      <c r="Y1103" s="124"/>
    </row>
    <row r="1104" spans="2:25" x14ac:dyDescent="0.25">
      <c r="B1104" s="124"/>
      <c r="C1104" s="124"/>
      <c r="D1104" s="124"/>
      <c r="E1104" s="124"/>
      <c r="F1104" s="124"/>
      <c r="G1104" s="124"/>
      <c r="H1104" s="124"/>
      <c r="I1104" s="124"/>
      <c r="J1104" s="124"/>
      <c r="K1104" s="124"/>
      <c r="L1104" s="124"/>
      <c r="M1104" s="124"/>
      <c r="N1104" s="124"/>
      <c r="O1104" s="124"/>
      <c r="P1104" s="124"/>
      <c r="Q1104" s="124"/>
      <c r="R1104" s="124"/>
      <c r="S1104" s="124"/>
      <c r="T1104" s="124"/>
      <c r="U1104" s="124"/>
      <c r="V1104" s="124"/>
      <c r="W1104" s="124"/>
      <c r="X1104" s="124"/>
      <c r="Y1104" s="124"/>
    </row>
    <row r="1105" spans="2:25" x14ac:dyDescent="0.25">
      <c r="B1105" s="124"/>
      <c r="C1105" s="124"/>
      <c r="D1105" s="124"/>
      <c r="E1105" s="124"/>
      <c r="F1105" s="124"/>
      <c r="G1105" s="124"/>
      <c r="H1105" s="124"/>
      <c r="I1105" s="124"/>
      <c r="J1105" s="124"/>
      <c r="K1105" s="124"/>
      <c r="L1105" s="124"/>
      <c r="M1105" s="124"/>
      <c r="N1105" s="124"/>
      <c r="O1105" s="124"/>
      <c r="P1105" s="124"/>
      <c r="Q1105" s="124"/>
      <c r="R1105" s="124"/>
      <c r="S1105" s="124"/>
      <c r="T1105" s="124"/>
      <c r="U1105" s="124"/>
      <c r="V1105" s="124"/>
      <c r="W1105" s="124"/>
      <c r="X1105" s="124"/>
      <c r="Y1105" s="124"/>
    </row>
    <row r="1106" spans="2:25" x14ac:dyDescent="0.25">
      <c r="B1106" s="124"/>
      <c r="C1106" s="124"/>
      <c r="D1106" s="124"/>
      <c r="E1106" s="124"/>
      <c r="F1106" s="124"/>
      <c r="G1106" s="124"/>
      <c r="H1106" s="124"/>
      <c r="I1106" s="124"/>
      <c r="J1106" s="124"/>
      <c r="K1106" s="124"/>
      <c r="L1106" s="124"/>
      <c r="M1106" s="124"/>
      <c r="N1106" s="124"/>
      <c r="O1106" s="124"/>
      <c r="P1106" s="124"/>
      <c r="Q1106" s="124"/>
      <c r="R1106" s="124"/>
      <c r="S1106" s="124"/>
      <c r="T1106" s="124"/>
      <c r="U1106" s="124"/>
      <c r="V1106" s="124"/>
      <c r="W1106" s="124"/>
      <c r="X1106" s="124"/>
      <c r="Y1106" s="124"/>
    </row>
    <row r="1107" spans="2:25" x14ac:dyDescent="0.25">
      <c r="B1107" s="124"/>
      <c r="C1107" s="124"/>
      <c r="D1107" s="124"/>
      <c r="E1107" s="124"/>
      <c r="F1107" s="124"/>
      <c r="G1107" s="124"/>
      <c r="H1107" s="124"/>
      <c r="I1107" s="124"/>
      <c r="J1107" s="124"/>
      <c r="K1107" s="124"/>
      <c r="L1107" s="124"/>
      <c r="M1107" s="124"/>
      <c r="N1107" s="124"/>
      <c r="O1107" s="124"/>
      <c r="P1107" s="124"/>
      <c r="Q1107" s="124"/>
      <c r="R1107" s="124"/>
      <c r="S1107" s="124"/>
      <c r="T1107" s="124"/>
      <c r="U1107" s="124"/>
      <c r="V1107" s="124"/>
      <c r="W1107" s="124"/>
      <c r="X1107" s="124"/>
      <c r="Y1107" s="124"/>
    </row>
    <row r="1108" spans="2:25" x14ac:dyDescent="0.25">
      <c r="B1108" s="124"/>
      <c r="C1108" s="124"/>
      <c r="D1108" s="124"/>
      <c r="E1108" s="124"/>
      <c r="F1108" s="124"/>
      <c r="G1108" s="124"/>
      <c r="H1108" s="124"/>
      <c r="I1108" s="124"/>
      <c r="J1108" s="124"/>
      <c r="K1108" s="124"/>
      <c r="L1108" s="124"/>
      <c r="M1108" s="124"/>
      <c r="N1108" s="124"/>
      <c r="O1108" s="124"/>
      <c r="P1108" s="124"/>
      <c r="Q1108" s="124"/>
      <c r="R1108" s="124"/>
      <c r="S1108" s="124"/>
      <c r="T1108" s="124"/>
      <c r="U1108" s="124"/>
      <c r="V1108" s="124"/>
      <c r="W1108" s="124"/>
      <c r="X1108" s="124"/>
      <c r="Y1108" s="124"/>
    </row>
    <row r="1109" spans="2:25" x14ac:dyDescent="0.25">
      <c r="B1109" s="124"/>
      <c r="C1109" s="124"/>
      <c r="D1109" s="124"/>
      <c r="E1109" s="124"/>
      <c r="F1109" s="124"/>
      <c r="G1109" s="124"/>
      <c r="H1109" s="124"/>
      <c r="I1109" s="124"/>
      <c r="J1109" s="124"/>
      <c r="K1109" s="124"/>
      <c r="L1109" s="124"/>
      <c r="M1109" s="124"/>
      <c r="N1109" s="124"/>
      <c r="O1109" s="124"/>
      <c r="P1109" s="124"/>
      <c r="Q1109" s="124"/>
      <c r="R1109" s="124"/>
      <c r="S1109" s="124"/>
      <c r="T1109" s="124"/>
      <c r="U1109" s="124"/>
      <c r="V1109" s="124"/>
      <c r="W1109" s="124"/>
      <c r="X1109" s="124"/>
      <c r="Y1109" s="124"/>
    </row>
    <row r="1110" spans="2:25" x14ac:dyDescent="0.25">
      <c r="B1110" s="124"/>
      <c r="C1110" s="124"/>
      <c r="D1110" s="124"/>
      <c r="E1110" s="124"/>
      <c r="F1110" s="124"/>
      <c r="G1110" s="124"/>
      <c r="H1110" s="124"/>
      <c r="I1110" s="124"/>
      <c r="J1110" s="124"/>
      <c r="K1110" s="124"/>
      <c r="L1110" s="124"/>
      <c r="M1110" s="124"/>
      <c r="N1110" s="124"/>
      <c r="O1110" s="124"/>
      <c r="P1110" s="124"/>
      <c r="Q1110" s="124"/>
      <c r="R1110" s="124"/>
      <c r="S1110" s="124"/>
      <c r="T1110" s="124"/>
      <c r="U1110" s="124"/>
      <c r="V1110" s="124"/>
      <c r="W1110" s="124"/>
      <c r="X1110" s="124"/>
      <c r="Y1110" s="124"/>
    </row>
    <row r="1111" spans="2:25" x14ac:dyDescent="0.25">
      <c r="B1111" s="124"/>
      <c r="C1111" s="124"/>
      <c r="D1111" s="124"/>
      <c r="E1111" s="124"/>
      <c r="F1111" s="124"/>
      <c r="G1111" s="124"/>
      <c r="H1111" s="124"/>
      <c r="I1111" s="124"/>
      <c r="J1111" s="124"/>
      <c r="K1111" s="124"/>
      <c r="L1111" s="124"/>
      <c r="M1111" s="124"/>
      <c r="N1111" s="124"/>
      <c r="O1111" s="124"/>
      <c r="P1111" s="124"/>
      <c r="Q1111" s="124"/>
      <c r="R1111" s="124"/>
      <c r="S1111" s="124"/>
      <c r="T1111" s="124"/>
      <c r="U1111" s="124"/>
      <c r="V1111" s="124"/>
      <c r="W1111" s="124"/>
      <c r="X1111" s="124"/>
      <c r="Y1111" s="124"/>
    </row>
    <row r="1112" spans="2:25" x14ac:dyDescent="0.25">
      <c r="B1112" s="124"/>
      <c r="C1112" s="124"/>
      <c r="D1112" s="124"/>
      <c r="E1112" s="124"/>
      <c r="F1112" s="124"/>
      <c r="G1112" s="124"/>
      <c r="H1112" s="124"/>
      <c r="I1112" s="124"/>
      <c r="J1112" s="124"/>
      <c r="K1112" s="124"/>
      <c r="L1112" s="124"/>
      <c r="M1112" s="124"/>
      <c r="N1112" s="124"/>
      <c r="O1112" s="124"/>
      <c r="P1112" s="124"/>
      <c r="Q1112" s="124"/>
      <c r="R1112" s="124"/>
      <c r="S1112" s="124"/>
      <c r="T1112" s="124"/>
      <c r="U1112" s="124"/>
      <c r="V1112" s="124"/>
      <c r="W1112" s="124"/>
      <c r="X1112" s="124"/>
      <c r="Y1112" s="124"/>
    </row>
    <row r="1113" spans="2:25" x14ac:dyDescent="0.25">
      <c r="B1113" s="124"/>
      <c r="C1113" s="124"/>
      <c r="D1113" s="124"/>
      <c r="E1113" s="124"/>
      <c r="F1113" s="124"/>
      <c r="G1113" s="124"/>
      <c r="H1113" s="124"/>
      <c r="I1113" s="124"/>
      <c r="J1113" s="124"/>
      <c r="K1113" s="124"/>
      <c r="L1113" s="124"/>
      <c r="M1113" s="124"/>
      <c r="N1113" s="124"/>
      <c r="O1113" s="124"/>
      <c r="P1113" s="124"/>
      <c r="Q1113" s="124"/>
      <c r="R1113" s="124"/>
      <c r="S1113" s="124"/>
      <c r="T1113" s="124"/>
      <c r="U1113" s="124"/>
      <c r="V1113" s="124"/>
      <c r="W1113" s="124"/>
      <c r="X1113" s="124"/>
      <c r="Y1113" s="124"/>
    </row>
    <row r="1114" spans="2:25" x14ac:dyDescent="0.25">
      <c r="B1114" s="124"/>
      <c r="C1114" s="124"/>
      <c r="D1114" s="124"/>
      <c r="E1114" s="124"/>
      <c r="F1114" s="124"/>
      <c r="G1114" s="124"/>
      <c r="H1114" s="124"/>
      <c r="I1114" s="124"/>
      <c r="J1114" s="124"/>
      <c r="K1114" s="124"/>
      <c r="L1114" s="124"/>
      <c r="M1114" s="124"/>
      <c r="N1114" s="124"/>
      <c r="O1114" s="124"/>
      <c r="P1114" s="124"/>
      <c r="Q1114" s="124"/>
      <c r="R1114" s="124"/>
      <c r="S1114" s="124"/>
      <c r="T1114" s="124"/>
      <c r="U1114" s="124"/>
      <c r="V1114" s="124"/>
      <c r="W1114" s="124"/>
      <c r="X1114" s="124"/>
      <c r="Y1114" s="124"/>
    </row>
    <row r="1115" spans="2:25" x14ac:dyDescent="0.25">
      <c r="B1115" s="124"/>
      <c r="C1115" s="124"/>
      <c r="D1115" s="124"/>
      <c r="E1115" s="124"/>
      <c r="F1115" s="124"/>
      <c r="G1115" s="124"/>
      <c r="H1115" s="124"/>
      <c r="I1115" s="124"/>
      <c r="J1115" s="124"/>
      <c r="K1115" s="124"/>
      <c r="L1115" s="124"/>
      <c r="M1115" s="124"/>
      <c r="N1115" s="124"/>
      <c r="O1115" s="124"/>
      <c r="P1115" s="124"/>
      <c r="Q1115" s="124"/>
      <c r="R1115" s="124"/>
      <c r="S1115" s="124"/>
      <c r="T1115" s="124"/>
      <c r="U1115" s="124"/>
      <c r="V1115" s="124"/>
      <c r="W1115" s="124"/>
      <c r="X1115" s="124"/>
      <c r="Y1115" s="124"/>
    </row>
    <row r="1116" spans="2:25" x14ac:dyDescent="0.25">
      <c r="B1116" s="124"/>
      <c r="C1116" s="124"/>
      <c r="D1116" s="124"/>
      <c r="E1116" s="124"/>
      <c r="F1116" s="124"/>
      <c r="G1116" s="124"/>
      <c r="H1116" s="124"/>
      <c r="I1116" s="124"/>
      <c r="J1116" s="124"/>
      <c r="K1116" s="124"/>
      <c r="L1116" s="124"/>
      <c r="M1116" s="124"/>
      <c r="N1116" s="124"/>
      <c r="O1116" s="124"/>
      <c r="P1116" s="124"/>
      <c r="Q1116" s="124"/>
      <c r="R1116" s="124"/>
      <c r="S1116" s="124"/>
      <c r="T1116" s="124"/>
      <c r="U1116" s="124"/>
      <c r="V1116" s="124"/>
      <c r="W1116" s="124"/>
      <c r="X1116" s="124"/>
      <c r="Y1116" s="124"/>
    </row>
    <row r="1117" spans="2:25" x14ac:dyDescent="0.25">
      <c r="B1117" s="124"/>
      <c r="C1117" s="124"/>
      <c r="D1117" s="124"/>
      <c r="E1117" s="124"/>
      <c r="F1117" s="124"/>
      <c r="G1117" s="124"/>
      <c r="H1117" s="124"/>
      <c r="I1117" s="124"/>
      <c r="J1117" s="124"/>
      <c r="K1117" s="124"/>
      <c r="L1117" s="124"/>
      <c r="M1117" s="124"/>
      <c r="N1117" s="124"/>
      <c r="O1117" s="124"/>
      <c r="P1117" s="124"/>
      <c r="Q1117" s="124"/>
      <c r="R1117" s="124"/>
      <c r="S1117" s="124"/>
      <c r="T1117" s="124"/>
      <c r="U1117" s="124"/>
      <c r="V1117" s="124"/>
      <c r="W1117" s="124"/>
      <c r="X1117" s="124"/>
      <c r="Y1117" s="124"/>
    </row>
    <row r="1118" spans="2:25" x14ac:dyDescent="0.25">
      <c r="B1118" s="124"/>
      <c r="C1118" s="124"/>
      <c r="D1118" s="124"/>
      <c r="E1118" s="124"/>
      <c r="F1118" s="124"/>
      <c r="G1118" s="124"/>
      <c r="H1118" s="124"/>
      <c r="I1118" s="124"/>
      <c r="J1118" s="124"/>
      <c r="K1118" s="124"/>
      <c r="L1118" s="124"/>
      <c r="M1118" s="124"/>
      <c r="N1118" s="124"/>
      <c r="O1118" s="124"/>
      <c r="P1118" s="124"/>
      <c r="Q1118" s="124"/>
      <c r="R1118" s="124"/>
      <c r="S1118" s="124"/>
      <c r="T1118" s="124"/>
      <c r="U1118" s="124"/>
      <c r="V1118" s="124"/>
      <c r="W1118" s="124"/>
      <c r="X1118" s="124"/>
      <c r="Y1118" s="124"/>
    </row>
    <row r="1119" spans="2:25" x14ac:dyDescent="0.25">
      <c r="B1119" s="124"/>
      <c r="C1119" s="124"/>
      <c r="D1119" s="124"/>
      <c r="E1119" s="124"/>
      <c r="F1119" s="124"/>
      <c r="G1119" s="124"/>
      <c r="H1119" s="124"/>
      <c r="I1119" s="124"/>
      <c r="J1119" s="124"/>
      <c r="K1119" s="124"/>
      <c r="L1119" s="124"/>
      <c r="M1119" s="124"/>
      <c r="N1119" s="124"/>
      <c r="O1119" s="124"/>
      <c r="P1119" s="124"/>
      <c r="Q1119" s="124"/>
      <c r="R1119" s="124"/>
      <c r="S1119" s="124"/>
      <c r="T1119" s="124"/>
      <c r="U1119" s="124"/>
      <c r="V1119" s="124"/>
      <c r="W1119" s="124"/>
      <c r="X1119" s="124"/>
      <c r="Y1119" s="124"/>
    </row>
    <row r="1120" spans="2:25" x14ac:dyDescent="0.25">
      <c r="B1120" s="124"/>
      <c r="C1120" s="124"/>
      <c r="D1120" s="124"/>
      <c r="E1120" s="124"/>
      <c r="F1120" s="124"/>
      <c r="G1120" s="124"/>
      <c r="H1120" s="124"/>
      <c r="I1120" s="124"/>
      <c r="J1120" s="124"/>
      <c r="K1120" s="124"/>
      <c r="L1120" s="124"/>
      <c r="M1120" s="124"/>
      <c r="N1120" s="124"/>
      <c r="O1120" s="124"/>
      <c r="P1120" s="124"/>
      <c r="Q1120" s="124"/>
      <c r="R1120" s="124"/>
      <c r="S1120" s="124"/>
      <c r="T1120" s="124"/>
      <c r="U1120" s="124"/>
      <c r="V1120" s="124"/>
      <c r="W1120" s="124"/>
      <c r="X1120" s="124"/>
      <c r="Y1120" s="124"/>
    </row>
    <row r="1121" spans="2:25" x14ac:dyDescent="0.25">
      <c r="B1121" s="124"/>
      <c r="C1121" s="124"/>
      <c r="D1121" s="124"/>
      <c r="E1121" s="124"/>
      <c r="F1121" s="124"/>
      <c r="G1121" s="124"/>
      <c r="H1121" s="124"/>
      <c r="I1121" s="124"/>
      <c r="J1121" s="124"/>
      <c r="K1121" s="124"/>
      <c r="L1121" s="124"/>
      <c r="M1121" s="124"/>
      <c r="N1121" s="124"/>
      <c r="O1121" s="124"/>
      <c r="P1121" s="124"/>
      <c r="Q1121" s="124"/>
      <c r="R1121" s="124"/>
      <c r="S1121" s="124"/>
      <c r="T1121" s="124"/>
      <c r="U1121" s="124"/>
      <c r="V1121" s="124"/>
      <c r="W1121" s="124"/>
      <c r="X1121" s="124"/>
      <c r="Y1121" s="124"/>
    </row>
    <row r="1122" spans="2:25" x14ac:dyDescent="0.25">
      <c r="B1122" s="124"/>
      <c r="C1122" s="124"/>
      <c r="D1122" s="124"/>
      <c r="E1122" s="124"/>
      <c r="F1122" s="124"/>
      <c r="G1122" s="124"/>
      <c r="H1122" s="124"/>
      <c r="I1122" s="124"/>
      <c r="J1122" s="124"/>
      <c r="K1122" s="124"/>
      <c r="L1122" s="124"/>
      <c r="M1122" s="124"/>
      <c r="N1122" s="124"/>
      <c r="O1122" s="124"/>
      <c r="P1122" s="124"/>
      <c r="Q1122" s="124"/>
      <c r="R1122" s="124"/>
      <c r="S1122" s="124"/>
      <c r="T1122" s="124"/>
      <c r="U1122" s="124"/>
      <c r="V1122" s="124"/>
      <c r="W1122" s="124"/>
      <c r="X1122" s="124"/>
      <c r="Y1122" s="124"/>
    </row>
    <row r="1123" spans="2:25" x14ac:dyDescent="0.25">
      <c r="B1123" s="124"/>
      <c r="C1123" s="124"/>
      <c r="D1123" s="124"/>
      <c r="E1123" s="124"/>
      <c r="F1123" s="124"/>
      <c r="G1123" s="124"/>
      <c r="H1123" s="124"/>
      <c r="I1123" s="124"/>
      <c r="J1123" s="124"/>
      <c r="K1123" s="124"/>
      <c r="L1123" s="124"/>
      <c r="M1123" s="124"/>
      <c r="N1123" s="124"/>
      <c r="O1123" s="124"/>
      <c r="P1123" s="124"/>
      <c r="Q1123" s="124"/>
      <c r="R1123" s="124"/>
      <c r="S1123" s="124"/>
      <c r="T1123" s="124"/>
      <c r="U1123" s="124"/>
      <c r="V1123" s="124"/>
      <c r="W1123" s="124"/>
      <c r="X1123" s="124"/>
      <c r="Y1123" s="124"/>
    </row>
    <row r="1124" spans="2:25" x14ac:dyDescent="0.25">
      <c r="B1124" s="124"/>
      <c r="C1124" s="124"/>
      <c r="D1124" s="124"/>
      <c r="E1124" s="124"/>
      <c r="F1124" s="124"/>
      <c r="G1124" s="124"/>
      <c r="H1124" s="124"/>
      <c r="I1124" s="124"/>
      <c r="J1124" s="124"/>
      <c r="K1124" s="124"/>
      <c r="L1124" s="124"/>
      <c r="M1124" s="124"/>
      <c r="N1124" s="124"/>
      <c r="O1124" s="124"/>
      <c r="P1124" s="124"/>
      <c r="Q1124" s="124"/>
      <c r="R1124" s="124"/>
      <c r="S1124" s="124"/>
      <c r="T1124" s="124"/>
      <c r="U1124" s="124"/>
      <c r="V1124" s="124"/>
      <c r="W1124" s="124"/>
      <c r="X1124" s="124"/>
      <c r="Y1124" s="124"/>
    </row>
    <row r="1125" spans="2:25" x14ac:dyDescent="0.25">
      <c r="B1125" s="124"/>
      <c r="C1125" s="124"/>
      <c r="D1125" s="124"/>
      <c r="E1125" s="124"/>
      <c r="F1125" s="124"/>
      <c r="G1125" s="124"/>
      <c r="H1125" s="124"/>
      <c r="I1125" s="124"/>
      <c r="J1125" s="124"/>
      <c r="K1125" s="124"/>
      <c r="L1125" s="124"/>
      <c r="M1125" s="124"/>
      <c r="N1125" s="124"/>
      <c r="O1125" s="124"/>
      <c r="P1125" s="124"/>
      <c r="Q1125" s="124"/>
      <c r="R1125" s="124"/>
      <c r="S1125" s="124"/>
      <c r="T1125" s="124"/>
      <c r="U1125" s="124"/>
      <c r="V1125" s="124"/>
      <c r="W1125" s="124"/>
      <c r="X1125" s="124"/>
      <c r="Y1125" s="124"/>
    </row>
    <row r="1126" spans="2:25" x14ac:dyDescent="0.25">
      <c r="B1126" s="124"/>
      <c r="C1126" s="124"/>
      <c r="D1126" s="124"/>
      <c r="E1126" s="124"/>
      <c r="F1126" s="124"/>
      <c r="G1126" s="124"/>
      <c r="H1126" s="124"/>
      <c r="I1126" s="124"/>
      <c r="J1126" s="124"/>
      <c r="K1126" s="124"/>
      <c r="L1126" s="124"/>
      <c r="M1126" s="124"/>
      <c r="N1126" s="124"/>
      <c r="O1126" s="124"/>
      <c r="P1126" s="124"/>
      <c r="Q1126" s="124"/>
      <c r="R1126" s="124"/>
      <c r="S1126" s="124"/>
      <c r="T1126" s="124"/>
      <c r="U1126" s="124"/>
      <c r="V1126" s="124"/>
      <c r="W1126" s="124"/>
      <c r="X1126" s="124"/>
      <c r="Y1126" s="124"/>
    </row>
    <row r="1127" spans="2:25" x14ac:dyDescent="0.25">
      <c r="B1127" s="124"/>
      <c r="C1127" s="124"/>
      <c r="D1127" s="124"/>
      <c r="E1127" s="124"/>
      <c r="F1127" s="124"/>
      <c r="G1127" s="124"/>
      <c r="H1127" s="124"/>
      <c r="I1127" s="124"/>
      <c r="J1127" s="124"/>
      <c r="K1127" s="124"/>
      <c r="L1127" s="124"/>
      <c r="M1127" s="124"/>
      <c r="N1127" s="124"/>
      <c r="O1127" s="124"/>
      <c r="P1127" s="124"/>
      <c r="Q1127" s="124"/>
      <c r="R1127" s="124"/>
      <c r="S1127" s="124"/>
      <c r="T1127" s="124"/>
      <c r="U1127" s="124"/>
      <c r="V1127" s="124"/>
      <c r="W1127" s="124"/>
      <c r="X1127" s="124"/>
      <c r="Y1127" s="124"/>
    </row>
    <row r="1128" spans="2:25" x14ac:dyDescent="0.25">
      <c r="B1128" s="124"/>
      <c r="C1128" s="124"/>
      <c r="D1128" s="124"/>
      <c r="E1128" s="124"/>
      <c r="F1128" s="124"/>
      <c r="G1128" s="124"/>
      <c r="H1128" s="124"/>
      <c r="I1128" s="124"/>
      <c r="J1128" s="124"/>
      <c r="K1128" s="124"/>
      <c r="L1128" s="124"/>
      <c r="M1128" s="124"/>
      <c r="N1128" s="124"/>
      <c r="O1128" s="124"/>
      <c r="P1128" s="124"/>
      <c r="Q1128" s="124"/>
      <c r="R1128" s="124"/>
      <c r="S1128" s="124"/>
      <c r="T1128" s="124"/>
      <c r="U1128" s="124"/>
      <c r="V1128" s="124"/>
      <c r="W1128" s="124"/>
      <c r="X1128" s="124"/>
      <c r="Y1128" s="124"/>
    </row>
    <row r="1129" spans="2:25" x14ac:dyDescent="0.25">
      <c r="B1129" s="124"/>
      <c r="C1129" s="124"/>
      <c r="D1129" s="124"/>
      <c r="E1129" s="124"/>
      <c r="F1129" s="124"/>
      <c r="G1129" s="124"/>
      <c r="H1129" s="124"/>
      <c r="I1129" s="124"/>
      <c r="J1129" s="124"/>
      <c r="K1129" s="124"/>
      <c r="L1129" s="124"/>
      <c r="M1129" s="124"/>
      <c r="N1129" s="124"/>
      <c r="O1129" s="124"/>
      <c r="P1129" s="124"/>
      <c r="Q1129" s="124"/>
      <c r="R1129" s="124"/>
      <c r="S1129" s="124"/>
      <c r="T1129" s="124"/>
      <c r="U1129" s="124"/>
      <c r="V1129" s="124"/>
      <c r="W1129" s="124"/>
      <c r="X1129" s="124"/>
      <c r="Y1129" s="124"/>
    </row>
    <row r="1130" spans="2:25" x14ac:dyDescent="0.25">
      <c r="B1130" s="124"/>
      <c r="C1130" s="124"/>
      <c r="D1130" s="124"/>
      <c r="E1130" s="124"/>
      <c r="F1130" s="124"/>
      <c r="G1130" s="124"/>
      <c r="H1130" s="124"/>
      <c r="I1130" s="124"/>
      <c r="J1130" s="124"/>
      <c r="K1130" s="124"/>
      <c r="L1130" s="124"/>
      <c r="M1130" s="124"/>
      <c r="N1130" s="124"/>
      <c r="O1130" s="124"/>
      <c r="P1130" s="124"/>
      <c r="Q1130" s="124"/>
      <c r="R1130" s="124"/>
      <c r="S1130" s="124"/>
      <c r="T1130" s="124"/>
      <c r="U1130" s="124"/>
      <c r="V1130" s="124"/>
      <c r="W1130" s="124"/>
      <c r="X1130" s="124"/>
      <c r="Y1130" s="124"/>
    </row>
    <row r="1131" spans="2:25" x14ac:dyDescent="0.25">
      <c r="B1131" s="124"/>
      <c r="C1131" s="124"/>
      <c r="D1131" s="124"/>
      <c r="E1131" s="124"/>
      <c r="F1131" s="124"/>
      <c r="G1131" s="124"/>
      <c r="H1131" s="124"/>
      <c r="I1131" s="124"/>
      <c r="J1131" s="124"/>
      <c r="K1131" s="124"/>
      <c r="L1131" s="124"/>
      <c r="M1131" s="124"/>
      <c r="N1131" s="124"/>
      <c r="O1131" s="124"/>
      <c r="P1131" s="124"/>
      <c r="Q1131" s="124"/>
      <c r="R1131" s="124"/>
      <c r="S1131" s="124"/>
      <c r="T1131" s="124"/>
      <c r="U1131" s="124"/>
      <c r="V1131" s="124"/>
      <c r="W1131" s="124"/>
      <c r="X1131" s="124"/>
      <c r="Y1131" s="124"/>
    </row>
    <row r="1132" spans="2:25" x14ac:dyDescent="0.25">
      <c r="B1132" s="124"/>
      <c r="C1132" s="124"/>
      <c r="D1132" s="124"/>
      <c r="E1132" s="124"/>
      <c r="F1132" s="124"/>
      <c r="G1132" s="124"/>
      <c r="H1132" s="124"/>
      <c r="I1132" s="124"/>
      <c r="J1132" s="124"/>
      <c r="K1132" s="124"/>
      <c r="L1132" s="124"/>
      <c r="M1132" s="124"/>
      <c r="N1132" s="124"/>
      <c r="O1132" s="124"/>
      <c r="P1132" s="124"/>
      <c r="Q1132" s="124"/>
      <c r="R1132" s="124"/>
      <c r="S1132" s="124"/>
      <c r="T1132" s="124"/>
      <c r="U1132" s="124"/>
      <c r="V1132" s="124"/>
      <c r="W1132" s="124"/>
      <c r="X1132" s="124"/>
      <c r="Y1132" s="124"/>
    </row>
    <row r="1133" spans="2:25" x14ac:dyDescent="0.25">
      <c r="B1133" s="124"/>
      <c r="C1133" s="124"/>
      <c r="D1133" s="124"/>
      <c r="E1133" s="124"/>
      <c r="F1133" s="124"/>
      <c r="G1133" s="124"/>
      <c r="H1133" s="124"/>
      <c r="I1133" s="124"/>
      <c r="J1133" s="124"/>
      <c r="K1133" s="124"/>
      <c r="L1133" s="124"/>
      <c r="M1133" s="124"/>
      <c r="N1133" s="124"/>
      <c r="O1133" s="124"/>
      <c r="P1133" s="124"/>
      <c r="Q1133" s="124"/>
      <c r="R1133" s="124"/>
      <c r="S1133" s="124"/>
      <c r="T1133" s="124"/>
      <c r="U1133" s="124"/>
      <c r="V1133" s="124"/>
      <c r="W1133" s="124"/>
      <c r="X1133" s="124"/>
      <c r="Y1133" s="124"/>
    </row>
    <row r="1134" spans="2:25" x14ac:dyDescent="0.25">
      <c r="B1134" s="124"/>
      <c r="C1134" s="124"/>
      <c r="D1134" s="124"/>
      <c r="E1134" s="124"/>
      <c r="F1134" s="124"/>
      <c r="G1134" s="124"/>
      <c r="H1134" s="124"/>
      <c r="I1134" s="124"/>
      <c r="J1134" s="124"/>
      <c r="K1134" s="124"/>
      <c r="L1134" s="124"/>
      <c r="M1134" s="124"/>
      <c r="N1134" s="124"/>
      <c r="O1134" s="124"/>
      <c r="P1134" s="124"/>
      <c r="Q1134" s="124"/>
      <c r="R1134" s="124"/>
      <c r="S1134" s="124"/>
      <c r="T1134" s="124"/>
      <c r="U1134" s="124"/>
      <c r="V1134" s="124"/>
      <c r="W1134" s="124"/>
      <c r="X1134" s="124"/>
      <c r="Y1134" s="124"/>
    </row>
    <row r="1135" spans="2:25" x14ac:dyDescent="0.25">
      <c r="B1135" s="124"/>
      <c r="C1135" s="124"/>
      <c r="D1135" s="124"/>
      <c r="E1135" s="124"/>
      <c r="F1135" s="124"/>
      <c r="G1135" s="124"/>
      <c r="H1135" s="124"/>
      <c r="I1135" s="124"/>
      <c r="J1135" s="124"/>
      <c r="K1135" s="124"/>
      <c r="L1135" s="124"/>
      <c r="M1135" s="124"/>
      <c r="N1135" s="124"/>
      <c r="O1135" s="124"/>
      <c r="P1135" s="124"/>
      <c r="Q1135" s="124"/>
      <c r="R1135" s="124"/>
      <c r="S1135" s="124"/>
      <c r="T1135" s="124"/>
      <c r="U1135" s="124"/>
      <c r="V1135" s="124"/>
      <c r="W1135" s="124"/>
      <c r="X1135" s="124"/>
      <c r="Y1135" s="124"/>
    </row>
    <row r="1136" spans="2:25" x14ac:dyDescent="0.25">
      <c r="B1136" s="124"/>
      <c r="C1136" s="124"/>
      <c r="D1136" s="124"/>
      <c r="E1136" s="124"/>
      <c r="F1136" s="124"/>
      <c r="G1136" s="124"/>
      <c r="H1136" s="124"/>
      <c r="I1136" s="124"/>
      <c r="J1136" s="124"/>
      <c r="K1136" s="124"/>
      <c r="L1136" s="124"/>
      <c r="M1136" s="124"/>
      <c r="N1136" s="124"/>
      <c r="O1136" s="124"/>
      <c r="P1136" s="124"/>
      <c r="Q1136" s="124"/>
      <c r="R1136" s="124"/>
      <c r="S1136" s="124"/>
      <c r="T1136" s="124"/>
      <c r="U1136" s="124"/>
      <c r="V1136" s="124"/>
      <c r="W1136" s="124"/>
      <c r="X1136" s="124"/>
      <c r="Y1136" s="124"/>
    </row>
    <row r="1137" spans="2:25" x14ac:dyDescent="0.25">
      <c r="B1137" s="124"/>
      <c r="C1137" s="124"/>
      <c r="D1137" s="124"/>
      <c r="E1137" s="124"/>
      <c r="F1137" s="124"/>
      <c r="G1137" s="124"/>
      <c r="H1137" s="124"/>
      <c r="I1137" s="124"/>
      <c r="J1137" s="124"/>
      <c r="K1137" s="124"/>
      <c r="L1137" s="124"/>
      <c r="M1137" s="124"/>
      <c r="N1137" s="124"/>
      <c r="O1137" s="124"/>
      <c r="P1137" s="124"/>
      <c r="Q1137" s="124"/>
      <c r="R1137" s="124"/>
      <c r="S1137" s="124"/>
      <c r="T1137" s="124"/>
      <c r="U1137" s="124"/>
      <c r="V1137" s="124"/>
      <c r="W1137" s="124"/>
      <c r="X1137" s="124"/>
      <c r="Y1137" s="124"/>
    </row>
    <row r="1138" spans="2:25" x14ac:dyDescent="0.25">
      <c r="B1138" s="124"/>
      <c r="C1138" s="124"/>
      <c r="D1138" s="124"/>
      <c r="E1138" s="124"/>
      <c r="F1138" s="124"/>
      <c r="G1138" s="124"/>
      <c r="H1138" s="124"/>
      <c r="I1138" s="124"/>
      <c r="J1138" s="124"/>
      <c r="K1138" s="124"/>
      <c r="L1138" s="124"/>
      <c r="M1138" s="124"/>
      <c r="N1138" s="124"/>
      <c r="O1138" s="124"/>
      <c r="P1138" s="124"/>
      <c r="Q1138" s="124"/>
      <c r="R1138" s="124"/>
      <c r="S1138" s="124"/>
      <c r="T1138" s="124"/>
      <c r="U1138" s="124"/>
      <c r="V1138" s="124"/>
      <c r="W1138" s="124"/>
      <c r="X1138" s="124"/>
      <c r="Y1138" s="124"/>
    </row>
    <row r="1139" spans="2:25" x14ac:dyDescent="0.25">
      <c r="B1139" s="124"/>
      <c r="C1139" s="124"/>
      <c r="D1139" s="124"/>
      <c r="E1139" s="124"/>
      <c r="F1139" s="124"/>
      <c r="G1139" s="124"/>
      <c r="H1139" s="124"/>
      <c r="I1139" s="124"/>
      <c r="J1139" s="124"/>
      <c r="K1139" s="124"/>
      <c r="L1139" s="124"/>
      <c r="M1139" s="124"/>
      <c r="N1139" s="124"/>
      <c r="O1139" s="124"/>
      <c r="P1139" s="124"/>
      <c r="Q1139" s="124"/>
      <c r="R1139" s="124"/>
      <c r="S1139" s="124"/>
      <c r="T1139" s="124"/>
      <c r="U1139" s="124"/>
      <c r="V1139" s="124"/>
      <c r="W1139" s="124"/>
      <c r="X1139" s="124"/>
      <c r="Y1139" s="124"/>
    </row>
    <row r="1140" spans="2:25" x14ac:dyDescent="0.25">
      <c r="B1140" s="124"/>
      <c r="C1140" s="124"/>
      <c r="D1140" s="124"/>
      <c r="E1140" s="124"/>
      <c r="F1140" s="124"/>
      <c r="G1140" s="124"/>
      <c r="H1140" s="124"/>
      <c r="I1140" s="124"/>
      <c r="J1140" s="124"/>
      <c r="K1140" s="124"/>
      <c r="L1140" s="124"/>
      <c r="M1140" s="124"/>
      <c r="N1140" s="124"/>
      <c r="O1140" s="124"/>
      <c r="P1140" s="124"/>
      <c r="Q1140" s="124"/>
      <c r="R1140" s="124"/>
      <c r="S1140" s="124"/>
      <c r="T1140" s="124"/>
      <c r="U1140" s="124"/>
      <c r="V1140" s="124"/>
      <c r="W1140" s="124"/>
      <c r="X1140" s="124"/>
      <c r="Y1140" s="124"/>
    </row>
    <row r="1141" spans="2:25" x14ac:dyDescent="0.25">
      <c r="B1141" s="124"/>
      <c r="C1141" s="124"/>
      <c r="D1141" s="124"/>
      <c r="E1141" s="124"/>
      <c r="F1141" s="124"/>
      <c r="G1141" s="124"/>
      <c r="H1141" s="124"/>
      <c r="I1141" s="124"/>
      <c r="J1141" s="124"/>
      <c r="K1141" s="124"/>
      <c r="L1141" s="124"/>
      <c r="M1141" s="124"/>
      <c r="N1141" s="124"/>
      <c r="O1141" s="124"/>
      <c r="P1141" s="124"/>
      <c r="Q1141" s="124"/>
      <c r="R1141" s="124"/>
      <c r="S1141" s="124"/>
      <c r="T1141" s="124"/>
      <c r="U1141" s="124"/>
      <c r="V1141" s="124"/>
      <c r="W1141" s="124"/>
      <c r="X1141" s="124"/>
      <c r="Y1141" s="124"/>
    </row>
    <row r="1142" spans="2:25" x14ac:dyDescent="0.25">
      <c r="B1142" s="124"/>
      <c r="C1142" s="124"/>
      <c r="D1142" s="124"/>
      <c r="E1142" s="124"/>
      <c r="F1142" s="124"/>
      <c r="G1142" s="124"/>
      <c r="H1142" s="124"/>
      <c r="I1142" s="124"/>
      <c r="J1142" s="124"/>
      <c r="K1142" s="124"/>
      <c r="L1142" s="124"/>
      <c r="M1142" s="124"/>
      <c r="N1142" s="124"/>
      <c r="O1142" s="124"/>
      <c r="P1142" s="124"/>
      <c r="Q1142" s="124"/>
      <c r="R1142" s="124"/>
      <c r="S1142" s="124"/>
      <c r="T1142" s="124"/>
      <c r="U1142" s="124"/>
      <c r="V1142" s="124"/>
      <c r="W1142" s="124"/>
      <c r="X1142" s="124"/>
      <c r="Y1142" s="124"/>
    </row>
    <row r="1143" spans="2:25" x14ac:dyDescent="0.25">
      <c r="B1143" s="124"/>
      <c r="C1143" s="124"/>
      <c r="D1143" s="124"/>
      <c r="E1143" s="124"/>
      <c r="F1143" s="124"/>
      <c r="G1143" s="124"/>
      <c r="H1143" s="124"/>
      <c r="I1143" s="124"/>
      <c r="J1143" s="124"/>
      <c r="K1143" s="124"/>
      <c r="L1143" s="124"/>
      <c r="M1143" s="124"/>
      <c r="N1143" s="124"/>
      <c r="O1143" s="124"/>
      <c r="P1143" s="124"/>
      <c r="Q1143" s="124"/>
      <c r="R1143" s="124"/>
      <c r="S1143" s="124"/>
      <c r="T1143" s="124"/>
      <c r="U1143" s="124"/>
      <c r="V1143" s="124"/>
      <c r="W1143" s="124"/>
      <c r="X1143" s="124"/>
      <c r="Y1143" s="124"/>
    </row>
    <row r="1144" spans="2:25" x14ac:dyDescent="0.25">
      <c r="B1144" s="124"/>
      <c r="C1144" s="124"/>
      <c r="D1144" s="124"/>
      <c r="E1144" s="124"/>
      <c r="F1144" s="124"/>
      <c r="G1144" s="124"/>
      <c r="H1144" s="124"/>
      <c r="I1144" s="124"/>
      <c r="J1144" s="124"/>
      <c r="K1144" s="124"/>
      <c r="L1144" s="124"/>
      <c r="M1144" s="124"/>
      <c r="N1144" s="124"/>
      <c r="O1144" s="124"/>
      <c r="P1144" s="124"/>
      <c r="Q1144" s="124"/>
      <c r="R1144" s="124"/>
      <c r="S1144" s="124"/>
      <c r="T1144" s="124"/>
      <c r="U1144" s="124"/>
      <c r="V1144" s="124"/>
      <c r="W1144" s="124"/>
      <c r="X1144" s="124"/>
      <c r="Y1144" s="124"/>
    </row>
    <row r="1145" spans="2:25" x14ac:dyDescent="0.25">
      <c r="B1145" s="124"/>
      <c r="C1145" s="124"/>
      <c r="D1145" s="124"/>
      <c r="E1145" s="124"/>
      <c r="F1145" s="124"/>
      <c r="G1145" s="124"/>
      <c r="H1145" s="124"/>
      <c r="I1145" s="124"/>
      <c r="J1145" s="124"/>
      <c r="K1145" s="124"/>
      <c r="L1145" s="124"/>
      <c r="M1145" s="124"/>
      <c r="N1145" s="124"/>
      <c r="O1145" s="124"/>
      <c r="P1145" s="124"/>
      <c r="Q1145" s="124"/>
      <c r="R1145" s="124"/>
      <c r="S1145" s="124"/>
      <c r="T1145" s="124"/>
      <c r="U1145" s="124"/>
      <c r="V1145" s="124"/>
      <c r="W1145" s="124"/>
      <c r="X1145" s="124"/>
      <c r="Y1145" s="124"/>
    </row>
    <row r="1146" spans="2:25" x14ac:dyDescent="0.25">
      <c r="B1146" s="124"/>
      <c r="C1146" s="124"/>
      <c r="D1146" s="124"/>
      <c r="E1146" s="124"/>
      <c r="F1146" s="124"/>
      <c r="G1146" s="124"/>
      <c r="H1146" s="124"/>
      <c r="I1146" s="124"/>
      <c r="J1146" s="124"/>
      <c r="K1146" s="124"/>
      <c r="L1146" s="124"/>
      <c r="M1146" s="124"/>
      <c r="N1146" s="124"/>
      <c r="O1146" s="124"/>
      <c r="P1146" s="124"/>
      <c r="Q1146" s="124"/>
      <c r="R1146" s="124"/>
      <c r="S1146" s="124"/>
      <c r="T1146" s="124"/>
      <c r="U1146" s="124"/>
      <c r="V1146" s="124"/>
      <c r="W1146" s="124"/>
      <c r="X1146" s="124"/>
      <c r="Y1146" s="124"/>
    </row>
    <row r="1147" spans="2:25" x14ac:dyDescent="0.25">
      <c r="B1147" s="124"/>
      <c r="C1147" s="124"/>
      <c r="D1147" s="124"/>
      <c r="E1147" s="124"/>
      <c r="F1147" s="124"/>
      <c r="G1147" s="124"/>
      <c r="H1147" s="124"/>
      <c r="I1147" s="124"/>
      <c r="J1147" s="124"/>
      <c r="K1147" s="124"/>
      <c r="L1147" s="124"/>
      <c r="M1147" s="124"/>
      <c r="N1147" s="124"/>
      <c r="O1147" s="124"/>
      <c r="P1147" s="124"/>
      <c r="Q1147" s="124"/>
      <c r="R1147" s="124"/>
      <c r="S1147" s="124"/>
      <c r="T1147" s="124"/>
      <c r="U1147" s="124"/>
      <c r="V1147" s="124"/>
      <c r="W1147" s="124"/>
      <c r="X1147" s="124"/>
      <c r="Y1147" s="124"/>
    </row>
    <row r="1148" spans="2:25" x14ac:dyDescent="0.25">
      <c r="B1148" s="124"/>
      <c r="C1148" s="124"/>
      <c r="D1148" s="124"/>
      <c r="E1148" s="124"/>
      <c r="F1148" s="124"/>
      <c r="G1148" s="124"/>
      <c r="H1148" s="124"/>
      <c r="I1148" s="124"/>
      <c r="J1148" s="124"/>
      <c r="K1148" s="124"/>
      <c r="L1148" s="124"/>
      <c r="M1148" s="124"/>
      <c r="N1148" s="124"/>
      <c r="O1148" s="124"/>
      <c r="P1148" s="124"/>
      <c r="Q1148" s="124"/>
      <c r="R1148" s="124"/>
      <c r="S1148" s="124"/>
      <c r="T1148" s="124"/>
      <c r="U1148" s="124"/>
      <c r="V1148" s="124"/>
      <c r="W1148" s="124"/>
      <c r="X1148" s="124"/>
      <c r="Y1148" s="124"/>
    </row>
    <row r="1149" spans="2:25" x14ac:dyDescent="0.25">
      <c r="B1149" s="124"/>
      <c r="C1149" s="124"/>
      <c r="D1149" s="124"/>
      <c r="E1149" s="124"/>
      <c r="F1149" s="124"/>
      <c r="G1149" s="124"/>
      <c r="H1149" s="124"/>
      <c r="I1149" s="124"/>
      <c r="J1149" s="124"/>
      <c r="K1149" s="124"/>
      <c r="L1149" s="124"/>
      <c r="M1149" s="124"/>
      <c r="N1149" s="124"/>
      <c r="O1149" s="124"/>
      <c r="P1149" s="124"/>
      <c r="Q1149" s="124"/>
      <c r="R1149" s="124"/>
      <c r="S1149" s="124"/>
      <c r="T1149" s="124"/>
      <c r="U1149" s="124"/>
      <c r="V1149" s="124"/>
      <c r="W1149" s="124"/>
      <c r="X1149" s="124"/>
      <c r="Y1149" s="124"/>
    </row>
    <row r="1150" spans="2:25" x14ac:dyDescent="0.25">
      <c r="B1150" s="124"/>
      <c r="C1150" s="124"/>
      <c r="D1150" s="124"/>
      <c r="E1150" s="124"/>
      <c r="F1150" s="124"/>
      <c r="G1150" s="124"/>
      <c r="H1150" s="124"/>
      <c r="I1150" s="124"/>
      <c r="J1150" s="124"/>
      <c r="K1150" s="124"/>
      <c r="L1150" s="124"/>
      <c r="M1150" s="124"/>
      <c r="N1150" s="124"/>
      <c r="O1150" s="124"/>
      <c r="P1150" s="124"/>
      <c r="Q1150" s="124"/>
      <c r="R1150" s="124"/>
      <c r="S1150" s="124"/>
      <c r="T1150" s="124"/>
      <c r="U1150" s="124"/>
      <c r="V1150" s="124"/>
      <c r="W1150" s="124"/>
      <c r="X1150" s="124"/>
      <c r="Y1150" s="124"/>
    </row>
    <row r="1151" spans="2:25" x14ac:dyDescent="0.25">
      <c r="B1151" s="124"/>
      <c r="C1151" s="124"/>
      <c r="D1151" s="124"/>
      <c r="E1151" s="124"/>
      <c r="F1151" s="124"/>
      <c r="G1151" s="124"/>
      <c r="H1151" s="124"/>
      <c r="I1151" s="124"/>
      <c r="J1151" s="124"/>
      <c r="K1151" s="124"/>
      <c r="L1151" s="124"/>
      <c r="M1151" s="124"/>
      <c r="N1151" s="124"/>
      <c r="O1151" s="124"/>
      <c r="P1151" s="124"/>
      <c r="Q1151" s="124"/>
      <c r="R1151" s="124"/>
      <c r="S1151" s="124"/>
      <c r="T1151" s="124"/>
      <c r="U1151" s="124"/>
      <c r="V1151" s="124"/>
      <c r="W1151" s="124"/>
      <c r="X1151" s="124"/>
      <c r="Y1151" s="124"/>
    </row>
    <row r="1152" spans="2:25" x14ac:dyDescent="0.25">
      <c r="B1152" s="124"/>
      <c r="C1152" s="124"/>
      <c r="D1152" s="124"/>
      <c r="E1152" s="124"/>
      <c r="F1152" s="124"/>
      <c r="G1152" s="124"/>
      <c r="H1152" s="124"/>
      <c r="I1152" s="124"/>
      <c r="J1152" s="124"/>
      <c r="K1152" s="124"/>
      <c r="L1152" s="124"/>
      <c r="M1152" s="124"/>
      <c r="N1152" s="124"/>
      <c r="O1152" s="124"/>
      <c r="P1152" s="124"/>
      <c r="Q1152" s="124"/>
      <c r="R1152" s="124"/>
      <c r="S1152" s="124"/>
      <c r="T1152" s="124"/>
      <c r="U1152" s="124"/>
      <c r="V1152" s="124"/>
      <c r="W1152" s="124"/>
      <c r="X1152" s="124"/>
      <c r="Y1152" s="124"/>
    </row>
    <row r="1153" spans="2:25" x14ac:dyDescent="0.25">
      <c r="B1153" s="124"/>
      <c r="C1153" s="124"/>
      <c r="D1153" s="124"/>
      <c r="E1153" s="124"/>
      <c r="F1153" s="124"/>
      <c r="G1153" s="124"/>
      <c r="H1153" s="124"/>
      <c r="I1153" s="124"/>
      <c r="J1153" s="124"/>
      <c r="K1153" s="124"/>
      <c r="L1153" s="124"/>
      <c r="M1153" s="124"/>
      <c r="N1153" s="124"/>
      <c r="O1153" s="124"/>
      <c r="P1153" s="124"/>
      <c r="Q1153" s="124"/>
      <c r="R1153" s="124"/>
      <c r="S1153" s="124"/>
      <c r="T1153" s="124"/>
      <c r="U1153" s="124"/>
      <c r="V1153" s="124"/>
      <c r="W1153" s="124"/>
      <c r="X1153" s="124"/>
      <c r="Y1153" s="124"/>
    </row>
    <row r="1154" spans="2:25" x14ac:dyDescent="0.25">
      <c r="B1154" s="124"/>
      <c r="C1154" s="124"/>
      <c r="D1154" s="124"/>
      <c r="E1154" s="124"/>
      <c r="F1154" s="124"/>
      <c r="G1154" s="124"/>
      <c r="H1154" s="124"/>
      <c r="I1154" s="124"/>
      <c r="J1154" s="124"/>
      <c r="K1154" s="124"/>
      <c r="L1154" s="124"/>
      <c r="M1154" s="124"/>
      <c r="N1154" s="124"/>
      <c r="O1154" s="124"/>
      <c r="P1154" s="124"/>
      <c r="Q1154" s="124"/>
      <c r="R1154" s="124"/>
      <c r="S1154" s="124"/>
      <c r="T1154" s="124"/>
      <c r="U1154" s="124"/>
      <c r="V1154" s="124"/>
      <c r="W1154" s="124"/>
      <c r="X1154" s="124"/>
      <c r="Y1154" s="124"/>
    </row>
    <row r="1155" spans="2:25" x14ac:dyDescent="0.25">
      <c r="B1155" s="124"/>
      <c r="C1155" s="124"/>
      <c r="D1155" s="124"/>
      <c r="E1155" s="124"/>
      <c r="F1155" s="124"/>
      <c r="G1155" s="124"/>
      <c r="H1155" s="124"/>
      <c r="I1155" s="124"/>
      <c r="J1155" s="124"/>
      <c r="K1155" s="124"/>
      <c r="L1155" s="124"/>
      <c r="M1155" s="124"/>
      <c r="N1155" s="124"/>
      <c r="O1155" s="124"/>
      <c r="P1155" s="124"/>
      <c r="Q1155" s="124"/>
      <c r="R1155" s="124"/>
      <c r="S1155" s="124"/>
      <c r="T1155" s="124"/>
      <c r="U1155" s="124"/>
      <c r="V1155" s="124"/>
      <c r="W1155" s="124"/>
      <c r="X1155" s="124"/>
      <c r="Y1155" s="124"/>
    </row>
    <row r="1156" spans="2:25" x14ac:dyDescent="0.25">
      <c r="B1156" s="124"/>
      <c r="C1156" s="124"/>
      <c r="D1156" s="124"/>
      <c r="E1156" s="124"/>
      <c r="F1156" s="124"/>
      <c r="G1156" s="124"/>
      <c r="H1156" s="124"/>
      <c r="I1156" s="124"/>
      <c r="J1156" s="124"/>
      <c r="K1156" s="124"/>
      <c r="L1156" s="124"/>
      <c r="M1156" s="124"/>
      <c r="N1156" s="124"/>
      <c r="O1156" s="124"/>
      <c r="P1156" s="124"/>
      <c r="Q1156" s="124"/>
      <c r="R1156" s="124"/>
      <c r="S1156" s="124"/>
      <c r="T1156" s="124"/>
      <c r="U1156" s="124"/>
      <c r="V1156" s="124"/>
      <c r="W1156" s="124"/>
      <c r="X1156" s="124"/>
      <c r="Y1156" s="124"/>
    </row>
    <row r="1157" spans="2:25" x14ac:dyDescent="0.25">
      <c r="B1157" s="124"/>
      <c r="C1157" s="124"/>
      <c r="D1157" s="124"/>
      <c r="E1157" s="124"/>
      <c r="F1157" s="124"/>
      <c r="G1157" s="124"/>
      <c r="H1157" s="124"/>
      <c r="I1157" s="124"/>
      <c r="J1157" s="124"/>
      <c r="K1157" s="124"/>
      <c r="L1157" s="124"/>
      <c r="M1157" s="124"/>
      <c r="N1157" s="124"/>
      <c r="O1157" s="124"/>
      <c r="P1157" s="124"/>
      <c r="Q1157" s="124"/>
      <c r="R1157" s="124"/>
      <c r="S1157" s="124"/>
      <c r="T1157" s="124"/>
      <c r="U1157" s="124"/>
      <c r="V1157" s="124"/>
      <c r="W1157" s="124"/>
      <c r="X1157" s="124"/>
      <c r="Y1157" s="124"/>
    </row>
    <row r="1158" spans="2:25" x14ac:dyDescent="0.25">
      <c r="B1158" s="124"/>
      <c r="C1158" s="124"/>
      <c r="D1158" s="124"/>
      <c r="E1158" s="124"/>
      <c r="F1158" s="124"/>
      <c r="G1158" s="124"/>
      <c r="H1158" s="124"/>
      <c r="I1158" s="124"/>
      <c r="J1158" s="124"/>
      <c r="K1158" s="124"/>
      <c r="L1158" s="124"/>
      <c r="M1158" s="124"/>
      <c r="N1158" s="124"/>
      <c r="O1158" s="124"/>
      <c r="P1158" s="124"/>
      <c r="Q1158" s="124"/>
      <c r="R1158" s="124"/>
      <c r="S1158" s="124"/>
      <c r="T1158" s="124"/>
      <c r="U1158" s="124"/>
      <c r="V1158" s="124"/>
      <c r="W1158" s="124"/>
      <c r="X1158" s="124"/>
      <c r="Y1158" s="124"/>
    </row>
    <row r="1159" spans="2:25" x14ac:dyDescent="0.25">
      <c r="B1159" s="124"/>
      <c r="C1159" s="124"/>
      <c r="D1159" s="124"/>
      <c r="E1159" s="124"/>
      <c r="F1159" s="124"/>
      <c r="G1159" s="124"/>
      <c r="H1159" s="124"/>
      <c r="I1159" s="124"/>
      <c r="J1159" s="124"/>
      <c r="K1159" s="124"/>
      <c r="L1159" s="124"/>
      <c r="M1159" s="124"/>
      <c r="N1159" s="124"/>
      <c r="O1159" s="124"/>
      <c r="P1159" s="124"/>
      <c r="Q1159" s="124"/>
      <c r="R1159" s="124"/>
      <c r="S1159" s="124"/>
      <c r="T1159" s="124"/>
      <c r="U1159" s="124"/>
      <c r="V1159" s="124"/>
      <c r="W1159" s="124"/>
      <c r="X1159" s="124"/>
      <c r="Y1159" s="124"/>
    </row>
    <row r="1160" spans="2:25" x14ac:dyDescent="0.25">
      <c r="B1160" s="124"/>
      <c r="C1160" s="124"/>
      <c r="D1160" s="124"/>
      <c r="E1160" s="124"/>
      <c r="F1160" s="124"/>
      <c r="G1160" s="124"/>
      <c r="H1160" s="124"/>
      <c r="I1160" s="124"/>
      <c r="J1160" s="124"/>
      <c r="K1160" s="124"/>
      <c r="L1160" s="124"/>
      <c r="M1160" s="124"/>
      <c r="N1160" s="124"/>
      <c r="O1160" s="124"/>
      <c r="P1160" s="124"/>
      <c r="Q1160" s="124"/>
      <c r="R1160" s="124"/>
      <c r="S1160" s="124"/>
      <c r="T1160" s="124"/>
      <c r="U1160" s="124"/>
      <c r="V1160" s="124"/>
      <c r="W1160" s="124"/>
      <c r="X1160" s="124"/>
      <c r="Y1160" s="124"/>
    </row>
    <row r="1161" spans="2:25" x14ac:dyDescent="0.25">
      <c r="B1161" s="124"/>
      <c r="C1161" s="124"/>
      <c r="D1161" s="124"/>
      <c r="E1161" s="124"/>
      <c r="F1161" s="124"/>
      <c r="G1161" s="124"/>
      <c r="H1161" s="124"/>
      <c r="I1161" s="124"/>
      <c r="J1161" s="124"/>
      <c r="K1161" s="124"/>
      <c r="L1161" s="124"/>
      <c r="M1161" s="124"/>
      <c r="N1161" s="124"/>
      <c r="O1161" s="124"/>
      <c r="P1161" s="124"/>
      <c r="Q1161" s="124"/>
      <c r="R1161" s="124"/>
      <c r="S1161" s="124"/>
      <c r="T1161" s="124"/>
      <c r="U1161" s="124"/>
      <c r="V1161" s="124"/>
      <c r="W1161" s="124"/>
      <c r="X1161" s="124"/>
      <c r="Y1161" s="124"/>
    </row>
    <row r="1162" spans="2:25" x14ac:dyDescent="0.25">
      <c r="B1162" s="124"/>
      <c r="C1162" s="124"/>
      <c r="D1162" s="124"/>
      <c r="E1162" s="124"/>
      <c r="F1162" s="124"/>
      <c r="G1162" s="124"/>
      <c r="H1162" s="124"/>
      <c r="I1162" s="124"/>
      <c r="J1162" s="124"/>
      <c r="K1162" s="124"/>
      <c r="L1162" s="124"/>
      <c r="M1162" s="124"/>
      <c r="N1162" s="124"/>
      <c r="O1162" s="124"/>
      <c r="P1162" s="124"/>
      <c r="Q1162" s="124"/>
      <c r="R1162" s="124"/>
      <c r="S1162" s="124"/>
      <c r="T1162" s="124"/>
      <c r="U1162" s="124"/>
      <c r="V1162" s="124"/>
      <c r="W1162" s="124"/>
      <c r="X1162" s="124"/>
      <c r="Y1162" s="124"/>
    </row>
    <row r="1163" spans="2:25" x14ac:dyDescent="0.25">
      <c r="B1163" s="124"/>
      <c r="C1163" s="124"/>
      <c r="D1163" s="124"/>
      <c r="E1163" s="124"/>
      <c r="F1163" s="124"/>
      <c r="G1163" s="124"/>
      <c r="H1163" s="124"/>
      <c r="I1163" s="124"/>
      <c r="J1163" s="124"/>
      <c r="K1163" s="124"/>
      <c r="L1163" s="124"/>
      <c r="M1163" s="124"/>
      <c r="N1163" s="124"/>
      <c r="O1163" s="124"/>
      <c r="P1163" s="124"/>
      <c r="Q1163" s="124"/>
      <c r="R1163" s="124"/>
      <c r="S1163" s="124"/>
      <c r="T1163" s="124"/>
      <c r="U1163" s="124"/>
      <c r="V1163" s="124"/>
      <c r="W1163" s="124"/>
      <c r="X1163" s="124"/>
      <c r="Y1163" s="124"/>
    </row>
    <row r="1164" spans="2:25" x14ac:dyDescent="0.25">
      <c r="B1164" s="124"/>
      <c r="C1164" s="124"/>
      <c r="D1164" s="124"/>
      <c r="E1164" s="124"/>
      <c r="F1164" s="124"/>
      <c r="G1164" s="124"/>
      <c r="H1164" s="124"/>
      <c r="I1164" s="124"/>
      <c r="J1164" s="124"/>
      <c r="K1164" s="124"/>
      <c r="L1164" s="124"/>
      <c r="M1164" s="124"/>
      <c r="N1164" s="124"/>
      <c r="O1164" s="124"/>
      <c r="P1164" s="124"/>
      <c r="Q1164" s="124"/>
      <c r="R1164" s="124"/>
      <c r="S1164" s="124"/>
      <c r="T1164" s="124"/>
      <c r="U1164" s="124"/>
      <c r="V1164" s="124"/>
      <c r="W1164" s="124"/>
      <c r="X1164" s="124"/>
      <c r="Y1164" s="124"/>
    </row>
    <row r="1165" spans="2:25" x14ac:dyDescent="0.25">
      <c r="B1165" s="124"/>
      <c r="C1165" s="124"/>
      <c r="D1165" s="124"/>
      <c r="E1165" s="124"/>
      <c r="F1165" s="124"/>
      <c r="G1165" s="124"/>
      <c r="H1165" s="124"/>
      <c r="I1165" s="124"/>
      <c r="J1165" s="124"/>
      <c r="K1165" s="124"/>
      <c r="L1165" s="124"/>
      <c r="M1165" s="124"/>
      <c r="N1165" s="124"/>
      <c r="O1165" s="124"/>
      <c r="P1165" s="124"/>
      <c r="Q1165" s="124"/>
      <c r="R1165" s="124"/>
      <c r="S1165" s="124"/>
      <c r="T1165" s="124"/>
      <c r="U1165" s="124"/>
      <c r="V1165" s="124"/>
      <c r="W1165" s="124"/>
      <c r="X1165" s="124"/>
      <c r="Y1165" s="124"/>
    </row>
    <row r="1166" spans="2:25" x14ac:dyDescent="0.25">
      <c r="B1166" s="124"/>
      <c r="C1166" s="124"/>
      <c r="D1166" s="124"/>
      <c r="E1166" s="124"/>
      <c r="F1166" s="124"/>
      <c r="G1166" s="124"/>
      <c r="H1166" s="124"/>
      <c r="I1166" s="124"/>
      <c r="J1166" s="124"/>
      <c r="K1166" s="124"/>
      <c r="L1166" s="124"/>
      <c r="M1166" s="124"/>
      <c r="N1166" s="124"/>
      <c r="O1166" s="124"/>
      <c r="P1166" s="124"/>
      <c r="Q1166" s="124"/>
      <c r="R1166" s="124"/>
      <c r="S1166" s="124"/>
      <c r="T1166" s="124"/>
      <c r="U1166" s="124"/>
      <c r="V1166" s="124"/>
      <c r="W1166" s="124"/>
      <c r="X1166" s="124"/>
      <c r="Y1166" s="124"/>
    </row>
    <row r="1167" spans="2:25" x14ac:dyDescent="0.25">
      <c r="B1167" s="124"/>
      <c r="C1167" s="124"/>
      <c r="D1167" s="124"/>
      <c r="E1167" s="124"/>
      <c r="F1167" s="124"/>
      <c r="G1167" s="124"/>
      <c r="H1167" s="124"/>
      <c r="I1167" s="124"/>
      <c r="J1167" s="124"/>
      <c r="K1167" s="124"/>
      <c r="L1167" s="124"/>
      <c r="M1167" s="124"/>
      <c r="N1167" s="124"/>
      <c r="O1167" s="124"/>
      <c r="P1167" s="124"/>
      <c r="Q1167" s="124"/>
      <c r="R1167" s="124"/>
      <c r="S1167" s="124"/>
      <c r="T1167" s="124"/>
      <c r="U1167" s="124"/>
      <c r="V1167" s="124"/>
      <c r="W1167" s="124"/>
      <c r="X1167" s="124"/>
      <c r="Y1167" s="124"/>
    </row>
    <row r="1168" spans="2:25" x14ac:dyDescent="0.25">
      <c r="B1168" s="124"/>
      <c r="C1168" s="124"/>
      <c r="D1168" s="124"/>
      <c r="E1168" s="124"/>
      <c r="F1168" s="124"/>
      <c r="G1168" s="124"/>
      <c r="H1168" s="124"/>
      <c r="I1168" s="124"/>
      <c r="J1168" s="124"/>
      <c r="K1168" s="124"/>
      <c r="L1168" s="124"/>
      <c r="M1168" s="124"/>
      <c r="N1168" s="124"/>
      <c r="O1168" s="124"/>
      <c r="P1168" s="124"/>
      <c r="Q1168" s="124"/>
      <c r="R1168" s="124"/>
      <c r="S1168" s="124"/>
      <c r="T1168" s="124"/>
      <c r="U1168" s="124"/>
      <c r="V1168" s="124"/>
      <c r="W1168" s="124"/>
      <c r="X1168" s="124"/>
      <c r="Y1168" s="124"/>
    </row>
    <row r="1169" spans="2:25" x14ac:dyDescent="0.25">
      <c r="B1169" s="124"/>
      <c r="C1169" s="124"/>
      <c r="D1169" s="124"/>
      <c r="E1169" s="124"/>
      <c r="F1169" s="124"/>
      <c r="G1169" s="124"/>
      <c r="H1169" s="124"/>
      <c r="I1169" s="124"/>
      <c r="J1169" s="124"/>
      <c r="K1169" s="124"/>
      <c r="L1169" s="124"/>
      <c r="M1169" s="124"/>
      <c r="N1169" s="124"/>
      <c r="O1169" s="124"/>
      <c r="P1169" s="124"/>
      <c r="Q1169" s="124"/>
      <c r="R1169" s="124"/>
      <c r="S1169" s="124"/>
      <c r="T1169" s="124"/>
      <c r="U1169" s="124"/>
      <c r="V1169" s="124"/>
      <c r="W1169" s="124"/>
      <c r="X1169" s="124"/>
      <c r="Y1169" s="124"/>
    </row>
    <row r="1170" spans="2:25" x14ac:dyDescent="0.25">
      <c r="B1170" s="124"/>
      <c r="C1170" s="124"/>
      <c r="D1170" s="124"/>
      <c r="E1170" s="124"/>
      <c r="F1170" s="124"/>
      <c r="G1170" s="124"/>
      <c r="H1170" s="124"/>
      <c r="I1170" s="124"/>
      <c r="J1170" s="124"/>
      <c r="K1170" s="124"/>
      <c r="L1170" s="124"/>
      <c r="M1170" s="124"/>
      <c r="N1170" s="124"/>
      <c r="O1170" s="124"/>
      <c r="P1170" s="124"/>
      <c r="Q1170" s="124"/>
      <c r="R1170" s="124"/>
      <c r="S1170" s="124"/>
      <c r="T1170" s="124"/>
      <c r="U1170" s="124"/>
      <c r="V1170" s="124"/>
      <c r="W1170" s="124"/>
      <c r="X1170" s="124"/>
      <c r="Y1170" s="124"/>
    </row>
    <row r="1171" spans="2:25" x14ac:dyDescent="0.25">
      <c r="B1171" s="124"/>
      <c r="C1171" s="124"/>
      <c r="D1171" s="124"/>
      <c r="E1171" s="124"/>
      <c r="F1171" s="124"/>
      <c r="G1171" s="124"/>
      <c r="H1171" s="124"/>
      <c r="I1171" s="124"/>
      <c r="J1171" s="124"/>
      <c r="K1171" s="124"/>
      <c r="L1171" s="124"/>
      <c r="M1171" s="124"/>
      <c r="N1171" s="124"/>
      <c r="O1171" s="124"/>
      <c r="P1171" s="124"/>
      <c r="Q1171" s="124"/>
      <c r="R1171" s="124"/>
      <c r="S1171" s="124"/>
      <c r="T1171" s="124"/>
      <c r="U1171" s="124"/>
      <c r="V1171" s="124"/>
      <c r="W1171" s="124"/>
      <c r="X1171" s="124"/>
      <c r="Y1171" s="124"/>
    </row>
    <row r="1172" spans="2:25" x14ac:dyDescent="0.25">
      <c r="B1172" s="124"/>
      <c r="C1172" s="124"/>
      <c r="D1172" s="124"/>
      <c r="E1172" s="124"/>
      <c r="F1172" s="124"/>
      <c r="G1172" s="124"/>
      <c r="H1172" s="124"/>
      <c r="I1172" s="124"/>
      <c r="J1172" s="124"/>
      <c r="K1172" s="124"/>
      <c r="L1172" s="124"/>
      <c r="M1172" s="124"/>
      <c r="N1172" s="124"/>
      <c r="O1172" s="124"/>
      <c r="P1172" s="124"/>
      <c r="Q1172" s="124"/>
      <c r="R1172" s="124"/>
      <c r="S1172" s="124"/>
      <c r="T1172" s="124"/>
      <c r="U1172" s="124"/>
      <c r="V1172" s="124"/>
      <c r="W1172" s="124"/>
      <c r="X1172" s="124"/>
      <c r="Y1172" s="124"/>
    </row>
    <row r="1173" spans="2:25" x14ac:dyDescent="0.25">
      <c r="B1173" s="124"/>
      <c r="C1173" s="124"/>
      <c r="D1173" s="124"/>
      <c r="E1173" s="124"/>
      <c r="F1173" s="124"/>
      <c r="G1173" s="124"/>
      <c r="H1173" s="124"/>
      <c r="I1173" s="124"/>
      <c r="J1173" s="124"/>
      <c r="K1173" s="124"/>
      <c r="L1173" s="124"/>
      <c r="M1173" s="124"/>
      <c r="N1173" s="124"/>
      <c r="O1173" s="124"/>
      <c r="P1173" s="124"/>
      <c r="Q1173" s="124"/>
      <c r="R1173" s="124"/>
      <c r="S1173" s="124"/>
      <c r="T1173" s="124"/>
      <c r="U1173" s="124"/>
      <c r="V1173" s="124"/>
      <c r="W1173" s="124"/>
      <c r="X1173" s="124"/>
      <c r="Y1173" s="124"/>
    </row>
    <row r="1174" spans="2:25" x14ac:dyDescent="0.25">
      <c r="B1174" s="124"/>
      <c r="C1174" s="124"/>
      <c r="D1174" s="124"/>
      <c r="E1174" s="124"/>
      <c r="F1174" s="124"/>
      <c r="G1174" s="124"/>
      <c r="H1174" s="124"/>
      <c r="I1174" s="124"/>
      <c r="J1174" s="124"/>
      <c r="K1174" s="124"/>
      <c r="L1174" s="124"/>
      <c r="M1174" s="124"/>
      <c r="N1174" s="124"/>
      <c r="O1174" s="124"/>
      <c r="P1174" s="124"/>
      <c r="Q1174" s="124"/>
      <c r="R1174" s="124"/>
      <c r="S1174" s="124"/>
      <c r="T1174" s="124"/>
      <c r="U1174" s="124"/>
      <c r="V1174" s="124"/>
      <c r="W1174" s="124"/>
      <c r="X1174" s="124"/>
      <c r="Y1174" s="124"/>
    </row>
    <row r="1175" spans="2:25" x14ac:dyDescent="0.25">
      <c r="B1175" s="124"/>
      <c r="C1175" s="124"/>
      <c r="D1175" s="124"/>
      <c r="E1175" s="124"/>
      <c r="F1175" s="124"/>
      <c r="G1175" s="124"/>
      <c r="H1175" s="124"/>
      <c r="I1175" s="124"/>
      <c r="J1175" s="124"/>
      <c r="K1175" s="124"/>
      <c r="L1175" s="124"/>
      <c r="M1175" s="124"/>
      <c r="N1175" s="124"/>
      <c r="O1175" s="124"/>
      <c r="P1175" s="124"/>
      <c r="Q1175" s="124"/>
      <c r="R1175" s="124"/>
      <c r="S1175" s="124"/>
      <c r="T1175" s="124"/>
      <c r="U1175" s="124"/>
      <c r="V1175" s="124"/>
      <c r="W1175" s="124"/>
      <c r="X1175" s="124"/>
      <c r="Y1175" s="124"/>
    </row>
    <row r="1176" spans="2:25" x14ac:dyDescent="0.25">
      <c r="B1176" s="124"/>
      <c r="C1176" s="124"/>
      <c r="D1176" s="124"/>
      <c r="E1176" s="124"/>
      <c r="F1176" s="124"/>
      <c r="G1176" s="124"/>
      <c r="H1176" s="124"/>
      <c r="I1176" s="124"/>
      <c r="J1176" s="124"/>
      <c r="K1176" s="124"/>
      <c r="L1176" s="124"/>
      <c r="M1176" s="124"/>
      <c r="N1176" s="124"/>
      <c r="O1176" s="124"/>
      <c r="P1176" s="124"/>
      <c r="Q1176" s="124"/>
      <c r="R1176" s="124"/>
      <c r="S1176" s="124"/>
      <c r="T1176" s="124"/>
      <c r="U1176" s="124"/>
      <c r="V1176" s="124"/>
      <c r="W1176" s="124"/>
      <c r="X1176" s="124"/>
      <c r="Y1176" s="124"/>
    </row>
    <row r="1177" spans="2:25" x14ac:dyDescent="0.25">
      <c r="B1177" s="124"/>
      <c r="C1177" s="124"/>
      <c r="D1177" s="124"/>
      <c r="E1177" s="124"/>
      <c r="F1177" s="124"/>
      <c r="G1177" s="124"/>
      <c r="H1177" s="124"/>
      <c r="I1177" s="124"/>
      <c r="J1177" s="124"/>
      <c r="K1177" s="124"/>
      <c r="L1177" s="124"/>
      <c r="M1177" s="124"/>
      <c r="N1177" s="124"/>
      <c r="O1177" s="124"/>
      <c r="P1177" s="124"/>
      <c r="Q1177" s="124"/>
      <c r="R1177" s="124"/>
      <c r="S1177" s="124"/>
      <c r="T1177" s="124"/>
      <c r="U1177" s="124"/>
      <c r="V1177" s="124"/>
      <c r="W1177" s="124"/>
      <c r="X1177" s="124"/>
      <c r="Y1177" s="124"/>
    </row>
    <row r="1178" spans="2:25" x14ac:dyDescent="0.25">
      <c r="B1178" s="124"/>
      <c r="C1178" s="124"/>
      <c r="D1178" s="124"/>
      <c r="E1178" s="124"/>
      <c r="F1178" s="124"/>
      <c r="G1178" s="124"/>
      <c r="H1178" s="124"/>
      <c r="I1178" s="124"/>
      <c r="J1178" s="124"/>
      <c r="K1178" s="124"/>
      <c r="L1178" s="124"/>
      <c r="M1178" s="124"/>
      <c r="N1178" s="124"/>
      <c r="O1178" s="124"/>
      <c r="P1178" s="124"/>
      <c r="Q1178" s="124"/>
      <c r="R1178" s="124"/>
      <c r="S1178" s="124"/>
      <c r="T1178" s="124"/>
      <c r="U1178" s="124"/>
      <c r="V1178" s="124"/>
      <c r="W1178" s="124"/>
      <c r="X1178" s="124"/>
      <c r="Y1178" s="124"/>
    </row>
    <row r="1179" spans="2:25" x14ac:dyDescent="0.25">
      <c r="B1179" s="124"/>
      <c r="C1179" s="124"/>
      <c r="D1179" s="124"/>
      <c r="E1179" s="124"/>
      <c r="F1179" s="124"/>
      <c r="G1179" s="124"/>
      <c r="H1179" s="124"/>
      <c r="I1179" s="124"/>
      <c r="J1179" s="124"/>
      <c r="K1179" s="124"/>
      <c r="L1179" s="124"/>
      <c r="M1179" s="124"/>
      <c r="N1179" s="124"/>
      <c r="O1179" s="124"/>
      <c r="P1179" s="124"/>
      <c r="Q1179" s="124"/>
      <c r="R1179" s="124"/>
      <c r="S1179" s="124"/>
      <c r="T1179" s="124"/>
      <c r="U1179" s="124"/>
      <c r="V1179" s="124"/>
      <c r="W1179" s="124"/>
      <c r="X1179" s="124"/>
      <c r="Y1179" s="124"/>
    </row>
    <row r="1180" spans="2:25" x14ac:dyDescent="0.25">
      <c r="B1180" s="124"/>
      <c r="C1180" s="124"/>
      <c r="D1180" s="124"/>
      <c r="E1180" s="124"/>
      <c r="F1180" s="124"/>
      <c r="G1180" s="124"/>
      <c r="H1180" s="124"/>
      <c r="I1180" s="124"/>
      <c r="J1180" s="124"/>
      <c r="K1180" s="124"/>
      <c r="L1180" s="124"/>
      <c r="M1180" s="124"/>
      <c r="N1180" s="124"/>
      <c r="O1180" s="124"/>
      <c r="P1180" s="124"/>
      <c r="Q1180" s="124"/>
      <c r="R1180" s="124"/>
      <c r="S1180" s="124"/>
      <c r="T1180" s="124"/>
      <c r="U1180" s="124"/>
      <c r="V1180" s="124"/>
      <c r="W1180" s="124"/>
      <c r="X1180" s="124"/>
      <c r="Y1180" s="124"/>
    </row>
    <row r="1181" spans="2:25" x14ac:dyDescent="0.25">
      <c r="B1181" s="124"/>
      <c r="C1181" s="124"/>
      <c r="D1181" s="124"/>
      <c r="E1181" s="124"/>
      <c r="F1181" s="124"/>
      <c r="G1181" s="124"/>
      <c r="H1181" s="124"/>
      <c r="I1181" s="124"/>
      <c r="J1181" s="124"/>
      <c r="K1181" s="124"/>
      <c r="L1181" s="124"/>
      <c r="M1181" s="124"/>
      <c r="N1181" s="124"/>
      <c r="O1181" s="124"/>
      <c r="P1181" s="124"/>
      <c r="Q1181" s="124"/>
      <c r="R1181" s="124"/>
      <c r="S1181" s="124"/>
      <c r="T1181" s="124"/>
      <c r="U1181" s="124"/>
      <c r="V1181" s="124"/>
      <c r="W1181" s="124"/>
      <c r="X1181" s="124"/>
      <c r="Y1181" s="124"/>
    </row>
    <row r="1182" spans="2:25" x14ac:dyDescent="0.25">
      <c r="B1182" s="124"/>
      <c r="C1182" s="124"/>
      <c r="D1182" s="124"/>
      <c r="E1182" s="124"/>
      <c r="F1182" s="124"/>
      <c r="G1182" s="124"/>
      <c r="H1182" s="124"/>
      <c r="I1182" s="124"/>
      <c r="J1182" s="124"/>
      <c r="K1182" s="124"/>
      <c r="L1182" s="124"/>
      <c r="M1182" s="124"/>
      <c r="N1182" s="124"/>
      <c r="O1182" s="124"/>
      <c r="P1182" s="124"/>
      <c r="Q1182" s="124"/>
      <c r="R1182" s="124"/>
      <c r="S1182" s="124"/>
      <c r="T1182" s="124"/>
      <c r="U1182" s="124"/>
      <c r="V1182" s="124"/>
      <c r="W1182" s="124"/>
      <c r="X1182" s="124"/>
      <c r="Y1182" s="124"/>
    </row>
    <row r="1183" spans="2:25" x14ac:dyDescent="0.25">
      <c r="B1183" s="124"/>
      <c r="C1183" s="124"/>
      <c r="D1183" s="124"/>
      <c r="E1183" s="124"/>
      <c r="F1183" s="124"/>
      <c r="G1183" s="124"/>
      <c r="H1183" s="124"/>
      <c r="I1183" s="124"/>
      <c r="J1183" s="124"/>
      <c r="K1183" s="124"/>
      <c r="L1183" s="124"/>
      <c r="M1183" s="124"/>
      <c r="N1183" s="124"/>
      <c r="O1183" s="124"/>
      <c r="P1183" s="124"/>
      <c r="Q1183" s="124"/>
      <c r="R1183" s="124"/>
      <c r="S1183" s="124"/>
      <c r="T1183" s="124"/>
      <c r="U1183" s="124"/>
      <c r="V1183" s="124"/>
      <c r="W1183" s="124"/>
      <c r="X1183" s="124"/>
      <c r="Y1183" s="124"/>
    </row>
    <row r="1184" spans="2:25" x14ac:dyDescent="0.25">
      <c r="B1184" s="124"/>
      <c r="C1184" s="124"/>
      <c r="D1184" s="124"/>
      <c r="E1184" s="124"/>
      <c r="F1184" s="124"/>
      <c r="G1184" s="124"/>
      <c r="H1184" s="124"/>
      <c r="I1184" s="124"/>
      <c r="J1184" s="124"/>
      <c r="K1184" s="124"/>
      <c r="L1184" s="124"/>
      <c r="M1184" s="124"/>
      <c r="N1184" s="124"/>
      <c r="O1184" s="124"/>
      <c r="P1184" s="124"/>
      <c r="Q1184" s="124"/>
      <c r="R1184" s="124"/>
      <c r="S1184" s="124"/>
      <c r="T1184" s="124"/>
      <c r="U1184" s="124"/>
      <c r="V1184" s="124"/>
      <c r="W1184" s="124"/>
      <c r="X1184" s="124"/>
      <c r="Y1184" s="124"/>
    </row>
    <row r="1185" spans="2:25" x14ac:dyDescent="0.25">
      <c r="B1185" s="124"/>
      <c r="C1185" s="124"/>
      <c r="D1185" s="124"/>
      <c r="E1185" s="124"/>
      <c r="F1185" s="124"/>
      <c r="G1185" s="124"/>
      <c r="H1185" s="124"/>
      <c r="I1185" s="124"/>
      <c r="J1185" s="124"/>
      <c r="K1185" s="124"/>
      <c r="L1185" s="124"/>
      <c r="M1185" s="124"/>
      <c r="N1185" s="124"/>
      <c r="O1185" s="124"/>
      <c r="P1185" s="124"/>
      <c r="Q1185" s="124"/>
      <c r="R1185" s="124"/>
      <c r="S1185" s="124"/>
      <c r="T1185" s="124"/>
      <c r="U1185" s="124"/>
      <c r="V1185" s="124"/>
      <c r="W1185" s="124"/>
      <c r="X1185" s="124"/>
      <c r="Y1185" s="124"/>
    </row>
    <row r="1186" spans="2:25" x14ac:dyDescent="0.25">
      <c r="B1186" s="124"/>
      <c r="C1186" s="124"/>
      <c r="D1186" s="124"/>
      <c r="E1186" s="124"/>
      <c r="F1186" s="124"/>
      <c r="G1186" s="124"/>
      <c r="H1186" s="124"/>
      <c r="I1186" s="124"/>
      <c r="J1186" s="124"/>
      <c r="K1186" s="124"/>
      <c r="L1186" s="124"/>
      <c r="M1186" s="124"/>
      <c r="N1186" s="124"/>
      <c r="O1186" s="124"/>
      <c r="P1186" s="124"/>
      <c r="Q1186" s="124"/>
      <c r="R1186" s="124"/>
      <c r="S1186" s="124"/>
      <c r="T1186" s="124"/>
      <c r="U1186" s="124"/>
      <c r="V1186" s="124"/>
      <c r="W1186" s="124"/>
      <c r="X1186" s="124"/>
      <c r="Y1186" s="124"/>
    </row>
    <row r="1187" spans="2:25" x14ac:dyDescent="0.25">
      <c r="B1187" s="124"/>
      <c r="C1187" s="124"/>
      <c r="D1187" s="124"/>
      <c r="E1187" s="124"/>
      <c r="F1187" s="124"/>
      <c r="G1187" s="124"/>
      <c r="H1187" s="124"/>
      <c r="I1187" s="124"/>
      <c r="J1187" s="124"/>
      <c r="K1187" s="124"/>
      <c r="L1187" s="124"/>
      <c r="M1187" s="124"/>
      <c r="N1187" s="124"/>
      <c r="O1187" s="124"/>
      <c r="P1187" s="124"/>
      <c r="Q1187" s="124"/>
      <c r="R1187" s="124"/>
      <c r="S1187" s="124"/>
      <c r="T1187" s="124"/>
      <c r="U1187" s="124"/>
      <c r="V1187" s="124"/>
      <c r="W1187" s="124"/>
      <c r="X1187" s="124"/>
      <c r="Y1187" s="124"/>
    </row>
    <row r="1188" spans="2:25" x14ac:dyDescent="0.25">
      <c r="B1188" s="124"/>
      <c r="C1188" s="124"/>
      <c r="D1188" s="124"/>
      <c r="E1188" s="124"/>
      <c r="F1188" s="124"/>
      <c r="G1188" s="124"/>
      <c r="H1188" s="124"/>
      <c r="I1188" s="124"/>
      <c r="J1188" s="124"/>
      <c r="K1188" s="124"/>
      <c r="L1188" s="124"/>
      <c r="M1188" s="124"/>
      <c r="N1188" s="124"/>
      <c r="O1188" s="124"/>
      <c r="P1188" s="124"/>
      <c r="Q1188" s="124"/>
      <c r="R1188" s="124"/>
      <c r="S1188" s="124"/>
      <c r="T1188" s="124"/>
      <c r="U1188" s="124"/>
      <c r="V1188" s="124"/>
      <c r="W1188" s="124"/>
      <c r="X1188" s="124"/>
      <c r="Y1188" s="124"/>
    </row>
    <row r="1189" spans="2:25" x14ac:dyDescent="0.25">
      <c r="B1189" s="124"/>
      <c r="C1189" s="124"/>
      <c r="D1189" s="124"/>
      <c r="E1189" s="124"/>
      <c r="F1189" s="124"/>
      <c r="G1189" s="124"/>
      <c r="H1189" s="124"/>
      <c r="I1189" s="124"/>
      <c r="J1189" s="124"/>
      <c r="K1189" s="124"/>
      <c r="L1189" s="124"/>
      <c r="M1189" s="124"/>
      <c r="N1189" s="124"/>
      <c r="O1189" s="124"/>
      <c r="P1189" s="124"/>
      <c r="Q1189" s="124"/>
      <c r="R1189" s="124"/>
      <c r="S1189" s="124"/>
      <c r="T1189" s="124"/>
      <c r="U1189" s="124"/>
      <c r="V1189" s="124"/>
      <c r="W1189" s="124"/>
      <c r="X1189" s="124"/>
      <c r="Y1189" s="124"/>
    </row>
    <row r="1190" spans="2:25" x14ac:dyDescent="0.25">
      <c r="B1190" s="124"/>
      <c r="C1190" s="124"/>
      <c r="D1190" s="124"/>
      <c r="E1190" s="124"/>
      <c r="F1190" s="124"/>
      <c r="G1190" s="124"/>
      <c r="H1190" s="124"/>
      <c r="I1190" s="124"/>
      <c r="J1190" s="124"/>
      <c r="K1190" s="124"/>
      <c r="L1190" s="124"/>
      <c r="M1190" s="124"/>
      <c r="N1190" s="124"/>
      <c r="O1190" s="124"/>
      <c r="P1190" s="124"/>
      <c r="Q1190" s="124"/>
      <c r="R1190" s="124"/>
      <c r="S1190" s="124"/>
      <c r="T1190" s="124"/>
      <c r="U1190" s="124"/>
      <c r="V1190" s="124"/>
      <c r="W1190" s="124"/>
      <c r="X1190" s="124"/>
      <c r="Y1190" s="124"/>
    </row>
    <row r="1191" spans="2:25" x14ac:dyDescent="0.25">
      <c r="B1191" s="124"/>
      <c r="C1191" s="124"/>
      <c r="D1191" s="124"/>
      <c r="E1191" s="124"/>
      <c r="F1191" s="124"/>
      <c r="G1191" s="124"/>
      <c r="H1191" s="124"/>
      <c r="I1191" s="124"/>
      <c r="J1191" s="124"/>
      <c r="K1191" s="124"/>
      <c r="L1191" s="124"/>
      <c r="M1191" s="124"/>
      <c r="N1191" s="124"/>
      <c r="O1191" s="124"/>
      <c r="P1191" s="124"/>
      <c r="Q1191" s="124"/>
      <c r="R1191" s="124"/>
      <c r="S1191" s="124"/>
      <c r="T1191" s="124"/>
      <c r="U1191" s="124"/>
      <c r="V1191" s="124"/>
      <c r="W1191" s="124"/>
      <c r="X1191" s="124"/>
      <c r="Y1191" s="124"/>
    </row>
    <row r="1192" spans="2:25" x14ac:dyDescent="0.25">
      <c r="B1192" s="124"/>
      <c r="C1192" s="124"/>
      <c r="D1192" s="124"/>
      <c r="E1192" s="124"/>
      <c r="F1192" s="124"/>
      <c r="G1192" s="124"/>
      <c r="H1192" s="124"/>
      <c r="I1192" s="124"/>
      <c r="J1192" s="124"/>
      <c r="K1192" s="124"/>
      <c r="L1192" s="124"/>
      <c r="M1192" s="124"/>
      <c r="N1192" s="124"/>
      <c r="O1192" s="124"/>
      <c r="P1192" s="124"/>
      <c r="Q1192" s="124"/>
      <c r="R1192" s="124"/>
      <c r="S1192" s="124"/>
      <c r="T1192" s="124"/>
      <c r="U1192" s="124"/>
      <c r="V1192" s="124"/>
      <c r="W1192" s="124"/>
      <c r="X1192" s="124"/>
      <c r="Y1192" s="124"/>
    </row>
    <row r="1193" spans="2:25" x14ac:dyDescent="0.25">
      <c r="B1193" s="124"/>
      <c r="C1193" s="124"/>
      <c r="D1193" s="124"/>
      <c r="E1193" s="124"/>
      <c r="F1193" s="124"/>
      <c r="G1193" s="124"/>
      <c r="H1193" s="124"/>
      <c r="I1193" s="124"/>
      <c r="J1193" s="124"/>
      <c r="K1193" s="124"/>
      <c r="L1193" s="124"/>
      <c r="M1193" s="124"/>
      <c r="N1193" s="124"/>
      <c r="O1193" s="124"/>
      <c r="P1193" s="124"/>
      <c r="Q1193" s="124"/>
      <c r="R1193" s="124"/>
      <c r="S1193" s="124"/>
      <c r="T1193" s="124"/>
      <c r="U1193" s="124"/>
      <c r="V1193" s="124"/>
      <c r="W1193" s="124"/>
      <c r="X1193" s="124"/>
      <c r="Y1193" s="124"/>
    </row>
    <row r="1194" spans="2:25" x14ac:dyDescent="0.25">
      <c r="B1194" s="124"/>
      <c r="C1194" s="124"/>
      <c r="D1194" s="124"/>
      <c r="E1194" s="124"/>
      <c r="F1194" s="124"/>
      <c r="G1194" s="124"/>
      <c r="H1194" s="124"/>
      <c r="I1194" s="124"/>
      <c r="J1194" s="124"/>
      <c r="K1194" s="124"/>
      <c r="L1194" s="124"/>
      <c r="M1194" s="124"/>
      <c r="N1194" s="124"/>
      <c r="O1194" s="124"/>
      <c r="P1194" s="124"/>
      <c r="Q1194" s="124"/>
      <c r="R1194" s="124"/>
      <c r="S1194" s="124"/>
      <c r="T1194" s="124"/>
      <c r="U1194" s="124"/>
      <c r="V1194" s="124"/>
      <c r="W1194" s="124"/>
      <c r="X1194" s="124"/>
      <c r="Y1194" s="124"/>
    </row>
    <row r="1195" spans="2:25" x14ac:dyDescent="0.25">
      <c r="B1195" s="124"/>
      <c r="C1195" s="124"/>
      <c r="D1195" s="124"/>
      <c r="E1195" s="124"/>
      <c r="F1195" s="124"/>
      <c r="G1195" s="124"/>
      <c r="H1195" s="124"/>
      <c r="I1195" s="124"/>
      <c r="J1195" s="124"/>
      <c r="K1195" s="124"/>
      <c r="L1195" s="124"/>
      <c r="M1195" s="124"/>
      <c r="N1195" s="124"/>
      <c r="O1195" s="124"/>
      <c r="P1195" s="124"/>
      <c r="Q1195" s="124"/>
      <c r="R1195" s="124"/>
      <c r="S1195" s="124"/>
      <c r="T1195" s="124"/>
      <c r="U1195" s="124"/>
      <c r="V1195" s="124"/>
      <c r="W1195" s="124"/>
      <c r="X1195" s="124"/>
      <c r="Y1195" s="124"/>
    </row>
    <row r="1196" spans="2:25" x14ac:dyDescent="0.25">
      <c r="B1196" s="124"/>
      <c r="C1196" s="124"/>
      <c r="D1196" s="124"/>
      <c r="E1196" s="124"/>
      <c r="F1196" s="124"/>
      <c r="G1196" s="124"/>
      <c r="H1196" s="124"/>
      <c r="I1196" s="124"/>
      <c r="J1196" s="124"/>
      <c r="K1196" s="124"/>
      <c r="L1196" s="124"/>
      <c r="M1196" s="124"/>
      <c r="N1196" s="124"/>
      <c r="O1196" s="124"/>
      <c r="P1196" s="124"/>
      <c r="Q1196" s="124"/>
      <c r="R1196" s="124"/>
      <c r="S1196" s="124"/>
      <c r="T1196" s="124"/>
      <c r="U1196" s="124"/>
      <c r="V1196" s="124"/>
      <c r="W1196" s="124"/>
      <c r="X1196" s="124"/>
      <c r="Y1196" s="124"/>
    </row>
    <row r="1197" spans="2:25" x14ac:dyDescent="0.25">
      <c r="B1197" s="124"/>
      <c r="C1197" s="124"/>
      <c r="D1197" s="124"/>
      <c r="E1197" s="124"/>
      <c r="F1197" s="124"/>
      <c r="G1197" s="124"/>
      <c r="H1197" s="124"/>
      <c r="I1197" s="124"/>
      <c r="J1197" s="124"/>
      <c r="K1197" s="124"/>
      <c r="L1197" s="124"/>
      <c r="M1197" s="124"/>
      <c r="N1197" s="124"/>
      <c r="O1197" s="124"/>
      <c r="P1197" s="124"/>
      <c r="Q1197" s="124"/>
      <c r="R1197" s="124"/>
      <c r="S1197" s="124"/>
      <c r="T1197" s="124"/>
      <c r="U1197" s="124"/>
      <c r="V1197" s="124"/>
      <c r="W1197" s="124"/>
      <c r="X1197" s="124"/>
      <c r="Y1197" s="124"/>
    </row>
    <row r="1198" spans="2:25" x14ac:dyDescent="0.25">
      <c r="B1198" s="124"/>
      <c r="C1198" s="124"/>
      <c r="D1198" s="124"/>
      <c r="E1198" s="124"/>
      <c r="F1198" s="124"/>
      <c r="G1198" s="124"/>
      <c r="H1198" s="124"/>
      <c r="I1198" s="124"/>
      <c r="J1198" s="124"/>
      <c r="K1198" s="124"/>
      <c r="L1198" s="124"/>
      <c r="M1198" s="124"/>
      <c r="N1198" s="124"/>
      <c r="O1198" s="124"/>
      <c r="P1198" s="124"/>
      <c r="Q1198" s="124"/>
      <c r="R1198" s="124"/>
      <c r="S1198" s="124"/>
      <c r="T1198" s="124"/>
      <c r="U1198" s="124"/>
      <c r="V1198" s="124"/>
      <c r="W1198" s="124"/>
      <c r="X1198" s="124"/>
      <c r="Y1198" s="124"/>
    </row>
    <row r="1199" spans="2:25" x14ac:dyDescent="0.25">
      <c r="B1199" s="124"/>
      <c r="C1199" s="124"/>
      <c r="D1199" s="124"/>
      <c r="E1199" s="124"/>
      <c r="F1199" s="124"/>
      <c r="G1199" s="124"/>
      <c r="H1199" s="124"/>
      <c r="I1199" s="124"/>
      <c r="J1199" s="124"/>
      <c r="K1199" s="124"/>
      <c r="L1199" s="124"/>
      <c r="M1199" s="124"/>
      <c r="N1199" s="124"/>
      <c r="O1199" s="124"/>
      <c r="P1199" s="124"/>
      <c r="Q1199" s="124"/>
      <c r="R1199" s="124"/>
      <c r="S1199" s="124"/>
      <c r="T1199" s="124"/>
      <c r="U1199" s="124"/>
      <c r="V1199" s="124"/>
      <c r="W1199" s="124"/>
      <c r="X1199" s="124"/>
      <c r="Y1199" s="124"/>
    </row>
    <row r="1200" spans="2:25" x14ac:dyDescent="0.25">
      <c r="B1200" s="124"/>
      <c r="C1200" s="124"/>
      <c r="D1200" s="124"/>
      <c r="E1200" s="124"/>
      <c r="F1200" s="124"/>
      <c r="G1200" s="124"/>
      <c r="H1200" s="124"/>
      <c r="I1200" s="124"/>
      <c r="J1200" s="124"/>
      <c r="K1200" s="124"/>
      <c r="L1200" s="124"/>
      <c r="M1200" s="124"/>
      <c r="N1200" s="124"/>
      <c r="O1200" s="124"/>
      <c r="P1200" s="124"/>
      <c r="Q1200" s="124"/>
      <c r="R1200" s="124"/>
      <c r="S1200" s="124"/>
      <c r="T1200" s="124"/>
      <c r="U1200" s="124"/>
      <c r="V1200" s="124"/>
      <c r="W1200" s="124"/>
      <c r="X1200" s="124"/>
      <c r="Y1200" s="124"/>
    </row>
    <row r="1201" spans="2:25" x14ac:dyDescent="0.25">
      <c r="B1201" s="124"/>
      <c r="C1201" s="124"/>
      <c r="D1201" s="124"/>
      <c r="E1201" s="124"/>
      <c r="F1201" s="124"/>
      <c r="G1201" s="124"/>
      <c r="H1201" s="124"/>
      <c r="I1201" s="124"/>
      <c r="J1201" s="124"/>
      <c r="K1201" s="124"/>
      <c r="L1201" s="124"/>
      <c r="M1201" s="124"/>
      <c r="N1201" s="124"/>
      <c r="O1201" s="124"/>
      <c r="P1201" s="124"/>
      <c r="Q1201" s="124"/>
      <c r="R1201" s="124"/>
      <c r="S1201" s="124"/>
      <c r="T1201" s="124"/>
      <c r="U1201" s="124"/>
      <c r="V1201" s="124"/>
      <c r="W1201" s="124"/>
      <c r="X1201" s="124"/>
      <c r="Y1201" s="124"/>
    </row>
    <row r="1202" spans="2:25" x14ac:dyDescent="0.25">
      <c r="B1202" s="124"/>
      <c r="C1202" s="124"/>
      <c r="D1202" s="124"/>
      <c r="E1202" s="124"/>
      <c r="F1202" s="124"/>
      <c r="G1202" s="124"/>
      <c r="H1202" s="124"/>
      <c r="I1202" s="124"/>
      <c r="J1202" s="124"/>
      <c r="K1202" s="124"/>
      <c r="L1202" s="124"/>
      <c r="M1202" s="124"/>
      <c r="N1202" s="124"/>
      <c r="O1202" s="124"/>
      <c r="P1202" s="124"/>
      <c r="Q1202" s="124"/>
      <c r="R1202" s="124"/>
      <c r="S1202" s="124"/>
      <c r="T1202" s="124"/>
      <c r="U1202" s="124"/>
      <c r="V1202" s="124"/>
      <c r="W1202" s="124"/>
      <c r="X1202" s="124"/>
      <c r="Y1202" s="124"/>
    </row>
    <row r="1203" spans="2:25" x14ac:dyDescent="0.25">
      <c r="B1203" s="124"/>
      <c r="C1203" s="124"/>
      <c r="D1203" s="124"/>
      <c r="E1203" s="124"/>
      <c r="F1203" s="124"/>
      <c r="G1203" s="124"/>
      <c r="H1203" s="124"/>
      <c r="I1203" s="124"/>
      <c r="J1203" s="124"/>
      <c r="K1203" s="124"/>
      <c r="L1203" s="124"/>
      <c r="M1203" s="124"/>
      <c r="N1203" s="124"/>
      <c r="O1203" s="124"/>
      <c r="P1203" s="124"/>
      <c r="Q1203" s="124"/>
      <c r="R1203" s="124"/>
      <c r="S1203" s="124"/>
      <c r="T1203" s="124"/>
      <c r="U1203" s="124"/>
      <c r="V1203" s="124"/>
      <c r="W1203" s="124"/>
      <c r="X1203" s="124"/>
      <c r="Y1203" s="124"/>
    </row>
    <row r="1204" spans="2:25" x14ac:dyDescent="0.25">
      <c r="B1204" s="124"/>
      <c r="C1204" s="124"/>
      <c r="D1204" s="124"/>
      <c r="E1204" s="124"/>
      <c r="F1204" s="124"/>
      <c r="G1204" s="124"/>
      <c r="H1204" s="124"/>
      <c r="I1204" s="124"/>
      <c r="J1204" s="124"/>
      <c r="K1204" s="124"/>
      <c r="L1204" s="124"/>
      <c r="M1204" s="124"/>
      <c r="N1204" s="124"/>
      <c r="O1204" s="124"/>
      <c r="P1204" s="124"/>
      <c r="Q1204" s="124"/>
      <c r="R1204" s="124"/>
      <c r="S1204" s="124"/>
      <c r="T1204" s="124"/>
      <c r="U1204" s="124"/>
      <c r="V1204" s="124"/>
      <c r="W1204" s="124"/>
      <c r="X1204" s="124"/>
      <c r="Y1204" s="124"/>
    </row>
    <row r="1205" spans="2:25" x14ac:dyDescent="0.25">
      <c r="B1205" s="124"/>
      <c r="C1205" s="124"/>
      <c r="D1205" s="124"/>
      <c r="E1205" s="124"/>
      <c r="F1205" s="124"/>
      <c r="G1205" s="124"/>
      <c r="H1205" s="124"/>
      <c r="I1205" s="124"/>
      <c r="J1205" s="124"/>
      <c r="K1205" s="124"/>
      <c r="L1205" s="124"/>
      <c r="M1205" s="124"/>
      <c r="N1205" s="124"/>
      <c r="O1205" s="124"/>
      <c r="P1205" s="124"/>
      <c r="Q1205" s="124"/>
      <c r="R1205" s="124"/>
      <c r="S1205" s="124"/>
      <c r="T1205" s="124"/>
      <c r="U1205" s="124"/>
      <c r="V1205" s="124"/>
      <c r="W1205" s="124"/>
      <c r="X1205" s="124"/>
      <c r="Y1205" s="124"/>
    </row>
    <row r="1206" spans="2:25" x14ac:dyDescent="0.25">
      <c r="B1206" s="124"/>
      <c r="C1206" s="124"/>
      <c r="D1206" s="124"/>
      <c r="E1206" s="124"/>
      <c r="F1206" s="124"/>
      <c r="G1206" s="124"/>
      <c r="H1206" s="124"/>
      <c r="I1206" s="124"/>
      <c r="J1206" s="124"/>
      <c r="K1206" s="124"/>
      <c r="L1206" s="124"/>
      <c r="M1206" s="124"/>
      <c r="N1206" s="124"/>
      <c r="O1206" s="124"/>
      <c r="P1206" s="124"/>
      <c r="Q1206" s="124"/>
      <c r="R1206" s="124"/>
      <c r="S1206" s="124"/>
      <c r="T1206" s="124"/>
      <c r="U1206" s="124"/>
      <c r="V1206" s="124"/>
      <c r="W1206" s="124"/>
      <c r="X1206" s="124"/>
      <c r="Y1206" s="124"/>
    </row>
    <row r="1207" spans="2:25" x14ac:dyDescent="0.25">
      <c r="B1207" s="124"/>
      <c r="C1207" s="124"/>
      <c r="D1207" s="124"/>
      <c r="E1207" s="124"/>
      <c r="F1207" s="124"/>
      <c r="G1207" s="124"/>
      <c r="H1207" s="124"/>
      <c r="I1207" s="124"/>
      <c r="J1207" s="124"/>
      <c r="K1207" s="124"/>
      <c r="L1207" s="124"/>
      <c r="M1207" s="124"/>
      <c r="N1207" s="124"/>
      <c r="O1207" s="124"/>
      <c r="P1207" s="124"/>
      <c r="Q1207" s="124"/>
      <c r="R1207" s="124"/>
      <c r="S1207" s="124"/>
      <c r="T1207" s="124"/>
      <c r="U1207" s="124"/>
      <c r="V1207" s="124"/>
      <c r="W1207" s="124"/>
      <c r="X1207" s="124"/>
      <c r="Y1207" s="124"/>
    </row>
    <row r="1208" spans="2:25" x14ac:dyDescent="0.25">
      <c r="B1208" s="124"/>
      <c r="C1208" s="124"/>
      <c r="D1208" s="124"/>
      <c r="E1208" s="124"/>
      <c r="F1208" s="124"/>
      <c r="G1208" s="124"/>
      <c r="H1208" s="124"/>
      <c r="I1208" s="124"/>
      <c r="J1208" s="124"/>
      <c r="K1208" s="124"/>
      <c r="L1208" s="124"/>
      <c r="M1208" s="124"/>
      <c r="N1208" s="124"/>
      <c r="O1208" s="124"/>
      <c r="P1208" s="124"/>
      <c r="Q1208" s="124"/>
      <c r="R1208" s="124"/>
      <c r="S1208" s="124"/>
      <c r="T1208" s="124"/>
      <c r="U1208" s="124"/>
      <c r="V1208" s="124"/>
      <c r="W1208" s="124"/>
      <c r="X1208" s="124"/>
      <c r="Y1208" s="124"/>
    </row>
    <row r="1209" spans="2:25" x14ac:dyDescent="0.25">
      <c r="B1209" s="124"/>
      <c r="C1209" s="124"/>
      <c r="D1209" s="124"/>
      <c r="E1209" s="124"/>
      <c r="F1209" s="124"/>
      <c r="G1209" s="124"/>
      <c r="H1209" s="124"/>
      <c r="I1209" s="124"/>
      <c r="J1209" s="124"/>
      <c r="K1209" s="124"/>
      <c r="L1209" s="124"/>
      <c r="M1209" s="124"/>
      <c r="N1209" s="124"/>
      <c r="O1209" s="124"/>
      <c r="P1209" s="124"/>
      <c r="Q1209" s="124"/>
      <c r="R1209" s="124"/>
      <c r="S1209" s="124"/>
      <c r="T1209" s="124"/>
      <c r="U1209" s="124"/>
      <c r="V1209" s="124"/>
      <c r="W1209" s="124"/>
      <c r="X1209" s="124"/>
      <c r="Y1209" s="124"/>
    </row>
    <row r="1210" spans="2:25" x14ac:dyDescent="0.25">
      <c r="B1210" s="124"/>
      <c r="C1210" s="124"/>
      <c r="D1210" s="124"/>
      <c r="E1210" s="124"/>
      <c r="F1210" s="124"/>
      <c r="G1210" s="124"/>
      <c r="H1210" s="124"/>
      <c r="I1210" s="124"/>
      <c r="J1210" s="124"/>
      <c r="K1210" s="124"/>
      <c r="L1210" s="124"/>
      <c r="M1210" s="124"/>
      <c r="N1210" s="124"/>
      <c r="O1210" s="124"/>
      <c r="P1210" s="124"/>
      <c r="Q1210" s="124"/>
      <c r="R1210" s="124"/>
      <c r="S1210" s="124"/>
      <c r="T1210" s="124"/>
      <c r="U1210" s="124"/>
      <c r="V1210" s="124"/>
      <c r="W1210" s="124"/>
      <c r="X1210" s="124"/>
      <c r="Y1210" s="124"/>
    </row>
    <row r="1211" spans="2:25" x14ac:dyDescent="0.25">
      <c r="B1211" s="124"/>
      <c r="C1211" s="124"/>
      <c r="D1211" s="124"/>
      <c r="E1211" s="124"/>
      <c r="F1211" s="124"/>
      <c r="G1211" s="124"/>
      <c r="H1211" s="124"/>
      <c r="I1211" s="124"/>
      <c r="J1211" s="124"/>
      <c r="K1211" s="124"/>
      <c r="L1211" s="124"/>
      <c r="M1211" s="124"/>
      <c r="N1211" s="124"/>
      <c r="O1211" s="124"/>
      <c r="P1211" s="124"/>
      <c r="Q1211" s="124"/>
      <c r="R1211" s="124"/>
      <c r="S1211" s="124"/>
      <c r="T1211" s="124"/>
      <c r="U1211" s="124"/>
      <c r="V1211" s="124"/>
      <c r="W1211" s="124"/>
      <c r="X1211" s="124"/>
      <c r="Y1211" s="124"/>
    </row>
    <row r="1212" spans="2:25" x14ac:dyDescent="0.25">
      <c r="B1212" s="124"/>
      <c r="C1212" s="124"/>
      <c r="D1212" s="124"/>
      <c r="E1212" s="124"/>
      <c r="F1212" s="124"/>
      <c r="G1212" s="124"/>
      <c r="H1212" s="124"/>
      <c r="I1212" s="124"/>
      <c r="J1212" s="124"/>
      <c r="K1212" s="124"/>
      <c r="L1212" s="124"/>
      <c r="M1212" s="124"/>
      <c r="N1212" s="124"/>
      <c r="O1212" s="124"/>
      <c r="P1212" s="124"/>
      <c r="Q1212" s="124"/>
      <c r="R1212" s="124"/>
      <c r="S1212" s="124"/>
      <c r="T1212" s="124"/>
      <c r="U1212" s="124"/>
      <c r="V1212" s="124"/>
      <c r="W1212" s="124"/>
      <c r="X1212" s="124"/>
      <c r="Y1212" s="124"/>
    </row>
    <row r="1213" spans="2:25" x14ac:dyDescent="0.25">
      <c r="B1213" s="124"/>
      <c r="C1213" s="124"/>
      <c r="D1213" s="124"/>
      <c r="E1213" s="124"/>
      <c r="F1213" s="124"/>
      <c r="G1213" s="124"/>
      <c r="H1213" s="124"/>
      <c r="I1213" s="124"/>
      <c r="J1213" s="124"/>
      <c r="K1213" s="124"/>
      <c r="L1213" s="124"/>
      <c r="M1213" s="124"/>
      <c r="N1213" s="124"/>
      <c r="O1213" s="124"/>
      <c r="P1213" s="124"/>
      <c r="Q1213" s="124"/>
      <c r="R1213" s="124"/>
      <c r="S1213" s="124"/>
      <c r="T1213" s="124"/>
      <c r="U1213" s="124"/>
      <c r="V1213" s="124"/>
      <c r="W1213" s="124"/>
      <c r="X1213" s="124"/>
      <c r="Y1213" s="124"/>
    </row>
    <row r="1214" spans="2:25" x14ac:dyDescent="0.25">
      <c r="B1214" s="124"/>
      <c r="C1214" s="124"/>
      <c r="D1214" s="124"/>
      <c r="E1214" s="124"/>
      <c r="F1214" s="124"/>
      <c r="G1214" s="124"/>
      <c r="H1214" s="124"/>
      <c r="I1214" s="124"/>
      <c r="J1214" s="124"/>
      <c r="K1214" s="124"/>
      <c r="L1214" s="124"/>
      <c r="M1214" s="124"/>
      <c r="N1214" s="124"/>
      <c r="O1214" s="124"/>
      <c r="P1214" s="124"/>
      <c r="Q1214" s="124"/>
      <c r="R1214" s="124"/>
      <c r="S1214" s="124"/>
      <c r="T1214" s="124"/>
      <c r="U1214" s="124"/>
      <c r="V1214" s="124"/>
      <c r="W1214" s="124"/>
      <c r="X1214" s="124"/>
      <c r="Y1214" s="124"/>
    </row>
    <row r="1215" spans="2:25" x14ac:dyDescent="0.25">
      <c r="B1215" s="124"/>
      <c r="C1215" s="124"/>
      <c r="D1215" s="124"/>
      <c r="E1215" s="124"/>
      <c r="F1215" s="124"/>
      <c r="G1215" s="124"/>
      <c r="H1215" s="124"/>
      <c r="I1215" s="124"/>
      <c r="J1215" s="124"/>
      <c r="K1215" s="124"/>
      <c r="L1215" s="124"/>
      <c r="M1215" s="124"/>
      <c r="N1215" s="124"/>
      <c r="O1215" s="124"/>
      <c r="P1215" s="124"/>
      <c r="Q1215" s="124"/>
      <c r="R1215" s="124"/>
      <c r="S1215" s="124"/>
      <c r="T1215" s="124"/>
      <c r="U1215" s="124"/>
      <c r="V1215" s="124"/>
      <c r="W1215" s="124"/>
      <c r="X1215" s="124"/>
      <c r="Y1215" s="124"/>
    </row>
    <row r="1216" spans="2:25" x14ac:dyDescent="0.25">
      <c r="B1216" s="124"/>
      <c r="C1216" s="124"/>
      <c r="D1216" s="124"/>
      <c r="E1216" s="124"/>
      <c r="F1216" s="124"/>
      <c r="G1216" s="124"/>
      <c r="H1216" s="124"/>
      <c r="I1216" s="124"/>
      <c r="J1216" s="124"/>
      <c r="K1216" s="124"/>
      <c r="L1216" s="124"/>
      <c r="M1216" s="124"/>
      <c r="N1216" s="124"/>
      <c r="O1216" s="124"/>
      <c r="P1216" s="124"/>
      <c r="Q1216" s="124"/>
      <c r="R1216" s="124"/>
      <c r="S1216" s="124"/>
      <c r="T1216" s="124"/>
      <c r="U1216" s="124"/>
      <c r="V1216" s="124"/>
      <c r="W1216" s="124"/>
      <c r="X1216" s="124"/>
      <c r="Y1216" s="124"/>
    </row>
    <row r="1217" spans="2:25" x14ac:dyDescent="0.25">
      <c r="B1217" s="124"/>
      <c r="C1217" s="124"/>
      <c r="D1217" s="124"/>
      <c r="E1217" s="124"/>
      <c r="F1217" s="124"/>
      <c r="G1217" s="124"/>
      <c r="H1217" s="124"/>
      <c r="I1217" s="124"/>
      <c r="J1217" s="124"/>
      <c r="K1217" s="124"/>
      <c r="L1217" s="124"/>
      <c r="M1217" s="124"/>
      <c r="N1217" s="124"/>
      <c r="O1217" s="124"/>
      <c r="P1217" s="124"/>
      <c r="Q1217" s="124"/>
      <c r="R1217" s="124"/>
      <c r="S1217" s="124"/>
      <c r="T1217" s="124"/>
      <c r="U1217" s="124"/>
      <c r="V1217" s="124"/>
      <c r="W1217" s="124"/>
      <c r="X1217" s="124"/>
      <c r="Y1217" s="124"/>
    </row>
    <row r="1218" spans="2:25" x14ac:dyDescent="0.25">
      <c r="B1218" s="124"/>
      <c r="C1218" s="124"/>
      <c r="D1218" s="124"/>
      <c r="E1218" s="124"/>
      <c r="F1218" s="124"/>
      <c r="G1218" s="124"/>
      <c r="H1218" s="124"/>
      <c r="I1218" s="124"/>
      <c r="J1218" s="124"/>
      <c r="K1218" s="124"/>
      <c r="L1218" s="124"/>
      <c r="M1218" s="124"/>
      <c r="N1218" s="124"/>
      <c r="O1218" s="124"/>
      <c r="P1218" s="124"/>
      <c r="Q1218" s="124"/>
      <c r="R1218" s="124"/>
      <c r="S1218" s="124"/>
      <c r="T1218" s="124"/>
      <c r="U1218" s="124"/>
      <c r="V1218" s="124"/>
      <c r="W1218" s="124"/>
      <c r="X1218" s="124"/>
      <c r="Y1218" s="124"/>
    </row>
    <row r="1219" spans="2:25" x14ac:dyDescent="0.25">
      <c r="B1219" s="124"/>
      <c r="C1219" s="124"/>
      <c r="D1219" s="124"/>
      <c r="E1219" s="124"/>
      <c r="F1219" s="124"/>
      <c r="G1219" s="124"/>
      <c r="H1219" s="124"/>
      <c r="I1219" s="124"/>
      <c r="J1219" s="124"/>
      <c r="K1219" s="124"/>
      <c r="L1219" s="124"/>
      <c r="M1219" s="124"/>
      <c r="N1219" s="124"/>
      <c r="O1219" s="124"/>
      <c r="P1219" s="124"/>
      <c r="Q1219" s="124"/>
      <c r="R1219" s="124"/>
      <c r="S1219" s="124"/>
      <c r="T1219" s="124"/>
      <c r="U1219" s="124"/>
      <c r="V1219" s="124"/>
      <c r="W1219" s="124"/>
      <c r="X1219" s="124"/>
      <c r="Y1219" s="124"/>
    </row>
    <row r="1220" spans="2:25" x14ac:dyDescent="0.25">
      <c r="B1220" s="124"/>
      <c r="C1220" s="124"/>
      <c r="D1220" s="124"/>
      <c r="E1220" s="124"/>
      <c r="F1220" s="124"/>
      <c r="G1220" s="124"/>
      <c r="H1220" s="124"/>
      <c r="I1220" s="124"/>
      <c r="J1220" s="124"/>
      <c r="K1220" s="124"/>
      <c r="L1220" s="124"/>
      <c r="M1220" s="124"/>
      <c r="N1220" s="124"/>
      <c r="O1220" s="124"/>
      <c r="P1220" s="124"/>
      <c r="Q1220" s="124"/>
      <c r="R1220" s="124"/>
      <c r="S1220" s="124"/>
      <c r="T1220" s="124"/>
      <c r="U1220" s="124"/>
      <c r="V1220" s="124"/>
      <c r="W1220" s="124"/>
      <c r="X1220" s="124"/>
      <c r="Y1220" s="124"/>
    </row>
    <row r="1221" spans="2:25" x14ac:dyDescent="0.25">
      <c r="B1221" s="124"/>
      <c r="C1221" s="124"/>
      <c r="D1221" s="124"/>
      <c r="E1221" s="124"/>
      <c r="F1221" s="124"/>
      <c r="G1221" s="124"/>
      <c r="H1221" s="124"/>
      <c r="I1221" s="124"/>
      <c r="J1221" s="124"/>
      <c r="K1221" s="124"/>
      <c r="L1221" s="124"/>
      <c r="M1221" s="124"/>
      <c r="N1221" s="124"/>
      <c r="O1221" s="124"/>
      <c r="P1221" s="124"/>
      <c r="Q1221" s="124"/>
      <c r="R1221" s="124"/>
      <c r="S1221" s="124"/>
      <c r="T1221" s="124"/>
      <c r="U1221" s="124"/>
      <c r="V1221" s="124"/>
      <c r="W1221" s="124"/>
      <c r="X1221" s="124"/>
      <c r="Y1221" s="124"/>
    </row>
    <row r="1222" spans="2:25" x14ac:dyDescent="0.25">
      <c r="B1222" s="124"/>
      <c r="C1222" s="124"/>
      <c r="D1222" s="124"/>
      <c r="E1222" s="124"/>
      <c r="F1222" s="124"/>
      <c r="G1222" s="124"/>
      <c r="H1222" s="124"/>
      <c r="I1222" s="124"/>
      <c r="J1222" s="124"/>
      <c r="K1222" s="124"/>
      <c r="L1222" s="124"/>
      <c r="M1222" s="124"/>
      <c r="N1222" s="124"/>
      <c r="O1222" s="124"/>
      <c r="P1222" s="124"/>
      <c r="Q1222" s="124"/>
      <c r="R1222" s="124"/>
      <c r="S1222" s="124"/>
      <c r="T1222" s="124"/>
      <c r="U1222" s="124"/>
      <c r="V1222" s="124"/>
      <c r="W1222" s="124"/>
      <c r="X1222" s="124"/>
      <c r="Y1222" s="124"/>
    </row>
    <row r="1223" spans="2:25" x14ac:dyDescent="0.25">
      <c r="B1223" s="124"/>
      <c r="C1223" s="124"/>
      <c r="D1223" s="124"/>
      <c r="E1223" s="124"/>
      <c r="F1223" s="124"/>
      <c r="G1223" s="124"/>
      <c r="H1223" s="124"/>
      <c r="I1223" s="124"/>
      <c r="J1223" s="124"/>
      <c r="K1223" s="124"/>
      <c r="L1223" s="124"/>
      <c r="M1223" s="124"/>
      <c r="N1223" s="124"/>
      <c r="O1223" s="124"/>
      <c r="P1223" s="124"/>
      <c r="Q1223" s="124"/>
      <c r="R1223" s="124"/>
      <c r="S1223" s="124"/>
      <c r="T1223" s="124"/>
      <c r="U1223" s="124"/>
      <c r="V1223" s="124"/>
      <c r="W1223" s="124"/>
      <c r="X1223" s="124"/>
      <c r="Y1223" s="124"/>
    </row>
    <row r="1224" spans="2:25" x14ac:dyDescent="0.25">
      <c r="B1224" s="124"/>
      <c r="C1224" s="124"/>
      <c r="D1224" s="124"/>
      <c r="E1224" s="124"/>
      <c r="F1224" s="124"/>
      <c r="G1224" s="124"/>
      <c r="H1224" s="124"/>
      <c r="I1224" s="124"/>
      <c r="J1224" s="124"/>
      <c r="K1224" s="124"/>
      <c r="L1224" s="124"/>
      <c r="M1224" s="124"/>
      <c r="N1224" s="124"/>
      <c r="O1224" s="124"/>
      <c r="P1224" s="124"/>
      <c r="Q1224" s="124"/>
      <c r="R1224" s="124"/>
      <c r="S1224" s="124"/>
      <c r="T1224" s="124"/>
      <c r="U1224" s="124"/>
      <c r="V1224" s="124"/>
      <c r="W1224" s="124"/>
      <c r="X1224" s="124"/>
      <c r="Y1224" s="124"/>
    </row>
    <row r="1225" spans="2:25" x14ac:dyDescent="0.25">
      <c r="B1225" s="124"/>
      <c r="C1225" s="124"/>
      <c r="D1225" s="124"/>
      <c r="E1225" s="124"/>
      <c r="F1225" s="124"/>
      <c r="G1225" s="124"/>
      <c r="H1225" s="124"/>
      <c r="I1225" s="124"/>
      <c r="J1225" s="124"/>
      <c r="K1225" s="124"/>
      <c r="L1225" s="124"/>
      <c r="M1225" s="124"/>
      <c r="N1225" s="124"/>
      <c r="O1225" s="124"/>
      <c r="P1225" s="124"/>
      <c r="Q1225" s="124"/>
      <c r="R1225" s="124"/>
      <c r="S1225" s="124"/>
      <c r="T1225" s="124"/>
      <c r="U1225" s="124"/>
      <c r="V1225" s="124"/>
      <c r="W1225" s="124"/>
      <c r="X1225" s="124"/>
      <c r="Y1225" s="124"/>
    </row>
    <row r="1226" spans="2:25" x14ac:dyDescent="0.25">
      <c r="B1226" s="124"/>
      <c r="C1226" s="124"/>
      <c r="D1226" s="124"/>
      <c r="E1226" s="124"/>
      <c r="F1226" s="124"/>
      <c r="G1226" s="124"/>
      <c r="H1226" s="124"/>
      <c r="I1226" s="124"/>
      <c r="J1226" s="124"/>
      <c r="K1226" s="124"/>
      <c r="L1226" s="124"/>
      <c r="M1226" s="124"/>
      <c r="N1226" s="124"/>
      <c r="O1226" s="124"/>
      <c r="P1226" s="124"/>
      <c r="Q1226" s="124"/>
      <c r="R1226" s="124"/>
      <c r="S1226" s="124"/>
      <c r="T1226" s="124"/>
      <c r="U1226" s="124"/>
      <c r="V1226" s="124"/>
      <c r="W1226" s="124"/>
      <c r="X1226" s="124"/>
      <c r="Y1226" s="124"/>
    </row>
    <row r="1227" spans="2:25" x14ac:dyDescent="0.25">
      <c r="B1227" s="124"/>
      <c r="C1227" s="124"/>
      <c r="D1227" s="124"/>
      <c r="E1227" s="124"/>
      <c r="F1227" s="124"/>
      <c r="G1227" s="124"/>
      <c r="H1227" s="124"/>
      <c r="I1227" s="124"/>
      <c r="J1227" s="124"/>
      <c r="K1227" s="124"/>
      <c r="L1227" s="124"/>
      <c r="M1227" s="124"/>
      <c r="N1227" s="124"/>
      <c r="O1227" s="124"/>
      <c r="P1227" s="124"/>
      <c r="Q1227" s="124"/>
      <c r="R1227" s="124"/>
      <c r="S1227" s="124"/>
      <c r="T1227" s="124"/>
      <c r="U1227" s="124"/>
      <c r="V1227" s="124"/>
      <c r="W1227" s="124"/>
      <c r="X1227" s="124"/>
      <c r="Y1227" s="124"/>
    </row>
    <row r="1228" spans="2:25" x14ac:dyDescent="0.25">
      <c r="B1228" s="124"/>
      <c r="C1228" s="124"/>
      <c r="D1228" s="124"/>
      <c r="E1228" s="124"/>
      <c r="F1228" s="124"/>
      <c r="G1228" s="124"/>
      <c r="H1228" s="124"/>
      <c r="I1228" s="124"/>
      <c r="J1228" s="124"/>
      <c r="K1228" s="124"/>
      <c r="L1228" s="124"/>
      <c r="M1228" s="124"/>
      <c r="N1228" s="124"/>
      <c r="O1228" s="124"/>
      <c r="P1228" s="124"/>
      <c r="Q1228" s="124"/>
      <c r="R1228" s="124"/>
      <c r="S1228" s="124"/>
      <c r="T1228" s="124"/>
      <c r="U1228" s="124"/>
      <c r="V1228" s="124"/>
      <c r="W1228" s="124"/>
      <c r="X1228" s="124"/>
      <c r="Y1228" s="124"/>
    </row>
    <row r="1229" spans="2:25" x14ac:dyDescent="0.25">
      <c r="B1229" s="124"/>
      <c r="C1229" s="124"/>
      <c r="D1229" s="124"/>
      <c r="E1229" s="124"/>
      <c r="F1229" s="124"/>
      <c r="G1229" s="124"/>
      <c r="H1229" s="124"/>
      <c r="I1229" s="124"/>
      <c r="J1229" s="124"/>
      <c r="K1229" s="124"/>
      <c r="L1229" s="124"/>
      <c r="M1229" s="124"/>
      <c r="N1229" s="124"/>
      <c r="O1229" s="124"/>
      <c r="P1229" s="124"/>
      <c r="Q1229" s="124"/>
      <c r="R1229" s="124"/>
      <c r="S1229" s="124"/>
      <c r="T1229" s="124"/>
      <c r="U1229" s="124"/>
      <c r="V1229" s="124"/>
      <c r="W1229" s="124"/>
      <c r="X1229" s="124"/>
      <c r="Y1229" s="124"/>
    </row>
    <row r="1230" spans="2:25" x14ac:dyDescent="0.25">
      <c r="B1230" s="124"/>
      <c r="C1230" s="124"/>
      <c r="D1230" s="124"/>
      <c r="E1230" s="124"/>
      <c r="F1230" s="124"/>
      <c r="G1230" s="124"/>
      <c r="H1230" s="124"/>
      <c r="I1230" s="124"/>
      <c r="J1230" s="124"/>
      <c r="K1230" s="124"/>
      <c r="L1230" s="124"/>
      <c r="M1230" s="124"/>
      <c r="N1230" s="124"/>
      <c r="O1230" s="124"/>
      <c r="P1230" s="124"/>
      <c r="Q1230" s="124"/>
      <c r="R1230" s="124"/>
      <c r="S1230" s="124"/>
      <c r="T1230" s="124"/>
      <c r="U1230" s="124"/>
      <c r="V1230" s="124"/>
      <c r="W1230" s="124"/>
      <c r="X1230" s="124"/>
      <c r="Y1230" s="124"/>
    </row>
    <row r="1231" spans="2:25" x14ac:dyDescent="0.25">
      <c r="B1231" s="124"/>
      <c r="C1231" s="124"/>
      <c r="D1231" s="124"/>
      <c r="E1231" s="124"/>
      <c r="F1231" s="124"/>
      <c r="G1231" s="124"/>
      <c r="H1231" s="124"/>
      <c r="I1231" s="124"/>
      <c r="J1231" s="124"/>
      <c r="K1231" s="124"/>
      <c r="L1231" s="124"/>
      <c r="M1231" s="124"/>
      <c r="N1231" s="124"/>
      <c r="O1231" s="124"/>
      <c r="P1231" s="124"/>
      <c r="Q1231" s="124"/>
      <c r="R1231" s="124"/>
      <c r="S1231" s="124"/>
      <c r="T1231" s="124"/>
      <c r="U1231" s="124"/>
      <c r="V1231" s="124"/>
      <c r="W1231" s="124"/>
      <c r="X1231" s="124"/>
      <c r="Y1231" s="124"/>
    </row>
    <row r="1232" spans="2:25" x14ac:dyDescent="0.25">
      <c r="B1232" s="124"/>
      <c r="C1232" s="124"/>
      <c r="D1232" s="124"/>
      <c r="E1232" s="124"/>
      <c r="F1232" s="124"/>
      <c r="G1232" s="124"/>
      <c r="H1232" s="124"/>
      <c r="I1232" s="124"/>
      <c r="J1232" s="124"/>
      <c r="K1232" s="124"/>
      <c r="L1232" s="124"/>
      <c r="M1232" s="124"/>
      <c r="N1232" s="124"/>
      <c r="O1232" s="124"/>
      <c r="P1232" s="124"/>
      <c r="Q1232" s="124"/>
      <c r="R1232" s="124"/>
      <c r="S1232" s="124"/>
      <c r="T1232" s="124"/>
      <c r="U1232" s="124"/>
      <c r="V1232" s="124"/>
      <c r="W1232" s="124"/>
      <c r="X1232" s="124"/>
      <c r="Y1232" s="124"/>
    </row>
    <row r="1233" spans="2:25" x14ac:dyDescent="0.25">
      <c r="B1233" s="124"/>
      <c r="C1233" s="124"/>
      <c r="D1233" s="124"/>
      <c r="E1233" s="124"/>
      <c r="F1233" s="124"/>
      <c r="G1233" s="124"/>
      <c r="H1233" s="124"/>
      <c r="I1233" s="124"/>
      <c r="J1233" s="124"/>
      <c r="K1233" s="124"/>
      <c r="L1233" s="124"/>
      <c r="M1233" s="124"/>
      <c r="N1233" s="124"/>
      <c r="O1233" s="124"/>
      <c r="P1233" s="124"/>
      <c r="Q1233" s="124"/>
      <c r="R1233" s="124"/>
      <c r="S1233" s="124"/>
      <c r="T1233" s="124"/>
      <c r="U1233" s="124"/>
      <c r="V1233" s="124"/>
      <c r="W1233" s="124"/>
      <c r="X1233" s="124"/>
      <c r="Y1233" s="124"/>
    </row>
    <row r="1234" spans="2:25" x14ac:dyDescent="0.25">
      <c r="B1234" s="124"/>
      <c r="C1234" s="124"/>
      <c r="D1234" s="124"/>
      <c r="E1234" s="124"/>
      <c r="F1234" s="124"/>
      <c r="G1234" s="124"/>
      <c r="H1234" s="124"/>
      <c r="I1234" s="124"/>
      <c r="J1234" s="124"/>
      <c r="K1234" s="124"/>
      <c r="L1234" s="124"/>
      <c r="M1234" s="124"/>
      <c r="N1234" s="124"/>
      <c r="O1234" s="124"/>
      <c r="P1234" s="124"/>
      <c r="Q1234" s="124"/>
      <c r="R1234" s="124"/>
      <c r="S1234" s="124"/>
      <c r="T1234" s="124"/>
      <c r="U1234" s="124"/>
      <c r="V1234" s="124"/>
      <c r="W1234" s="124"/>
      <c r="X1234" s="124"/>
      <c r="Y1234" s="124"/>
    </row>
    <row r="1235" spans="2:25" x14ac:dyDescent="0.25">
      <c r="B1235" s="124"/>
      <c r="C1235" s="124"/>
      <c r="D1235" s="124"/>
      <c r="E1235" s="124"/>
      <c r="F1235" s="124"/>
      <c r="G1235" s="124"/>
      <c r="H1235" s="124"/>
      <c r="I1235" s="124"/>
      <c r="J1235" s="124"/>
      <c r="K1235" s="124"/>
      <c r="L1235" s="124"/>
      <c r="M1235" s="124"/>
      <c r="N1235" s="124"/>
      <c r="O1235" s="124"/>
      <c r="P1235" s="124"/>
      <c r="Q1235" s="124"/>
      <c r="R1235" s="124"/>
      <c r="S1235" s="124"/>
      <c r="T1235" s="124"/>
      <c r="U1235" s="124"/>
      <c r="V1235" s="124"/>
      <c r="W1235" s="124"/>
      <c r="X1235" s="124"/>
      <c r="Y1235" s="124"/>
    </row>
    <row r="1236" spans="2:25" x14ac:dyDescent="0.25">
      <c r="B1236" s="124"/>
      <c r="C1236" s="124"/>
      <c r="D1236" s="124"/>
      <c r="E1236" s="124"/>
      <c r="F1236" s="124"/>
      <c r="G1236" s="124"/>
      <c r="H1236" s="124"/>
      <c r="I1236" s="124"/>
      <c r="J1236" s="124"/>
      <c r="K1236" s="124"/>
      <c r="L1236" s="124"/>
      <c r="M1236" s="124"/>
      <c r="N1236" s="124"/>
      <c r="O1236" s="124"/>
      <c r="P1236" s="124"/>
      <c r="Q1236" s="124"/>
      <c r="R1236" s="124"/>
      <c r="S1236" s="124"/>
      <c r="T1236" s="124"/>
      <c r="U1236" s="124"/>
      <c r="V1236" s="124"/>
      <c r="W1236" s="124"/>
      <c r="X1236" s="124"/>
      <c r="Y1236" s="124"/>
    </row>
    <row r="1237" spans="2:25" x14ac:dyDescent="0.25">
      <c r="B1237" s="124"/>
      <c r="C1237" s="124"/>
      <c r="D1237" s="124"/>
      <c r="E1237" s="124"/>
      <c r="F1237" s="124"/>
      <c r="G1237" s="124"/>
      <c r="H1237" s="124"/>
      <c r="I1237" s="124"/>
      <c r="J1237" s="124"/>
      <c r="K1237" s="124"/>
      <c r="L1237" s="124"/>
      <c r="M1237" s="124"/>
      <c r="N1237" s="124"/>
      <c r="O1237" s="124"/>
      <c r="P1237" s="124"/>
      <c r="Q1237" s="124"/>
      <c r="R1237" s="124"/>
      <c r="S1237" s="124"/>
      <c r="T1237" s="124"/>
      <c r="U1237" s="124"/>
      <c r="V1237" s="124"/>
      <c r="W1237" s="124"/>
      <c r="X1237" s="124"/>
      <c r="Y1237" s="124"/>
    </row>
    <row r="1238" spans="2:25" x14ac:dyDescent="0.25">
      <c r="B1238" s="124"/>
      <c r="C1238" s="124"/>
      <c r="D1238" s="124"/>
      <c r="E1238" s="124"/>
      <c r="F1238" s="124"/>
      <c r="G1238" s="124"/>
      <c r="H1238" s="124"/>
      <c r="I1238" s="124"/>
      <c r="J1238" s="124"/>
      <c r="K1238" s="124"/>
      <c r="L1238" s="124"/>
      <c r="M1238" s="124"/>
      <c r="N1238" s="124"/>
      <c r="O1238" s="124"/>
      <c r="P1238" s="124"/>
      <c r="Q1238" s="124"/>
      <c r="R1238" s="124"/>
      <c r="S1238" s="124"/>
      <c r="T1238" s="124"/>
      <c r="U1238" s="124"/>
      <c r="V1238" s="124"/>
      <c r="W1238" s="124"/>
      <c r="X1238" s="124"/>
      <c r="Y1238" s="124"/>
    </row>
    <row r="1239" spans="2:25" x14ac:dyDescent="0.25">
      <c r="B1239" s="124"/>
      <c r="C1239" s="124"/>
      <c r="D1239" s="124"/>
      <c r="E1239" s="124"/>
      <c r="F1239" s="124"/>
      <c r="G1239" s="124"/>
      <c r="H1239" s="124"/>
      <c r="I1239" s="124"/>
      <c r="J1239" s="124"/>
      <c r="K1239" s="124"/>
      <c r="L1239" s="124"/>
      <c r="M1239" s="124"/>
      <c r="N1239" s="124"/>
      <c r="O1239" s="124"/>
      <c r="P1239" s="124"/>
      <c r="Q1239" s="124"/>
      <c r="R1239" s="124"/>
      <c r="S1239" s="124"/>
      <c r="T1239" s="124"/>
      <c r="U1239" s="124"/>
      <c r="V1239" s="124"/>
      <c r="W1239" s="124"/>
      <c r="X1239" s="124"/>
      <c r="Y1239" s="124"/>
    </row>
    <row r="1240" spans="2:25" x14ac:dyDescent="0.25">
      <c r="B1240" s="124"/>
      <c r="C1240" s="124"/>
      <c r="D1240" s="124"/>
      <c r="E1240" s="124"/>
      <c r="F1240" s="124"/>
      <c r="G1240" s="124"/>
      <c r="H1240" s="124"/>
      <c r="I1240" s="124"/>
      <c r="J1240" s="124"/>
      <c r="K1240" s="124"/>
      <c r="L1240" s="124"/>
      <c r="M1240" s="124"/>
      <c r="N1240" s="124"/>
      <c r="O1240" s="124"/>
      <c r="P1240" s="124"/>
      <c r="Q1240" s="124"/>
      <c r="R1240" s="124"/>
      <c r="S1240" s="124"/>
      <c r="T1240" s="124"/>
      <c r="U1240" s="124"/>
      <c r="V1240" s="124"/>
      <c r="W1240" s="124"/>
      <c r="X1240" s="124"/>
      <c r="Y1240" s="124"/>
    </row>
    <row r="1241" spans="2:25" x14ac:dyDescent="0.25">
      <c r="B1241" s="124"/>
      <c r="C1241" s="124"/>
      <c r="D1241" s="124"/>
      <c r="E1241" s="124"/>
      <c r="F1241" s="124"/>
      <c r="G1241" s="124"/>
      <c r="H1241" s="124"/>
      <c r="I1241" s="124"/>
      <c r="J1241" s="124"/>
      <c r="K1241" s="124"/>
      <c r="L1241" s="124"/>
      <c r="M1241" s="124"/>
      <c r="N1241" s="124"/>
      <c r="O1241" s="124"/>
      <c r="P1241" s="124"/>
      <c r="Q1241" s="124"/>
      <c r="R1241" s="124"/>
      <c r="S1241" s="124"/>
      <c r="T1241" s="124"/>
      <c r="U1241" s="124"/>
      <c r="V1241" s="124"/>
      <c r="W1241" s="124"/>
      <c r="X1241" s="124"/>
      <c r="Y1241" s="124"/>
    </row>
    <row r="1242" spans="2:25" x14ac:dyDescent="0.25">
      <c r="B1242" s="124"/>
      <c r="C1242" s="124"/>
      <c r="D1242" s="124"/>
      <c r="E1242" s="124"/>
      <c r="F1242" s="124"/>
      <c r="G1242" s="124"/>
      <c r="H1242" s="124"/>
      <c r="I1242" s="124"/>
      <c r="J1242" s="124"/>
      <c r="K1242" s="124"/>
      <c r="L1242" s="124"/>
      <c r="M1242" s="124"/>
      <c r="N1242" s="124"/>
      <c r="O1242" s="124"/>
      <c r="P1242" s="124"/>
      <c r="Q1242" s="124"/>
      <c r="R1242" s="124"/>
      <c r="S1242" s="124"/>
      <c r="T1242" s="124"/>
      <c r="U1242" s="124"/>
      <c r="V1242" s="124"/>
      <c r="W1242" s="124"/>
      <c r="X1242" s="124"/>
      <c r="Y1242" s="124"/>
    </row>
    <row r="1243" spans="2:25" x14ac:dyDescent="0.25">
      <c r="B1243" s="124"/>
      <c r="C1243" s="124"/>
      <c r="D1243" s="124"/>
      <c r="E1243" s="124"/>
      <c r="F1243" s="124"/>
      <c r="G1243" s="124"/>
      <c r="H1243" s="124"/>
      <c r="I1243" s="124"/>
      <c r="J1243" s="124"/>
      <c r="K1243" s="124"/>
      <c r="L1243" s="124"/>
      <c r="M1243" s="124"/>
      <c r="N1243" s="124"/>
      <c r="O1243" s="124"/>
      <c r="P1243" s="124"/>
      <c r="Q1243" s="124"/>
      <c r="R1243" s="124"/>
      <c r="S1243" s="124"/>
      <c r="T1243" s="124"/>
      <c r="U1243" s="124"/>
      <c r="V1243" s="124"/>
      <c r="W1243" s="124"/>
      <c r="X1243" s="124"/>
      <c r="Y1243" s="124"/>
    </row>
    <row r="1244" spans="2:25" x14ac:dyDescent="0.25">
      <c r="B1244" s="124"/>
      <c r="C1244" s="124"/>
      <c r="D1244" s="124"/>
      <c r="E1244" s="124"/>
      <c r="F1244" s="124"/>
      <c r="G1244" s="124"/>
      <c r="H1244" s="124"/>
      <c r="I1244" s="124"/>
      <c r="J1244" s="124"/>
      <c r="K1244" s="124"/>
      <c r="L1244" s="124"/>
      <c r="M1244" s="124"/>
      <c r="N1244" s="124"/>
      <c r="O1244" s="124"/>
      <c r="P1244" s="124"/>
      <c r="Q1244" s="124"/>
      <c r="R1244" s="124"/>
      <c r="S1244" s="124"/>
      <c r="T1244" s="124"/>
      <c r="U1244" s="124"/>
      <c r="V1244" s="124"/>
      <c r="W1244" s="124"/>
      <c r="X1244" s="124"/>
      <c r="Y1244" s="124"/>
    </row>
    <row r="1245" spans="2:25" x14ac:dyDescent="0.25">
      <c r="B1245" s="124"/>
      <c r="C1245" s="124"/>
      <c r="D1245" s="124"/>
      <c r="E1245" s="124"/>
      <c r="F1245" s="124"/>
      <c r="G1245" s="124"/>
      <c r="H1245" s="124"/>
      <c r="I1245" s="124"/>
      <c r="J1245" s="124"/>
      <c r="K1245" s="124"/>
      <c r="L1245" s="124"/>
      <c r="M1245" s="124"/>
      <c r="N1245" s="124"/>
      <c r="O1245" s="124"/>
      <c r="P1245" s="124"/>
      <c r="Q1245" s="124"/>
      <c r="R1245" s="124"/>
      <c r="S1245" s="124"/>
      <c r="T1245" s="124"/>
      <c r="U1245" s="124"/>
      <c r="V1245" s="124"/>
      <c r="W1245" s="124"/>
      <c r="X1245" s="124"/>
      <c r="Y1245" s="124"/>
    </row>
    <row r="1246" spans="2:25" x14ac:dyDescent="0.25">
      <c r="B1246" s="124"/>
      <c r="C1246" s="124"/>
      <c r="D1246" s="124"/>
      <c r="E1246" s="124"/>
      <c r="F1246" s="124"/>
      <c r="G1246" s="124"/>
      <c r="H1246" s="124"/>
      <c r="I1246" s="124"/>
      <c r="J1246" s="124"/>
      <c r="K1246" s="124"/>
      <c r="L1246" s="124"/>
      <c r="M1246" s="124"/>
      <c r="N1246" s="124"/>
      <c r="O1246" s="124"/>
      <c r="P1246" s="124"/>
      <c r="Q1246" s="124"/>
      <c r="R1246" s="124"/>
      <c r="S1246" s="124"/>
      <c r="T1246" s="124"/>
      <c r="U1246" s="124"/>
      <c r="V1246" s="124"/>
      <c r="W1246" s="124"/>
      <c r="X1246" s="124"/>
      <c r="Y1246" s="124"/>
    </row>
    <row r="1247" spans="2:25" x14ac:dyDescent="0.25">
      <c r="B1247" s="124"/>
      <c r="C1247" s="124"/>
      <c r="D1247" s="124"/>
      <c r="E1247" s="124"/>
      <c r="F1247" s="124"/>
      <c r="G1247" s="124"/>
      <c r="H1247" s="124"/>
      <c r="I1247" s="124"/>
      <c r="J1247" s="124"/>
      <c r="K1247" s="124"/>
      <c r="L1247" s="124"/>
      <c r="M1247" s="124"/>
      <c r="N1247" s="124"/>
      <c r="O1247" s="124"/>
      <c r="P1247" s="124"/>
      <c r="Q1247" s="124"/>
      <c r="R1247" s="124"/>
      <c r="S1247" s="124"/>
      <c r="T1247" s="124"/>
      <c r="U1247" s="124"/>
      <c r="V1247" s="124"/>
      <c r="W1247" s="124"/>
      <c r="X1247" s="124"/>
      <c r="Y1247" s="124"/>
    </row>
    <row r="1248" spans="2:25" x14ac:dyDescent="0.25">
      <c r="B1248" s="124"/>
      <c r="C1248" s="124"/>
      <c r="D1248" s="124"/>
      <c r="E1248" s="124"/>
      <c r="F1248" s="124"/>
      <c r="G1248" s="124"/>
      <c r="H1248" s="124"/>
      <c r="I1248" s="124"/>
      <c r="J1248" s="124"/>
      <c r="K1248" s="124"/>
      <c r="L1248" s="124"/>
      <c r="M1248" s="124"/>
      <c r="N1248" s="124"/>
      <c r="O1248" s="124"/>
      <c r="P1248" s="124"/>
      <c r="Q1248" s="124"/>
      <c r="R1248" s="124"/>
      <c r="S1248" s="124"/>
      <c r="T1248" s="124"/>
      <c r="U1248" s="124"/>
      <c r="V1248" s="124"/>
      <c r="W1248" s="124"/>
      <c r="X1248" s="124"/>
      <c r="Y1248" s="124"/>
    </row>
    <row r="1249" spans="2:25" x14ac:dyDescent="0.25">
      <c r="B1249" s="124"/>
      <c r="C1249" s="124"/>
      <c r="D1249" s="124"/>
      <c r="E1249" s="124"/>
      <c r="F1249" s="124"/>
      <c r="G1249" s="124"/>
      <c r="H1249" s="124"/>
      <c r="I1249" s="124"/>
      <c r="J1249" s="124"/>
      <c r="K1249" s="124"/>
      <c r="L1249" s="124"/>
      <c r="M1249" s="124"/>
      <c r="N1249" s="124"/>
      <c r="O1249" s="124"/>
      <c r="P1249" s="124"/>
      <c r="Q1249" s="124"/>
      <c r="R1249" s="124"/>
      <c r="S1249" s="124"/>
      <c r="T1249" s="124"/>
      <c r="U1249" s="124"/>
      <c r="V1249" s="124"/>
      <c r="W1249" s="124"/>
      <c r="X1249" s="124"/>
      <c r="Y1249" s="124"/>
    </row>
    <row r="1250" spans="2:25" x14ac:dyDescent="0.25">
      <c r="B1250" s="124"/>
      <c r="C1250" s="124"/>
      <c r="D1250" s="124"/>
      <c r="E1250" s="124"/>
      <c r="F1250" s="124"/>
      <c r="G1250" s="124"/>
      <c r="H1250" s="124"/>
      <c r="I1250" s="124"/>
      <c r="J1250" s="124"/>
      <c r="K1250" s="124"/>
      <c r="L1250" s="124"/>
      <c r="M1250" s="124"/>
      <c r="N1250" s="124"/>
      <c r="O1250" s="124"/>
      <c r="P1250" s="124"/>
      <c r="Q1250" s="124"/>
      <c r="R1250" s="124"/>
      <c r="S1250" s="124"/>
      <c r="T1250" s="124"/>
      <c r="U1250" s="124"/>
      <c r="V1250" s="124"/>
      <c r="W1250" s="124"/>
      <c r="X1250" s="124"/>
      <c r="Y1250" s="124"/>
    </row>
    <row r="1251" spans="2:25" x14ac:dyDescent="0.25">
      <c r="B1251" s="124"/>
      <c r="C1251" s="124"/>
      <c r="D1251" s="124"/>
      <c r="E1251" s="124"/>
      <c r="F1251" s="124"/>
      <c r="G1251" s="124"/>
      <c r="H1251" s="124"/>
      <c r="I1251" s="124"/>
      <c r="J1251" s="124"/>
      <c r="K1251" s="124"/>
      <c r="L1251" s="124"/>
      <c r="M1251" s="124"/>
      <c r="N1251" s="124"/>
      <c r="O1251" s="124"/>
      <c r="P1251" s="124"/>
      <c r="Q1251" s="124"/>
      <c r="R1251" s="124"/>
      <c r="S1251" s="124"/>
      <c r="T1251" s="124"/>
      <c r="U1251" s="124"/>
      <c r="V1251" s="124"/>
      <c r="W1251" s="124"/>
      <c r="X1251" s="124"/>
      <c r="Y1251" s="124"/>
    </row>
    <row r="1252" spans="2:25" x14ac:dyDescent="0.25">
      <c r="B1252" s="124"/>
      <c r="C1252" s="124"/>
      <c r="D1252" s="124"/>
      <c r="E1252" s="124"/>
      <c r="F1252" s="124"/>
      <c r="G1252" s="124"/>
      <c r="H1252" s="124"/>
      <c r="I1252" s="124"/>
      <c r="J1252" s="124"/>
      <c r="K1252" s="124"/>
      <c r="L1252" s="124"/>
      <c r="M1252" s="124"/>
      <c r="N1252" s="124"/>
      <c r="O1252" s="124"/>
      <c r="P1252" s="124"/>
      <c r="Q1252" s="124"/>
      <c r="R1252" s="124"/>
      <c r="S1252" s="124"/>
      <c r="T1252" s="124"/>
      <c r="U1252" s="124"/>
      <c r="V1252" s="124"/>
      <c r="W1252" s="124"/>
      <c r="X1252" s="124"/>
      <c r="Y1252" s="124"/>
    </row>
    <row r="1253" spans="2:25" x14ac:dyDescent="0.25">
      <c r="B1253" s="124"/>
      <c r="C1253" s="124"/>
      <c r="D1253" s="124"/>
      <c r="E1253" s="124"/>
      <c r="F1253" s="124"/>
      <c r="G1253" s="124"/>
      <c r="H1253" s="124"/>
      <c r="I1253" s="124"/>
      <c r="J1253" s="124"/>
      <c r="K1253" s="124"/>
      <c r="L1253" s="124"/>
      <c r="M1253" s="124"/>
      <c r="N1253" s="124"/>
      <c r="O1253" s="124"/>
      <c r="P1253" s="124"/>
      <c r="Q1253" s="124"/>
      <c r="R1253" s="124"/>
      <c r="S1253" s="124"/>
      <c r="T1253" s="124"/>
      <c r="U1253" s="124"/>
      <c r="V1253" s="124"/>
      <c r="W1253" s="124"/>
      <c r="X1253" s="124"/>
      <c r="Y1253" s="124"/>
    </row>
    <row r="1254" spans="2:25" x14ac:dyDescent="0.25">
      <c r="B1254" s="124"/>
      <c r="C1254" s="124"/>
      <c r="D1254" s="124"/>
      <c r="E1254" s="124"/>
      <c r="F1254" s="124"/>
      <c r="G1254" s="124"/>
      <c r="H1254" s="124"/>
      <c r="I1254" s="124"/>
      <c r="J1254" s="124"/>
      <c r="K1254" s="124"/>
      <c r="L1254" s="124"/>
      <c r="M1254" s="124"/>
      <c r="N1254" s="124"/>
      <c r="O1254" s="124"/>
      <c r="P1254" s="124"/>
      <c r="Q1254" s="124"/>
      <c r="R1254" s="124"/>
      <c r="S1254" s="124"/>
      <c r="T1254" s="124"/>
      <c r="U1254" s="124"/>
      <c r="V1254" s="124"/>
      <c r="W1254" s="124"/>
      <c r="X1254" s="124"/>
      <c r="Y1254" s="124"/>
    </row>
    <row r="1255" spans="2:25" x14ac:dyDescent="0.25">
      <c r="B1255" s="124"/>
      <c r="C1255" s="124"/>
      <c r="D1255" s="124"/>
      <c r="E1255" s="124"/>
      <c r="F1255" s="124"/>
      <c r="G1255" s="124"/>
      <c r="H1255" s="124"/>
      <c r="I1255" s="124"/>
      <c r="J1255" s="124"/>
      <c r="K1255" s="124"/>
      <c r="L1255" s="124"/>
      <c r="M1255" s="124"/>
      <c r="N1255" s="124"/>
      <c r="O1255" s="124"/>
      <c r="P1255" s="124"/>
      <c r="Q1255" s="124"/>
      <c r="R1255" s="124"/>
      <c r="S1255" s="124"/>
      <c r="T1255" s="124"/>
      <c r="U1255" s="124"/>
      <c r="V1255" s="124"/>
      <c r="W1255" s="124"/>
      <c r="X1255" s="124"/>
      <c r="Y1255" s="124"/>
    </row>
    <row r="1256" spans="2:25" x14ac:dyDescent="0.25">
      <c r="B1256" s="124"/>
      <c r="C1256" s="124"/>
      <c r="D1256" s="124"/>
      <c r="E1256" s="124"/>
      <c r="F1256" s="124"/>
      <c r="G1256" s="124"/>
      <c r="H1256" s="124"/>
      <c r="I1256" s="124"/>
      <c r="J1256" s="124"/>
      <c r="K1256" s="124"/>
      <c r="L1256" s="124"/>
      <c r="M1256" s="124"/>
      <c r="N1256" s="124"/>
      <c r="O1256" s="124"/>
      <c r="P1256" s="124"/>
      <c r="Q1256" s="124"/>
      <c r="R1256" s="124"/>
      <c r="S1256" s="124"/>
      <c r="T1256" s="124"/>
      <c r="U1256" s="124"/>
      <c r="V1256" s="124"/>
      <c r="W1256" s="124"/>
      <c r="X1256" s="124"/>
      <c r="Y1256" s="124"/>
    </row>
    <row r="1257" spans="2:25" x14ac:dyDescent="0.25">
      <c r="B1257" s="124"/>
      <c r="C1257" s="124"/>
      <c r="D1257" s="124"/>
      <c r="E1257" s="124"/>
      <c r="F1257" s="124"/>
      <c r="G1257" s="124"/>
      <c r="H1257" s="124"/>
      <c r="I1257" s="124"/>
      <c r="J1257" s="124"/>
      <c r="K1257" s="124"/>
      <c r="L1257" s="124"/>
      <c r="M1257" s="124"/>
      <c r="N1257" s="124"/>
      <c r="O1257" s="124"/>
      <c r="P1257" s="124"/>
      <c r="Q1257" s="124"/>
      <c r="R1257" s="124"/>
      <c r="S1257" s="124"/>
      <c r="T1257" s="124"/>
      <c r="U1257" s="124"/>
      <c r="V1257" s="124"/>
      <c r="W1257" s="124"/>
      <c r="X1257" s="124"/>
      <c r="Y1257" s="124"/>
    </row>
    <row r="1258" spans="2:25" x14ac:dyDescent="0.25">
      <c r="B1258" s="124"/>
      <c r="C1258" s="124"/>
      <c r="D1258" s="124"/>
      <c r="E1258" s="124"/>
      <c r="F1258" s="124"/>
      <c r="G1258" s="124"/>
      <c r="H1258" s="124"/>
      <c r="I1258" s="124"/>
      <c r="J1258" s="124"/>
      <c r="K1258" s="124"/>
      <c r="L1258" s="124"/>
      <c r="M1258" s="124"/>
      <c r="N1258" s="124"/>
      <c r="O1258" s="124"/>
      <c r="P1258" s="124"/>
      <c r="Q1258" s="124"/>
      <c r="R1258" s="124"/>
      <c r="S1258" s="124"/>
      <c r="T1258" s="124"/>
      <c r="U1258" s="124"/>
      <c r="V1258" s="124"/>
      <c r="W1258" s="124"/>
      <c r="X1258" s="124"/>
      <c r="Y1258" s="124"/>
    </row>
    <row r="1259" spans="2:25" x14ac:dyDescent="0.25">
      <c r="B1259" s="124"/>
      <c r="C1259" s="124"/>
      <c r="D1259" s="124"/>
      <c r="E1259" s="124"/>
      <c r="F1259" s="124"/>
      <c r="G1259" s="124"/>
      <c r="H1259" s="124"/>
      <c r="I1259" s="124"/>
      <c r="J1259" s="124"/>
      <c r="K1259" s="124"/>
      <c r="L1259" s="124"/>
      <c r="M1259" s="124"/>
      <c r="N1259" s="124"/>
      <c r="O1259" s="124"/>
      <c r="P1259" s="124"/>
      <c r="Q1259" s="124"/>
      <c r="R1259" s="124"/>
      <c r="S1259" s="124"/>
      <c r="T1259" s="124"/>
      <c r="U1259" s="124"/>
      <c r="V1259" s="124"/>
      <c r="W1259" s="124"/>
      <c r="X1259" s="124"/>
      <c r="Y1259" s="124"/>
    </row>
    <row r="1260" spans="2:25" x14ac:dyDescent="0.25">
      <c r="B1260" s="124"/>
      <c r="C1260" s="124"/>
      <c r="D1260" s="124"/>
      <c r="E1260" s="124"/>
      <c r="F1260" s="124"/>
      <c r="G1260" s="124"/>
      <c r="H1260" s="124"/>
      <c r="I1260" s="124"/>
      <c r="J1260" s="124"/>
      <c r="K1260" s="124"/>
      <c r="L1260" s="124"/>
      <c r="M1260" s="124"/>
      <c r="N1260" s="124"/>
      <c r="O1260" s="124"/>
      <c r="P1260" s="124"/>
      <c r="Q1260" s="124"/>
      <c r="R1260" s="124"/>
      <c r="S1260" s="124"/>
      <c r="T1260" s="124"/>
      <c r="U1260" s="124"/>
      <c r="V1260" s="124"/>
      <c r="W1260" s="124"/>
      <c r="X1260" s="124"/>
      <c r="Y1260" s="124"/>
    </row>
    <row r="1261" spans="2:25" x14ac:dyDescent="0.25">
      <c r="B1261" s="124"/>
      <c r="C1261" s="124"/>
      <c r="D1261" s="124"/>
      <c r="E1261" s="124"/>
      <c r="F1261" s="124"/>
      <c r="G1261" s="124"/>
      <c r="H1261" s="124"/>
      <c r="I1261" s="124"/>
      <c r="J1261" s="124"/>
      <c r="K1261" s="124"/>
      <c r="L1261" s="124"/>
      <c r="M1261" s="124"/>
      <c r="N1261" s="124"/>
      <c r="O1261" s="124"/>
      <c r="P1261" s="124"/>
      <c r="Q1261" s="124"/>
      <c r="R1261" s="124"/>
      <c r="S1261" s="124"/>
      <c r="T1261" s="124"/>
      <c r="U1261" s="124"/>
      <c r="V1261" s="124"/>
      <c r="W1261" s="124"/>
      <c r="X1261" s="124"/>
      <c r="Y1261" s="124"/>
    </row>
    <row r="1262" spans="2:25" x14ac:dyDescent="0.25">
      <c r="B1262" s="124"/>
      <c r="C1262" s="124"/>
      <c r="D1262" s="124"/>
      <c r="E1262" s="124"/>
      <c r="F1262" s="124"/>
      <c r="G1262" s="124"/>
      <c r="H1262" s="124"/>
      <c r="I1262" s="124"/>
      <c r="J1262" s="124"/>
      <c r="K1262" s="124"/>
      <c r="L1262" s="124"/>
      <c r="M1262" s="124"/>
      <c r="N1262" s="124"/>
      <c r="O1262" s="124"/>
      <c r="P1262" s="124"/>
      <c r="Q1262" s="124"/>
      <c r="R1262" s="124"/>
      <c r="S1262" s="124"/>
      <c r="T1262" s="124"/>
      <c r="U1262" s="124"/>
      <c r="V1262" s="124"/>
      <c r="W1262" s="124"/>
      <c r="X1262" s="124"/>
      <c r="Y1262" s="124"/>
    </row>
    <row r="1263" spans="2:25" x14ac:dyDescent="0.25">
      <c r="B1263" s="124"/>
      <c r="C1263" s="124"/>
      <c r="D1263" s="124"/>
      <c r="E1263" s="124"/>
      <c r="F1263" s="124"/>
      <c r="G1263" s="124"/>
      <c r="H1263" s="124"/>
      <c r="I1263" s="124"/>
      <c r="J1263" s="124"/>
      <c r="K1263" s="124"/>
      <c r="L1263" s="124"/>
      <c r="M1263" s="124"/>
      <c r="N1263" s="124"/>
      <c r="O1263" s="124"/>
      <c r="P1263" s="124"/>
      <c r="Q1263" s="124"/>
      <c r="R1263" s="124"/>
      <c r="S1263" s="124"/>
      <c r="T1263" s="124"/>
      <c r="U1263" s="124"/>
      <c r="V1263" s="124"/>
      <c r="W1263" s="124"/>
      <c r="X1263" s="124"/>
      <c r="Y1263" s="124"/>
    </row>
    <row r="1264" spans="2:25" x14ac:dyDescent="0.25">
      <c r="B1264" s="124"/>
      <c r="C1264" s="124"/>
      <c r="D1264" s="124"/>
      <c r="E1264" s="124"/>
      <c r="F1264" s="124"/>
      <c r="G1264" s="124"/>
      <c r="H1264" s="124"/>
      <c r="I1264" s="124"/>
      <c r="J1264" s="124"/>
      <c r="K1264" s="124"/>
      <c r="L1264" s="124"/>
      <c r="M1264" s="124"/>
      <c r="N1264" s="124"/>
      <c r="O1264" s="124"/>
      <c r="P1264" s="124"/>
      <c r="Q1264" s="124"/>
      <c r="R1264" s="124"/>
      <c r="S1264" s="124"/>
      <c r="T1264" s="124"/>
      <c r="U1264" s="124"/>
      <c r="V1264" s="124"/>
      <c r="W1264" s="124"/>
      <c r="X1264" s="124"/>
      <c r="Y1264" s="124"/>
    </row>
    <row r="1265" spans="2:25" x14ac:dyDescent="0.25">
      <c r="B1265" s="124"/>
      <c r="C1265" s="124"/>
      <c r="D1265" s="124"/>
      <c r="E1265" s="124"/>
      <c r="F1265" s="124"/>
      <c r="G1265" s="124"/>
      <c r="H1265" s="124"/>
      <c r="I1265" s="124"/>
      <c r="J1265" s="124"/>
      <c r="K1265" s="124"/>
      <c r="L1265" s="124"/>
      <c r="M1265" s="124"/>
      <c r="N1265" s="124"/>
      <c r="O1265" s="124"/>
      <c r="P1265" s="124"/>
      <c r="Q1265" s="124"/>
      <c r="R1265" s="124"/>
      <c r="S1265" s="124"/>
      <c r="T1265" s="124"/>
      <c r="U1265" s="124"/>
      <c r="V1265" s="124"/>
      <c r="W1265" s="124"/>
      <c r="X1265" s="124"/>
      <c r="Y1265" s="124"/>
    </row>
    <row r="1266" spans="2:25" x14ac:dyDescent="0.25">
      <c r="B1266" s="124"/>
      <c r="C1266" s="124"/>
      <c r="D1266" s="124"/>
      <c r="E1266" s="124"/>
      <c r="F1266" s="124"/>
      <c r="G1266" s="124"/>
      <c r="H1266" s="124"/>
      <c r="I1266" s="124"/>
      <c r="J1266" s="124"/>
      <c r="K1266" s="124"/>
      <c r="L1266" s="124"/>
      <c r="M1266" s="124"/>
      <c r="N1266" s="124"/>
      <c r="O1266" s="124"/>
      <c r="P1266" s="124"/>
      <c r="Q1266" s="124"/>
      <c r="R1266" s="124"/>
      <c r="S1266" s="124"/>
      <c r="T1266" s="124"/>
      <c r="U1266" s="124"/>
      <c r="V1266" s="124"/>
      <c r="W1266" s="124"/>
      <c r="X1266" s="124"/>
      <c r="Y1266" s="124"/>
    </row>
    <row r="1267" spans="2:25" x14ac:dyDescent="0.25">
      <c r="B1267" s="124"/>
      <c r="C1267" s="124"/>
      <c r="D1267" s="124"/>
      <c r="E1267" s="124"/>
      <c r="F1267" s="124"/>
      <c r="G1267" s="124"/>
      <c r="H1267" s="124"/>
      <c r="I1267" s="124"/>
      <c r="J1267" s="124"/>
      <c r="K1267" s="124"/>
      <c r="L1267" s="124"/>
      <c r="M1267" s="124"/>
      <c r="N1267" s="124"/>
      <c r="O1267" s="124"/>
      <c r="P1267" s="124"/>
      <c r="Q1267" s="124"/>
      <c r="R1267" s="124"/>
      <c r="S1267" s="124"/>
      <c r="T1267" s="124"/>
      <c r="U1267" s="124"/>
      <c r="V1267" s="124"/>
      <c r="W1267" s="124"/>
      <c r="X1267" s="124"/>
      <c r="Y1267" s="124"/>
    </row>
    <row r="1268" spans="2:25" x14ac:dyDescent="0.25">
      <c r="B1268" s="124"/>
      <c r="C1268" s="124"/>
      <c r="D1268" s="124"/>
      <c r="E1268" s="124"/>
      <c r="F1268" s="124"/>
      <c r="G1268" s="124"/>
      <c r="H1268" s="124"/>
      <c r="I1268" s="124"/>
      <c r="J1268" s="124"/>
      <c r="K1268" s="124"/>
      <c r="L1268" s="124"/>
      <c r="M1268" s="124"/>
      <c r="N1268" s="124"/>
      <c r="O1268" s="124"/>
      <c r="P1268" s="124"/>
      <c r="Q1268" s="124"/>
      <c r="R1268" s="124"/>
      <c r="S1268" s="124"/>
      <c r="T1268" s="124"/>
      <c r="U1268" s="124"/>
      <c r="V1268" s="124"/>
      <c r="W1268" s="124"/>
      <c r="X1268" s="124"/>
      <c r="Y1268" s="124"/>
    </row>
    <row r="1269" spans="2:25" x14ac:dyDescent="0.25">
      <c r="B1269" s="124"/>
      <c r="C1269" s="124"/>
      <c r="D1269" s="124"/>
      <c r="E1269" s="124"/>
      <c r="F1269" s="124"/>
      <c r="G1269" s="124"/>
      <c r="H1269" s="124"/>
      <c r="I1269" s="124"/>
      <c r="J1269" s="124"/>
      <c r="K1269" s="124"/>
      <c r="L1269" s="124"/>
      <c r="M1269" s="124"/>
      <c r="N1269" s="124"/>
      <c r="O1269" s="124"/>
      <c r="P1269" s="124"/>
      <c r="Q1269" s="124"/>
      <c r="R1269" s="124"/>
      <c r="S1269" s="124"/>
      <c r="T1269" s="124"/>
      <c r="U1269" s="124"/>
      <c r="V1269" s="124"/>
      <c r="W1269" s="124"/>
      <c r="X1269" s="124"/>
      <c r="Y1269" s="124"/>
    </row>
    <row r="1270" spans="2:25" x14ac:dyDescent="0.25">
      <c r="B1270" s="124"/>
      <c r="C1270" s="124"/>
      <c r="D1270" s="124"/>
      <c r="E1270" s="124"/>
      <c r="F1270" s="124"/>
      <c r="G1270" s="124"/>
      <c r="H1270" s="124"/>
      <c r="I1270" s="124"/>
      <c r="J1270" s="124"/>
      <c r="K1270" s="124"/>
      <c r="L1270" s="124"/>
      <c r="M1270" s="124"/>
      <c r="N1270" s="124"/>
      <c r="O1270" s="124"/>
      <c r="P1270" s="124"/>
      <c r="Q1270" s="124"/>
      <c r="R1270" s="124"/>
      <c r="S1270" s="124"/>
      <c r="T1270" s="124"/>
      <c r="U1270" s="124"/>
      <c r="V1270" s="124"/>
      <c r="W1270" s="124"/>
      <c r="X1270" s="124"/>
      <c r="Y1270" s="124"/>
    </row>
    <row r="1271" spans="2:25" x14ac:dyDescent="0.25">
      <c r="B1271" s="124"/>
      <c r="C1271" s="124"/>
      <c r="D1271" s="124"/>
      <c r="E1271" s="124"/>
      <c r="F1271" s="124"/>
      <c r="G1271" s="124"/>
      <c r="H1271" s="124"/>
      <c r="I1271" s="124"/>
      <c r="J1271" s="124"/>
      <c r="K1271" s="124"/>
      <c r="L1271" s="124"/>
      <c r="M1271" s="124"/>
      <c r="N1271" s="124"/>
      <c r="O1271" s="124"/>
      <c r="P1271" s="124"/>
      <c r="Q1271" s="124"/>
      <c r="R1271" s="124"/>
      <c r="S1271" s="124"/>
      <c r="T1271" s="124"/>
      <c r="U1271" s="124"/>
      <c r="V1271" s="124"/>
      <c r="W1271" s="124"/>
      <c r="X1271" s="124"/>
      <c r="Y1271" s="124"/>
    </row>
    <row r="1272" spans="2:25" x14ac:dyDescent="0.25">
      <c r="B1272" s="124"/>
      <c r="C1272" s="124"/>
      <c r="D1272" s="124"/>
      <c r="E1272" s="124"/>
      <c r="F1272" s="124"/>
      <c r="G1272" s="124"/>
      <c r="H1272" s="124"/>
      <c r="I1272" s="124"/>
      <c r="J1272" s="124"/>
      <c r="K1272" s="124"/>
      <c r="L1272" s="124"/>
      <c r="M1272" s="124"/>
      <c r="N1272" s="124"/>
      <c r="O1272" s="124"/>
      <c r="P1272" s="124"/>
      <c r="Q1272" s="124"/>
      <c r="R1272" s="124"/>
      <c r="S1272" s="124"/>
      <c r="T1272" s="124"/>
      <c r="U1272" s="124"/>
      <c r="V1272" s="124"/>
      <c r="W1272" s="124"/>
      <c r="X1272" s="124"/>
      <c r="Y1272" s="124"/>
    </row>
    <row r="1273" spans="2:25" x14ac:dyDescent="0.25">
      <c r="B1273" s="124"/>
      <c r="C1273" s="124"/>
      <c r="D1273" s="124"/>
      <c r="E1273" s="124"/>
      <c r="F1273" s="124"/>
      <c r="G1273" s="124"/>
      <c r="H1273" s="124"/>
      <c r="I1273" s="124"/>
      <c r="J1273" s="124"/>
      <c r="K1273" s="124"/>
      <c r="L1273" s="124"/>
      <c r="M1273" s="124"/>
      <c r="N1273" s="124"/>
      <c r="O1273" s="124"/>
      <c r="P1273" s="124"/>
      <c r="Q1273" s="124"/>
      <c r="R1273" s="124"/>
      <c r="S1273" s="124"/>
      <c r="T1273" s="124"/>
      <c r="U1273" s="124"/>
      <c r="V1273" s="124"/>
      <c r="W1273" s="124"/>
      <c r="X1273" s="124"/>
      <c r="Y1273" s="124"/>
    </row>
    <row r="1274" spans="2:25" x14ac:dyDescent="0.25">
      <c r="B1274" s="124"/>
      <c r="C1274" s="124"/>
      <c r="D1274" s="124"/>
      <c r="E1274" s="124"/>
      <c r="F1274" s="124"/>
      <c r="G1274" s="124"/>
      <c r="H1274" s="124"/>
      <c r="I1274" s="124"/>
      <c r="J1274" s="124"/>
      <c r="K1274" s="124"/>
      <c r="L1274" s="124"/>
      <c r="M1274" s="124"/>
      <c r="N1274" s="124"/>
      <c r="O1274" s="124"/>
      <c r="P1274" s="124"/>
      <c r="Q1274" s="124"/>
      <c r="R1274" s="124"/>
      <c r="S1274" s="124"/>
      <c r="T1274" s="124"/>
      <c r="U1274" s="124"/>
      <c r="V1274" s="124"/>
      <c r="W1274" s="124"/>
      <c r="X1274" s="124"/>
      <c r="Y1274" s="124"/>
    </row>
    <row r="1275" spans="2:25" x14ac:dyDescent="0.25">
      <c r="B1275" s="124"/>
      <c r="C1275" s="124"/>
      <c r="D1275" s="124"/>
      <c r="E1275" s="124"/>
      <c r="F1275" s="124"/>
      <c r="G1275" s="124"/>
      <c r="H1275" s="124"/>
      <c r="I1275" s="124"/>
      <c r="J1275" s="124"/>
      <c r="K1275" s="124"/>
      <c r="L1275" s="124"/>
      <c r="M1275" s="124"/>
      <c r="N1275" s="124"/>
      <c r="O1275" s="124"/>
      <c r="P1275" s="124"/>
      <c r="Q1275" s="124"/>
      <c r="R1275" s="124"/>
      <c r="S1275" s="124"/>
      <c r="T1275" s="124"/>
      <c r="U1275" s="124"/>
      <c r="V1275" s="124"/>
      <c r="W1275" s="124"/>
      <c r="X1275" s="124"/>
      <c r="Y1275" s="124"/>
    </row>
    <row r="1276" spans="2:25" x14ac:dyDescent="0.25">
      <c r="B1276" s="124"/>
      <c r="C1276" s="124"/>
      <c r="D1276" s="124"/>
      <c r="E1276" s="124"/>
      <c r="F1276" s="124"/>
      <c r="G1276" s="124"/>
      <c r="H1276" s="124"/>
      <c r="I1276" s="124"/>
      <c r="J1276" s="124"/>
      <c r="K1276" s="124"/>
      <c r="L1276" s="124"/>
      <c r="M1276" s="124"/>
      <c r="N1276" s="124"/>
      <c r="O1276" s="124"/>
      <c r="P1276" s="124"/>
      <c r="Q1276" s="124"/>
      <c r="R1276" s="124"/>
      <c r="S1276" s="124"/>
      <c r="T1276" s="124"/>
      <c r="U1276" s="124"/>
      <c r="V1276" s="124"/>
      <c r="W1276" s="124"/>
      <c r="X1276" s="124"/>
      <c r="Y1276" s="124"/>
    </row>
    <row r="1277" spans="2:25" x14ac:dyDescent="0.25">
      <c r="B1277" s="124"/>
      <c r="C1277" s="124"/>
      <c r="D1277" s="124"/>
      <c r="E1277" s="124"/>
      <c r="F1277" s="124"/>
      <c r="G1277" s="124"/>
      <c r="H1277" s="124"/>
      <c r="I1277" s="124"/>
      <c r="J1277" s="124"/>
      <c r="K1277" s="124"/>
      <c r="L1277" s="124"/>
      <c r="M1277" s="124"/>
      <c r="N1277" s="124"/>
      <c r="O1277" s="124"/>
      <c r="P1277" s="124"/>
      <c r="Q1277" s="124"/>
      <c r="R1277" s="124"/>
      <c r="S1277" s="124"/>
      <c r="T1277" s="124"/>
      <c r="U1277" s="124"/>
      <c r="V1277" s="124"/>
      <c r="W1277" s="124"/>
      <c r="X1277" s="124"/>
      <c r="Y1277" s="124"/>
    </row>
    <row r="1278" spans="2:25" x14ac:dyDescent="0.25">
      <c r="B1278" s="124"/>
      <c r="C1278" s="124"/>
      <c r="D1278" s="124"/>
      <c r="E1278" s="124"/>
      <c r="F1278" s="124"/>
      <c r="G1278" s="124"/>
      <c r="H1278" s="124"/>
      <c r="I1278" s="124"/>
      <c r="J1278" s="124"/>
      <c r="K1278" s="124"/>
      <c r="L1278" s="124"/>
      <c r="M1278" s="124"/>
      <c r="N1278" s="124"/>
      <c r="O1278" s="124"/>
      <c r="P1278" s="124"/>
      <c r="Q1278" s="124"/>
      <c r="R1278" s="124"/>
      <c r="S1278" s="124"/>
      <c r="T1278" s="124"/>
      <c r="U1278" s="124"/>
      <c r="V1278" s="124"/>
      <c r="W1278" s="124"/>
      <c r="X1278" s="124"/>
      <c r="Y1278" s="124"/>
    </row>
    <row r="1279" spans="2:25" x14ac:dyDescent="0.25">
      <c r="B1279" s="124"/>
      <c r="C1279" s="124"/>
      <c r="D1279" s="124"/>
      <c r="E1279" s="124"/>
      <c r="F1279" s="124"/>
      <c r="G1279" s="124"/>
      <c r="H1279" s="124"/>
      <c r="I1279" s="124"/>
      <c r="J1279" s="124"/>
      <c r="K1279" s="124"/>
      <c r="L1279" s="124"/>
      <c r="M1279" s="124"/>
      <c r="N1279" s="124"/>
      <c r="O1279" s="124"/>
      <c r="P1279" s="124"/>
      <c r="Q1279" s="124"/>
      <c r="R1279" s="124"/>
      <c r="S1279" s="124"/>
      <c r="T1279" s="124"/>
      <c r="U1279" s="124"/>
      <c r="V1279" s="124"/>
      <c r="W1279" s="124"/>
      <c r="X1279" s="124"/>
      <c r="Y1279" s="124"/>
    </row>
    <row r="1280" spans="2:25" x14ac:dyDescent="0.25">
      <c r="B1280" s="124"/>
      <c r="C1280" s="124"/>
      <c r="D1280" s="124"/>
      <c r="E1280" s="124"/>
      <c r="F1280" s="124"/>
      <c r="G1280" s="124"/>
      <c r="H1280" s="124"/>
      <c r="I1280" s="124"/>
      <c r="J1280" s="124"/>
      <c r="K1280" s="124"/>
      <c r="L1280" s="124"/>
      <c r="M1280" s="124"/>
      <c r="N1280" s="124"/>
      <c r="O1280" s="124"/>
      <c r="P1280" s="124"/>
      <c r="Q1280" s="124"/>
      <c r="R1280" s="124"/>
      <c r="S1280" s="124"/>
      <c r="T1280" s="124"/>
      <c r="U1280" s="124"/>
      <c r="V1280" s="124"/>
      <c r="W1280" s="124"/>
      <c r="X1280" s="124"/>
      <c r="Y1280" s="124"/>
    </row>
    <row r="1281" spans="2:25" x14ac:dyDescent="0.25">
      <c r="B1281" s="124"/>
      <c r="C1281" s="124"/>
      <c r="D1281" s="124"/>
      <c r="E1281" s="124"/>
      <c r="F1281" s="124"/>
      <c r="G1281" s="124"/>
      <c r="H1281" s="124"/>
      <c r="I1281" s="124"/>
      <c r="J1281" s="124"/>
      <c r="K1281" s="124"/>
      <c r="L1281" s="124"/>
      <c r="M1281" s="124"/>
      <c r="N1281" s="124"/>
      <c r="O1281" s="124"/>
      <c r="P1281" s="124"/>
      <c r="Q1281" s="124"/>
      <c r="R1281" s="124"/>
      <c r="S1281" s="124"/>
      <c r="T1281" s="124"/>
      <c r="U1281" s="124"/>
      <c r="V1281" s="124"/>
      <c r="W1281" s="124"/>
      <c r="X1281" s="124"/>
      <c r="Y1281" s="124"/>
    </row>
    <row r="1282" spans="2:25" x14ac:dyDescent="0.25">
      <c r="B1282" s="124"/>
      <c r="C1282" s="124"/>
      <c r="D1282" s="124"/>
      <c r="E1282" s="124"/>
      <c r="F1282" s="124"/>
      <c r="G1282" s="124"/>
      <c r="H1282" s="124"/>
      <c r="I1282" s="124"/>
      <c r="J1282" s="124"/>
      <c r="K1282" s="124"/>
      <c r="L1282" s="124"/>
      <c r="M1282" s="124"/>
      <c r="N1282" s="124"/>
      <c r="O1282" s="124"/>
      <c r="P1282" s="124"/>
      <c r="Q1282" s="124"/>
      <c r="R1282" s="124"/>
      <c r="S1282" s="124"/>
      <c r="T1282" s="124"/>
      <c r="U1282" s="124"/>
      <c r="V1282" s="124"/>
      <c r="W1282" s="124"/>
      <c r="X1282" s="124"/>
      <c r="Y1282" s="124"/>
    </row>
    <row r="1283" spans="2:25" x14ac:dyDescent="0.25">
      <c r="B1283" s="124"/>
      <c r="C1283" s="124"/>
      <c r="D1283" s="124"/>
      <c r="E1283" s="124"/>
      <c r="F1283" s="124"/>
      <c r="G1283" s="124"/>
      <c r="H1283" s="124"/>
      <c r="I1283" s="124"/>
      <c r="J1283" s="124"/>
      <c r="K1283" s="124"/>
      <c r="L1283" s="124"/>
      <c r="M1283" s="124"/>
      <c r="N1283" s="124"/>
      <c r="O1283" s="124"/>
      <c r="P1283" s="124"/>
      <c r="Q1283" s="124"/>
      <c r="R1283" s="124"/>
      <c r="S1283" s="124"/>
      <c r="T1283" s="124"/>
      <c r="U1283" s="124"/>
      <c r="V1283" s="124"/>
      <c r="W1283" s="124"/>
      <c r="X1283" s="124"/>
      <c r="Y1283" s="124"/>
    </row>
    <row r="1284" spans="2:25" x14ac:dyDescent="0.25">
      <c r="B1284" s="124"/>
      <c r="C1284" s="124"/>
      <c r="D1284" s="124"/>
      <c r="E1284" s="124"/>
      <c r="F1284" s="124"/>
      <c r="G1284" s="124"/>
      <c r="H1284" s="124"/>
      <c r="I1284" s="124"/>
      <c r="J1284" s="124"/>
      <c r="K1284" s="124"/>
      <c r="L1284" s="124"/>
      <c r="M1284" s="124"/>
      <c r="N1284" s="124"/>
      <c r="O1284" s="124"/>
      <c r="P1284" s="124"/>
      <c r="Q1284" s="124"/>
      <c r="R1284" s="124"/>
      <c r="S1284" s="124"/>
      <c r="T1284" s="124"/>
      <c r="U1284" s="124"/>
      <c r="V1284" s="124"/>
      <c r="W1284" s="124"/>
      <c r="X1284" s="124"/>
      <c r="Y1284" s="124"/>
    </row>
    <row r="1285" spans="2:25" x14ac:dyDescent="0.25">
      <c r="B1285" s="124"/>
      <c r="C1285" s="124"/>
      <c r="D1285" s="124"/>
      <c r="E1285" s="124"/>
      <c r="F1285" s="124"/>
      <c r="G1285" s="124"/>
      <c r="H1285" s="124"/>
      <c r="I1285" s="124"/>
      <c r="J1285" s="124"/>
      <c r="K1285" s="124"/>
      <c r="L1285" s="124"/>
      <c r="M1285" s="124"/>
      <c r="N1285" s="124"/>
      <c r="O1285" s="124"/>
      <c r="P1285" s="124"/>
      <c r="Q1285" s="124"/>
      <c r="R1285" s="124"/>
      <c r="S1285" s="124"/>
      <c r="T1285" s="124"/>
      <c r="U1285" s="124"/>
      <c r="V1285" s="124"/>
      <c r="W1285" s="124"/>
      <c r="X1285" s="124"/>
      <c r="Y1285" s="124"/>
    </row>
    <row r="1286" spans="2:25" x14ac:dyDescent="0.25">
      <c r="B1286" s="124"/>
      <c r="C1286" s="124"/>
      <c r="D1286" s="124"/>
      <c r="E1286" s="124"/>
      <c r="F1286" s="124"/>
      <c r="G1286" s="124"/>
      <c r="H1286" s="124"/>
      <c r="I1286" s="124"/>
      <c r="J1286" s="124"/>
      <c r="K1286" s="124"/>
      <c r="L1286" s="124"/>
      <c r="M1286" s="124"/>
      <c r="N1286" s="124"/>
      <c r="O1286" s="124"/>
      <c r="P1286" s="124"/>
      <c r="Q1286" s="124"/>
      <c r="R1286" s="124"/>
      <c r="S1286" s="124"/>
      <c r="T1286" s="124"/>
      <c r="U1286" s="124"/>
      <c r="V1286" s="124"/>
      <c r="W1286" s="124"/>
      <c r="X1286" s="124"/>
      <c r="Y1286" s="124"/>
    </row>
    <row r="1287" spans="2:25" x14ac:dyDescent="0.25">
      <c r="B1287" s="124"/>
      <c r="C1287" s="124"/>
      <c r="D1287" s="124"/>
      <c r="E1287" s="124"/>
      <c r="F1287" s="124"/>
      <c r="G1287" s="124"/>
      <c r="H1287" s="124"/>
      <c r="I1287" s="124"/>
      <c r="J1287" s="124"/>
      <c r="K1287" s="124"/>
      <c r="L1287" s="124"/>
      <c r="M1287" s="124"/>
      <c r="N1287" s="124"/>
      <c r="O1287" s="124"/>
      <c r="P1287" s="124"/>
      <c r="Q1287" s="124"/>
      <c r="R1287" s="124"/>
      <c r="S1287" s="124"/>
      <c r="T1287" s="124"/>
      <c r="U1287" s="124"/>
      <c r="V1287" s="124"/>
      <c r="W1287" s="124"/>
      <c r="X1287" s="124"/>
      <c r="Y1287" s="124"/>
    </row>
    <row r="1288" spans="2:25" x14ac:dyDescent="0.25">
      <c r="B1288" s="124"/>
      <c r="C1288" s="124"/>
      <c r="D1288" s="124"/>
      <c r="E1288" s="124"/>
      <c r="F1288" s="124"/>
      <c r="G1288" s="124"/>
      <c r="H1288" s="124"/>
      <c r="I1288" s="124"/>
      <c r="J1288" s="124"/>
      <c r="K1288" s="124"/>
      <c r="L1288" s="124"/>
      <c r="M1288" s="124"/>
      <c r="N1288" s="124"/>
      <c r="O1288" s="124"/>
      <c r="P1288" s="124"/>
      <c r="Q1288" s="124"/>
      <c r="R1288" s="124"/>
      <c r="S1288" s="124"/>
      <c r="T1288" s="124"/>
      <c r="U1288" s="124"/>
      <c r="V1288" s="124"/>
      <c r="W1288" s="124"/>
      <c r="X1288" s="124"/>
      <c r="Y1288" s="124"/>
    </row>
    <row r="1289" spans="2:25" x14ac:dyDescent="0.25">
      <c r="B1289" s="124"/>
      <c r="C1289" s="124"/>
      <c r="D1289" s="124"/>
      <c r="E1289" s="124"/>
      <c r="F1289" s="124"/>
      <c r="G1289" s="124"/>
      <c r="H1289" s="124"/>
      <c r="I1289" s="124"/>
      <c r="J1289" s="124"/>
      <c r="K1289" s="124"/>
      <c r="L1289" s="124"/>
      <c r="M1289" s="124"/>
      <c r="N1289" s="124"/>
      <c r="O1289" s="124"/>
      <c r="P1289" s="124"/>
      <c r="Q1289" s="124"/>
      <c r="R1289" s="124"/>
      <c r="S1289" s="124"/>
      <c r="T1289" s="124"/>
      <c r="U1289" s="124"/>
      <c r="V1289" s="124"/>
      <c r="W1289" s="124"/>
      <c r="X1289" s="124"/>
      <c r="Y1289" s="124"/>
    </row>
    <row r="1290" spans="2:25" x14ac:dyDescent="0.25">
      <c r="B1290" s="124"/>
      <c r="C1290" s="124"/>
      <c r="D1290" s="124"/>
      <c r="E1290" s="124"/>
      <c r="F1290" s="124"/>
      <c r="G1290" s="124"/>
      <c r="H1290" s="124"/>
      <c r="I1290" s="124"/>
      <c r="J1290" s="124"/>
      <c r="K1290" s="124"/>
      <c r="L1290" s="124"/>
      <c r="M1290" s="124"/>
      <c r="N1290" s="124"/>
      <c r="O1290" s="124"/>
      <c r="P1290" s="124"/>
      <c r="Q1290" s="124"/>
      <c r="R1290" s="124"/>
      <c r="S1290" s="124"/>
      <c r="T1290" s="124"/>
      <c r="U1290" s="124"/>
      <c r="V1290" s="124"/>
      <c r="W1290" s="124"/>
      <c r="X1290" s="124"/>
      <c r="Y1290" s="124"/>
    </row>
    <row r="1291" spans="2:25" x14ac:dyDescent="0.25">
      <c r="B1291" s="124"/>
      <c r="C1291" s="124"/>
      <c r="D1291" s="124"/>
      <c r="E1291" s="124"/>
      <c r="F1291" s="124"/>
      <c r="G1291" s="124"/>
      <c r="H1291" s="124"/>
      <c r="I1291" s="124"/>
      <c r="J1291" s="124"/>
      <c r="K1291" s="124"/>
      <c r="L1291" s="124"/>
      <c r="M1291" s="124"/>
      <c r="N1291" s="124"/>
      <c r="O1291" s="124"/>
      <c r="P1291" s="124"/>
      <c r="Q1291" s="124"/>
      <c r="R1291" s="124"/>
      <c r="S1291" s="124"/>
      <c r="T1291" s="124"/>
      <c r="U1291" s="124"/>
      <c r="V1291" s="124"/>
      <c r="W1291" s="124"/>
      <c r="X1291" s="124"/>
      <c r="Y1291" s="124"/>
    </row>
    <row r="1292" spans="2:25" x14ac:dyDescent="0.25">
      <c r="B1292" s="124"/>
      <c r="C1292" s="124"/>
      <c r="D1292" s="124"/>
      <c r="E1292" s="124"/>
      <c r="F1292" s="124"/>
      <c r="G1292" s="124"/>
      <c r="H1292" s="124"/>
      <c r="I1292" s="124"/>
      <c r="J1292" s="124"/>
      <c r="K1292" s="124"/>
      <c r="L1292" s="124"/>
      <c r="M1292" s="124"/>
      <c r="N1292" s="124"/>
      <c r="O1292" s="124"/>
      <c r="P1292" s="124"/>
      <c r="Q1292" s="124"/>
      <c r="R1292" s="124"/>
      <c r="S1292" s="124"/>
      <c r="T1292" s="124"/>
      <c r="U1292" s="124"/>
      <c r="V1292" s="124"/>
      <c r="W1292" s="124"/>
      <c r="X1292" s="124"/>
      <c r="Y1292" s="124"/>
    </row>
    <row r="1293" spans="2:25" x14ac:dyDescent="0.25">
      <c r="B1293" s="124"/>
      <c r="C1293" s="124"/>
      <c r="D1293" s="124"/>
      <c r="E1293" s="124"/>
      <c r="F1293" s="124"/>
      <c r="G1293" s="124"/>
      <c r="H1293" s="124"/>
      <c r="I1293" s="124"/>
      <c r="J1293" s="124"/>
      <c r="K1293" s="124"/>
      <c r="L1293" s="124"/>
      <c r="M1293" s="124"/>
      <c r="N1293" s="124"/>
      <c r="O1293" s="124"/>
      <c r="P1293" s="124"/>
      <c r="Q1293" s="124"/>
      <c r="R1293" s="124"/>
      <c r="S1293" s="124"/>
      <c r="T1293" s="124"/>
      <c r="U1293" s="124"/>
      <c r="V1293" s="124"/>
      <c r="W1293" s="124"/>
      <c r="X1293" s="124"/>
      <c r="Y1293" s="124"/>
    </row>
    <row r="1294" spans="2:25" x14ac:dyDescent="0.25">
      <c r="B1294" s="124"/>
      <c r="C1294" s="124"/>
      <c r="D1294" s="124"/>
      <c r="E1294" s="124"/>
      <c r="F1294" s="124"/>
      <c r="G1294" s="124"/>
      <c r="H1294" s="124"/>
      <c r="I1294" s="124"/>
      <c r="J1294" s="124"/>
      <c r="K1294" s="124"/>
      <c r="L1294" s="124"/>
      <c r="M1294" s="124"/>
      <c r="N1294" s="124"/>
      <c r="O1294" s="124"/>
      <c r="P1294" s="124"/>
      <c r="Q1294" s="124"/>
      <c r="R1294" s="124"/>
      <c r="S1294" s="124"/>
      <c r="T1294" s="124"/>
      <c r="U1294" s="124"/>
      <c r="V1294" s="124"/>
      <c r="W1294" s="124"/>
      <c r="X1294" s="124"/>
      <c r="Y1294" s="124"/>
    </row>
    <row r="1295" spans="2:25" x14ac:dyDescent="0.25">
      <c r="B1295" s="124"/>
      <c r="C1295" s="124"/>
      <c r="D1295" s="124"/>
      <c r="E1295" s="124"/>
      <c r="F1295" s="124"/>
      <c r="G1295" s="124"/>
      <c r="H1295" s="124"/>
      <c r="I1295" s="124"/>
      <c r="J1295" s="124"/>
      <c r="K1295" s="124"/>
      <c r="L1295" s="124"/>
      <c r="M1295" s="124"/>
      <c r="N1295" s="124"/>
      <c r="O1295" s="124"/>
      <c r="P1295" s="124"/>
      <c r="Q1295" s="124"/>
      <c r="R1295" s="124"/>
      <c r="S1295" s="124"/>
      <c r="T1295" s="124"/>
      <c r="U1295" s="124"/>
      <c r="V1295" s="124"/>
      <c r="W1295" s="124"/>
      <c r="X1295" s="124"/>
      <c r="Y1295" s="124"/>
    </row>
    <row r="1296" spans="2:25" x14ac:dyDescent="0.25">
      <c r="B1296" s="124"/>
      <c r="C1296" s="124"/>
      <c r="D1296" s="124"/>
      <c r="E1296" s="124"/>
      <c r="F1296" s="124"/>
      <c r="G1296" s="124"/>
      <c r="H1296" s="124"/>
      <c r="I1296" s="124"/>
      <c r="J1296" s="124"/>
      <c r="K1296" s="124"/>
      <c r="L1296" s="124"/>
      <c r="M1296" s="124"/>
      <c r="N1296" s="124"/>
      <c r="O1296" s="124"/>
      <c r="P1296" s="124"/>
      <c r="Q1296" s="124"/>
      <c r="R1296" s="124"/>
      <c r="S1296" s="124"/>
      <c r="T1296" s="124"/>
      <c r="U1296" s="124"/>
      <c r="V1296" s="124"/>
      <c r="W1296" s="124"/>
      <c r="X1296" s="124"/>
      <c r="Y1296" s="124"/>
    </row>
    <row r="1297" spans="2:25" x14ac:dyDescent="0.25">
      <c r="B1297" s="124"/>
      <c r="C1297" s="124"/>
      <c r="D1297" s="124"/>
      <c r="E1297" s="124"/>
      <c r="F1297" s="124"/>
      <c r="G1297" s="124"/>
      <c r="H1297" s="124"/>
      <c r="I1297" s="124"/>
      <c r="J1297" s="124"/>
      <c r="K1297" s="124"/>
      <c r="L1297" s="124"/>
      <c r="M1297" s="124"/>
      <c r="N1297" s="124"/>
      <c r="O1297" s="124"/>
      <c r="P1297" s="124"/>
      <c r="Q1297" s="124"/>
      <c r="R1297" s="124"/>
      <c r="S1297" s="124"/>
      <c r="T1297" s="124"/>
      <c r="U1297" s="124"/>
      <c r="V1297" s="124"/>
      <c r="W1297" s="124"/>
      <c r="X1297" s="124"/>
      <c r="Y1297" s="124"/>
    </row>
    <row r="1298" spans="2:25" x14ac:dyDescent="0.25">
      <c r="B1298" s="124"/>
      <c r="C1298" s="124"/>
      <c r="D1298" s="124"/>
      <c r="E1298" s="124"/>
      <c r="F1298" s="124"/>
      <c r="G1298" s="124"/>
      <c r="H1298" s="124"/>
      <c r="I1298" s="124"/>
      <c r="J1298" s="124"/>
      <c r="K1298" s="124"/>
      <c r="L1298" s="124"/>
      <c r="M1298" s="124"/>
      <c r="N1298" s="124"/>
      <c r="O1298" s="124"/>
      <c r="P1298" s="124"/>
      <c r="Q1298" s="124"/>
      <c r="R1298" s="124"/>
      <c r="S1298" s="124"/>
      <c r="T1298" s="124"/>
      <c r="U1298" s="124"/>
      <c r="V1298" s="124"/>
      <c r="W1298" s="124"/>
      <c r="X1298" s="124"/>
      <c r="Y1298" s="124"/>
    </row>
    <row r="1299" spans="2:25" x14ac:dyDescent="0.25">
      <c r="B1299" s="124"/>
      <c r="C1299" s="124"/>
      <c r="D1299" s="124"/>
      <c r="E1299" s="124"/>
      <c r="F1299" s="124"/>
      <c r="G1299" s="124"/>
      <c r="H1299" s="124"/>
      <c r="I1299" s="124"/>
      <c r="J1299" s="124"/>
      <c r="K1299" s="124"/>
      <c r="L1299" s="124"/>
      <c r="M1299" s="124"/>
      <c r="N1299" s="124"/>
      <c r="O1299" s="124"/>
      <c r="P1299" s="124"/>
      <c r="Q1299" s="124"/>
      <c r="R1299" s="124"/>
      <c r="S1299" s="124"/>
      <c r="T1299" s="124"/>
      <c r="U1299" s="124"/>
      <c r="V1299" s="124"/>
      <c r="W1299" s="124"/>
      <c r="X1299" s="124"/>
      <c r="Y1299" s="124"/>
    </row>
    <row r="1300" spans="2:25" x14ac:dyDescent="0.25">
      <c r="B1300" s="124"/>
      <c r="C1300" s="124"/>
      <c r="D1300" s="124"/>
      <c r="E1300" s="124"/>
      <c r="F1300" s="124"/>
      <c r="G1300" s="124"/>
      <c r="H1300" s="124"/>
      <c r="I1300" s="124"/>
      <c r="J1300" s="124"/>
      <c r="K1300" s="124"/>
      <c r="L1300" s="124"/>
      <c r="M1300" s="124"/>
      <c r="N1300" s="124"/>
      <c r="O1300" s="124"/>
      <c r="P1300" s="124"/>
      <c r="Q1300" s="124"/>
      <c r="R1300" s="124"/>
      <c r="S1300" s="124"/>
      <c r="T1300" s="124"/>
      <c r="U1300" s="124"/>
      <c r="V1300" s="124"/>
      <c r="W1300" s="124"/>
      <c r="X1300" s="124"/>
      <c r="Y1300" s="124"/>
    </row>
    <row r="1301" spans="2:25" x14ac:dyDescent="0.25">
      <c r="B1301" s="124"/>
      <c r="C1301" s="124"/>
      <c r="D1301" s="124"/>
      <c r="E1301" s="124"/>
      <c r="F1301" s="124"/>
      <c r="G1301" s="124"/>
      <c r="H1301" s="124"/>
      <c r="I1301" s="124"/>
      <c r="J1301" s="124"/>
      <c r="K1301" s="124"/>
      <c r="L1301" s="124"/>
      <c r="M1301" s="124"/>
      <c r="N1301" s="124"/>
      <c r="O1301" s="124"/>
      <c r="P1301" s="124"/>
      <c r="Q1301" s="124"/>
      <c r="R1301" s="124"/>
      <c r="S1301" s="124"/>
      <c r="T1301" s="124"/>
      <c r="U1301" s="124"/>
      <c r="V1301" s="124"/>
      <c r="W1301" s="124"/>
      <c r="X1301" s="124"/>
      <c r="Y1301" s="124"/>
    </row>
    <row r="1302" spans="2:25" x14ac:dyDescent="0.25">
      <c r="B1302" s="124"/>
      <c r="C1302" s="124"/>
      <c r="D1302" s="124"/>
      <c r="E1302" s="124"/>
      <c r="F1302" s="124"/>
      <c r="G1302" s="124"/>
      <c r="H1302" s="124"/>
      <c r="I1302" s="124"/>
      <c r="J1302" s="124"/>
      <c r="K1302" s="124"/>
      <c r="L1302" s="124"/>
      <c r="M1302" s="124"/>
      <c r="N1302" s="124"/>
      <c r="O1302" s="124"/>
      <c r="P1302" s="124"/>
      <c r="Q1302" s="124"/>
      <c r="R1302" s="124"/>
      <c r="S1302" s="124"/>
      <c r="T1302" s="124"/>
      <c r="U1302" s="124"/>
      <c r="V1302" s="124"/>
      <c r="W1302" s="124"/>
      <c r="X1302" s="124"/>
      <c r="Y1302" s="124"/>
    </row>
    <row r="1303" spans="2:25" x14ac:dyDescent="0.25">
      <c r="B1303" s="124"/>
      <c r="C1303" s="124"/>
      <c r="D1303" s="124"/>
      <c r="E1303" s="124"/>
      <c r="F1303" s="124"/>
      <c r="G1303" s="124"/>
      <c r="H1303" s="124"/>
      <c r="I1303" s="124"/>
      <c r="J1303" s="124"/>
      <c r="K1303" s="124"/>
      <c r="L1303" s="124"/>
      <c r="M1303" s="124"/>
      <c r="N1303" s="124"/>
      <c r="O1303" s="124"/>
      <c r="P1303" s="124"/>
      <c r="Q1303" s="124"/>
      <c r="R1303" s="124"/>
      <c r="S1303" s="124"/>
      <c r="T1303" s="124"/>
      <c r="U1303" s="124"/>
      <c r="V1303" s="124"/>
      <c r="W1303" s="124"/>
      <c r="X1303" s="124"/>
      <c r="Y1303" s="124"/>
    </row>
    <row r="1304" spans="2:25" x14ac:dyDescent="0.25">
      <c r="B1304" s="124"/>
      <c r="C1304" s="124"/>
      <c r="D1304" s="124"/>
      <c r="E1304" s="124"/>
      <c r="F1304" s="124"/>
      <c r="G1304" s="124"/>
      <c r="H1304" s="124"/>
      <c r="I1304" s="124"/>
      <c r="J1304" s="124"/>
      <c r="K1304" s="124"/>
      <c r="L1304" s="124"/>
      <c r="M1304" s="124"/>
      <c r="N1304" s="124"/>
      <c r="O1304" s="124"/>
      <c r="P1304" s="124"/>
      <c r="Q1304" s="124"/>
      <c r="R1304" s="124"/>
      <c r="S1304" s="124"/>
      <c r="T1304" s="124"/>
      <c r="U1304" s="124"/>
      <c r="V1304" s="124"/>
      <c r="W1304" s="124"/>
      <c r="X1304" s="124"/>
      <c r="Y1304" s="124"/>
    </row>
    <row r="1305" spans="2:25" x14ac:dyDescent="0.25">
      <c r="B1305" s="124"/>
      <c r="C1305" s="124"/>
      <c r="D1305" s="124"/>
      <c r="E1305" s="124"/>
      <c r="F1305" s="124"/>
      <c r="G1305" s="124"/>
      <c r="H1305" s="124"/>
      <c r="I1305" s="124"/>
      <c r="J1305" s="124"/>
      <c r="K1305" s="124"/>
      <c r="L1305" s="124"/>
      <c r="M1305" s="124"/>
      <c r="N1305" s="124"/>
      <c r="O1305" s="124"/>
      <c r="P1305" s="124"/>
      <c r="Q1305" s="124"/>
      <c r="R1305" s="124"/>
      <c r="S1305" s="124"/>
      <c r="T1305" s="124"/>
      <c r="U1305" s="124"/>
      <c r="V1305" s="124"/>
      <c r="W1305" s="124"/>
      <c r="X1305" s="124"/>
      <c r="Y1305" s="124"/>
    </row>
    <row r="1306" spans="2:25" x14ac:dyDescent="0.25">
      <c r="B1306" s="124"/>
      <c r="C1306" s="124"/>
      <c r="D1306" s="124"/>
      <c r="E1306" s="124"/>
      <c r="F1306" s="124"/>
      <c r="G1306" s="124"/>
      <c r="H1306" s="124"/>
      <c r="I1306" s="124"/>
      <c r="J1306" s="124"/>
      <c r="K1306" s="124"/>
      <c r="L1306" s="124"/>
      <c r="M1306" s="124"/>
      <c r="N1306" s="124"/>
      <c r="O1306" s="124"/>
      <c r="P1306" s="124"/>
      <c r="Q1306" s="124"/>
      <c r="R1306" s="124"/>
      <c r="S1306" s="124"/>
      <c r="T1306" s="124"/>
      <c r="U1306" s="124"/>
      <c r="V1306" s="124"/>
      <c r="W1306" s="124"/>
      <c r="X1306" s="124"/>
      <c r="Y1306" s="124"/>
    </row>
    <row r="1307" spans="2:25" x14ac:dyDescent="0.25">
      <c r="B1307" s="124"/>
      <c r="C1307" s="124"/>
      <c r="D1307" s="124"/>
      <c r="E1307" s="124"/>
      <c r="F1307" s="124"/>
      <c r="G1307" s="124"/>
      <c r="H1307" s="124"/>
      <c r="I1307" s="124"/>
      <c r="J1307" s="124"/>
      <c r="K1307" s="124"/>
      <c r="L1307" s="124"/>
      <c r="M1307" s="124"/>
      <c r="N1307" s="124"/>
      <c r="O1307" s="124"/>
      <c r="P1307" s="124"/>
      <c r="Q1307" s="124"/>
      <c r="R1307" s="124"/>
      <c r="S1307" s="124"/>
      <c r="T1307" s="124"/>
      <c r="U1307" s="124"/>
      <c r="V1307" s="124"/>
      <c r="W1307" s="124"/>
      <c r="X1307" s="124"/>
      <c r="Y1307" s="124"/>
    </row>
    <row r="1308" spans="2:25" x14ac:dyDescent="0.25">
      <c r="B1308" s="124"/>
      <c r="C1308" s="124"/>
      <c r="D1308" s="124"/>
      <c r="E1308" s="124"/>
      <c r="F1308" s="124"/>
      <c r="G1308" s="124"/>
      <c r="H1308" s="124"/>
      <c r="I1308" s="124"/>
      <c r="J1308" s="124"/>
      <c r="K1308" s="124"/>
      <c r="L1308" s="124"/>
      <c r="M1308" s="124"/>
      <c r="N1308" s="124"/>
      <c r="O1308" s="124"/>
      <c r="P1308" s="124"/>
      <c r="Q1308" s="124"/>
      <c r="R1308" s="124"/>
      <c r="S1308" s="124"/>
      <c r="T1308" s="124"/>
      <c r="U1308" s="124"/>
      <c r="V1308" s="124"/>
      <c r="W1308" s="124"/>
      <c r="X1308" s="124"/>
      <c r="Y1308" s="124"/>
    </row>
    <row r="1309" spans="2:25" x14ac:dyDescent="0.25">
      <c r="B1309" s="124"/>
      <c r="C1309" s="124"/>
      <c r="D1309" s="124"/>
      <c r="E1309" s="124"/>
      <c r="F1309" s="124"/>
      <c r="G1309" s="124"/>
      <c r="H1309" s="124"/>
      <c r="I1309" s="124"/>
      <c r="J1309" s="124"/>
      <c r="K1309" s="124"/>
      <c r="L1309" s="124"/>
      <c r="M1309" s="124"/>
      <c r="N1309" s="124"/>
      <c r="O1309" s="124"/>
      <c r="P1309" s="124"/>
      <c r="Q1309" s="124"/>
      <c r="R1309" s="124"/>
      <c r="S1309" s="124"/>
      <c r="T1309" s="124"/>
      <c r="U1309" s="124"/>
      <c r="V1309" s="124"/>
      <c r="W1309" s="124"/>
      <c r="X1309" s="124"/>
      <c r="Y1309" s="124"/>
    </row>
    <row r="1310" spans="2:25" x14ac:dyDescent="0.25">
      <c r="B1310" s="124"/>
      <c r="C1310" s="124"/>
      <c r="D1310" s="124"/>
      <c r="E1310" s="124"/>
      <c r="F1310" s="124"/>
      <c r="G1310" s="124"/>
      <c r="H1310" s="124"/>
      <c r="I1310" s="124"/>
      <c r="J1310" s="124"/>
      <c r="K1310" s="124"/>
      <c r="L1310" s="124"/>
      <c r="M1310" s="124"/>
      <c r="N1310" s="124"/>
      <c r="O1310" s="124"/>
      <c r="P1310" s="124"/>
      <c r="Q1310" s="124"/>
      <c r="R1310" s="124"/>
      <c r="S1310" s="124"/>
      <c r="T1310" s="124"/>
      <c r="U1310" s="124"/>
      <c r="V1310" s="124"/>
      <c r="W1310" s="124"/>
      <c r="X1310" s="124"/>
      <c r="Y1310" s="124"/>
    </row>
    <row r="1311" spans="2:25" x14ac:dyDescent="0.25">
      <c r="B1311" s="124"/>
      <c r="C1311" s="124"/>
      <c r="D1311" s="124"/>
      <c r="E1311" s="124"/>
      <c r="F1311" s="124"/>
      <c r="G1311" s="124"/>
      <c r="H1311" s="124"/>
      <c r="I1311" s="124"/>
      <c r="J1311" s="124"/>
      <c r="K1311" s="124"/>
      <c r="L1311" s="124"/>
      <c r="M1311" s="124"/>
      <c r="N1311" s="124"/>
      <c r="O1311" s="124"/>
      <c r="P1311" s="124"/>
      <c r="Q1311" s="124"/>
      <c r="R1311" s="124"/>
      <c r="S1311" s="124"/>
      <c r="T1311" s="124"/>
      <c r="U1311" s="124"/>
      <c r="V1311" s="124"/>
      <c r="W1311" s="124"/>
      <c r="X1311" s="124"/>
      <c r="Y1311" s="124"/>
    </row>
    <row r="1312" spans="2:25" x14ac:dyDescent="0.25">
      <c r="B1312" s="124"/>
      <c r="C1312" s="124"/>
      <c r="D1312" s="124"/>
      <c r="E1312" s="124"/>
      <c r="F1312" s="124"/>
      <c r="G1312" s="124"/>
      <c r="H1312" s="124"/>
      <c r="I1312" s="124"/>
      <c r="J1312" s="124"/>
      <c r="K1312" s="124"/>
      <c r="L1312" s="124"/>
      <c r="M1312" s="124"/>
      <c r="N1312" s="124"/>
      <c r="O1312" s="124"/>
      <c r="P1312" s="124"/>
      <c r="Q1312" s="124"/>
      <c r="R1312" s="124"/>
      <c r="S1312" s="124"/>
      <c r="T1312" s="124"/>
      <c r="U1312" s="124"/>
      <c r="V1312" s="124"/>
      <c r="W1312" s="124"/>
      <c r="X1312" s="124"/>
      <c r="Y1312" s="124"/>
    </row>
    <row r="1313" spans="2:25" x14ac:dyDescent="0.25">
      <c r="B1313" s="124"/>
      <c r="C1313" s="124"/>
      <c r="D1313" s="124"/>
      <c r="E1313" s="124"/>
      <c r="F1313" s="124"/>
      <c r="G1313" s="124"/>
      <c r="H1313" s="124"/>
      <c r="I1313" s="124"/>
      <c r="J1313" s="124"/>
      <c r="K1313" s="124"/>
      <c r="L1313" s="124"/>
      <c r="M1313" s="124"/>
      <c r="N1313" s="124"/>
      <c r="O1313" s="124"/>
      <c r="P1313" s="124"/>
      <c r="Q1313" s="124"/>
      <c r="R1313" s="124"/>
      <c r="S1313" s="124"/>
      <c r="T1313" s="124"/>
      <c r="U1313" s="124"/>
      <c r="V1313" s="124"/>
      <c r="W1313" s="124"/>
      <c r="X1313" s="124"/>
      <c r="Y1313" s="124"/>
    </row>
    <row r="1314" spans="2:25" x14ac:dyDescent="0.25">
      <c r="B1314" s="124"/>
      <c r="C1314" s="124"/>
      <c r="D1314" s="124"/>
      <c r="E1314" s="124"/>
      <c r="F1314" s="124"/>
      <c r="G1314" s="124"/>
      <c r="H1314" s="124"/>
      <c r="I1314" s="124"/>
      <c r="J1314" s="124"/>
      <c r="K1314" s="124"/>
      <c r="L1314" s="124"/>
      <c r="M1314" s="124"/>
      <c r="N1314" s="124"/>
      <c r="O1314" s="124"/>
      <c r="P1314" s="124"/>
      <c r="Q1314" s="124"/>
      <c r="R1314" s="124"/>
      <c r="S1314" s="124"/>
      <c r="T1314" s="124"/>
      <c r="U1314" s="124"/>
      <c r="V1314" s="124"/>
      <c r="W1314" s="124"/>
      <c r="X1314" s="124"/>
      <c r="Y1314" s="124"/>
    </row>
    <row r="1315" spans="2:25" x14ac:dyDescent="0.25">
      <c r="B1315" s="124"/>
      <c r="C1315" s="124"/>
      <c r="D1315" s="124"/>
      <c r="E1315" s="124"/>
      <c r="F1315" s="124"/>
      <c r="G1315" s="124"/>
      <c r="H1315" s="124"/>
      <c r="I1315" s="124"/>
      <c r="J1315" s="124"/>
      <c r="K1315" s="124"/>
      <c r="L1315" s="124"/>
      <c r="M1315" s="124"/>
      <c r="N1315" s="124"/>
      <c r="O1315" s="124"/>
      <c r="P1315" s="124"/>
      <c r="Q1315" s="124"/>
      <c r="R1315" s="124"/>
      <c r="S1315" s="124"/>
      <c r="T1315" s="124"/>
      <c r="U1315" s="124"/>
      <c r="V1315" s="124"/>
      <c r="W1315" s="124"/>
      <c r="X1315" s="124"/>
      <c r="Y1315" s="124"/>
    </row>
    <row r="1316" spans="2:25" x14ac:dyDescent="0.25">
      <c r="B1316" s="124"/>
      <c r="C1316" s="124"/>
      <c r="D1316" s="124"/>
      <c r="E1316" s="124"/>
      <c r="F1316" s="124"/>
      <c r="G1316" s="124"/>
      <c r="H1316" s="124"/>
      <c r="I1316" s="124"/>
      <c r="J1316" s="124"/>
      <c r="K1316" s="124"/>
      <c r="L1316" s="124"/>
      <c r="M1316" s="124"/>
      <c r="N1316" s="124"/>
      <c r="O1316" s="124"/>
      <c r="P1316" s="124"/>
      <c r="Q1316" s="124"/>
      <c r="R1316" s="124"/>
      <c r="S1316" s="124"/>
      <c r="T1316" s="124"/>
      <c r="U1316" s="124"/>
      <c r="V1316" s="124"/>
      <c r="W1316" s="124"/>
      <c r="X1316" s="124"/>
      <c r="Y1316" s="124"/>
    </row>
    <row r="1317" spans="2:25" x14ac:dyDescent="0.25">
      <c r="B1317" s="124"/>
      <c r="C1317" s="124"/>
      <c r="D1317" s="124"/>
      <c r="E1317" s="124"/>
      <c r="F1317" s="124"/>
      <c r="G1317" s="124"/>
      <c r="H1317" s="124"/>
      <c r="I1317" s="124"/>
      <c r="J1317" s="124"/>
      <c r="K1317" s="124"/>
      <c r="L1317" s="124"/>
      <c r="M1317" s="124"/>
      <c r="N1317" s="124"/>
      <c r="O1317" s="124"/>
      <c r="P1317" s="124"/>
      <c r="Q1317" s="124"/>
      <c r="R1317" s="124"/>
      <c r="S1317" s="124"/>
      <c r="T1317" s="124"/>
      <c r="U1317" s="124"/>
      <c r="V1317" s="124"/>
      <c r="W1317" s="124"/>
      <c r="X1317" s="124"/>
      <c r="Y1317" s="124"/>
    </row>
    <row r="1318" spans="2:25" x14ac:dyDescent="0.25">
      <c r="B1318" s="124"/>
      <c r="C1318" s="124"/>
      <c r="D1318" s="124"/>
      <c r="E1318" s="124"/>
      <c r="F1318" s="124"/>
      <c r="G1318" s="124"/>
      <c r="H1318" s="124"/>
      <c r="I1318" s="124"/>
      <c r="J1318" s="124"/>
      <c r="K1318" s="124"/>
      <c r="L1318" s="124"/>
      <c r="M1318" s="124"/>
      <c r="N1318" s="124"/>
      <c r="O1318" s="124"/>
      <c r="P1318" s="124"/>
      <c r="Q1318" s="124"/>
      <c r="R1318" s="124"/>
      <c r="S1318" s="124"/>
      <c r="T1318" s="124"/>
      <c r="U1318" s="124"/>
      <c r="V1318" s="124"/>
      <c r="W1318" s="124"/>
      <c r="X1318" s="124"/>
      <c r="Y1318" s="124"/>
    </row>
    <row r="1319" spans="2:25" x14ac:dyDescent="0.25">
      <c r="B1319" s="124"/>
      <c r="C1319" s="124"/>
      <c r="D1319" s="124"/>
      <c r="E1319" s="124"/>
      <c r="F1319" s="124"/>
      <c r="G1319" s="124"/>
      <c r="H1319" s="124"/>
      <c r="I1319" s="124"/>
      <c r="J1319" s="124"/>
      <c r="K1319" s="124"/>
      <c r="L1319" s="124"/>
      <c r="M1319" s="124"/>
      <c r="N1319" s="124"/>
      <c r="O1319" s="124"/>
      <c r="P1319" s="124"/>
      <c r="Q1319" s="124"/>
      <c r="R1319" s="124"/>
      <c r="S1319" s="124"/>
      <c r="T1319" s="124"/>
      <c r="U1319" s="124"/>
      <c r="V1319" s="124"/>
      <c r="W1319" s="124"/>
      <c r="X1319" s="124"/>
      <c r="Y1319" s="124"/>
    </row>
    <row r="1320" spans="2:25" x14ac:dyDescent="0.25">
      <c r="B1320" s="124"/>
      <c r="C1320" s="124"/>
      <c r="D1320" s="124"/>
      <c r="E1320" s="124"/>
      <c r="F1320" s="124"/>
      <c r="G1320" s="124"/>
      <c r="H1320" s="124"/>
      <c r="I1320" s="124"/>
      <c r="J1320" s="124"/>
      <c r="K1320" s="124"/>
      <c r="L1320" s="124"/>
      <c r="M1320" s="124"/>
      <c r="N1320" s="124"/>
      <c r="O1320" s="124"/>
      <c r="P1320" s="124"/>
      <c r="Q1320" s="124"/>
      <c r="R1320" s="124"/>
      <c r="S1320" s="124"/>
      <c r="T1320" s="124"/>
      <c r="U1320" s="124"/>
      <c r="V1320" s="124"/>
      <c r="W1320" s="124"/>
      <c r="X1320" s="124"/>
      <c r="Y1320" s="124"/>
    </row>
    <row r="1321" spans="2:25" x14ac:dyDescent="0.25">
      <c r="B1321" s="124"/>
      <c r="C1321" s="124"/>
      <c r="D1321" s="124"/>
      <c r="E1321" s="124"/>
      <c r="F1321" s="124"/>
      <c r="G1321" s="124"/>
      <c r="H1321" s="124"/>
      <c r="I1321" s="124"/>
      <c r="J1321" s="124"/>
      <c r="K1321" s="124"/>
      <c r="L1321" s="124"/>
      <c r="M1321" s="124"/>
      <c r="N1321" s="124"/>
      <c r="O1321" s="124"/>
      <c r="P1321" s="124"/>
      <c r="Q1321" s="124"/>
      <c r="R1321" s="124"/>
      <c r="S1321" s="124"/>
      <c r="T1321" s="124"/>
      <c r="U1321" s="124"/>
      <c r="V1321" s="124"/>
      <c r="W1321" s="124"/>
      <c r="X1321" s="124"/>
      <c r="Y1321" s="124"/>
    </row>
    <row r="1322" spans="2:25" x14ac:dyDescent="0.25">
      <c r="B1322" s="124"/>
      <c r="C1322" s="124"/>
      <c r="D1322" s="124"/>
      <c r="E1322" s="124"/>
      <c r="F1322" s="124"/>
      <c r="G1322" s="124"/>
      <c r="H1322" s="124"/>
      <c r="I1322" s="124"/>
      <c r="J1322" s="124"/>
      <c r="K1322" s="124"/>
      <c r="L1322" s="124"/>
      <c r="M1322" s="124"/>
      <c r="N1322" s="124"/>
      <c r="O1322" s="124"/>
      <c r="P1322" s="124"/>
      <c r="Q1322" s="124"/>
      <c r="R1322" s="124"/>
      <c r="S1322" s="124"/>
      <c r="T1322" s="124"/>
      <c r="U1322" s="124"/>
      <c r="V1322" s="124"/>
      <c r="W1322" s="124"/>
      <c r="X1322" s="124"/>
      <c r="Y1322" s="124"/>
    </row>
    <row r="1323" spans="2:25" x14ac:dyDescent="0.25">
      <c r="B1323" s="124"/>
      <c r="C1323" s="124"/>
      <c r="D1323" s="124"/>
      <c r="E1323" s="124"/>
      <c r="F1323" s="124"/>
      <c r="G1323" s="124"/>
      <c r="H1323" s="124"/>
      <c r="I1323" s="124"/>
      <c r="J1323" s="124"/>
      <c r="K1323" s="124"/>
      <c r="L1323" s="124"/>
      <c r="M1323" s="124"/>
      <c r="N1323" s="124"/>
      <c r="O1323" s="124"/>
      <c r="P1323" s="124"/>
      <c r="Q1323" s="124"/>
      <c r="R1323" s="124"/>
      <c r="S1323" s="124"/>
      <c r="T1323" s="124"/>
      <c r="U1323" s="124"/>
      <c r="V1323" s="124"/>
      <c r="W1323" s="124"/>
      <c r="X1323" s="124"/>
      <c r="Y1323" s="124"/>
    </row>
    <row r="1324" spans="2:25" x14ac:dyDescent="0.25">
      <c r="B1324" s="124"/>
      <c r="C1324" s="124"/>
      <c r="D1324" s="124"/>
      <c r="E1324" s="124"/>
      <c r="F1324" s="124"/>
      <c r="G1324" s="124"/>
      <c r="H1324" s="124"/>
      <c r="I1324" s="124"/>
      <c r="J1324" s="124"/>
      <c r="K1324" s="124"/>
      <c r="L1324" s="124"/>
      <c r="M1324" s="124"/>
      <c r="N1324" s="124"/>
      <c r="O1324" s="124"/>
      <c r="P1324" s="124"/>
      <c r="Q1324" s="124"/>
      <c r="R1324" s="124"/>
      <c r="S1324" s="124"/>
      <c r="T1324" s="124"/>
      <c r="U1324" s="124"/>
      <c r="V1324" s="124"/>
      <c r="W1324" s="124"/>
      <c r="X1324" s="124"/>
      <c r="Y1324" s="124"/>
    </row>
    <row r="1325" spans="2:25" x14ac:dyDescent="0.25">
      <c r="B1325" s="124"/>
      <c r="C1325" s="124"/>
      <c r="D1325" s="124"/>
      <c r="E1325" s="124"/>
      <c r="F1325" s="124"/>
      <c r="G1325" s="124"/>
      <c r="H1325" s="124"/>
      <c r="I1325" s="124"/>
      <c r="J1325" s="124"/>
      <c r="K1325" s="124"/>
      <c r="L1325" s="124"/>
      <c r="M1325" s="124"/>
      <c r="N1325" s="124"/>
      <c r="O1325" s="124"/>
      <c r="P1325" s="124"/>
      <c r="Q1325" s="124"/>
      <c r="R1325" s="124"/>
      <c r="S1325" s="124"/>
      <c r="T1325" s="124"/>
      <c r="U1325" s="124"/>
      <c r="V1325" s="124"/>
      <c r="W1325" s="124"/>
      <c r="X1325" s="124"/>
      <c r="Y1325" s="124"/>
    </row>
    <row r="1326" spans="2:25" x14ac:dyDescent="0.25">
      <c r="B1326" s="124"/>
      <c r="C1326" s="124"/>
      <c r="D1326" s="124"/>
      <c r="E1326" s="124"/>
      <c r="F1326" s="124"/>
      <c r="G1326" s="124"/>
      <c r="H1326" s="124"/>
      <c r="I1326" s="124"/>
      <c r="J1326" s="124"/>
      <c r="K1326" s="124"/>
      <c r="L1326" s="124"/>
      <c r="M1326" s="124"/>
      <c r="N1326" s="124"/>
      <c r="O1326" s="124"/>
      <c r="P1326" s="124"/>
      <c r="Q1326" s="124"/>
      <c r="R1326" s="124"/>
      <c r="S1326" s="124"/>
      <c r="T1326" s="124"/>
      <c r="U1326" s="124"/>
      <c r="V1326" s="124"/>
      <c r="W1326" s="124"/>
      <c r="X1326" s="124"/>
      <c r="Y1326" s="124"/>
    </row>
    <row r="1327" spans="2:25" x14ac:dyDescent="0.25">
      <c r="B1327" s="124"/>
      <c r="C1327" s="124"/>
      <c r="D1327" s="124"/>
      <c r="E1327" s="124"/>
      <c r="F1327" s="124"/>
      <c r="G1327" s="124"/>
      <c r="H1327" s="124"/>
      <c r="I1327" s="124"/>
      <c r="J1327" s="124"/>
      <c r="K1327" s="124"/>
      <c r="L1327" s="124"/>
      <c r="M1327" s="124"/>
      <c r="N1327" s="124"/>
      <c r="O1327" s="124"/>
      <c r="P1327" s="124"/>
      <c r="Q1327" s="124"/>
      <c r="R1327" s="124"/>
      <c r="S1327" s="124"/>
      <c r="T1327" s="124"/>
      <c r="U1327" s="124"/>
      <c r="V1327" s="124"/>
      <c r="W1327" s="124"/>
      <c r="X1327" s="124"/>
      <c r="Y1327" s="124"/>
    </row>
    <row r="1328" spans="2:25" x14ac:dyDescent="0.25">
      <c r="B1328" s="124"/>
      <c r="C1328" s="124"/>
      <c r="D1328" s="124"/>
      <c r="E1328" s="124"/>
      <c r="F1328" s="124"/>
      <c r="G1328" s="124"/>
      <c r="H1328" s="124"/>
      <c r="I1328" s="124"/>
      <c r="J1328" s="124"/>
      <c r="K1328" s="124"/>
      <c r="L1328" s="124"/>
      <c r="M1328" s="124"/>
      <c r="N1328" s="124"/>
      <c r="O1328" s="124"/>
      <c r="P1328" s="124"/>
      <c r="Q1328" s="124"/>
      <c r="R1328" s="124"/>
      <c r="S1328" s="124"/>
      <c r="T1328" s="124"/>
      <c r="U1328" s="124"/>
      <c r="V1328" s="124"/>
      <c r="W1328" s="124"/>
      <c r="X1328" s="124"/>
      <c r="Y1328" s="124"/>
    </row>
    <row r="1329" spans="2:25" x14ac:dyDescent="0.25">
      <c r="B1329" s="124"/>
      <c r="C1329" s="124"/>
      <c r="D1329" s="124"/>
      <c r="E1329" s="124"/>
      <c r="F1329" s="124"/>
      <c r="G1329" s="124"/>
      <c r="H1329" s="124"/>
      <c r="I1329" s="124"/>
      <c r="J1329" s="124"/>
      <c r="K1329" s="124"/>
      <c r="L1329" s="124"/>
      <c r="M1329" s="124"/>
      <c r="N1329" s="124"/>
      <c r="O1329" s="124"/>
      <c r="P1329" s="124"/>
      <c r="Q1329" s="124"/>
      <c r="R1329" s="124"/>
      <c r="S1329" s="124"/>
      <c r="T1329" s="124"/>
      <c r="U1329" s="124"/>
      <c r="V1329" s="124"/>
      <c r="W1329" s="124"/>
      <c r="X1329" s="124"/>
      <c r="Y1329" s="124"/>
    </row>
    <row r="1330" spans="2:25" x14ac:dyDescent="0.25">
      <c r="B1330" s="124"/>
      <c r="C1330" s="124"/>
      <c r="D1330" s="124"/>
      <c r="E1330" s="124"/>
      <c r="F1330" s="124"/>
      <c r="G1330" s="124"/>
      <c r="H1330" s="124"/>
      <c r="I1330" s="124"/>
      <c r="J1330" s="124"/>
      <c r="K1330" s="124"/>
      <c r="L1330" s="124"/>
      <c r="M1330" s="124"/>
      <c r="N1330" s="124"/>
      <c r="O1330" s="124"/>
      <c r="P1330" s="124"/>
      <c r="Q1330" s="124"/>
      <c r="R1330" s="124"/>
      <c r="S1330" s="124"/>
      <c r="T1330" s="124"/>
      <c r="U1330" s="124"/>
      <c r="V1330" s="124"/>
      <c r="W1330" s="124"/>
      <c r="X1330" s="124"/>
      <c r="Y1330" s="124"/>
    </row>
    <row r="1331" spans="2:25" x14ac:dyDescent="0.25">
      <c r="B1331" s="124"/>
      <c r="C1331" s="124"/>
      <c r="D1331" s="124"/>
      <c r="E1331" s="124"/>
      <c r="F1331" s="124"/>
      <c r="G1331" s="124"/>
      <c r="H1331" s="124"/>
      <c r="I1331" s="124"/>
      <c r="J1331" s="124"/>
      <c r="K1331" s="124"/>
      <c r="L1331" s="124"/>
      <c r="M1331" s="124"/>
      <c r="N1331" s="124"/>
      <c r="O1331" s="124"/>
      <c r="P1331" s="124"/>
      <c r="Q1331" s="124"/>
      <c r="R1331" s="124"/>
      <c r="S1331" s="124"/>
      <c r="T1331" s="124"/>
      <c r="U1331" s="124"/>
      <c r="V1331" s="124"/>
      <c r="W1331" s="124"/>
      <c r="X1331" s="124"/>
      <c r="Y1331" s="124"/>
    </row>
    <row r="1332" spans="2:25" x14ac:dyDescent="0.25">
      <c r="B1332" s="124"/>
      <c r="C1332" s="124"/>
      <c r="D1332" s="124"/>
      <c r="E1332" s="124"/>
      <c r="F1332" s="124"/>
      <c r="G1332" s="124"/>
      <c r="H1332" s="124"/>
      <c r="I1332" s="124"/>
      <c r="J1332" s="124"/>
      <c r="K1332" s="124"/>
      <c r="L1332" s="124"/>
      <c r="M1332" s="124"/>
      <c r="N1332" s="124"/>
      <c r="O1332" s="124"/>
      <c r="P1332" s="124"/>
      <c r="Q1332" s="124"/>
      <c r="R1332" s="124"/>
      <c r="S1332" s="124"/>
      <c r="T1332" s="124"/>
      <c r="U1332" s="124"/>
      <c r="V1332" s="124"/>
      <c r="W1332" s="124"/>
      <c r="X1332" s="124"/>
      <c r="Y1332" s="124"/>
    </row>
    <row r="1333" spans="2:25" x14ac:dyDescent="0.25">
      <c r="B1333" s="124"/>
      <c r="C1333" s="124"/>
      <c r="D1333" s="124"/>
      <c r="E1333" s="124"/>
      <c r="F1333" s="124"/>
      <c r="G1333" s="124"/>
      <c r="H1333" s="124"/>
      <c r="I1333" s="124"/>
      <c r="J1333" s="124"/>
      <c r="K1333" s="124"/>
      <c r="L1333" s="124"/>
      <c r="M1333" s="124"/>
      <c r="N1333" s="124"/>
      <c r="O1333" s="124"/>
      <c r="P1333" s="124"/>
      <c r="Q1333" s="124"/>
      <c r="R1333" s="124"/>
      <c r="S1333" s="124"/>
      <c r="T1333" s="124"/>
      <c r="U1333" s="124"/>
      <c r="V1333" s="124"/>
      <c r="W1333" s="124"/>
      <c r="X1333" s="124"/>
      <c r="Y1333" s="124"/>
    </row>
    <row r="1334" spans="2:25" x14ac:dyDescent="0.25">
      <c r="B1334" s="124"/>
      <c r="C1334" s="124"/>
      <c r="D1334" s="124"/>
      <c r="E1334" s="124"/>
      <c r="F1334" s="124"/>
      <c r="G1334" s="124"/>
      <c r="H1334" s="124"/>
      <c r="I1334" s="124"/>
      <c r="J1334" s="124"/>
      <c r="K1334" s="124"/>
      <c r="L1334" s="124"/>
      <c r="M1334" s="124"/>
      <c r="N1334" s="124"/>
      <c r="O1334" s="124"/>
      <c r="P1334" s="124"/>
      <c r="Q1334" s="124"/>
      <c r="R1334" s="124"/>
      <c r="S1334" s="124"/>
      <c r="T1334" s="124"/>
      <c r="U1334" s="124"/>
      <c r="V1334" s="124"/>
      <c r="W1334" s="124"/>
      <c r="X1334" s="124"/>
      <c r="Y1334" s="124"/>
    </row>
    <row r="1335" spans="2:25" x14ac:dyDescent="0.25">
      <c r="B1335" s="124"/>
      <c r="C1335" s="124"/>
      <c r="D1335" s="124"/>
      <c r="E1335" s="124"/>
      <c r="F1335" s="124"/>
      <c r="G1335" s="124"/>
      <c r="H1335" s="124"/>
      <c r="I1335" s="124"/>
      <c r="J1335" s="124"/>
      <c r="K1335" s="124"/>
      <c r="L1335" s="124"/>
      <c r="M1335" s="124"/>
      <c r="N1335" s="124"/>
      <c r="O1335" s="124"/>
      <c r="P1335" s="124"/>
      <c r="Q1335" s="124"/>
      <c r="R1335" s="124"/>
      <c r="S1335" s="124"/>
      <c r="T1335" s="124"/>
      <c r="U1335" s="124"/>
      <c r="V1335" s="124"/>
      <c r="W1335" s="124"/>
      <c r="X1335" s="124"/>
      <c r="Y1335" s="124"/>
    </row>
    <row r="1336" spans="2:25" x14ac:dyDescent="0.25">
      <c r="B1336" s="124"/>
      <c r="C1336" s="124"/>
      <c r="D1336" s="124"/>
      <c r="E1336" s="124"/>
      <c r="F1336" s="124"/>
      <c r="G1336" s="124"/>
      <c r="H1336" s="124"/>
      <c r="I1336" s="124"/>
      <c r="J1336" s="124"/>
      <c r="K1336" s="124"/>
      <c r="L1336" s="124"/>
      <c r="M1336" s="124"/>
      <c r="N1336" s="124"/>
      <c r="O1336" s="124"/>
      <c r="P1336" s="124"/>
      <c r="Q1336" s="124"/>
      <c r="R1336" s="124"/>
      <c r="S1336" s="124"/>
      <c r="T1336" s="124"/>
      <c r="U1336" s="124"/>
      <c r="V1336" s="124"/>
      <c r="W1336" s="124"/>
      <c r="X1336" s="124"/>
      <c r="Y1336" s="124"/>
    </row>
    <row r="1337" spans="2:25" x14ac:dyDescent="0.25">
      <c r="B1337" s="124"/>
      <c r="C1337" s="124"/>
      <c r="D1337" s="124"/>
      <c r="E1337" s="124"/>
      <c r="F1337" s="124"/>
      <c r="G1337" s="124"/>
      <c r="H1337" s="124"/>
      <c r="I1337" s="124"/>
      <c r="J1337" s="124"/>
      <c r="K1337" s="124"/>
      <c r="L1337" s="124"/>
      <c r="M1337" s="124"/>
      <c r="N1337" s="124"/>
      <c r="O1337" s="124"/>
      <c r="P1337" s="124"/>
      <c r="Q1337" s="124"/>
      <c r="R1337" s="124"/>
      <c r="S1337" s="124"/>
      <c r="T1337" s="124"/>
      <c r="U1337" s="124"/>
      <c r="V1337" s="124"/>
      <c r="W1337" s="124"/>
      <c r="X1337" s="124"/>
      <c r="Y1337" s="124"/>
    </row>
    <row r="1338" spans="2:25" x14ac:dyDescent="0.25">
      <c r="B1338" s="124"/>
      <c r="C1338" s="124"/>
      <c r="D1338" s="124"/>
      <c r="E1338" s="124"/>
      <c r="F1338" s="124"/>
      <c r="G1338" s="124"/>
      <c r="H1338" s="124"/>
      <c r="I1338" s="124"/>
      <c r="J1338" s="124"/>
      <c r="K1338" s="124"/>
      <c r="L1338" s="124"/>
      <c r="M1338" s="124"/>
      <c r="N1338" s="124"/>
      <c r="O1338" s="124"/>
      <c r="P1338" s="124"/>
      <c r="Q1338" s="124"/>
      <c r="R1338" s="124"/>
      <c r="S1338" s="124"/>
      <c r="T1338" s="124"/>
      <c r="U1338" s="124"/>
      <c r="V1338" s="124"/>
      <c r="W1338" s="124"/>
      <c r="X1338" s="124"/>
      <c r="Y1338" s="124"/>
    </row>
    <row r="1339" spans="2:25" x14ac:dyDescent="0.25">
      <c r="B1339" s="124"/>
      <c r="C1339" s="124"/>
      <c r="D1339" s="124"/>
      <c r="E1339" s="124"/>
      <c r="F1339" s="124"/>
      <c r="G1339" s="124"/>
      <c r="H1339" s="124"/>
      <c r="I1339" s="124"/>
      <c r="J1339" s="124"/>
      <c r="K1339" s="124"/>
      <c r="L1339" s="124"/>
      <c r="M1339" s="124"/>
      <c r="N1339" s="124"/>
      <c r="O1339" s="124"/>
      <c r="P1339" s="124"/>
      <c r="Q1339" s="124"/>
      <c r="R1339" s="124"/>
      <c r="S1339" s="124"/>
      <c r="T1339" s="124"/>
      <c r="U1339" s="124"/>
      <c r="V1339" s="124"/>
      <c r="W1339" s="124"/>
      <c r="X1339" s="124"/>
      <c r="Y1339" s="124"/>
    </row>
    <row r="1340" spans="2:25" x14ac:dyDescent="0.25">
      <c r="B1340" s="124"/>
      <c r="C1340" s="124"/>
      <c r="D1340" s="124"/>
      <c r="E1340" s="124"/>
      <c r="F1340" s="124"/>
      <c r="G1340" s="124"/>
      <c r="H1340" s="124"/>
      <c r="I1340" s="124"/>
      <c r="J1340" s="124"/>
      <c r="K1340" s="124"/>
      <c r="L1340" s="124"/>
      <c r="M1340" s="124"/>
      <c r="N1340" s="124"/>
      <c r="O1340" s="124"/>
      <c r="P1340" s="124"/>
      <c r="Q1340" s="124"/>
      <c r="R1340" s="124"/>
      <c r="S1340" s="124"/>
      <c r="T1340" s="124"/>
      <c r="U1340" s="124"/>
      <c r="V1340" s="124"/>
      <c r="W1340" s="124"/>
      <c r="X1340" s="124"/>
      <c r="Y1340" s="124"/>
    </row>
    <row r="1341" spans="2:25" x14ac:dyDescent="0.25">
      <c r="B1341" s="124"/>
      <c r="C1341" s="124"/>
      <c r="D1341" s="124"/>
      <c r="E1341" s="124"/>
      <c r="F1341" s="124"/>
      <c r="G1341" s="124"/>
      <c r="H1341" s="124"/>
      <c r="I1341" s="124"/>
      <c r="J1341" s="124"/>
      <c r="K1341" s="124"/>
      <c r="L1341" s="124"/>
      <c r="M1341" s="124"/>
      <c r="N1341" s="124"/>
      <c r="O1341" s="124"/>
      <c r="P1341" s="124"/>
      <c r="Q1341" s="124"/>
      <c r="R1341" s="124"/>
      <c r="S1341" s="124"/>
      <c r="T1341" s="124"/>
      <c r="U1341" s="124"/>
      <c r="V1341" s="124"/>
      <c r="W1341" s="124"/>
      <c r="X1341" s="124"/>
      <c r="Y1341" s="124"/>
    </row>
    <row r="1342" spans="2:25" x14ac:dyDescent="0.25">
      <c r="B1342" s="124"/>
      <c r="C1342" s="124"/>
      <c r="D1342" s="124"/>
      <c r="E1342" s="124"/>
      <c r="F1342" s="124"/>
      <c r="G1342" s="124"/>
      <c r="H1342" s="124"/>
      <c r="I1342" s="124"/>
      <c r="J1342" s="124"/>
      <c r="K1342" s="124"/>
      <c r="L1342" s="124"/>
      <c r="M1342" s="124"/>
      <c r="N1342" s="124"/>
      <c r="O1342" s="124"/>
      <c r="P1342" s="124"/>
      <c r="Q1342" s="124"/>
      <c r="R1342" s="124"/>
      <c r="S1342" s="124"/>
      <c r="T1342" s="124"/>
      <c r="U1342" s="124"/>
      <c r="V1342" s="124"/>
      <c r="W1342" s="124"/>
      <c r="X1342" s="124"/>
      <c r="Y1342" s="124"/>
    </row>
    <row r="1343" spans="2:25" x14ac:dyDescent="0.25">
      <c r="B1343" s="124"/>
      <c r="C1343" s="124"/>
      <c r="D1343" s="124"/>
      <c r="E1343" s="124"/>
      <c r="F1343" s="124"/>
      <c r="G1343" s="124"/>
      <c r="H1343" s="124"/>
      <c r="I1343" s="124"/>
      <c r="J1343" s="124"/>
      <c r="K1343" s="124"/>
      <c r="L1343" s="124"/>
      <c r="M1343" s="124"/>
      <c r="N1343" s="124"/>
      <c r="O1343" s="124"/>
      <c r="P1343" s="124"/>
      <c r="Q1343" s="124"/>
      <c r="R1343" s="124"/>
      <c r="S1343" s="124"/>
      <c r="T1343" s="124"/>
      <c r="U1343" s="124"/>
      <c r="V1343" s="124"/>
      <c r="W1343" s="124"/>
      <c r="X1343" s="124"/>
      <c r="Y1343" s="124"/>
    </row>
    <row r="1344" spans="2:25" x14ac:dyDescent="0.25">
      <c r="B1344" s="124"/>
      <c r="C1344" s="124"/>
      <c r="D1344" s="124"/>
      <c r="E1344" s="124"/>
      <c r="F1344" s="124"/>
      <c r="G1344" s="124"/>
      <c r="H1344" s="124"/>
      <c r="I1344" s="124"/>
      <c r="J1344" s="124"/>
      <c r="K1344" s="124"/>
      <c r="L1344" s="124"/>
      <c r="M1344" s="124"/>
      <c r="N1344" s="124"/>
      <c r="O1344" s="124"/>
      <c r="P1344" s="124"/>
      <c r="Q1344" s="124"/>
      <c r="R1344" s="124"/>
      <c r="S1344" s="124"/>
      <c r="T1344" s="124"/>
      <c r="U1344" s="124"/>
      <c r="V1344" s="124"/>
      <c r="W1344" s="124"/>
      <c r="X1344" s="124"/>
      <c r="Y1344" s="124"/>
    </row>
    <row r="1345" spans="2:25" x14ac:dyDescent="0.25">
      <c r="B1345" s="124"/>
      <c r="C1345" s="124"/>
      <c r="D1345" s="124"/>
      <c r="E1345" s="124"/>
      <c r="F1345" s="124"/>
      <c r="G1345" s="124"/>
      <c r="H1345" s="124"/>
      <c r="I1345" s="124"/>
      <c r="J1345" s="124"/>
      <c r="K1345" s="124"/>
      <c r="L1345" s="124"/>
      <c r="M1345" s="124"/>
      <c r="N1345" s="124"/>
      <c r="O1345" s="124"/>
      <c r="P1345" s="124"/>
      <c r="Q1345" s="124"/>
      <c r="R1345" s="124"/>
      <c r="S1345" s="124"/>
      <c r="T1345" s="124"/>
      <c r="U1345" s="124"/>
      <c r="V1345" s="124"/>
      <c r="W1345" s="124"/>
      <c r="X1345" s="124"/>
      <c r="Y1345" s="124"/>
    </row>
    <row r="1346" spans="2:25" x14ac:dyDescent="0.25">
      <c r="B1346" s="124"/>
      <c r="C1346" s="124"/>
      <c r="D1346" s="124"/>
      <c r="E1346" s="124"/>
      <c r="F1346" s="124"/>
      <c r="G1346" s="124"/>
      <c r="H1346" s="124"/>
      <c r="I1346" s="124"/>
      <c r="J1346" s="124"/>
      <c r="K1346" s="124"/>
      <c r="L1346" s="124"/>
      <c r="M1346" s="124"/>
      <c r="N1346" s="124"/>
      <c r="O1346" s="124"/>
      <c r="P1346" s="124"/>
      <c r="Q1346" s="124"/>
      <c r="R1346" s="124"/>
      <c r="S1346" s="124"/>
      <c r="T1346" s="124"/>
      <c r="U1346" s="124"/>
      <c r="V1346" s="124"/>
      <c r="W1346" s="124"/>
      <c r="X1346" s="124"/>
      <c r="Y1346" s="124"/>
    </row>
    <row r="1347" spans="2:25" x14ac:dyDescent="0.25">
      <c r="B1347" s="124"/>
      <c r="C1347" s="124"/>
      <c r="D1347" s="124"/>
      <c r="E1347" s="124"/>
      <c r="F1347" s="124"/>
      <c r="G1347" s="124"/>
      <c r="H1347" s="124"/>
      <c r="I1347" s="124"/>
      <c r="J1347" s="124"/>
      <c r="K1347" s="124"/>
      <c r="L1347" s="124"/>
      <c r="M1347" s="124"/>
      <c r="N1347" s="124"/>
      <c r="O1347" s="124"/>
      <c r="P1347" s="124"/>
      <c r="Q1347" s="124"/>
      <c r="R1347" s="124"/>
      <c r="S1347" s="124"/>
      <c r="T1347" s="124"/>
      <c r="U1347" s="124"/>
      <c r="V1347" s="124"/>
      <c r="W1347" s="124"/>
      <c r="X1347" s="124"/>
      <c r="Y1347" s="124"/>
    </row>
    <row r="1348" spans="2:25" x14ac:dyDescent="0.25">
      <c r="B1348" s="124"/>
      <c r="C1348" s="124"/>
      <c r="D1348" s="124"/>
      <c r="E1348" s="124"/>
      <c r="F1348" s="124"/>
      <c r="G1348" s="124"/>
      <c r="H1348" s="124"/>
      <c r="I1348" s="124"/>
      <c r="J1348" s="124"/>
      <c r="K1348" s="124"/>
      <c r="L1348" s="124"/>
      <c r="M1348" s="124"/>
      <c r="N1348" s="124"/>
      <c r="O1348" s="124"/>
      <c r="P1348" s="124"/>
      <c r="Q1348" s="124"/>
      <c r="R1348" s="124"/>
      <c r="S1348" s="124"/>
      <c r="T1348" s="124"/>
      <c r="U1348" s="124"/>
      <c r="V1348" s="124"/>
      <c r="W1348" s="124"/>
      <c r="X1348" s="124"/>
      <c r="Y1348" s="124"/>
    </row>
    <row r="1349" spans="2:25" x14ac:dyDescent="0.25">
      <c r="B1349" s="124"/>
      <c r="C1349" s="124"/>
      <c r="D1349" s="124"/>
      <c r="E1349" s="124"/>
      <c r="F1349" s="124"/>
      <c r="G1349" s="124"/>
      <c r="H1349" s="124"/>
      <c r="I1349" s="124"/>
      <c r="J1349" s="124"/>
      <c r="K1349" s="124"/>
      <c r="L1349" s="124"/>
      <c r="M1349" s="124"/>
      <c r="N1349" s="124"/>
      <c r="O1349" s="124"/>
      <c r="P1349" s="124"/>
      <c r="Q1349" s="124"/>
      <c r="R1349" s="124"/>
      <c r="S1349" s="124"/>
      <c r="T1349" s="124"/>
      <c r="U1349" s="124"/>
      <c r="V1349" s="124"/>
      <c r="W1349" s="124"/>
      <c r="X1349" s="124"/>
      <c r="Y1349" s="124"/>
    </row>
    <row r="1350" spans="2:25" x14ac:dyDescent="0.25">
      <c r="B1350" s="124"/>
      <c r="C1350" s="124"/>
      <c r="D1350" s="124"/>
      <c r="E1350" s="124"/>
      <c r="F1350" s="124"/>
      <c r="G1350" s="124"/>
      <c r="H1350" s="124"/>
      <c r="I1350" s="124"/>
      <c r="J1350" s="124"/>
      <c r="K1350" s="124"/>
      <c r="L1350" s="124"/>
      <c r="M1350" s="124"/>
      <c r="N1350" s="124"/>
      <c r="O1350" s="124"/>
      <c r="P1350" s="124"/>
      <c r="Q1350" s="124"/>
      <c r="R1350" s="124"/>
      <c r="S1350" s="124"/>
      <c r="T1350" s="124"/>
      <c r="U1350" s="124"/>
      <c r="V1350" s="124"/>
      <c r="W1350" s="124"/>
      <c r="X1350" s="124"/>
      <c r="Y1350" s="124"/>
    </row>
    <row r="1351" spans="2:25" x14ac:dyDescent="0.25">
      <c r="B1351" s="124"/>
      <c r="C1351" s="124"/>
      <c r="D1351" s="124"/>
      <c r="E1351" s="124"/>
      <c r="F1351" s="124"/>
      <c r="G1351" s="124"/>
      <c r="H1351" s="124"/>
      <c r="I1351" s="124"/>
      <c r="J1351" s="124"/>
      <c r="K1351" s="124"/>
      <c r="L1351" s="124"/>
      <c r="M1351" s="124"/>
      <c r="N1351" s="124"/>
      <c r="O1351" s="124"/>
      <c r="P1351" s="124"/>
      <c r="Q1351" s="124"/>
      <c r="R1351" s="124"/>
      <c r="S1351" s="124"/>
      <c r="T1351" s="124"/>
      <c r="U1351" s="124"/>
      <c r="V1351" s="124"/>
      <c r="W1351" s="124"/>
      <c r="X1351" s="124"/>
      <c r="Y1351" s="124"/>
    </row>
    <row r="1352" spans="2:25" x14ac:dyDescent="0.25">
      <c r="B1352" s="124"/>
      <c r="C1352" s="124"/>
      <c r="D1352" s="124"/>
      <c r="E1352" s="124"/>
      <c r="F1352" s="124"/>
      <c r="G1352" s="124"/>
      <c r="H1352" s="124"/>
      <c r="I1352" s="124"/>
      <c r="J1352" s="124"/>
      <c r="K1352" s="124"/>
      <c r="L1352" s="124"/>
      <c r="M1352" s="124"/>
      <c r="N1352" s="124"/>
      <c r="O1352" s="124"/>
      <c r="P1352" s="124"/>
      <c r="Q1352" s="124"/>
      <c r="R1352" s="124"/>
      <c r="S1352" s="124"/>
      <c r="T1352" s="124"/>
      <c r="U1352" s="124"/>
      <c r="V1352" s="124"/>
      <c r="W1352" s="124"/>
      <c r="X1352" s="124"/>
      <c r="Y1352" s="124"/>
    </row>
    <row r="1353" spans="2:25" x14ac:dyDescent="0.25">
      <c r="B1353" s="124"/>
      <c r="C1353" s="124"/>
      <c r="D1353" s="124"/>
      <c r="E1353" s="124"/>
      <c r="F1353" s="124"/>
      <c r="G1353" s="124"/>
      <c r="H1353" s="124"/>
      <c r="I1353" s="124"/>
      <c r="J1353" s="124"/>
      <c r="K1353" s="124"/>
      <c r="L1353" s="124"/>
      <c r="M1353" s="124"/>
      <c r="N1353" s="124"/>
      <c r="O1353" s="124"/>
      <c r="P1353" s="124"/>
      <c r="Q1353" s="124"/>
      <c r="R1353" s="124"/>
      <c r="S1353" s="124"/>
      <c r="T1353" s="124"/>
      <c r="U1353" s="124"/>
      <c r="V1353" s="124"/>
      <c r="W1353" s="124"/>
      <c r="X1353" s="124"/>
      <c r="Y1353" s="124"/>
    </row>
    <row r="1354" spans="2:25" x14ac:dyDescent="0.25">
      <c r="B1354" s="124"/>
      <c r="C1354" s="124"/>
      <c r="D1354" s="124"/>
      <c r="E1354" s="124"/>
      <c r="F1354" s="124"/>
      <c r="G1354" s="124"/>
      <c r="H1354" s="124"/>
      <c r="I1354" s="124"/>
      <c r="J1354" s="124"/>
      <c r="K1354" s="124"/>
      <c r="L1354" s="124"/>
      <c r="M1354" s="124"/>
      <c r="N1354" s="124"/>
      <c r="O1354" s="124"/>
      <c r="P1354" s="124"/>
      <c r="Q1354" s="124"/>
      <c r="R1354" s="124"/>
      <c r="S1354" s="124"/>
      <c r="T1354" s="124"/>
      <c r="U1354" s="124"/>
      <c r="V1354" s="124"/>
      <c r="W1354" s="124"/>
      <c r="X1354" s="124"/>
      <c r="Y1354" s="124"/>
    </row>
    <row r="1355" spans="2:25" x14ac:dyDescent="0.25">
      <c r="B1355" s="124"/>
      <c r="C1355" s="124"/>
      <c r="D1355" s="124"/>
      <c r="E1355" s="124"/>
      <c r="F1355" s="124"/>
      <c r="G1355" s="124"/>
      <c r="H1355" s="124"/>
      <c r="I1355" s="124"/>
      <c r="J1355" s="124"/>
      <c r="K1355" s="124"/>
      <c r="L1355" s="124"/>
      <c r="M1355" s="124"/>
      <c r="N1355" s="124"/>
      <c r="O1355" s="124"/>
      <c r="P1355" s="124"/>
      <c r="Q1355" s="124"/>
      <c r="R1355" s="124"/>
      <c r="S1355" s="124"/>
      <c r="T1355" s="124"/>
      <c r="U1355" s="124"/>
      <c r="V1355" s="124"/>
      <c r="W1355" s="124"/>
      <c r="X1355" s="124"/>
      <c r="Y1355" s="124"/>
    </row>
    <row r="1356" spans="2:25" x14ac:dyDescent="0.25">
      <c r="B1356" s="124"/>
      <c r="C1356" s="124"/>
      <c r="D1356" s="124"/>
      <c r="E1356" s="124"/>
      <c r="F1356" s="124"/>
      <c r="G1356" s="124"/>
      <c r="H1356" s="124"/>
      <c r="I1356" s="124"/>
      <c r="J1356" s="124"/>
      <c r="K1356" s="124"/>
      <c r="L1356" s="124"/>
      <c r="M1356" s="124"/>
      <c r="N1356" s="124"/>
      <c r="O1356" s="124"/>
      <c r="P1356" s="124"/>
      <c r="Q1356" s="124"/>
      <c r="R1356" s="124"/>
      <c r="S1356" s="124"/>
      <c r="T1356" s="124"/>
      <c r="U1356" s="124"/>
      <c r="V1356" s="124"/>
      <c r="W1356" s="124"/>
      <c r="X1356" s="124"/>
      <c r="Y1356" s="124"/>
    </row>
    <row r="1357" spans="2:25" x14ac:dyDescent="0.25">
      <c r="B1357" s="124"/>
      <c r="C1357" s="124"/>
      <c r="D1357" s="124"/>
      <c r="E1357" s="124"/>
      <c r="F1357" s="124"/>
      <c r="G1357" s="124"/>
      <c r="H1357" s="124"/>
      <c r="I1357" s="124"/>
      <c r="J1357" s="124"/>
      <c r="K1357" s="124"/>
      <c r="L1357" s="124"/>
      <c r="M1357" s="124"/>
      <c r="N1357" s="124"/>
      <c r="O1357" s="124"/>
      <c r="P1357" s="124"/>
      <c r="Q1357" s="124"/>
      <c r="R1357" s="124"/>
      <c r="S1357" s="124"/>
      <c r="T1357" s="124"/>
      <c r="U1357" s="124"/>
      <c r="V1357" s="124"/>
      <c r="W1357" s="124"/>
      <c r="X1357" s="124"/>
      <c r="Y1357" s="124"/>
    </row>
    <row r="1358" spans="2:25" x14ac:dyDescent="0.25">
      <c r="B1358" s="124"/>
      <c r="C1358" s="124"/>
      <c r="D1358" s="124"/>
      <c r="E1358" s="124"/>
      <c r="F1358" s="124"/>
      <c r="G1358" s="124"/>
      <c r="H1358" s="124"/>
      <c r="I1358" s="124"/>
      <c r="J1358" s="124"/>
      <c r="K1358" s="124"/>
      <c r="L1358" s="124"/>
      <c r="M1358" s="124"/>
      <c r="N1358" s="124"/>
      <c r="O1358" s="124"/>
      <c r="P1358" s="124"/>
      <c r="Q1358" s="124"/>
      <c r="R1358" s="124"/>
      <c r="S1358" s="124"/>
      <c r="T1358" s="124"/>
      <c r="U1358" s="124"/>
      <c r="V1358" s="124"/>
      <c r="W1358" s="124"/>
      <c r="X1358" s="124"/>
      <c r="Y1358" s="124"/>
    </row>
    <row r="1359" spans="2:25" x14ac:dyDescent="0.25">
      <c r="B1359" s="124"/>
      <c r="C1359" s="124"/>
      <c r="D1359" s="124"/>
      <c r="E1359" s="124"/>
      <c r="F1359" s="124"/>
      <c r="G1359" s="124"/>
      <c r="H1359" s="124"/>
      <c r="I1359" s="124"/>
      <c r="J1359" s="124"/>
      <c r="K1359" s="124"/>
      <c r="L1359" s="124"/>
      <c r="M1359" s="124"/>
      <c r="N1359" s="124"/>
      <c r="O1359" s="124"/>
      <c r="P1359" s="124"/>
      <c r="Q1359" s="124"/>
      <c r="R1359" s="124"/>
      <c r="S1359" s="124"/>
      <c r="T1359" s="124"/>
      <c r="U1359" s="124"/>
      <c r="V1359" s="124"/>
      <c r="W1359" s="124"/>
      <c r="X1359" s="124"/>
      <c r="Y1359" s="124"/>
    </row>
    <row r="1360" spans="2:25" x14ac:dyDescent="0.25">
      <c r="B1360" s="124"/>
      <c r="C1360" s="124"/>
      <c r="D1360" s="124"/>
      <c r="E1360" s="124"/>
      <c r="F1360" s="124"/>
      <c r="G1360" s="124"/>
      <c r="H1360" s="124"/>
      <c r="I1360" s="124"/>
      <c r="J1360" s="124"/>
      <c r="K1360" s="124"/>
      <c r="L1360" s="124"/>
      <c r="M1360" s="124"/>
      <c r="N1360" s="124"/>
      <c r="O1360" s="124"/>
      <c r="P1360" s="124"/>
      <c r="Q1360" s="124"/>
      <c r="R1360" s="124"/>
      <c r="S1360" s="124"/>
      <c r="T1360" s="124"/>
      <c r="U1360" s="124"/>
      <c r="V1360" s="124"/>
      <c r="W1360" s="124"/>
      <c r="X1360" s="124"/>
      <c r="Y1360" s="124"/>
    </row>
    <row r="1361" spans="2:25" x14ac:dyDescent="0.25">
      <c r="B1361" s="124"/>
      <c r="C1361" s="124"/>
      <c r="D1361" s="124"/>
      <c r="E1361" s="124"/>
      <c r="F1361" s="124"/>
      <c r="G1361" s="124"/>
      <c r="H1361" s="124"/>
      <c r="I1361" s="124"/>
      <c r="J1361" s="124"/>
      <c r="K1361" s="124"/>
      <c r="L1361" s="124"/>
      <c r="M1361" s="124"/>
      <c r="N1361" s="124"/>
      <c r="O1361" s="124"/>
      <c r="P1361" s="124"/>
      <c r="Q1361" s="124"/>
      <c r="R1361" s="124"/>
      <c r="S1361" s="124"/>
      <c r="T1361" s="124"/>
      <c r="U1361" s="124"/>
      <c r="V1361" s="124"/>
      <c r="W1361" s="124"/>
      <c r="X1361" s="124"/>
      <c r="Y1361" s="124"/>
    </row>
    <row r="1362" spans="2:25" x14ac:dyDescent="0.25">
      <c r="B1362" s="124"/>
      <c r="C1362" s="124"/>
      <c r="D1362" s="124"/>
      <c r="E1362" s="124"/>
      <c r="F1362" s="124"/>
      <c r="G1362" s="124"/>
      <c r="H1362" s="124"/>
      <c r="I1362" s="124"/>
      <c r="J1362" s="124"/>
      <c r="K1362" s="124"/>
      <c r="L1362" s="124"/>
      <c r="M1362" s="124"/>
      <c r="N1362" s="124"/>
      <c r="O1362" s="124"/>
      <c r="P1362" s="124"/>
      <c r="Q1362" s="124"/>
      <c r="R1362" s="124"/>
      <c r="S1362" s="124"/>
      <c r="T1362" s="124"/>
      <c r="U1362" s="124"/>
      <c r="V1362" s="124"/>
      <c r="W1362" s="124"/>
      <c r="X1362" s="124"/>
      <c r="Y1362" s="124"/>
    </row>
    <row r="1363" spans="2:25" x14ac:dyDescent="0.25">
      <c r="B1363" s="124"/>
      <c r="C1363" s="124"/>
      <c r="D1363" s="124"/>
      <c r="E1363" s="124"/>
      <c r="F1363" s="124"/>
      <c r="G1363" s="124"/>
      <c r="H1363" s="124"/>
      <c r="I1363" s="124"/>
      <c r="J1363" s="124"/>
      <c r="K1363" s="124"/>
      <c r="L1363" s="124"/>
      <c r="M1363" s="124"/>
      <c r="N1363" s="124"/>
      <c r="O1363" s="124"/>
      <c r="P1363" s="124"/>
      <c r="Q1363" s="124"/>
      <c r="R1363" s="124"/>
      <c r="S1363" s="124"/>
      <c r="T1363" s="124"/>
      <c r="U1363" s="124"/>
      <c r="V1363" s="124"/>
      <c r="W1363" s="124"/>
      <c r="X1363" s="124"/>
      <c r="Y1363" s="124"/>
    </row>
    <row r="1364" spans="2:25" x14ac:dyDescent="0.25">
      <c r="B1364" s="124"/>
      <c r="C1364" s="124"/>
      <c r="D1364" s="124"/>
      <c r="E1364" s="124"/>
      <c r="F1364" s="124"/>
      <c r="G1364" s="124"/>
      <c r="H1364" s="124"/>
      <c r="I1364" s="124"/>
      <c r="J1364" s="124"/>
      <c r="K1364" s="124"/>
      <c r="L1364" s="124"/>
      <c r="M1364" s="124"/>
      <c r="N1364" s="124"/>
      <c r="O1364" s="124"/>
      <c r="P1364" s="124"/>
      <c r="Q1364" s="124"/>
      <c r="R1364" s="124"/>
      <c r="S1364" s="124"/>
      <c r="T1364" s="124"/>
      <c r="U1364" s="124"/>
      <c r="V1364" s="124"/>
      <c r="W1364" s="124"/>
      <c r="X1364" s="124"/>
      <c r="Y1364" s="124"/>
    </row>
    <row r="1365" spans="2:25" x14ac:dyDescent="0.25">
      <c r="B1365" s="124"/>
      <c r="C1365" s="124"/>
      <c r="D1365" s="124"/>
      <c r="E1365" s="124"/>
      <c r="F1365" s="124"/>
      <c r="G1365" s="124"/>
      <c r="H1365" s="124"/>
      <c r="I1365" s="124"/>
      <c r="J1365" s="124"/>
      <c r="K1365" s="124"/>
      <c r="L1365" s="124"/>
      <c r="M1365" s="124"/>
      <c r="N1365" s="124"/>
      <c r="O1365" s="124"/>
      <c r="P1365" s="124"/>
      <c r="Q1365" s="124"/>
      <c r="R1365" s="124"/>
      <c r="S1365" s="124"/>
      <c r="T1365" s="124"/>
      <c r="U1365" s="124"/>
      <c r="V1365" s="124"/>
      <c r="W1365" s="124"/>
      <c r="X1365" s="124"/>
      <c r="Y1365" s="124"/>
    </row>
    <row r="1366" spans="2:25" x14ac:dyDescent="0.25">
      <c r="B1366" s="124"/>
      <c r="C1366" s="124"/>
      <c r="D1366" s="124"/>
      <c r="E1366" s="124"/>
      <c r="F1366" s="124"/>
      <c r="G1366" s="124"/>
      <c r="H1366" s="124"/>
      <c r="I1366" s="124"/>
      <c r="J1366" s="124"/>
      <c r="K1366" s="124"/>
      <c r="L1366" s="124"/>
      <c r="M1366" s="124"/>
      <c r="N1366" s="124"/>
      <c r="O1366" s="124"/>
      <c r="P1366" s="124"/>
      <c r="Q1366" s="124"/>
      <c r="R1366" s="124"/>
      <c r="S1366" s="124"/>
      <c r="T1366" s="124"/>
      <c r="U1366" s="124"/>
      <c r="V1366" s="124"/>
      <c r="W1366" s="124"/>
      <c r="X1366" s="124"/>
      <c r="Y1366" s="124"/>
    </row>
    <row r="1367" spans="2:25" x14ac:dyDescent="0.25">
      <c r="B1367" s="124"/>
      <c r="C1367" s="124"/>
      <c r="D1367" s="124"/>
      <c r="E1367" s="124"/>
      <c r="F1367" s="124"/>
      <c r="G1367" s="124"/>
      <c r="H1367" s="124"/>
      <c r="I1367" s="124"/>
      <c r="J1367" s="124"/>
      <c r="K1367" s="124"/>
      <c r="L1367" s="124"/>
      <c r="M1367" s="124"/>
      <c r="N1367" s="124"/>
      <c r="O1367" s="124"/>
      <c r="P1367" s="124"/>
      <c r="Q1367" s="124"/>
      <c r="R1367" s="124"/>
      <c r="S1367" s="124"/>
      <c r="T1367" s="124"/>
      <c r="U1367" s="124"/>
      <c r="V1367" s="124"/>
      <c r="W1367" s="124"/>
      <c r="X1367" s="124"/>
      <c r="Y1367" s="124"/>
    </row>
    <row r="1368" spans="2:25" x14ac:dyDescent="0.25">
      <c r="B1368" s="124"/>
      <c r="C1368" s="124"/>
      <c r="D1368" s="124"/>
      <c r="E1368" s="124"/>
      <c r="F1368" s="124"/>
      <c r="G1368" s="124"/>
      <c r="H1368" s="124"/>
      <c r="I1368" s="124"/>
      <c r="J1368" s="124"/>
      <c r="K1368" s="124"/>
      <c r="L1368" s="124"/>
      <c r="M1368" s="124"/>
      <c r="N1368" s="124"/>
      <c r="O1368" s="124"/>
      <c r="P1368" s="124"/>
      <c r="Q1368" s="124"/>
      <c r="R1368" s="124"/>
      <c r="S1368" s="124"/>
      <c r="T1368" s="124"/>
      <c r="U1368" s="124"/>
      <c r="V1368" s="124"/>
      <c r="W1368" s="124"/>
      <c r="X1368" s="124"/>
      <c r="Y1368" s="124"/>
    </row>
    <row r="1369" spans="2:25" x14ac:dyDescent="0.25">
      <c r="B1369" s="124"/>
      <c r="C1369" s="124"/>
      <c r="D1369" s="124"/>
      <c r="E1369" s="124"/>
      <c r="F1369" s="124"/>
      <c r="G1369" s="124"/>
      <c r="H1369" s="124"/>
      <c r="I1369" s="124"/>
      <c r="J1369" s="124"/>
      <c r="K1369" s="124"/>
      <c r="L1369" s="124"/>
      <c r="M1369" s="124"/>
      <c r="N1369" s="124"/>
      <c r="O1369" s="124"/>
      <c r="P1369" s="124"/>
      <c r="Q1369" s="124"/>
      <c r="R1369" s="124"/>
      <c r="S1369" s="124"/>
      <c r="T1369" s="124"/>
      <c r="U1369" s="124"/>
      <c r="V1369" s="124"/>
      <c r="W1369" s="124"/>
      <c r="X1369" s="124"/>
      <c r="Y1369" s="124"/>
    </row>
    <row r="1370" spans="2:25" x14ac:dyDescent="0.25">
      <c r="B1370" s="124"/>
      <c r="C1370" s="124"/>
      <c r="D1370" s="124"/>
      <c r="E1370" s="124"/>
      <c r="F1370" s="124"/>
      <c r="G1370" s="124"/>
      <c r="H1370" s="124"/>
      <c r="I1370" s="124"/>
      <c r="J1370" s="124"/>
      <c r="K1370" s="124"/>
      <c r="L1370" s="124"/>
      <c r="M1370" s="124"/>
      <c r="N1370" s="124"/>
      <c r="O1370" s="124"/>
      <c r="P1370" s="124"/>
      <c r="Q1370" s="124"/>
      <c r="R1370" s="124"/>
      <c r="S1370" s="124"/>
      <c r="T1370" s="124"/>
      <c r="U1370" s="124"/>
      <c r="V1370" s="124"/>
      <c r="W1370" s="124"/>
      <c r="X1370" s="124"/>
      <c r="Y1370" s="124"/>
    </row>
    <row r="1371" spans="2:25" x14ac:dyDescent="0.25">
      <c r="B1371" s="124"/>
      <c r="C1371" s="124"/>
      <c r="D1371" s="124"/>
      <c r="E1371" s="124"/>
      <c r="F1371" s="124"/>
      <c r="G1371" s="124"/>
      <c r="H1371" s="124"/>
      <c r="I1371" s="124"/>
      <c r="J1371" s="124"/>
      <c r="K1371" s="124"/>
      <c r="L1371" s="124"/>
      <c r="M1371" s="124"/>
      <c r="N1371" s="124"/>
      <c r="O1371" s="124"/>
      <c r="P1371" s="124"/>
      <c r="Q1371" s="124"/>
      <c r="R1371" s="124"/>
      <c r="S1371" s="124"/>
      <c r="T1371" s="124"/>
      <c r="U1371" s="124"/>
      <c r="V1371" s="124"/>
      <c r="W1371" s="124"/>
      <c r="X1371" s="124"/>
      <c r="Y1371" s="124"/>
    </row>
    <row r="1372" spans="2:25" x14ac:dyDescent="0.25">
      <c r="B1372" s="124"/>
      <c r="C1372" s="124"/>
      <c r="D1372" s="124"/>
      <c r="E1372" s="124"/>
      <c r="F1372" s="124"/>
      <c r="G1372" s="124"/>
      <c r="H1372" s="124"/>
      <c r="I1372" s="124"/>
      <c r="J1372" s="124"/>
      <c r="K1372" s="124"/>
      <c r="L1372" s="124"/>
      <c r="M1372" s="124"/>
      <c r="N1372" s="124"/>
      <c r="O1372" s="124"/>
      <c r="P1372" s="124"/>
      <c r="Q1372" s="124"/>
      <c r="R1372" s="124"/>
      <c r="S1372" s="124"/>
      <c r="T1372" s="124"/>
      <c r="U1372" s="124"/>
      <c r="V1372" s="124"/>
      <c r="W1372" s="124"/>
      <c r="X1372" s="124"/>
      <c r="Y1372" s="124"/>
    </row>
    <row r="1373" spans="2:25" x14ac:dyDescent="0.25">
      <c r="B1373" s="124"/>
      <c r="C1373" s="124"/>
      <c r="D1373" s="124"/>
      <c r="E1373" s="124"/>
      <c r="F1373" s="124"/>
      <c r="G1373" s="124"/>
      <c r="H1373" s="124"/>
      <c r="I1373" s="124"/>
      <c r="J1373" s="124"/>
      <c r="K1373" s="124"/>
      <c r="L1373" s="124"/>
      <c r="M1373" s="124"/>
      <c r="N1373" s="124"/>
      <c r="O1373" s="124"/>
      <c r="P1373" s="124"/>
      <c r="Q1373" s="124"/>
      <c r="R1373" s="124"/>
      <c r="S1373" s="124"/>
      <c r="T1373" s="124"/>
      <c r="U1373" s="124"/>
      <c r="V1373" s="124"/>
      <c r="W1373" s="124"/>
      <c r="X1373" s="124"/>
      <c r="Y1373" s="124"/>
    </row>
    <row r="1374" spans="2:25" x14ac:dyDescent="0.25">
      <c r="B1374" s="124"/>
      <c r="C1374" s="124"/>
      <c r="D1374" s="124"/>
      <c r="E1374" s="124"/>
      <c r="F1374" s="124"/>
      <c r="G1374" s="124"/>
      <c r="H1374" s="124"/>
      <c r="I1374" s="124"/>
      <c r="J1374" s="124"/>
      <c r="K1374" s="124"/>
      <c r="L1374" s="124"/>
      <c r="M1374" s="124"/>
      <c r="N1374" s="124"/>
      <c r="O1374" s="124"/>
      <c r="P1374" s="124"/>
      <c r="Q1374" s="124"/>
      <c r="R1374" s="124"/>
      <c r="S1374" s="124"/>
      <c r="T1374" s="124"/>
      <c r="U1374" s="124"/>
      <c r="V1374" s="124"/>
      <c r="W1374" s="124"/>
      <c r="X1374" s="124"/>
      <c r="Y1374" s="124"/>
    </row>
    <row r="1375" spans="2:25" x14ac:dyDescent="0.25">
      <c r="B1375" s="124"/>
      <c r="C1375" s="124"/>
      <c r="D1375" s="124"/>
      <c r="E1375" s="124"/>
      <c r="F1375" s="124"/>
      <c r="G1375" s="124"/>
      <c r="H1375" s="124"/>
      <c r="I1375" s="124"/>
      <c r="J1375" s="124"/>
      <c r="K1375" s="124"/>
      <c r="L1375" s="124"/>
      <c r="M1375" s="124"/>
      <c r="N1375" s="124"/>
      <c r="O1375" s="124"/>
      <c r="P1375" s="124"/>
      <c r="Q1375" s="124"/>
      <c r="R1375" s="124"/>
      <c r="S1375" s="124"/>
      <c r="T1375" s="124"/>
      <c r="U1375" s="124"/>
      <c r="V1375" s="124"/>
      <c r="W1375" s="124"/>
      <c r="X1375" s="124"/>
      <c r="Y1375" s="124"/>
    </row>
    <row r="1376" spans="2:25" x14ac:dyDescent="0.25">
      <c r="B1376" s="124"/>
      <c r="C1376" s="124"/>
      <c r="D1376" s="124"/>
      <c r="E1376" s="124"/>
      <c r="F1376" s="124"/>
      <c r="G1376" s="124"/>
      <c r="H1376" s="124"/>
      <c r="I1376" s="124"/>
      <c r="J1376" s="124"/>
      <c r="K1376" s="124"/>
      <c r="L1376" s="124"/>
      <c r="M1376" s="124"/>
      <c r="N1376" s="124"/>
      <c r="O1376" s="124"/>
      <c r="P1376" s="124"/>
      <c r="Q1376" s="124"/>
      <c r="R1376" s="124"/>
      <c r="S1376" s="124"/>
      <c r="T1376" s="124"/>
      <c r="U1376" s="124"/>
      <c r="V1376" s="124"/>
      <c r="W1376" s="124"/>
      <c r="X1376" s="124"/>
      <c r="Y1376" s="124"/>
    </row>
    <row r="1377" spans="2:25" x14ac:dyDescent="0.25">
      <c r="B1377" s="124"/>
      <c r="C1377" s="124"/>
      <c r="D1377" s="124"/>
      <c r="E1377" s="124"/>
      <c r="F1377" s="124"/>
      <c r="G1377" s="124"/>
      <c r="H1377" s="124"/>
      <c r="I1377" s="124"/>
      <c r="J1377" s="124"/>
      <c r="K1377" s="124"/>
      <c r="L1377" s="124"/>
      <c r="M1377" s="124"/>
      <c r="N1377" s="124"/>
      <c r="O1377" s="124"/>
      <c r="P1377" s="124"/>
      <c r="Q1377" s="124"/>
      <c r="R1377" s="124"/>
      <c r="S1377" s="124"/>
      <c r="T1377" s="124"/>
      <c r="U1377" s="124"/>
      <c r="V1377" s="124"/>
      <c r="W1377" s="124"/>
      <c r="X1377" s="124"/>
      <c r="Y1377" s="124"/>
    </row>
    <row r="1378" spans="2:25" x14ac:dyDescent="0.25">
      <c r="B1378" s="124"/>
      <c r="C1378" s="124"/>
      <c r="D1378" s="124"/>
      <c r="E1378" s="124"/>
      <c r="F1378" s="124"/>
      <c r="G1378" s="124"/>
      <c r="H1378" s="124"/>
      <c r="I1378" s="124"/>
      <c r="J1378" s="124"/>
      <c r="K1378" s="124"/>
      <c r="L1378" s="124"/>
      <c r="M1378" s="124"/>
      <c r="N1378" s="124"/>
      <c r="O1378" s="124"/>
      <c r="P1378" s="124"/>
      <c r="Q1378" s="124"/>
      <c r="R1378" s="124"/>
      <c r="S1378" s="124"/>
      <c r="T1378" s="124"/>
      <c r="U1378" s="124"/>
      <c r="V1378" s="124"/>
      <c r="W1378" s="124"/>
      <c r="X1378" s="124"/>
      <c r="Y1378" s="124"/>
    </row>
    <row r="1379" spans="2:25" x14ac:dyDescent="0.25">
      <c r="B1379" s="124"/>
      <c r="C1379" s="124"/>
      <c r="D1379" s="124"/>
      <c r="E1379" s="124"/>
      <c r="F1379" s="124"/>
      <c r="G1379" s="124"/>
      <c r="H1379" s="124"/>
      <c r="I1379" s="124"/>
      <c r="J1379" s="124"/>
      <c r="K1379" s="124"/>
      <c r="L1379" s="124"/>
      <c r="M1379" s="124"/>
      <c r="N1379" s="124"/>
      <c r="O1379" s="124"/>
      <c r="P1379" s="124"/>
      <c r="Q1379" s="124"/>
      <c r="R1379" s="124"/>
      <c r="S1379" s="124"/>
      <c r="T1379" s="124"/>
      <c r="U1379" s="124"/>
      <c r="V1379" s="124"/>
      <c r="W1379" s="124"/>
      <c r="X1379" s="124"/>
      <c r="Y1379" s="124"/>
    </row>
    <row r="1380" spans="2:25" x14ac:dyDescent="0.25">
      <c r="B1380" s="124"/>
      <c r="C1380" s="124"/>
      <c r="D1380" s="124"/>
      <c r="E1380" s="124"/>
      <c r="F1380" s="124"/>
      <c r="G1380" s="124"/>
      <c r="H1380" s="124"/>
      <c r="I1380" s="124"/>
      <c r="J1380" s="124"/>
      <c r="K1380" s="124"/>
      <c r="L1380" s="124"/>
      <c r="M1380" s="124"/>
      <c r="N1380" s="124"/>
      <c r="O1380" s="124"/>
      <c r="P1380" s="124"/>
      <c r="Q1380" s="124"/>
      <c r="R1380" s="124"/>
      <c r="S1380" s="124"/>
      <c r="T1380" s="124"/>
      <c r="U1380" s="124"/>
      <c r="V1380" s="124"/>
      <c r="W1380" s="124"/>
      <c r="X1380" s="124"/>
      <c r="Y1380" s="124"/>
    </row>
    <row r="1381" spans="2:25" x14ac:dyDescent="0.25">
      <c r="B1381" s="124"/>
      <c r="C1381" s="124"/>
      <c r="D1381" s="124"/>
      <c r="E1381" s="124"/>
      <c r="F1381" s="124"/>
      <c r="G1381" s="124"/>
      <c r="H1381" s="124"/>
      <c r="I1381" s="124"/>
      <c r="J1381" s="124"/>
      <c r="K1381" s="124"/>
      <c r="L1381" s="124"/>
      <c r="M1381" s="124"/>
      <c r="N1381" s="124"/>
      <c r="O1381" s="124"/>
      <c r="P1381" s="124"/>
      <c r="Q1381" s="124"/>
      <c r="R1381" s="124"/>
      <c r="S1381" s="124"/>
      <c r="T1381" s="124"/>
      <c r="U1381" s="124"/>
      <c r="V1381" s="124"/>
      <c r="W1381" s="124"/>
      <c r="X1381" s="124"/>
      <c r="Y1381" s="124"/>
    </row>
    <row r="1382" spans="2:25" x14ac:dyDescent="0.25">
      <c r="B1382" s="124"/>
      <c r="C1382" s="124"/>
      <c r="D1382" s="124"/>
      <c r="E1382" s="124"/>
      <c r="F1382" s="124"/>
      <c r="G1382" s="124"/>
      <c r="H1382" s="124"/>
      <c r="I1382" s="124"/>
      <c r="J1382" s="124"/>
      <c r="K1382" s="124"/>
      <c r="L1382" s="124"/>
      <c r="M1382" s="124"/>
      <c r="N1382" s="124"/>
      <c r="O1382" s="124"/>
      <c r="P1382" s="124"/>
      <c r="Q1382" s="124"/>
      <c r="R1382" s="124"/>
      <c r="S1382" s="124"/>
      <c r="T1382" s="124"/>
      <c r="U1382" s="124"/>
      <c r="V1382" s="124"/>
      <c r="W1382" s="124"/>
      <c r="X1382" s="124"/>
      <c r="Y1382" s="124"/>
    </row>
    <row r="1383" spans="2:25" x14ac:dyDescent="0.25">
      <c r="B1383" s="124"/>
      <c r="C1383" s="124"/>
      <c r="D1383" s="124"/>
      <c r="E1383" s="124"/>
      <c r="F1383" s="124"/>
      <c r="G1383" s="124"/>
      <c r="H1383" s="124"/>
      <c r="I1383" s="124"/>
      <c r="J1383" s="124"/>
      <c r="K1383" s="124"/>
      <c r="L1383" s="124"/>
      <c r="M1383" s="124"/>
      <c r="N1383" s="124"/>
      <c r="O1383" s="124"/>
      <c r="P1383" s="124"/>
      <c r="Q1383" s="124"/>
      <c r="R1383" s="124"/>
      <c r="S1383" s="124"/>
      <c r="T1383" s="124"/>
      <c r="U1383" s="124"/>
      <c r="V1383" s="124"/>
      <c r="W1383" s="124"/>
      <c r="X1383" s="124"/>
      <c r="Y1383" s="124"/>
    </row>
    <row r="1384" spans="2:25" x14ac:dyDescent="0.25">
      <c r="B1384" s="124"/>
      <c r="C1384" s="124"/>
      <c r="D1384" s="124"/>
      <c r="E1384" s="124"/>
      <c r="F1384" s="124"/>
      <c r="G1384" s="124"/>
      <c r="H1384" s="124"/>
      <c r="I1384" s="124"/>
      <c r="J1384" s="124"/>
      <c r="K1384" s="124"/>
      <c r="L1384" s="124"/>
      <c r="M1384" s="124"/>
      <c r="N1384" s="124"/>
      <c r="O1384" s="124"/>
      <c r="P1384" s="124"/>
      <c r="Q1384" s="124"/>
      <c r="R1384" s="124"/>
      <c r="S1384" s="124"/>
      <c r="T1384" s="124"/>
      <c r="U1384" s="124"/>
      <c r="V1384" s="124"/>
      <c r="W1384" s="124"/>
      <c r="X1384" s="124"/>
      <c r="Y1384" s="124"/>
    </row>
    <row r="1385" spans="2:25" x14ac:dyDescent="0.25">
      <c r="B1385" s="124"/>
      <c r="C1385" s="124"/>
      <c r="D1385" s="124"/>
      <c r="E1385" s="124"/>
      <c r="F1385" s="124"/>
      <c r="G1385" s="124"/>
      <c r="H1385" s="124"/>
      <c r="I1385" s="124"/>
      <c r="J1385" s="124"/>
      <c r="K1385" s="124"/>
      <c r="L1385" s="124"/>
      <c r="M1385" s="124"/>
      <c r="N1385" s="124"/>
      <c r="O1385" s="124"/>
      <c r="P1385" s="124"/>
      <c r="Q1385" s="124"/>
      <c r="R1385" s="124"/>
      <c r="S1385" s="124"/>
      <c r="T1385" s="124"/>
      <c r="U1385" s="124"/>
      <c r="V1385" s="124"/>
      <c r="W1385" s="124"/>
      <c r="X1385" s="124"/>
      <c r="Y1385" s="124"/>
    </row>
    <row r="1386" spans="2:25" x14ac:dyDescent="0.25">
      <c r="B1386" s="124"/>
      <c r="C1386" s="124"/>
      <c r="D1386" s="124"/>
      <c r="E1386" s="124"/>
      <c r="F1386" s="124"/>
      <c r="G1386" s="124"/>
      <c r="H1386" s="124"/>
      <c r="I1386" s="124"/>
      <c r="J1386" s="124"/>
      <c r="K1386" s="124"/>
      <c r="L1386" s="124"/>
      <c r="M1386" s="124"/>
      <c r="N1386" s="124"/>
      <c r="O1386" s="124"/>
      <c r="P1386" s="124"/>
      <c r="Q1386" s="124"/>
      <c r="R1386" s="124"/>
      <c r="S1386" s="124"/>
      <c r="T1386" s="124"/>
      <c r="U1386" s="124"/>
      <c r="V1386" s="124"/>
      <c r="W1386" s="124"/>
      <c r="X1386" s="124"/>
      <c r="Y1386" s="124"/>
    </row>
    <row r="1387" spans="2:25" x14ac:dyDescent="0.25">
      <c r="B1387" s="124"/>
      <c r="C1387" s="124"/>
      <c r="D1387" s="124"/>
      <c r="E1387" s="124"/>
      <c r="F1387" s="124"/>
      <c r="G1387" s="124"/>
      <c r="H1387" s="124"/>
      <c r="I1387" s="124"/>
      <c r="J1387" s="124"/>
      <c r="K1387" s="124"/>
      <c r="L1387" s="124"/>
      <c r="M1387" s="124"/>
      <c r="N1387" s="124"/>
      <c r="O1387" s="124"/>
      <c r="P1387" s="124"/>
      <c r="Q1387" s="124"/>
      <c r="R1387" s="124"/>
      <c r="S1387" s="124"/>
      <c r="T1387" s="124"/>
      <c r="U1387" s="124"/>
      <c r="V1387" s="124"/>
      <c r="W1387" s="124"/>
      <c r="X1387" s="124"/>
      <c r="Y1387" s="124"/>
    </row>
    <row r="1388" spans="2:25" x14ac:dyDescent="0.25">
      <c r="B1388" s="124"/>
      <c r="C1388" s="124"/>
      <c r="D1388" s="124"/>
      <c r="E1388" s="124"/>
      <c r="F1388" s="124"/>
      <c r="G1388" s="124"/>
      <c r="H1388" s="124"/>
      <c r="I1388" s="124"/>
      <c r="J1388" s="124"/>
      <c r="K1388" s="124"/>
      <c r="L1388" s="124"/>
      <c r="M1388" s="124"/>
      <c r="N1388" s="124"/>
      <c r="O1388" s="124"/>
      <c r="P1388" s="124"/>
      <c r="Q1388" s="124"/>
      <c r="R1388" s="124"/>
      <c r="S1388" s="124"/>
      <c r="T1388" s="124"/>
      <c r="U1388" s="124"/>
      <c r="V1388" s="124"/>
      <c r="W1388" s="124"/>
      <c r="X1388" s="124"/>
      <c r="Y1388" s="124"/>
    </row>
    <row r="1389" spans="2:25" x14ac:dyDescent="0.25">
      <c r="B1389" s="124"/>
      <c r="C1389" s="124"/>
      <c r="D1389" s="124"/>
      <c r="E1389" s="124"/>
      <c r="F1389" s="124"/>
      <c r="G1389" s="124"/>
      <c r="H1389" s="124"/>
      <c r="I1389" s="124"/>
      <c r="J1389" s="124"/>
      <c r="K1389" s="124"/>
      <c r="L1389" s="124"/>
      <c r="M1389" s="124"/>
      <c r="N1389" s="124"/>
      <c r="O1389" s="124"/>
      <c r="P1389" s="124"/>
      <c r="Q1389" s="124"/>
      <c r="R1389" s="124"/>
      <c r="S1389" s="124"/>
      <c r="T1389" s="124"/>
      <c r="U1389" s="124"/>
      <c r="V1389" s="124"/>
      <c r="W1389" s="124"/>
      <c r="X1389" s="124"/>
      <c r="Y1389" s="124"/>
    </row>
    <row r="1390" spans="2:25" x14ac:dyDescent="0.25">
      <c r="B1390" s="124"/>
      <c r="C1390" s="124"/>
      <c r="D1390" s="124"/>
      <c r="E1390" s="124"/>
      <c r="F1390" s="124"/>
      <c r="G1390" s="124"/>
      <c r="H1390" s="124"/>
      <c r="I1390" s="124"/>
      <c r="J1390" s="124"/>
      <c r="K1390" s="124"/>
      <c r="L1390" s="124"/>
      <c r="M1390" s="124"/>
      <c r="N1390" s="124"/>
      <c r="O1390" s="124"/>
      <c r="P1390" s="124"/>
      <c r="Q1390" s="124"/>
      <c r="R1390" s="124"/>
      <c r="S1390" s="124"/>
      <c r="T1390" s="124"/>
      <c r="U1390" s="124"/>
      <c r="V1390" s="124"/>
      <c r="W1390" s="124"/>
      <c r="X1390" s="124"/>
      <c r="Y1390" s="124"/>
    </row>
    <row r="1391" spans="2:25" x14ac:dyDescent="0.25">
      <c r="B1391" s="124"/>
      <c r="C1391" s="124"/>
      <c r="D1391" s="124"/>
      <c r="E1391" s="124"/>
      <c r="F1391" s="124"/>
      <c r="G1391" s="124"/>
      <c r="H1391" s="124"/>
      <c r="I1391" s="124"/>
      <c r="J1391" s="124"/>
      <c r="K1391" s="124"/>
      <c r="L1391" s="124"/>
      <c r="M1391" s="124"/>
      <c r="N1391" s="124"/>
      <c r="O1391" s="124"/>
      <c r="P1391" s="124"/>
      <c r="Q1391" s="124"/>
      <c r="R1391" s="124"/>
      <c r="S1391" s="124"/>
      <c r="T1391" s="124"/>
      <c r="U1391" s="124"/>
      <c r="V1391" s="124"/>
      <c r="W1391" s="124"/>
      <c r="X1391" s="124"/>
      <c r="Y1391" s="124"/>
    </row>
    <row r="1392" spans="2:25" x14ac:dyDescent="0.25">
      <c r="B1392" s="124"/>
      <c r="C1392" s="124"/>
      <c r="D1392" s="124"/>
      <c r="E1392" s="124"/>
      <c r="F1392" s="124"/>
      <c r="G1392" s="124"/>
      <c r="H1392" s="124"/>
      <c r="I1392" s="124"/>
      <c r="J1392" s="124"/>
      <c r="K1392" s="124"/>
      <c r="L1392" s="124"/>
      <c r="M1392" s="124"/>
      <c r="N1392" s="124"/>
      <c r="O1392" s="124"/>
      <c r="P1392" s="124"/>
      <c r="Q1392" s="124"/>
      <c r="R1392" s="124"/>
      <c r="S1392" s="124"/>
      <c r="T1392" s="124"/>
      <c r="U1392" s="124"/>
      <c r="V1392" s="124"/>
      <c r="W1392" s="124"/>
      <c r="X1392" s="124"/>
      <c r="Y1392" s="124"/>
    </row>
    <row r="1393" spans="2:25" x14ac:dyDescent="0.25">
      <c r="B1393" s="124"/>
      <c r="C1393" s="124"/>
      <c r="D1393" s="124"/>
      <c r="E1393" s="124"/>
      <c r="F1393" s="124"/>
      <c r="G1393" s="124"/>
      <c r="H1393" s="124"/>
      <c r="I1393" s="124"/>
      <c r="J1393" s="124"/>
      <c r="K1393" s="124"/>
      <c r="L1393" s="124"/>
      <c r="M1393" s="124"/>
      <c r="N1393" s="124"/>
      <c r="O1393" s="124"/>
      <c r="P1393" s="124"/>
      <c r="Q1393" s="124"/>
      <c r="R1393" s="124"/>
      <c r="S1393" s="124"/>
      <c r="T1393" s="124"/>
      <c r="U1393" s="124"/>
      <c r="V1393" s="124"/>
      <c r="W1393" s="124"/>
      <c r="X1393" s="124"/>
      <c r="Y1393" s="124"/>
    </row>
    <row r="1394" spans="2:25" x14ac:dyDescent="0.25">
      <c r="B1394" s="124"/>
      <c r="C1394" s="124"/>
      <c r="D1394" s="124"/>
      <c r="E1394" s="124"/>
      <c r="F1394" s="124"/>
      <c r="G1394" s="124"/>
      <c r="H1394" s="124"/>
      <c r="I1394" s="124"/>
      <c r="J1394" s="124"/>
      <c r="K1394" s="124"/>
      <c r="L1394" s="124"/>
      <c r="M1394" s="124"/>
      <c r="N1394" s="124"/>
      <c r="O1394" s="124"/>
      <c r="P1394" s="124"/>
      <c r="Q1394" s="124"/>
      <c r="R1394" s="124"/>
      <c r="S1394" s="124"/>
      <c r="T1394" s="124"/>
      <c r="U1394" s="124"/>
      <c r="V1394" s="124"/>
      <c r="W1394" s="124"/>
      <c r="X1394" s="124"/>
      <c r="Y1394" s="124"/>
    </row>
    <row r="1395" spans="2:25" x14ac:dyDescent="0.25">
      <c r="B1395" s="124"/>
      <c r="C1395" s="124"/>
      <c r="D1395" s="124"/>
      <c r="E1395" s="124"/>
      <c r="F1395" s="124"/>
      <c r="G1395" s="124"/>
      <c r="H1395" s="124"/>
      <c r="I1395" s="124"/>
      <c r="J1395" s="124"/>
      <c r="K1395" s="124"/>
      <c r="L1395" s="124"/>
      <c r="M1395" s="124"/>
      <c r="N1395" s="124"/>
      <c r="O1395" s="124"/>
      <c r="P1395" s="124"/>
      <c r="Q1395" s="124"/>
      <c r="R1395" s="124"/>
      <c r="S1395" s="124"/>
      <c r="T1395" s="124"/>
      <c r="U1395" s="124"/>
      <c r="V1395" s="124"/>
      <c r="W1395" s="124"/>
      <c r="X1395" s="124"/>
      <c r="Y1395" s="124"/>
    </row>
    <row r="1396" spans="2:25" x14ac:dyDescent="0.25">
      <c r="B1396" s="124"/>
      <c r="C1396" s="124"/>
      <c r="D1396" s="124"/>
      <c r="E1396" s="124"/>
      <c r="F1396" s="124"/>
      <c r="G1396" s="124"/>
      <c r="H1396" s="124"/>
      <c r="I1396" s="124"/>
      <c r="J1396" s="124"/>
      <c r="K1396" s="124"/>
      <c r="L1396" s="124"/>
      <c r="M1396" s="124"/>
      <c r="N1396" s="124"/>
      <c r="O1396" s="124"/>
      <c r="P1396" s="124"/>
      <c r="Q1396" s="124"/>
      <c r="R1396" s="124"/>
      <c r="S1396" s="124"/>
      <c r="T1396" s="124"/>
      <c r="U1396" s="124"/>
      <c r="V1396" s="124"/>
      <c r="W1396" s="124"/>
      <c r="X1396" s="124"/>
      <c r="Y1396" s="124"/>
    </row>
    <row r="1397" spans="2:25" x14ac:dyDescent="0.25">
      <c r="B1397" s="124"/>
      <c r="C1397" s="124"/>
      <c r="D1397" s="124"/>
      <c r="E1397" s="124"/>
      <c r="F1397" s="124"/>
      <c r="G1397" s="124"/>
      <c r="H1397" s="124"/>
      <c r="I1397" s="124"/>
      <c r="J1397" s="124"/>
      <c r="K1397" s="124"/>
      <c r="L1397" s="124"/>
      <c r="M1397" s="124"/>
      <c r="N1397" s="124"/>
      <c r="O1397" s="124"/>
      <c r="P1397" s="124"/>
      <c r="Q1397" s="124"/>
      <c r="R1397" s="124"/>
      <c r="S1397" s="124"/>
      <c r="T1397" s="124"/>
      <c r="U1397" s="124"/>
      <c r="V1397" s="124"/>
      <c r="W1397" s="124"/>
      <c r="X1397" s="124"/>
      <c r="Y1397" s="124"/>
    </row>
    <row r="1398" spans="2:25" x14ac:dyDescent="0.25">
      <c r="B1398" s="124"/>
      <c r="C1398" s="124"/>
      <c r="D1398" s="124"/>
      <c r="E1398" s="124"/>
      <c r="F1398" s="124"/>
      <c r="G1398" s="124"/>
      <c r="H1398" s="124"/>
      <c r="I1398" s="124"/>
      <c r="J1398" s="124"/>
      <c r="K1398" s="124"/>
      <c r="L1398" s="124"/>
      <c r="M1398" s="124"/>
      <c r="N1398" s="124"/>
      <c r="O1398" s="124"/>
      <c r="P1398" s="124"/>
      <c r="Q1398" s="124"/>
      <c r="R1398" s="124"/>
      <c r="S1398" s="124"/>
      <c r="T1398" s="124"/>
      <c r="U1398" s="124"/>
      <c r="V1398" s="124"/>
      <c r="W1398" s="124"/>
      <c r="X1398" s="124"/>
      <c r="Y1398" s="124"/>
    </row>
    <row r="1399" spans="2:25" x14ac:dyDescent="0.25">
      <c r="B1399" s="124"/>
      <c r="C1399" s="124"/>
      <c r="D1399" s="124"/>
      <c r="E1399" s="124"/>
      <c r="F1399" s="124"/>
      <c r="G1399" s="124"/>
      <c r="H1399" s="124"/>
      <c r="I1399" s="124"/>
      <c r="J1399" s="124"/>
      <c r="K1399" s="124"/>
      <c r="L1399" s="124"/>
      <c r="M1399" s="124"/>
      <c r="N1399" s="124"/>
      <c r="O1399" s="124"/>
      <c r="P1399" s="124"/>
      <c r="Q1399" s="124"/>
      <c r="R1399" s="124"/>
      <c r="S1399" s="124"/>
      <c r="T1399" s="124"/>
      <c r="U1399" s="124"/>
      <c r="V1399" s="124"/>
      <c r="W1399" s="124"/>
      <c r="X1399" s="124"/>
      <c r="Y1399" s="124"/>
    </row>
    <row r="1400" spans="2:25" x14ac:dyDescent="0.25">
      <c r="B1400" s="124"/>
      <c r="C1400" s="124"/>
      <c r="D1400" s="124"/>
      <c r="E1400" s="124"/>
      <c r="F1400" s="124"/>
      <c r="G1400" s="124"/>
      <c r="H1400" s="124"/>
      <c r="I1400" s="124"/>
      <c r="J1400" s="124"/>
      <c r="K1400" s="124"/>
      <c r="L1400" s="124"/>
      <c r="M1400" s="124"/>
      <c r="N1400" s="124"/>
      <c r="O1400" s="124"/>
      <c r="P1400" s="124"/>
      <c r="Q1400" s="124"/>
      <c r="R1400" s="124"/>
      <c r="S1400" s="124"/>
      <c r="T1400" s="124"/>
      <c r="U1400" s="124"/>
      <c r="V1400" s="124"/>
      <c r="W1400" s="124"/>
      <c r="X1400" s="124"/>
      <c r="Y1400" s="124"/>
    </row>
    <row r="1401" spans="2:25" x14ac:dyDescent="0.25">
      <c r="B1401" s="124"/>
      <c r="C1401" s="124"/>
      <c r="D1401" s="124"/>
      <c r="E1401" s="124"/>
      <c r="F1401" s="124"/>
      <c r="G1401" s="124"/>
      <c r="H1401" s="124"/>
      <c r="I1401" s="124"/>
      <c r="J1401" s="124"/>
      <c r="K1401" s="124"/>
      <c r="L1401" s="124"/>
      <c r="M1401" s="124"/>
      <c r="N1401" s="124"/>
      <c r="O1401" s="124"/>
      <c r="P1401" s="124"/>
      <c r="Q1401" s="124"/>
      <c r="R1401" s="124"/>
      <c r="S1401" s="124"/>
      <c r="T1401" s="124"/>
      <c r="U1401" s="124"/>
      <c r="V1401" s="124"/>
      <c r="W1401" s="124"/>
      <c r="X1401" s="124"/>
      <c r="Y1401" s="124"/>
    </row>
    <row r="1402" spans="2:25" x14ac:dyDescent="0.25">
      <c r="B1402" s="124"/>
      <c r="C1402" s="124"/>
      <c r="D1402" s="124"/>
      <c r="E1402" s="124"/>
      <c r="F1402" s="124"/>
      <c r="G1402" s="124"/>
      <c r="H1402" s="124"/>
      <c r="I1402" s="124"/>
      <c r="J1402" s="124"/>
      <c r="K1402" s="124"/>
      <c r="L1402" s="124"/>
      <c r="M1402" s="124"/>
      <c r="N1402" s="124"/>
      <c r="O1402" s="124"/>
      <c r="P1402" s="124"/>
      <c r="Q1402" s="124"/>
      <c r="R1402" s="124"/>
      <c r="S1402" s="124"/>
      <c r="T1402" s="124"/>
      <c r="U1402" s="124"/>
      <c r="V1402" s="124"/>
      <c r="W1402" s="124"/>
      <c r="X1402" s="124"/>
      <c r="Y1402" s="124"/>
    </row>
    <row r="1403" spans="2:25" x14ac:dyDescent="0.25">
      <c r="B1403" s="124"/>
      <c r="C1403" s="124"/>
      <c r="D1403" s="124"/>
      <c r="E1403" s="124"/>
      <c r="F1403" s="124"/>
      <c r="G1403" s="124"/>
      <c r="H1403" s="124"/>
      <c r="I1403" s="124"/>
      <c r="J1403" s="124"/>
      <c r="K1403" s="124"/>
      <c r="L1403" s="124"/>
      <c r="M1403" s="124"/>
      <c r="N1403" s="124"/>
      <c r="O1403" s="124"/>
      <c r="P1403" s="124"/>
      <c r="Q1403" s="124"/>
      <c r="R1403" s="124"/>
      <c r="S1403" s="124"/>
      <c r="T1403" s="124"/>
      <c r="U1403" s="124"/>
      <c r="V1403" s="124"/>
      <c r="W1403" s="124"/>
      <c r="X1403" s="124"/>
      <c r="Y1403" s="124"/>
    </row>
    <row r="1404" spans="2:25" x14ac:dyDescent="0.25">
      <c r="B1404" s="124"/>
      <c r="C1404" s="124"/>
      <c r="D1404" s="124"/>
      <c r="E1404" s="124"/>
      <c r="F1404" s="124"/>
      <c r="G1404" s="124"/>
      <c r="H1404" s="124"/>
      <c r="I1404" s="124"/>
      <c r="J1404" s="124"/>
      <c r="K1404" s="124"/>
      <c r="L1404" s="124"/>
      <c r="M1404" s="124"/>
      <c r="N1404" s="124"/>
      <c r="O1404" s="124"/>
      <c r="P1404" s="124"/>
      <c r="Q1404" s="124"/>
      <c r="R1404" s="124"/>
      <c r="S1404" s="124"/>
      <c r="T1404" s="124"/>
      <c r="U1404" s="124"/>
      <c r="V1404" s="124"/>
      <c r="W1404" s="124"/>
      <c r="X1404" s="124"/>
      <c r="Y1404" s="124"/>
    </row>
    <row r="1405" spans="2:25" x14ac:dyDescent="0.25">
      <c r="B1405" s="124"/>
      <c r="C1405" s="124"/>
      <c r="D1405" s="124"/>
      <c r="E1405" s="124"/>
      <c r="F1405" s="124"/>
      <c r="G1405" s="124"/>
      <c r="H1405" s="124"/>
      <c r="I1405" s="124"/>
      <c r="J1405" s="124"/>
      <c r="K1405" s="124"/>
      <c r="L1405" s="124"/>
      <c r="M1405" s="124"/>
      <c r="N1405" s="124"/>
      <c r="O1405" s="124"/>
      <c r="P1405" s="124"/>
      <c r="Q1405" s="124"/>
      <c r="R1405" s="124"/>
      <c r="S1405" s="124"/>
      <c r="T1405" s="124"/>
      <c r="U1405" s="124"/>
      <c r="V1405" s="124"/>
      <c r="W1405" s="124"/>
      <c r="X1405" s="124"/>
      <c r="Y1405" s="124"/>
    </row>
    <row r="1406" spans="2:25" x14ac:dyDescent="0.25">
      <c r="B1406" s="124"/>
      <c r="C1406" s="124"/>
      <c r="D1406" s="124"/>
      <c r="E1406" s="124"/>
      <c r="F1406" s="124"/>
      <c r="G1406" s="124"/>
      <c r="H1406" s="124"/>
      <c r="I1406" s="124"/>
      <c r="J1406" s="124"/>
      <c r="K1406" s="124"/>
      <c r="L1406" s="124"/>
      <c r="M1406" s="124"/>
      <c r="N1406" s="124"/>
      <c r="O1406" s="124"/>
      <c r="P1406" s="124"/>
      <c r="Q1406" s="124"/>
      <c r="R1406" s="124"/>
      <c r="S1406" s="124"/>
      <c r="T1406" s="124"/>
      <c r="U1406" s="124"/>
      <c r="V1406" s="124"/>
      <c r="W1406" s="124"/>
      <c r="X1406" s="124"/>
      <c r="Y1406" s="124"/>
    </row>
    <row r="1407" spans="2:25" x14ac:dyDescent="0.25">
      <c r="B1407" s="124"/>
      <c r="C1407" s="124"/>
      <c r="D1407" s="124"/>
      <c r="E1407" s="124"/>
      <c r="F1407" s="124"/>
      <c r="G1407" s="124"/>
      <c r="H1407" s="124"/>
      <c r="I1407" s="124"/>
      <c r="J1407" s="124"/>
      <c r="K1407" s="124"/>
      <c r="L1407" s="124"/>
      <c r="M1407" s="124"/>
      <c r="N1407" s="124"/>
      <c r="O1407" s="124"/>
      <c r="P1407" s="124"/>
      <c r="Q1407" s="124"/>
      <c r="R1407" s="124"/>
      <c r="S1407" s="124"/>
      <c r="T1407" s="124"/>
      <c r="U1407" s="124"/>
      <c r="V1407" s="124"/>
      <c r="W1407" s="124"/>
      <c r="X1407" s="124"/>
      <c r="Y1407" s="124"/>
    </row>
    <row r="1408" spans="2:25" x14ac:dyDescent="0.25">
      <c r="B1408" s="124"/>
      <c r="C1408" s="124"/>
      <c r="D1408" s="124"/>
      <c r="E1408" s="124"/>
      <c r="F1408" s="124"/>
      <c r="G1408" s="124"/>
      <c r="H1408" s="124"/>
      <c r="I1408" s="124"/>
      <c r="J1408" s="124"/>
      <c r="K1408" s="124"/>
      <c r="L1408" s="124"/>
      <c r="M1408" s="124"/>
      <c r="N1408" s="124"/>
      <c r="O1408" s="124"/>
      <c r="P1408" s="124"/>
      <c r="Q1408" s="124"/>
      <c r="R1408" s="124"/>
      <c r="S1408" s="124"/>
      <c r="T1408" s="124"/>
      <c r="U1408" s="124"/>
      <c r="V1408" s="124"/>
      <c r="W1408" s="124"/>
      <c r="X1408" s="124"/>
      <c r="Y1408" s="124"/>
    </row>
    <row r="1409" spans="2:25" x14ac:dyDescent="0.25">
      <c r="B1409" s="124"/>
      <c r="C1409" s="124"/>
      <c r="D1409" s="124"/>
      <c r="E1409" s="124"/>
      <c r="F1409" s="124"/>
      <c r="G1409" s="124"/>
      <c r="H1409" s="124"/>
      <c r="I1409" s="124"/>
      <c r="J1409" s="124"/>
      <c r="K1409" s="124"/>
      <c r="L1409" s="124"/>
      <c r="M1409" s="124"/>
      <c r="N1409" s="124"/>
      <c r="O1409" s="124"/>
      <c r="P1409" s="124"/>
      <c r="Q1409" s="124"/>
      <c r="R1409" s="124"/>
      <c r="S1409" s="124"/>
      <c r="T1409" s="124"/>
      <c r="U1409" s="124"/>
      <c r="V1409" s="124"/>
      <c r="W1409" s="124"/>
      <c r="X1409" s="124"/>
      <c r="Y1409" s="124"/>
    </row>
    <row r="1410" spans="2:25" x14ac:dyDescent="0.25">
      <c r="B1410" s="124"/>
      <c r="C1410" s="124"/>
      <c r="D1410" s="124"/>
      <c r="E1410" s="124"/>
      <c r="F1410" s="124"/>
      <c r="G1410" s="124"/>
      <c r="H1410" s="124"/>
      <c r="I1410" s="124"/>
      <c r="J1410" s="124"/>
      <c r="K1410" s="124"/>
      <c r="L1410" s="124"/>
      <c r="M1410" s="124"/>
      <c r="N1410" s="124"/>
      <c r="O1410" s="124"/>
      <c r="P1410" s="124"/>
      <c r="Q1410" s="124"/>
      <c r="R1410" s="124"/>
      <c r="S1410" s="124"/>
      <c r="T1410" s="124"/>
      <c r="U1410" s="124"/>
      <c r="V1410" s="124"/>
      <c r="W1410" s="124"/>
      <c r="X1410" s="124"/>
      <c r="Y1410" s="124"/>
    </row>
    <row r="1411" spans="2:25" x14ac:dyDescent="0.25">
      <c r="B1411" s="124"/>
      <c r="C1411" s="124"/>
      <c r="D1411" s="124"/>
      <c r="E1411" s="124"/>
      <c r="F1411" s="124"/>
      <c r="G1411" s="124"/>
      <c r="H1411" s="124"/>
      <c r="I1411" s="124"/>
      <c r="J1411" s="124"/>
      <c r="K1411" s="124"/>
      <c r="L1411" s="124"/>
      <c r="M1411" s="124"/>
      <c r="N1411" s="124"/>
      <c r="O1411" s="124"/>
      <c r="P1411" s="124"/>
      <c r="Q1411" s="124"/>
      <c r="R1411" s="124"/>
      <c r="S1411" s="124"/>
      <c r="T1411" s="124"/>
      <c r="U1411" s="124"/>
      <c r="V1411" s="124"/>
      <c r="W1411" s="124"/>
      <c r="X1411" s="124"/>
      <c r="Y1411" s="124"/>
    </row>
    <row r="1412" spans="2:25" x14ac:dyDescent="0.25">
      <c r="B1412" s="124"/>
      <c r="C1412" s="124"/>
      <c r="D1412" s="124"/>
      <c r="E1412" s="124"/>
      <c r="F1412" s="124"/>
      <c r="G1412" s="124"/>
      <c r="H1412" s="124"/>
      <c r="I1412" s="124"/>
      <c r="J1412" s="124"/>
      <c r="K1412" s="124"/>
      <c r="L1412" s="124"/>
      <c r="M1412" s="124"/>
      <c r="N1412" s="124"/>
      <c r="O1412" s="124"/>
      <c r="P1412" s="124"/>
      <c r="Q1412" s="124"/>
      <c r="R1412" s="124"/>
      <c r="S1412" s="124"/>
      <c r="T1412" s="124"/>
      <c r="U1412" s="124"/>
      <c r="V1412" s="124"/>
      <c r="W1412" s="124"/>
      <c r="X1412" s="124"/>
      <c r="Y1412" s="124"/>
    </row>
    <row r="1413" spans="2:25" x14ac:dyDescent="0.25">
      <c r="B1413" s="124"/>
      <c r="C1413" s="124"/>
      <c r="D1413" s="124"/>
      <c r="E1413" s="124"/>
      <c r="F1413" s="124"/>
      <c r="G1413" s="124"/>
      <c r="H1413" s="124"/>
      <c r="I1413" s="124"/>
      <c r="J1413" s="124"/>
      <c r="K1413" s="124"/>
      <c r="L1413" s="124"/>
      <c r="M1413" s="124"/>
      <c r="N1413" s="124"/>
      <c r="O1413" s="124"/>
      <c r="P1413" s="124"/>
      <c r="Q1413" s="124"/>
      <c r="R1413" s="124"/>
      <c r="S1413" s="124"/>
      <c r="T1413" s="124"/>
      <c r="U1413" s="124"/>
      <c r="V1413" s="124"/>
      <c r="W1413" s="124"/>
      <c r="X1413" s="124"/>
      <c r="Y1413" s="124"/>
    </row>
    <row r="1414" spans="2:25" x14ac:dyDescent="0.25">
      <c r="B1414" s="124"/>
      <c r="C1414" s="124"/>
      <c r="D1414" s="124"/>
      <c r="E1414" s="124"/>
      <c r="F1414" s="124"/>
      <c r="G1414" s="124"/>
      <c r="H1414" s="124"/>
      <c r="I1414" s="124"/>
      <c r="J1414" s="124"/>
      <c r="K1414" s="124"/>
      <c r="L1414" s="124"/>
      <c r="M1414" s="124"/>
      <c r="N1414" s="124"/>
      <c r="O1414" s="124"/>
      <c r="P1414" s="124"/>
      <c r="Q1414" s="124"/>
      <c r="R1414" s="124"/>
      <c r="S1414" s="124"/>
      <c r="T1414" s="124"/>
      <c r="U1414" s="124"/>
      <c r="V1414" s="124"/>
      <c r="W1414" s="124"/>
      <c r="X1414" s="124"/>
      <c r="Y1414" s="124"/>
    </row>
    <row r="1415" spans="2:25" x14ac:dyDescent="0.25">
      <c r="B1415" s="124"/>
      <c r="C1415" s="124"/>
      <c r="D1415" s="124"/>
      <c r="E1415" s="124"/>
      <c r="F1415" s="124"/>
      <c r="G1415" s="124"/>
      <c r="H1415" s="124"/>
      <c r="I1415" s="124"/>
      <c r="J1415" s="124"/>
      <c r="K1415" s="124"/>
      <c r="L1415" s="124"/>
      <c r="M1415" s="124"/>
      <c r="N1415" s="124"/>
      <c r="O1415" s="124"/>
      <c r="P1415" s="124"/>
      <c r="Q1415" s="124"/>
      <c r="R1415" s="124"/>
      <c r="S1415" s="124"/>
      <c r="T1415" s="124"/>
      <c r="U1415" s="124"/>
      <c r="V1415" s="124"/>
      <c r="W1415" s="124"/>
      <c r="X1415" s="124"/>
      <c r="Y1415" s="124"/>
    </row>
    <row r="1416" spans="2:25" x14ac:dyDescent="0.25">
      <c r="B1416" s="124"/>
      <c r="C1416" s="124"/>
      <c r="D1416" s="124"/>
      <c r="E1416" s="124"/>
      <c r="F1416" s="124"/>
      <c r="G1416" s="124"/>
      <c r="H1416" s="124"/>
      <c r="I1416" s="124"/>
      <c r="J1416" s="124"/>
      <c r="K1416" s="124"/>
      <c r="L1416" s="124"/>
      <c r="M1416" s="124"/>
      <c r="N1416" s="124"/>
      <c r="O1416" s="124"/>
      <c r="P1416" s="124"/>
      <c r="Q1416" s="124"/>
      <c r="R1416" s="124"/>
      <c r="S1416" s="124"/>
      <c r="T1416" s="124"/>
      <c r="U1416" s="124"/>
      <c r="V1416" s="124"/>
      <c r="W1416" s="124"/>
      <c r="X1416" s="124"/>
      <c r="Y1416" s="124"/>
    </row>
    <row r="1417" spans="2:25" x14ac:dyDescent="0.25">
      <c r="B1417" s="124"/>
      <c r="C1417" s="124"/>
      <c r="D1417" s="124"/>
      <c r="E1417" s="124"/>
      <c r="F1417" s="124"/>
      <c r="G1417" s="124"/>
      <c r="H1417" s="124"/>
      <c r="I1417" s="124"/>
      <c r="J1417" s="124"/>
      <c r="K1417" s="124"/>
      <c r="L1417" s="124"/>
      <c r="M1417" s="124"/>
      <c r="N1417" s="124"/>
      <c r="O1417" s="124"/>
      <c r="P1417" s="124"/>
      <c r="Q1417" s="124"/>
      <c r="R1417" s="124"/>
      <c r="S1417" s="124"/>
      <c r="T1417" s="124"/>
      <c r="U1417" s="124"/>
      <c r="V1417" s="124"/>
      <c r="W1417" s="124"/>
      <c r="X1417" s="124"/>
      <c r="Y1417" s="124"/>
    </row>
    <row r="1418" spans="2:25" x14ac:dyDescent="0.25">
      <c r="B1418" s="124"/>
      <c r="C1418" s="124"/>
      <c r="D1418" s="124"/>
      <c r="E1418" s="124"/>
      <c r="F1418" s="124"/>
      <c r="G1418" s="124"/>
      <c r="H1418" s="124"/>
      <c r="I1418" s="124"/>
      <c r="J1418" s="124"/>
      <c r="K1418" s="124"/>
      <c r="L1418" s="124"/>
      <c r="M1418" s="124"/>
      <c r="N1418" s="124"/>
      <c r="O1418" s="124"/>
      <c r="P1418" s="124"/>
      <c r="Q1418" s="124"/>
      <c r="R1418" s="124"/>
      <c r="S1418" s="124"/>
      <c r="T1418" s="124"/>
      <c r="U1418" s="124"/>
      <c r="V1418" s="124"/>
      <c r="W1418" s="124"/>
      <c r="X1418" s="124"/>
      <c r="Y1418" s="124"/>
    </row>
    <row r="1419" spans="2:25" x14ac:dyDescent="0.25">
      <c r="B1419" s="124"/>
      <c r="C1419" s="124"/>
      <c r="D1419" s="124"/>
      <c r="E1419" s="124"/>
      <c r="F1419" s="124"/>
      <c r="G1419" s="124"/>
      <c r="H1419" s="124"/>
      <c r="I1419" s="124"/>
      <c r="J1419" s="124"/>
      <c r="K1419" s="124"/>
      <c r="L1419" s="124"/>
      <c r="M1419" s="124"/>
      <c r="N1419" s="124"/>
      <c r="O1419" s="124"/>
      <c r="P1419" s="124"/>
      <c r="Q1419" s="124"/>
      <c r="R1419" s="124"/>
      <c r="S1419" s="124"/>
      <c r="T1419" s="124"/>
      <c r="U1419" s="124"/>
      <c r="V1419" s="124"/>
      <c r="W1419" s="124"/>
      <c r="X1419" s="124"/>
      <c r="Y1419" s="124"/>
    </row>
    <row r="1420" spans="2:25" x14ac:dyDescent="0.25">
      <c r="B1420" s="124"/>
      <c r="C1420" s="124"/>
      <c r="D1420" s="124"/>
      <c r="E1420" s="124"/>
      <c r="F1420" s="124"/>
      <c r="G1420" s="124"/>
      <c r="H1420" s="124"/>
      <c r="I1420" s="124"/>
      <c r="J1420" s="124"/>
      <c r="K1420" s="124"/>
      <c r="L1420" s="124"/>
      <c r="M1420" s="124"/>
      <c r="N1420" s="124"/>
      <c r="O1420" s="124"/>
      <c r="P1420" s="124"/>
      <c r="Q1420" s="124"/>
      <c r="R1420" s="124"/>
      <c r="S1420" s="124"/>
      <c r="T1420" s="124"/>
      <c r="U1420" s="124"/>
      <c r="V1420" s="124"/>
      <c r="W1420" s="124"/>
      <c r="X1420" s="124"/>
      <c r="Y1420" s="124"/>
    </row>
    <row r="1421" spans="2:25" x14ac:dyDescent="0.25">
      <c r="B1421" s="124"/>
      <c r="C1421" s="124"/>
      <c r="D1421" s="124"/>
      <c r="E1421" s="124"/>
      <c r="F1421" s="124"/>
      <c r="G1421" s="124"/>
      <c r="H1421" s="124"/>
      <c r="I1421" s="124"/>
      <c r="J1421" s="124"/>
      <c r="K1421" s="124"/>
      <c r="L1421" s="124"/>
      <c r="M1421" s="124"/>
      <c r="N1421" s="124"/>
      <c r="O1421" s="124"/>
      <c r="P1421" s="124"/>
      <c r="Q1421" s="124"/>
      <c r="R1421" s="124"/>
      <c r="S1421" s="124"/>
      <c r="T1421" s="124"/>
      <c r="U1421" s="124"/>
      <c r="V1421" s="124"/>
      <c r="W1421" s="124"/>
      <c r="X1421" s="124"/>
      <c r="Y1421" s="124"/>
    </row>
    <row r="1422" spans="2:25" x14ac:dyDescent="0.25">
      <c r="B1422" s="124"/>
      <c r="C1422" s="124"/>
      <c r="D1422" s="124"/>
      <c r="E1422" s="124"/>
      <c r="F1422" s="124"/>
      <c r="G1422" s="124"/>
      <c r="H1422" s="124"/>
      <c r="I1422" s="124"/>
      <c r="J1422" s="124"/>
      <c r="K1422" s="124"/>
      <c r="L1422" s="124"/>
      <c r="M1422" s="124"/>
      <c r="N1422" s="124"/>
      <c r="O1422" s="124"/>
      <c r="P1422" s="124"/>
      <c r="Q1422" s="124"/>
      <c r="R1422" s="124"/>
      <c r="S1422" s="124"/>
      <c r="T1422" s="124"/>
      <c r="U1422" s="124"/>
      <c r="V1422" s="124"/>
      <c r="W1422" s="124"/>
      <c r="X1422" s="124"/>
      <c r="Y1422" s="124"/>
    </row>
    <row r="1423" spans="2:25" x14ac:dyDescent="0.25">
      <c r="B1423" s="124"/>
      <c r="C1423" s="124"/>
      <c r="D1423" s="124"/>
      <c r="E1423" s="124"/>
      <c r="F1423" s="124"/>
      <c r="G1423" s="124"/>
      <c r="H1423" s="124"/>
      <c r="I1423" s="124"/>
      <c r="J1423" s="124"/>
      <c r="K1423" s="124"/>
      <c r="L1423" s="124"/>
      <c r="M1423" s="124"/>
      <c r="N1423" s="124"/>
      <c r="O1423" s="124"/>
      <c r="P1423" s="124"/>
      <c r="Q1423" s="124"/>
      <c r="R1423" s="124"/>
      <c r="S1423" s="124"/>
      <c r="T1423" s="124"/>
      <c r="U1423" s="124"/>
      <c r="V1423" s="124"/>
      <c r="W1423" s="124"/>
      <c r="X1423" s="124"/>
      <c r="Y1423" s="124"/>
    </row>
    <row r="1424" spans="2:25" x14ac:dyDescent="0.25">
      <c r="B1424" s="124"/>
      <c r="C1424" s="124"/>
      <c r="D1424" s="124"/>
      <c r="E1424" s="124"/>
      <c r="F1424" s="124"/>
      <c r="G1424" s="124"/>
      <c r="H1424" s="124"/>
      <c r="I1424" s="124"/>
      <c r="J1424" s="124"/>
      <c r="K1424" s="124"/>
      <c r="L1424" s="124"/>
      <c r="M1424" s="124"/>
      <c r="N1424" s="124"/>
      <c r="O1424" s="124"/>
      <c r="P1424" s="124"/>
      <c r="Q1424" s="124"/>
      <c r="R1424" s="124"/>
      <c r="S1424" s="124"/>
      <c r="T1424" s="124"/>
      <c r="U1424" s="124"/>
      <c r="V1424" s="124"/>
      <c r="W1424" s="124"/>
      <c r="X1424" s="124"/>
      <c r="Y1424" s="124"/>
    </row>
    <row r="1425" spans="2:25" x14ac:dyDescent="0.25">
      <c r="B1425" s="124"/>
      <c r="C1425" s="124"/>
      <c r="D1425" s="124"/>
      <c r="E1425" s="124"/>
      <c r="F1425" s="124"/>
      <c r="G1425" s="124"/>
      <c r="H1425" s="124"/>
      <c r="I1425" s="124"/>
      <c r="J1425" s="124"/>
      <c r="K1425" s="124"/>
      <c r="L1425" s="124"/>
      <c r="M1425" s="124"/>
      <c r="N1425" s="124"/>
      <c r="O1425" s="124"/>
      <c r="P1425" s="124"/>
      <c r="Q1425" s="124"/>
      <c r="R1425" s="124"/>
      <c r="S1425" s="124"/>
      <c r="T1425" s="124"/>
      <c r="U1425" s="124"/>
      <c r="V1425" s="124"/>
      <c r="W1425" s="124"/>
      <c r="X1425" s="124"/>
      <c r="Y1425" s="124"/>
    </row>
    <row r="1426" spans="2:25" x14ac:dyDescent="0.25">
      <c r="B1426" s="124"/>
      <c r="C1426" s="124"/>
      <c r="D1426" s="124"/>
      <c r="E1426" s="124"/>
      <c r="F1426" s="124"/>
      <c r="G1426" s="124"/>
      <c r="H1426" s="124"/>
      <c r="I1426" s="124"/>
      <c r="J1426" s="124"/>
      <c r="K1426" s="124"/>
      <c r="L1426" s="124"/>
      <c r="M1426" s="124"/>
      <c r="N1426" s="124"/>
      <c r="O1426" s="124"/>
      <c r="P1426" s="124"/>
      <c r="Q1426" s="124"/>
      <c r="R1426" s="124"/>
      <c r="S1426" s="124"/>
      <c r="T1426" s="124"/>
      <c r="U1426" s="124"/>
      <c r="V1426" s="124"/>
      <c r="W1426" s="124"/>
      <c r="X1426" s="124"/>
      <c r="Y1426" s="124"/>
    </row>
    <row r="1427" spans="2:25" x14ac:dyDescent="0.25">
      <c r="B1427" s="124"/>
      <c r="C1427" s="124"/>
      <c r="D1427" s="124"/>
      <c r="E1427" s="124"/>
      <c r="F1427" s="124"/>
      <c r="G1427" s="124"/>
      <c r="H1427" s="124"/>
      <c r="I1427" s="124"/>
      <c r="J1427" s="124"/>
      <c r="K1427" s="124"/>
      <c r="L1427" s="124"/>
      <c r="M1427" s="124"/>
      <c r="N1427" s="124"/>
      <c r="O1427" s="124"/>
      <c r="P1427" s="124"/>
      <c r="Q1427" s="124"/>
      <c r="R1427" s="124"/>
      <c r="S1427" s="124"/>
      <c r="T1427" s="124"/>
      <c r="U1427" s="124"/>
      <c r="V1427" s="124"/>
      <c r="W1427" s="124"/>
      <c r="X1427" s="124"/>
      <c r="Y1427" s="124"/>
    </row>
    <row r="1428" spans="2:25" x14ac:dyDescent="0.25">
      <c r="B1428" s="124"/>
      <c r="C1428" s="124"/>
      <c r="D1428" s="124"/>
      <c r="E1428" s="124"/>
      <c r="F1428" s="124"/>
      <c r="G1428" s="124"/>
      <c r="H1428" s="124"/>
      <c r="I1428" s="124"/>
      <c r="J1428" s="124"/>
      <c r="K1428" s="124"/>
      <c r="L1428" s="124"/>
      <c r="M1428" s="124"/>
      <c r="N1428" s="124"/>
      <c r="O1428" s="124"/>
      <c r="P1428" s="124"/>
      <c r="Q1428" s="124"/>
      <c r="R1428" s="124"/>
      <c r="S1428" s="124"/>
      <c r="T1428" s="124"/>
      <c r="U1428" s="124"/>
      <c r="V1428" s="124"/>
      <c r="W1428" s="124"/>
      <c r="X1428" s="124"/>
      <c r="Y1428" s="124"/>
    </row>
    <row r="1429" spans="2:25" x14ac:dyDescent="0.25">
      <c r="B1429" s="124"/>
      <c r="C1429" s="124"/>
      <c r="D1429" s="124"/>
      <c r="E1429" s="124"/>
      <c r="F1429" s="124"/>
      <c r="G1429" s="124"/>
      <c r="H1429" s="124"/>
      <c r="I1429" s="124"/>
      <c r="J1429" s="124"/>
      <c r="K1429" s="124"/>
      <c r="L1429" s="124"/>
      <c r="M1429" s="124"/>
      <c r="N1429" s="124"/>
      <c r="O1429" s="124"/>
      <c r="P1429" s="124"/>
      <c r="Q1429" s="124"/>
      <c r="R1429" s="124"/>
      <c r="S1429" s="124"/>
      <c r="T1429" s="124"/>
      <c r="U1429" s="124"/>
      <c r="V1429" s="124"/>
      <c r="W1429" s="124"/>
      <c r="X1429" s="124"/>
      <c r="Y1429" s="124"/>
    </row>
    <row r="1430" spans="2:25" x14ac:dyDescent="0.25">
      <c r="B1430" s="124"/>
      <c r="C1430" s="124"/>
      <c r="D1430" s="124"/>
      <c r="E1430" s="124"/>
      <c r="F1430" s="124"/>
      <c r="G1430" s="124"/>
      <c r="H1430" s="124"/>
      <c r="I1430" s="124"/>
      <c r="J1430" s="124"/>
      <c r="K1430" s="124"/>
      <c r="L1430" s="124"/>
      <c r="M1430" s="124"/>
      <c r="N1430" s="124"/>
      <c r="O1430" s="124"/>
      <c r="P1430" s="124"/>
      <c r="Q1430" s="124"/>
      <c r="R1430" s="124"/>
      <c r="S1430" s="124"/>
      <c r="T1430" s="124"/>
      <c r="U1430" s="124"/>
      <c r="V1430" s="124"/>
      <c r="W1430" s="124"/>
      <c r="X1430" s="124"/>
      <c r="Y1430" s="124"/>
    </row>
    <row r="1431" spans="2:25" x14ac:dyDescent="0.25">
      <c r="B1431" s="124"/>
      <c r="C1431" s="124"/>
      <c r="D1431" s="124"/>
      <c r="E1431" s="124"/>
      <c r="F1431" s="124"/>
      <c r="G1431" s="124"/>
      <c r="H1431" s="124"/>
      <c r="I1431" s="124"/>
      <c r="J1431" s="124"/>
      <c r="K1431" s="124"/>
      <c r="L1431" s="124"/>
      <c r="M1431" s="124"/>
      <c r="N1431" s="124"/>
      <c r="O1431" s="124"/>
      <c r="P1431" s="124"/>
      <c r="Q1431" s="124"/>
      <c r="R1431" s="124"/>
      <c r="S1431" s="124"/>
      <c r="T1431" s="124"/>
      <c r="U1431" s="124"/>
      <c r="V1431" s="124"/>
      <c r="W1431" s="124"/>
      <c r="X1431" s="124"/>
      <c r="Y1431" s="124"/>
    </row>
    <row r="1432" spans="2:25" x14ac:dyDescent="0.25">
      <c r="B1432" s="124"/>
      <c r="C1432" s="124"/>
      <c r="D1432" s="124"/>
      <c r="E1432" s="124"/>
      <c r="F1432" s="124"/>
      <c r="G1432" s="124"/>
      <c r="H1432" s="124"/>
      <c r="I1432" s="124"/>
      <c r="J1432" s="124"/>
      <c r="K1432" s="124"/>
      <c r="L1432" s="124"/>
      <c r="M1432" s="124"/>
      <c r="N1432" s="124"/>
      <c r="O1432" s="124"/>
      <c r="P1432" s="124"/>
      <c r="Q1432" s="124"/>
      <c r="R1432" s="124"/>
      <c r="S1432" s="124"/>
      <c r="T1432" s="124"/>
      <c r="U1432" s="124"/>
      <c r="V1432" s="124"/>
      <c r="W1432" s="124"/>
      <c r="X1432" s="124"/>
      <c r="Y1432" s="124"/>
    </row>
    <row r="1433" spans="2:25" x14ac:dyDescent="0.25">
      <c r="B1433" s="124"/>
      <c r="C1433" s="124"/>
      <c r="D1433" s="124"/>
      <c r="E1433" s="124"/>
      <c r="F1433" s="124"/>
      <c r="G1433" s="124"/>
      <c r="H1433" s="124"/>
      <c r="I1433" s="124"/>
      <c r="J1433" s="124"/>
      <c r="K1433" s="124"/>
      <c r="L1433" s="124"/>
      <c r="M1433" s="124"/>
      <c r="N1433" s="124"/>
      <c r="O1433" s="124"/>
      <c r="P1433" s="124"/>
      <c r="Q1433" s="124"/>
      <c r="R1433" s="124"/>
      <c r="S1433" s="124"/>
      <c r="T1433" s="124"/>
      <c r="U1433" s="124"/>
      <c r="V1433" s="124"/>
      <c r="W1433" s="124"/>
      <c r="X1433" s="124"/>
      <c r="Y1433" s="124"/>
    </row>
    <row r="1434" spans="2:25" x14ac:dyDescent="0.25">
      <c r="B1434" s="124"/>
      <c r="C1434" s="124"/>
      <c r="D1434" s="124"/>
      <c r="E1434" s="124"/>
      <c r="F1434" s="124"/>
      <c r="G1434" s="124"/>
      <c r="H1434" s="124"/>
      <c r="I1434" s="124"/>
      <c r="J1434" s="124"/>
      <c r="K1434" s="124"/>
      <c r="L1434" s="124"/>
      <c r="M1434" s="124"/>
      <c r="N1434" s="124"/>
      <c r="O1434" s="124"/>
      <c r="P1434" s="124"/>
      <c r="Q1434" s="124"/>
      <c r="R1434" s="124"/>
      <c r="S1434" s="124"/>
      <c r="T1434" s="124"/>
      <c r="U1434" s="124"/>
      <c r="V1434" s="124"/>
      <c r="W1434" s="124"/>
      <c r="X1434" s="124"/>
      <c r="Y1434" s="124"/>
    </row>
    <row r="1435" spans="2:25" x14ac:dyDescent="0.25">
      <c r="B1435" s="124"/>
      <c r="C1435" s="124"/>
      <c r="D1435" s="124"/>
      <c r="E1435" s="124"/>
      <c r="F1435" s="124"/>
      <c r="G1435" s="124"/>
      <c r="H1435" s="124"/>
      <c r="I1435" s="124"/>
      <c r="J1435" s="124"/>
      <c r="K1435" s="124"/>
      <c r="L1435" s="124"/>
      <c r="M1435" s="124"/>
      <c r="N1435" s="124"/>
      <c r="O1435" s="124"/>
      <c r="P1435" s="124"/>
      <c r="Q1435" s="124"/>
      <c r="R1435" s="124"/>
      <c r="S1435" s="124"/>
      <c r="T1435" s="124"/>
      <c r="U1435" s="124"/>
      <c r="V1435" s="124"/>
      <c r="W1435" s="124"/>
      <c r="X1435" s="124"/>
      <c r="Y1435" s="124"/>
    </row>
    <row r="1436" spans="2:25" x14ac:dyDescent="0.25">
      <c r="B1436" s="124"/>
      <c r="C1436" s="124"/>
      <c r="D1436" s="124"/>
      <c r="E1436" s="124"/>
      <c r="F1436" s="124"/>
      <c r="G1436" s="124"/>
      <c r="H1436" s="124"/>
      <c r="I1436" s="124"/>
      <c r="J1436" s="124"/>
      <c r="K1436" s="124"/>
      <c r="L1436" s="124"/>
      <c r="M1436" s="124"/>
      <c r="N1436" s="124"/>
      <c r="O1436" s="124"/>
      <c r="P1436" s="124"/>
      <c r="Q1436" s="124"/>
      <c r="R1436" s="124"/>
      <c r="S1436" s="124"/>
      <c r="T1436" s="124"/>
      <c r="U1436" s="124"/>
      <c r="V1436" s="124"/>
      <c r="W1436" s="124"/>
      <c r="X1436" s="124"/>
      <c r="Y1436" s="124"/>
    </row>
    <row r="1437" spans="2:25" x14ac:dyDescent="0.25">
      <c r="B1437" s="124"/>
      <c r="C1437" s="124"/>
      <c r="D1437" s="124"/>
      <c r="E1437" s="124"/>
      <c r="F1437" s="124"/>
      <c r="G1437" s="124"/>
      <c r="H1437" s="124"/>
      <c r="I1437" s="124"/>
      <c r="J1437" s="124"/>
      <c r="K1437" s="124"/>
      <c r="L1437" s="124"/>
      <c r="M1437" s="124"/>
      <c r="N1437" s="124"/>
      <c r="O1437" s="124"/>
      <c r="P1437" s="124"/>
      <c r="Q1437" s="124"/>
      <c r="R1437" s="124"/>
      <c r="S1437" s="124"/>
      <c r="T1437" s="124"/>
      <c r="U1437" s="124"/>
      <c r="V1437" s="124"/>
      <c r="W1437" s="124"/>
      <c r="X1437" s="124"/>
      <c r="Y1437" s="124"/>
    </row>
    <row r="1438" spans="2:25" x14ac:dyDescent="0.25">
      <c r="B1438" s="124"/>
      <c r="C1438" s="124"/>
      <c r="D1438" s="124"/>
      <c r="E1438" s="124"/>
      <c r="F1438" s="124"/>
      <c r="G1438" s="124"/>
      <c r="H1438" s="124"/>
      <c r="I1438" s="124"/>
      <c r="J1438" s="124"/>
      <c r="K1438" s="124"/>
      <c r="L1438" s="124"/>
      <c r="M1438" s="124"/>
      <c r="N1438" s="124"/>
      <c r="O1438" s="124"/>
      <c r="P1438" s="124"/>
      <c r="Q1438" s="124"/>
      <c r="R1438" s="124"/>
      <c r="S1438" s="124"/>
      <c r="T1438" s="124"/>
      <c r="U1438" s="124"/>
      <c r="V1438" s="124"/>
      <c r="W1438" s="124"/>
      <c r="X1438" s="124"/>
      <c r="Y1438" s="124"/>
    </row>
    <row r="1439" spans="2:25" x14ac:dyDescent="0.25">
      <c r="B1439" s="124"/>
      <c r="C1439" s="124"/>
      <c r="D1439" s="124"/>
      <c r="E1439" s="124"/>
      <c r="F1439" s="124"/>
      <c r="G1439" s="124"/>
      <c r="H1439" s="124"/>
      <c r="I1439" s="124"/>
      <c r="J1439" s="124"/>
      <c r="K1439" s="124"/>
      <c r="L1439" s="124"/>
      <c r="M1439" s="124"/>
      <c r="N1439" s="124"/>
      <c r="O1439" s="124"/>
      <c r="P1439" s="124"/>
      <c r="Q1439" s="124"/>
      <c r="R1439" s="124"/>
      <c r="S1439" s="124"/>
      <c r="T1439" s="124"/>
      <c r="U1439" s="124"/>
      <c r="V1439" s="124"/>
      <c r="W1439" s="124"/>
      <c r="X1439" s="124"/>
      <c r="Y1439" s="124"/>
    </row>
    <row r="1440" spans="2:25" x14ac:dyDescent="0.25">
      <c r="B1440" s="124"/>
      <c r="C1440" s="124"/>
      <c r="D1440" s="124"/>
      <c r="E1440" s="124"/>
      <c r="F1440" s="124"/>
      <c r="G1440" s="124"/>
      <c r="H1440" s="124"/>
      <c r="I1440" s="124"/>
      <c r="J1440" s="124"/>
      <c r="K1440" s="124"/>
      <c r="L1440" s="124"/>
      <c r="M1440" s="124"/>
      <c r="N1440" s="124"/>
      <c r="O1440" s="124"/>
      <c r="P1440" s="124"/>
      <c r="Q1440" s="124"/>
      <c r="R1440" s="124"/>
      <c r="S1440" s="124"/>
      <c r="T1440" s="124"/>
      <c r="U1440" s="124"/>
      <c r="V1440" s="124"/>
      <c r="W1440" s="124"/>
      <c r="X1440" s="124"/>
      <c r="Y1440" s="124"/>
    </row>
    <row r="1441" spans="2:25" x14ac:dyDescent="0.25">
      <c r="B1441" s="124"/>
      <c r="C1441" s="124"/>
      <c r="D1441" s="124"/>
      <c r="E1441" s="124"/>
      <c r="F1441" s="124"/>
      <c r="G1441" s="124"/>
      <c r="H1441" s="124"/>
      <c r="I1441" s="124"/>
      <c r="J1441" s="124"/>
      <c r="K1441" s="124"/>
      <c r="L1441" s="124"/>
      <c r="M1441" s="124"/>
      <c r="N1441" s="124"/>
      <c r="O1441" s="124"/>
      <c r="P1441" s="124"/>
      <c r="Q1441" s="124"/>
      <c r="R1441" s="124"/>
      <c r="S1441" s="124"/>
      <c r="T1441" s="124"/>
      <c r="U1441" s="124"/>
      <c r="V1441" s="124"/>
      <c r="W1441" s="124"/>
      <c r="X1441" s="124"/>
      <c r="Y1441" s="124"/>
    </row>
    <row r="1442" spans="2:25" x14ac:dyDescent="0.25">
      <c r="B1442" s="124"/>
      <c r="C1442" s="124"/>
      <c r="D1442" s="124"/>
      <c r="E1442" s="124"/>
      <c r="F1442" s="124"/>
      <c r="G1442" s="124"/>
      <c r="H1442" s="124"/>
      <c r="I1442" s="124"/>
      <c r="J1442" s="124"/>
      <c r="K1442" s="124"/>
      <c r="L1442" s="124"/>
      <c r="M1442" s="124"/>
      <c r="N1442" s="124"/>
      <c r="O1442" s="124"/>
      <c r="P1442" s="124"/>
      <c r="Q1442" s="124"/>
      <c r="R1442" s="124"/>
      <c r="S1442" s="124"/>
      <c r="T1442" s="124"/>
      <c r="U1442" s="124"/>
      <c r="V1442" s="124"/>
      <c r="W1442" s="124"/>
      <c r="X1442" s="124"/>
      <c r="Y1442" s="124"/>
    </row>
    <row r="1443" spans="2:25" x14ac:dyDescent="0.25">
      <c r="B1443" s="124"/>
      <c r="C1443" s="124"/>
      <c r="D1443" s="124"/>
      <c r="E1443" s="124"/>
      <c r="F1443" s="124"/>
      <c r="G1443" s="124"/>
      <c r="H1443" s="124"/>
      <c r="I1443" s="124"/>
      <c r="J1443" s="124"/>
      <c r="K1443" s="124"/>
      <c r="L1443" s="124"/>
      <c r="M1443" s="124"/>
      <c r="N1443" s="124"/>
      <c r="O1443" s="124"/>
      <c r="P1443" s="124"/>
      <c r="Q1443" s="124"/>
      <c r="R1443" s="124"/>
      <c r="S1443" s="124"/>
      <c r="T1443" s="124"/>
      <c r="U1443" s="124"/>
      <c r="V1443" s="124"/>
      <c r="W1443" s="124"/>
      <c r="X1443" s="124"/>
      <c r="Y1443" s="124"/>
    </row>
    <row r="1444" spans="2:25" x14ac:dyDescent="0.25">
      <c r="B1444" s="124"/>
      <c r="C1444" s="124"/>
      <c r="D1444" s="124"/>
      <c r="E1444" s="124"/>
      <c r="F1444" s="124"/>
      <c r="G1444" s="124"/>
      <c r="H1444" s="124"/>
      <c r="I1444" s="124"/>
      <c r="J1444" s="124"/>
      <c r="K1444" s="124"/>
      <c r="L1444" s="124"/>
      <c r="M1444" s="124"/>
      <c r="N1444" s="124"/>
      <c r="O1444" s="124"/>
      <c r="P1444" s="124"/>
      <c r="Q1444" s="124"/>
      <c r="R1444" s="124"/>
      <c r="S1444" s="124"/>
      <c r="T1444" s="124"/>
      <c r="U1444" s="124"/>
      <c r="V1444" s="124"/>
      <c r="W1444" s="124"/>
      <c r="X1444" s="124"/>
      <c r="Y1444" s="124"/>
    </row>
    <row r="1445" spans="2:25" x14ac:dyDescent="0.25">
      <c r="B1445" s="124"/>
      <c r="C1445" s="124"/>
      <c r="D1445" s="124"/>
      <c r="E1445" s="124"/>
      <c r="F1445" s="124"/>
      <c r="G1445" s="124"/>
      <c r="H1445" s="124"/>
      <c r="I1445" s="124"/>
      <c r="J1445" s="124"/>
      <c r="K1445" s="124"/>
      <c r="L1445" s="124"/>
      <c r="M1445" s="124"/>
      <c r="N1445" s="124"/>
      <c r="O1445" s="124"/>
      <c r="P1445" s="124"/>
      <c r="Q1445" s="124"/>
      <c r="R1445" s="124"/>
      <c r="S1445" s="124"/>
      <c r="T1445" s="124"/>
      <c r="U1445" s="124"/>
      <c r="V1445" s="124"/>
      <c r="W1445" s="124"/>
      <c r="X1445" s="124"/>
      <c r="Y1445" s="124"/>
    </row>
    <row r="1446" spans="2:25" x14ac:dyDescent="0.25">
      <c r="B1446" s="124"/>
      <c r="C1446" s="124"/>
      <c r="D1446" s="124"/>
      <c r="E1446" s="124"/>
      <c r="F1446" s="124"/>
      <c r="G1446" s="124"/>
      <c r="H1446" s="124"/>
      <c r="I1446" s="124"/>
      <c r="J1446" s="124"/>
      <c r="K1446" s="124"/>
      <c r="L1446" s="124"/>
      <c r="M1446" s="124"/>
      <c r="N1446" s="124"/>
      <c r="O1446" s="124"/>
      <c r="P1446" s="124"/>
      <c r="Q1446" s="124"/>
      <c r="R1446" s="124"/>
      <c r="S1446" s="124"/>
      <c r="T1446" s="124"/>
      <c r="U1446" s="124"/>
      <c r="V1446" s="124"/>
      <c r="W1446" s="124"/>
      <c r="X1446" s="124"/>
      <c r="Y1446" s="124"/>
    </row>
    <row r="1447" spans="2:25" x14ac:dyDescent="0.25">
      <c r="B1447" s="124"/>
      <c r="C1447" s="124"/>
      <c r="D1447" s="124"/>
      <c r="E1447" s="124"/>
      <c r="F1447" s="124"/>
      <c r="G1447" s="124"/>
      <c r="H1447" s="124"/>
      <c r="I1447" s="124"/>
      <c r="J1447" s="124"/>
      <c r="K1447" s="124"/>
      <c r="L1447" s="124"/>
      <c r="M1447" s="124"/>
      <c r="N1447" s="124"/>
      <c r="O1447" s="124"/>
      <c r="P1447" s="124"/>
      <c r="Q1447" s="124"/>
      <c r="R1447" s="124"/>
      <c r="S1447" s="124"/>
      <c r="T1447" s="124"/>
      <c r="U1447" s="124"/>
      <c r="V1447" s="124"/>
      <c r="W1447" s="124"/>
      <c r="X1447" s="124"/>
      <c r="Y1447" s="124"/>
    </row>
    <row r="1448" spans="2:25" x14ac:dyDescent="0.25">
      <c r="B1448" s="124"/>
      <c r="C1448" s="124"/>
      <c r="D1448" s="124"/>
      <c r="E1448" s="124"/>
      <c r="F1448" s="124"/>
      <c r="G1448" s="124"/>
      <c r="H1448" s="124"/>
      <c r="I1448" s="124"/>
      <c r="J1448" s="124"/>
      <c r="K1448" s="124"/>
      <c r="L1448" s="124"/>
      <c r="M1448" s="124"/>
      <c r="N1448" s="124"/>
      <c r="O1448" s="124"/>
      <c r="P1448" s="124"/>
      <c r="Q1448" s="124"/>
      <c r="R1448" s="124"/>
      <c r="S1448" s="124"/>
      <c r="T1448" s="124"/>
      <c r="U1448" s="124"/>
      <c r="V1448" s="124"/>
      <c r="W1448" s="124"/>
      <c r="X1448" s="124"/>
      <c r="Y1448" s="124"/>
    </row>
    <row r="1449" spans="2:25" x14ac:dyDescent="0.25">
      <c r="B1449" s="124"/>
      <c r="C1449" s="124"/>
      <c r="D1449" s="124"/>
      <c r="E1449" s="124"/>
      <c r="F1449" s="124"/>
      <c r="G1449" s="124"/>
      <c r="H1449" s="124"/>
      <c r="I1449" s="124"/>
      <c r="J1449" s="124"/>
      <c r="K1449" s="124"/>
      <c r="L1449" s="124"/>
      <c r="M1449" s="124"/>
      <c r="N1449" s="124"/>
      <c r="O1449" s="124"/>
      <c r="P1449" s="124"/>
      <c r="Q1449" s="124"/>
      <c r="R1449" s="124"/>
      <c r="S1449" s="124"/>
      <c r="T1449" s="124"/>
      <c r="U1449" s="124"/>
      <c r="V1449" s="124"/>
      <c r="W1449" s="124"/>
      <c r="X1449" s="124"/>
      <c r="Y1449" s="124"/>
    </row>
    <row r="1450" spans="2:25" x14ac:dyDescent="0.25">
      <c r="B1450" s="124"/>
      <c r="C1450" s="124"/>
      <c r="D1450" s="124"/>
      <c r="E1450" s="124"/>
      <c r="F1450" s="124"/>
      <c r="G1450" s="124"/>
      <c r="H1450" s="124"/>
      <c r="I1450" s="124"/>
      <c r="J1450" s="124"/>
      <c r="K1450" s="124"/>
      <c r="L1450" s="124"/>
      <c r="M1450" s="124"/>
      <c r="N1450" s="124"/>
      <c r="O1450" s="124"/>
      <c r="P1450" s="124"/>
      <c r="Q1450" s="124"/>
      <c r="R1450" s="124"/>
      <c r="S1450" s="124"/>
      <c r="T1450" s="124"/>
      <c r="U1450" s="124"/>
      <c r="V1450" s="124"/>
      <c r="W1450" s="124"/>
      <c r="X1450" s="124"/>
      <c r="Y1450" s="124"/>
    </row>
    <row r="1451" spans="2:25" x14ac:dyDescent="0.25">
      <c r="B1451" s="124"/>
      <c r="C1451" s="124"/>
      <c r="D1451" s="124"/>
      <c r="E1451" s="124"/>
      <c r="F1451" s="124"/>
      <c r="G1451" s="124"/>
      <c r="H1451" s="124"/>
      <c r="I1451" s="124"/>
      <c r="J1451" s="124"/>
      <c r="K1451" s="124"/>
      <c r="L1451" s="124"/>
      <c r="M1451" s="124"/>
      <c r="N1451" s="124"/>
      <c r="O1451" s="124"/>
      <c r="P1451" s="124"/>
      <c r="Q1451" s="124"/>
      <c r="R1451" s="124"/>
      <c r="S1451" s="124"/>
      <c r="T1451" s="124"/>
      <c r="U1451" s="124"/>
      <c r="V1451" s="124"/>
      <c r="W1451" s="124"/>
      <c r="X1451" s="124"/>
      <c r="Y1451" s="124"/>
    </row>
    <row r="1452" spans="2:25" x14ac:dyDescent="0.25">
      <c r="B1452" s="124"/>
      <c r="C1452" s="124"/>
      <c r="D1452" s="124"/>
      <c r="E1452" s="124"/>
      <c r="F1452" s="124"/>
      <c r="G1452" s="124"/>
      <c r="H1452" s="124"/>
      <c r="I1452" s="124"/>
      <c r="J1452" s="124"/>
      <c r="K1452" s="124"/>
      <c r="L1452" s="124"/>
      <c r="M1452" s="124"/>
      <c r="N1452" s="124"/>
      <c r="O1452" s="124"/>
      <c r="P1452" s="124"/>
      <c r="Q1452" s="124"/>
      <c r="R1452" s="124"/>
      <c r="S1452" s="124"/>
      <c r="T1452" s="124"/>
      <c r="U1452" s="124"/>
      <c r="V1452" s="124"/>
      <c r="W1452" s="124"/>
      <c r="X1452" s="124"/>
      <c r="Y1452" s="124"/>
    </row>
    <row r="1453" spans="2:25" x14ac:dyDescent="0.25">
      <c r="B1453" s="124"/>
      <c r="C1453" s="124"/>
      <c r="D1453" s="124"/>
      <c r="E1453" s="124"/>
      <c r="F1453" s="124"/>
      <c r="G1453" s="124"/>
      <c r="H1453" s="124"/>
      <c r="I1453" s="124"/>
      <c r="J1453" s="124"/>
      <c r="K1453" s="124"/>
      <c r="L1453" s="124"/>
      <c r="M1453" s="124"/>
      <c r="N1453" s="124"/>
      <c r="O1453" s="124"/>
      <c r="P1453" s="124"/>
      <c r="Q1453" s="124"/>
      <c r="R1453" s="124"/>
      <c r="S1453" s="124"/>
      <c r="T1453" s="124"/>
      <c r="U1453" s="124"/>
      <c r="V1453" s="124"/>
      <c r="W1453" s="124"/>
      <c r="X1453" s="124"/>
      <c r="Y1453" s="124"/>
    </row>
    <row r="1454" spans="2:25" x14ac:dyDescent="0.25">
      <c r="B1454" s="124"/>
      <c r="C1454" s="124"/>
      <c r="D1454" s="124"/>
      <c r="E1454" s="124"/>
      <c r="F1454" s="124"/>
      <c r="G1454" s="124"/>
      <c r="H1454" s="124"/>
      <c r="I1454" s="124"/>
      <c r="J1454" s="124"/>
      <c r="K1454" s="124"/>
      <c r="L1454" s="124"/>
      <c r="M1454" s="124"/>
      <c r="N1454" s="124"/>
      <c r="O1454" s="124"/>
      <c r="P1454" s="124"/>
      <c r="Q1454" s="124"/>
      <c r="R1454" s="124"/>
      <c r="S1454" s="124"/>
      <c r="T1454" s="124"/>
      <c r="U1454" s="124"/>
      <c r="V1454" s="124"/>
      <c r="W1454" s="124"/>
      <c r="X1454" s="124"/>
      <c r="Y1454" s="124"/>
    </row>
    <row r="1455" spans="2:25" x14ac:dyDescent="0.25">
      <c r="B1455" s="124"/>
      <c r="C1455" s="124"/>
      <c r="D1455" s="124"/>
      <c r="E1455" s="124"/>
      <c r="F1455" s="124"/>
      <c r="G1455" s="124"/>
      <c r="H1455" s="124"/>
      <c r="I1455" s="124"/>
      <c r="J1455" s="124"/>
      <c r="K1455" s="124"/>
      <c r="L1455" s="124"/>
      <c r="M1455" s="124"/>
      <c r="N1455" s="124"/>
      <c r="O1455" s="124"/>
      <c r="P1455" s="124"/>
      <c r="Q1455" s="124"/>
      <c r="R1455" s="124"/>
      <c r="S1455" s="124"/>
      <c r="T1455" s="124"/>
      <c r="U1455" s="124"/>
      <c r="V1455" s="124"/>
      <c r="W1455" s="124"/>
      <c r="X1455" s="124"/>
      <c r="Y1455" s="124"/>
    </row>
    <row r="1456" spans="2:25" x14ac:dyDescent="0.25">
      <c r="B1456" s="124"/>
      <c r="C1456" s="124"/>
      <c r="D1456" s="124"/>
      <c r="E1456" s="124"/>
      <c r="F1456" s="124"/>
      <c r="G1456" s="124"/>
      <c r="H1456" s="124"/>
      <c r="I1456" s="124"/>
      <c r="J1456" s="124"/>
      <c r="K1456" s="124"/>
      <c r="L1456" s="124"/>
      <c r="M1456" s="124"/>
      <c r="N1456" s="124"/>
      <c r="O1456" s="124"/>
      <c r="P1456" s="124"/>
      <c r="Q1456" s="124"/>
      <c r="R1456" s="124"/>
      <c r="S1456" s="124"/>
      <c r="T1456" s="124"/>
      <c r="U1456" s="124"/>
      <c r="V1456" s="124"/>
      <c r="W1456" s="124"/>
      <c r="X1456" s="124"/>
      <c r="Y1456" s="124"/>
    </row>
    <row r="1457" spans="2:25" x14ac:dyDescent="0.25">
      <c r="B1457" s="124"/>
      <c r="C1457" s="124"/>
      <c r="D1457" s="124"/>
      <c r="E1457" s="124"/>
      <c r="F1457" s="124"/>
      <c r="G1457" s="124"/>
      <c r="H1457" s="124"/>
      <c r="I1457" s="124"/>
      <c r="J1457" s="124"/>
      <c r="K1457" s="124"/>
      <c r="L1457" s="124"/>
      <c r="M1457" s="124"/>
      <c r="N1457" s="124"/>
      <c r="O1457" s="124"/>
      <c r="P1457" s="124"/>
      <c r="Q1457" s="124"/>
      <c r="R1457" s="124"/>
      <c r="S1457" s="124"/>
      <c r="T1457" s="124"/>
      <c r="U1457" s="124"/>
      <c r="V1457" s="124"/>
      <c r="W1457" s="124"/>
      <c r="X1457" s="124"/>
      <c r="Y1457" s="124"/>
    </row>
    <row r="1458" spans="2:25" x14ac:dyDescent="0.25">
      <c r="B1458" s="124"/>
      <c r="C1458" s="124"/>
      <c r="D1458" s="124"/>
      <c r="E1458" s="124"/>
      <c r="F1458" s="124"/>
      <c r="G1458" s="124"/>
      <c r="H1458" s="124"/>
      <c r="I1458" s="124"/>
      <c r="J1458" s="124"/>
      <c r="K1458" s="124"/>
      <c r="L1458" s="124"/>
      <c r="M1458" s="124"/>
      <c r="N1458" s="124"/>
      <c r="O1458" s="124"/>
      <c r="P1458" s="124"/>
      <c r="Q1458" s="124"/>
      <c r="R1458" s="124"/>
      <c r="S1458" s="124"/>
      <c r="T1458" s="124"/>
      <c r="U1458" s="124"/>
      <c r="V1458" s="124"/>
      <c r="W1458" s="124"/>
      <c r="X1458" s="124"/>
      <c r="Y1458" s="124"/>
    </row>
    <row r="1459" spans="2:25" x14ac:dyDescent="0.25">
      <c r="B1459" s="124"/>
      <c r="C1459" s="124"/>
      <c r="D1459" s="124"/>
      <c r="E1459" s="124"/>
      <c r="F1459" s="124"/>
      <c r="G1459" s="124"/>
      <c r="H1459" s="124"/>
      <c r="I1459" s="124"/>
      <c r="J1459" s="124"/>
      <c r="K1459" s="124"/>
      <c r="L1459" s="124"/>
      <c r="M1459" s="124"/>
      <c r="N1459" s="124"/>
      <c r="O1459" s="124"/>
      <c r="P1459" s="124"/>
      <c r="Q1459" s="124"/>
      <c r="R1459" s="124"/>
      <c r="S1459" s="124"/>
      <c r="T1459" s="124"/>
      <c r="U1459" s="124"/>
      <c r="V1459" s="124"/>
      <c r="W1459" s="124"/>
      <c r="X1459" s="124"/>
      <c r="Y1459" s="124"/>
    </row>
    <row r="1460" spans="2:25" x14ac:dyDescent="0.25">
      <c r="B1460" s="124"/>
      <c r="C1460" s="124"/>
      <c r="D1460" s="124"/>
      <c r="E1460" s="124"/>
      <c r="F1460" s="124"/>
      <c r="G1460" s="124"/>
      <c r="H1460" s="124"/>
      <c r="I1460" s="124"/>
      <c r="J1460" s="124"/>
      <c r="K1460" s="124"/>
      <c r="L1460" s="124"/>
      <c r="M1460" s="124"/>
      <c r="N1460" s="124"/>
      <c r="O1460" s="124"/>
      <c r="P1460" s="124"/>
      <c r="Q1460" s="124"/>
      <c r="R1460" s="124"/>
      <c r="S1460" s="124"/>
      <c r="T1460" s="124"/>
      <c r="U1460" s="124"/>
      <c r="V1460" s="124"/>
      <c r="W1460" s="124"/>
      <c r="X1460" s="124"/>
      <c r="Y1460" s="124"/>
    </row>
    <row r="1461" spans="2:25" x14ac:dyDescent="0.25">
      <c r="B1461" s="124"/>
      <c r="C1461" s="124"/>
      <c r="D1461" s="124"/>
      <c r="E1461" s="124"/>
      <c r="F1461" s="124"/>
      <c r="G1461" s="124"/>
      <c r="H1461" s="124"/>
      <c r="I1461" s="124"/>
      <c r="J1461" s="124"/>
      <c r="K1461" s="124"/>
      <c r="L1461" s="124"/>
      <c r="M1461" s="124"/>
      <c r="N1461" s="124"/>
      <c r="O1461" s="124"/>
      <c r="P1461" s="124"/>
      <c r="Q1461" s="124"/>
      <c r="R1461" s="124"/>
      <c r="S1461" s="124"/>
      <c r="T1461" s="124"/>
      <c r="U1461" s="124"/>
      <c r="V1461" s="124"/>
      <c r="W1461" s="124"/>
      <c r="X1461" s="124"/>
      <c r="Y1461" s="124"/>
    </row>
    <row r="1462" spans="2:25" x14ac:dyDescent="0.25">
      <c r="B1462" s="124"/>
      <c r="C1462" s="124"/>
      <c r="D1462" s="124"/>
      <c r="E1462" s="124"/>
      <c r="F1462" s="124"/>
      <c r="G1462" s="124"/>
      <c r="H1462" s="124"/>
      <c r="I1462" s="124"/>
      <c r="J1462" s="124"/>
      <c r="K1462" s="124"/>
      <c r="L1462" s="124"/>
      <c r="M1462" s="124"/>
      <c r="N1462" s="124"/>
      <c r="O1462" s="124"/>
      <c r="P1462" s="124"/>
      <c r="Q1462" s="124"/>
      <c r="R1462" s="124"/>
      <c r="S1462" s="124"/>
      <c r="T1462" s="124"/>
      <c r="U1462" s="124"/>
      <c r="V1462" s="124"/>
      <c r="W1462" s="124"/>
      <c r="X1462" s="124"/>
      <c r="Y1462" s="124"/>
    </row>
    <row r="1463" spans="2:25" x14ac:dyDescent="0.25">
      <c r="B1463" s="124"/>
      <c r="C1463" s="124"/>
      <c r="D1463" s="124"/>
      <c r="E1463" s="124"/>
      <c r="F1463" s="124"/>
      <c r="G1463" s="124"/>
      <c r="H1463" s="124"/>
      <c r="I1463" s="124"/>
      <c r="J1463" s="124"/>
      <c r="K1463" s="124"/>
      <c r="L1463" s="124"/>
      <c r="M1463" s="124"/>
      <c r="N1463" s="124"/>
      <c r="O1463" s="124"/>
      <c r="P1463" s="124"/>
      <c r="Q1463" s="124"/>
      <c r="R1463" s="124"/>
      <c r="S1463" s="124"/>
      <c r="T1463" s="124"/>
      <c r="U1463" s="124"/>
      <c r="V1463" s="124"/>
      <c r="W1463" s="124"/>
      <c r="X1463" s="124"/>
      <c r="Y1463" s="124"/>
    </row>
    <row r="1464" spans="2:25" x14ac:dyDescent="0.25">
      <c r="B1464" s="124"/>
      <c r="C1464" s="124"/>
      <c r="D1464" s="124"/>
      <c r="E1464" s="124"/>
      <c r="F1464" s="124"/>
      <c r="G1464" s="124"/>
      <c r="H1464" s="124"/>
      <c r="I1464" s="124"/>
      <c r="J1464" s="124"/>
      <c r="K1464" s="124"/>
      <c r="L1464" s="124"/>
      <c r="M1464" s="124"/>
      <c r="N1464" s="124"/>
      <c r="O1464" s="124"/>
      <c r="P1464" s="124"/>
      <c r="Q1464" s="124"/>
      <c r="R1464" s="124"/>
      <c r="S1464" s="124"/>
      <c r="T1464" s="124"/>
      <c r="U1464" s="124"/>
      <c r="V1464" s="124"/>
      <c r="W1464" s="124"/>
      <c r="X1464" s="124"/>
      <c r="Y1464" s="124"/>
    </row>
    <row r="1465" spans="2:25" x14ac:dyDescent="0.25">
      <c r="B1465" s="124"/>
      <c r="C1465" s="124"/>
      <c r="D1465" s="124"/>
      <c r="E1465" s="124"/>
      <c r="F1465" s="124"/>
      <c r="G1465" s="124"/>
      <c r="H1465" s="124"/>
      <c r="I1465" s="124"/>
      <c r="J1465" s="124"/>
      <c r="K1465" s="124"/>
      <c r="L1465" s="124"/>
      <c r="M1465" s="124"/>
      <c r="N1465" s="124"/>
      <c r="O1465" s="124"/>
      <c r="P1465" s="124"/>
      <c r="Q1465" s="124"/>
      <c r="R1465" s="124"/>
      <c r="S1465" s="124"/>
      <c r="T1465" s="124"/>
      <c r="U1465" s="124"/>
      <c r="V1465" s="124"/>
      <c r="W1465" s="124"/>
      <c r="X1465" s="124"/>
      <c r="Y1465" s="124"/>
    </row>
    <row r="1466" spans="2:25" x14ac:dyDescent="0.25">
      <c r="B1466" s="124"/>
      <c r="C1466" s="124"/>
      <c r="D1466" s="124"/>
      <c r="E1466" s="124"/>
      <c r="F1466" s="124"/>
      <c r="G1466" s="124"/>
      <c r="H1466" s="124"/>
      <c r="I1466" s="124"/>
      <c r="J1466" s="124"/>
      <c r="K1466" s="124"/>
      <c r="L1466" s="124"/>
      <c r="M1466" s="124"/>
      <c r="N1466" s="124"/>
      <c r="O1466" s="124"/>
      <c r="P1466" s="124"/>
      <c r="Q1466" s="124"/>
      <c r="R1466" s="124"/>
      <c r="S1466" s="124"/>
      <c r="T1466" s="124"/>
      <c r="U1466" s="124"/>
      <c r="V1466" s="124"/>
      <c r="W1466" s="124"/>
      <c r="X1466" s="124"/>
      <c r="Y1466" s="124"/>
    </row>
    <row r="1467" spans="2:25" x14ac:dyDescent="0.25">
      <c r="B1467" s="124"/>
      <c r="C1467" s="124"/>
      <c r="D1467" s="124"/>
      <c r="E1467" s="124"/>
      <c r="F1467" s="124"/>
      <c r="G1467" s="124"/>
      <c r="H1467" s="124"/>
      <c r="I1467" s="124"/>
      <c r="J1467" s="124"/>
      <c r="K1467" s="124"/>
      <c r="L1467" s="124"/>
      <c r="M1467" s="124"/>
      <c r="N1467" s="124"/>
      <c r="O1467" s="124"/>
      <c r="P1467" s="124"/>
      <c r="Q1467" s="124"/>
      <c r="R1467" s="124"/>
      <c r="S1467" s="124"/>
      <c r="T1467" s="124"/>
      <c r="U1467" s="124"/>
      <c r="V1467" s="124"/>
      <c r="W1467" s="124"/>
      <c r="X1467" s="124"/>
      <c r="Y1467" s="124"/>
    </row>
    <row r="1468" spans="2:25" x14ac:dyDescent="0.25">
      <c r="B1468" s="124"/>
      <c r="C1468" s="124"/>
      <c r="D1468" s="124"/>
      <c r="E1468" s="124"/>
      <c r="F1468" s="124"/>
      <c r="G1468" s="124"/>
      <c r="H1468" s="124"/>
      <c r="I1468" s="124"/>
      <c r="J1468" s="124"/>
      <c r="K1468" s="124"/>
      <c r="L1468" s="124"/>
      <c r="M1468" s="124"/>
      <c r="N1468" s="124"/>
      <c r="O1468" s="124"/>
      <c r="P1468" s="124"/>
      <c r="Q1468" s="124"/>
      <c r="R1468" s="124"/>
      <c r="S1468" s="124"/>
      <c r="T1468" s="124"/>
      <c r="U1468" s="124"/>
      <c r="V1468" s="124"/>
      <c r="W1468" s="124"/>
      <c r="X1468" s="124"/>
      <c r="Y1468" s="124"/>
    </row>
    <row r="1469" spans="2:25" x14ac:dyDescent="0.25">
      <c r="B1469" s="124"/>
      <c r="C1469" s="124"/>
      <c r="D1469" s="124"/>
      <c r="E1469" s="124"/>
      <c r="F1469" s="124"/>
      <c r="G1469" s="124"/>
      <c r="H1469" s="124"/>
      <c r="I1469" s="124"/>
      <c r="J1469" s="124"/>
      <c r="K1469" s="124"/>
      <c r="L1469" s="124"/>
      <c r="M1469" s="124"/>
      <c r="N1469" s="124"/>
      <c r="O1469" s="124"/>
      <c r="P1469" s="124"/>
      <c r="Q1469" s="124"/>
      <c r="R1469" s="124"/>
      <c r="S1469" s="124"/>
      <c r="T1469" s="124"/>
      <c r="U1469" s="124"/>
      <c r="V1469" s="124"/>
      <c r="W1469" s="124"/>
      <c r="X1469" s="124"/>
      <c r="Y1469" s="124"/>
    </row>
    <row r="1470" spans="2:25" x14ac:dyDescent="0.25">
      <c r="B1470" s="124"/>
      <c r="C1470" s="124"/>
      <c r="D1470" s="124"/>
      <c r="E1470" s="124"/>
      <c r="F1470" s="124"/>
      <c r="G1470" s="124"/>
      <c r="H1470" s="124"/>
      <c r="I1470" s="124"/>
      <c r="J1470" s="124"/>
      <c r="K1470" s="124"/>
      <c r="L1470" s="124"/>
      <c r="M1470" s="124"/>
      <c r="N1470" s="124"/>
      <c r="O1470" s="124"/>
      <c r="P1470" s="124"/>
      <c r="Q1470" s="124"/>
      <c r="R1470" s="124"/>
      <c r="S1470" s="124"/>
      <c r="T1470" s="124"/>
      <c r="U1470" s="124"/>
      <c r="V1470" s="124"/>
      <c r="W1470" s="124"/>
      <c r="X1470" s="124"/>
      <c r="Y1470" s="124"/>
    </row>
    <row r="1471" spans="2:25" x14ac:dyDescent="0.25">
      <c r="B1471" s="124"/>
      <c r="C1471" s="124"/>
      <c r="D1471" s="124"/>
      <c r="E1471" s="124"/>
      <c r="F1471" s="124"/>
      <c r="G1471" s="124"/>
      <c r="H1471" s="124"/>
      <c r="I1471" s="124"/>
      <c r="J1471" s="124"/>
      <c r="K1471" s="124"/>
      <c r="L1471" s="124"/>
      <c r="M1471" s="124"/>
      <c r="N1471" s="124"/>
      <c r="O1471" s="124"/>
      <c r="P1471" s="124"/>
      <c r="Q1471" s="124"/>
      <c r="R1471" s="124"/>
      <c r="S1471" s="124"/>
      <c r="T1471" s="124"/>
      <c r="U1471" s="124"/>
      <c r="V1471" s="124"/>
      <c r="W1471" s="124"/>
      <c r="X1471" s="124"/>
      <c r="Y1471" s="124"/>
    </row>
    <row r="1472" spans="2:25" x14ac:dyDescent="0.25">
      <c r="B1472" s="124"/>
      <c r="C1472" s="124"/>
      <c r="D1472" s="124"/>
      <c r="E1472" s="124"/>
      <c r="F1472" s="124"/>
      <c r="G1472" s="124"/>
      <c r="H1472" s="124"/>
      <c r="I1472" s="124"/>
      <c r="J1472" s="124"/>
      <c r="K1472" s="124"/>
      <c r="L1472" s="124"/>
      <c r="M1472" s="124"/>
      <c r="N1472" s="124"/>
      <c r="O1472" s="124"/>
      <c r="P1472" s="124"/>
      <c r="Q1472" s="124"/>
      <c r="R1472" s="124"/>
      <c r="S1472" s="124"/>
      <c r="T1472" s="124"/>
      <c r="U1472" s="124"/>
      <c r="V1472" s="124"/>
      <c r="W1472" s="124"/>
      <c r="X1472" s="124"/>
      <c r="Y1472" s="124"/>
    </row>
    <row r="1473" spans="2:25" x14ac:dyDescent="0.25">
      <c r="B1473" s="124"/>
      <c r="C1473" s="124"/>
      <c r="D1473" s="124"/>
      <c r="E1473" s="124"/>
      <c r="F1473" s="124"/>
      <c r="G1473" s="124"/>
      <c r="H1473" s="124"/>
      <c r="I1473" s="124"/>
      <c r="J1473" s="124"/>
      <c r="K1473" s="124"/>
      <c r="L1473" s="124"/>
      <c r="M1473" s="124"/>
      <c r="N1473" s="124"/>
      <c r="O1473" s="124"/>
      <c r="P1473" s="124"/>
      <c r="Q1473" s="124"/>
      <c r="R1473" s="124"/>
      <c r="S1473" s="124"/>
      <c r="T1473" s="124"/>
      <c r="U1473" s="124"/>
      <c r="V1473" s="124"/>
      <c r="W1473" s="124"/>
      <c r="X1473" s="124"/>
      <c r="Y1473" s="124"/>
    </row>
    <row r="1474" spans="2:25" x14ac:dyDescent="0.25">
      <c r="B1474" s="124"/>
      <c r="C1474" s="124"/>
      <c r="D1474" s="124"/>
      <c r="E1474" s="124"/>
      <c r="F1474" s="124"/>
      <c r="G1474" s="124"/>
      <c r="H1474" s="124"/>
      <c r="I1474" s="124"/>
      <c r="J1474" s="124"/>
      <c r="K1474" s="124"/>
      <c r="L1474" s="124"/>
      <c r="M1474" s="124"/>
      <c r="N1474" s="124"/>
      <c r="O1474" s="124"/>
      <c r="P1474" s="124"/>
      <c r="Q1474" s="124"/>
      <c r="R1474" s="124"/>
      <c r="S1474" s="124"/>
      <c r="T1474" s="124"/>
      <c r="U1474" s="124"/>
      <c r="V1474" s="124"/>
      <c r="W1474" s="124"/>
      <c r="X1474" s="124"/>
      <c r="Y1474" s="124"/>
    </row>
    <row r="1475" spans="2:25" x14ac:dyDescent="0.25">
      <c r="B1475" s="124"/>
      <c r="C1475" s="124"/>
      <c r="D1475" s="124"/>
      <c r="E1475" s="124"/>
      <c r="F1475" s="124"/>
      <c r="G1475" s="124"/>
      <c r="H1475" s="124"/>
      <c r="I1475" s="124"/>
      <c r="J1475" s="124"/>
      <c r="K1475" s="124"/>
      <c r="L1475" s="124"/>
      <c r="M1475" s="124"/>
      <c r="N1475" s="124"/>
      <c r="O1475" s="124"/>
      <c r="P1475" s="124"/>
      <c r="Q1475" s="124"/>
      <c r="R1475" s="124"/>
      <c r="S1475" s="124"/>
      <c r="T1475" s="124"/>
      <c r="U1475" s="124"/>
      <c r="V1475" s="124"/>
      <c r="W1475" s="124"/>
      <c r="X1475" s="124"/>
      <c r="Y1475" s="124"/>
    </row>
    <row r="1476" spans="2:25" x14ac:dyDescent="0.25">
      <c r="B1476" s="124"/>
      <c r="C1476" s="124"/>
      <c r="D1476" s="124"/>
      <c r="E1476" s="124"/>
      <c r="F1476" s="124"/>
      <c r="G1476" s="124"/>
      <c r="H1476" s="124"/>
      <c r="I1476" s="124"/>
      <c r="J1476" s="124"/>
      <c r="K1476" s="124"/>
      <c r="L1476" s="124"/>
      <c r="M1476" s="124"/>
      <c r="N1476" s="124"/>
      <c r="O1476" s="124"/>
      <c r="P1476" s="124"/>
      <c r="Q1476" s="124"/>
      <c r="R1476" s="124"/>
      <c r="S1476" s="124"/>
      <c r="T1476" s="124"/>
      <c r="U1476" s="124"/>
      <c r="V1476" s="124"/>
      <c r="W1476" s="124"/>
      <c r="X1476" s="124"/>
      <c r="Y1476" s="124"/>
    </row>
    <row r="1477" spans="2:25" x14ac:dyDescent="0.25">
      <c r="B1477" s="124"/>
      <c r="C1477" s="124"/>
      <c r="D1477" s="124"/>
      <c r="E1477" s="124"/>
      <c r="F1477" s="124"/>
      <c r="G1477" s="124"/>
      <c r="H1477" s="124"/>
      <c r="I1477" s="124"/>
      <c r="J1477" s="124"/>
      <c r="K1477" s="124"/>
      <c r="L1477" s="124"/>
      <c r="M1477" s="124"/>
      <c r="N1477" s="124"/>
      <c r="O1477" s="124"/>
      <c r="P1477" s="124"/>
      <c r="Q1477" s="124"/>
      <c r="R1477" s="124"/>
      <c r="S1477" s="124"/>
      <c r="T1477" s="124"/>
      <c r="U1477" s="124"/>
      <c r="V1477" s="124"/>
      <c r="W1477" s="124"/>
      <c r="X1477" s="124"/>
      <c r="Y1477" s="124"/>
    </row>
    <row r="1478" spans="2:25" x14ac:dyDescent="0.25">
      <c r="B1478" s="124"/>
      <c r="C1478" s="124"/>
      <c r="D1478" s="124"/>
      <c r="E1478" s="124"/>
      <c r="F1478" s="124"/>
      <c r="G1478" s="124"/>
      <c r="H1478" s="124"/>
      <c r="I1478" s="124"/>
      <c r="J1478" s="124"/>
      <c r="K1478" s="124"/>
      <c r="L1478" s="124"/>
      <c r="M1478" s="124"/>
      <c r="N1478" s="124"/>
      <c r="O1478" s="124"/>
      <c r="P1478" s="124"/>
      <c r="Q1478" s="124"/>
      <c r="R1478" s="124"/>
      <c r="S1478" s="124"/>
      <c r="T1478" s="124"/>
      <c r="U1478" s="124"/>
      <c r="V1478" s="124"/>
      <c r="W1478" s="124"/>
      <c r="X1478" s="124"/>
      <c r="Y1478" s="124"/>
    </row>
    <row r="1479" spans="2:25" x14ac:dyDescent="0.25">
      <c r="B1479" s="124"/>
      <c r="C1479" s="124"/>
      <c r="D1479" s="124"/>
      <c r="E1479" s="124"/>
      <c r="F1479" s="124"/>
      <c r="G1479" s="124"/>
      <c r="H1479" s="124"/>
      <c r="I1479" s="124"/>
      <c r="J1479" s="124"/>
      <c r="K1479" s="124"/>
      <c r="L1479" s="124"/>
      <c r="M1479" s="124"/>
      <c r="N1479" s="124"/>
      <c r="O1479" s="124"/>
      <c r="P1479" s="124"/>
      <c r="Q1479" s="124"/>
      <c r="R1479" s="124"/>
      <c r="S1479" s="124"/>
      <c r="T1479" s="124"/>
      <c r="U1479" s="124"/>
      <c r="V1479" s="124"/>
      <c r="W1479" s="124"/>
      <c r="X1479" s="124"/>
      <c r="Y1479" s="124"/>
    </row>
    <row r="1480" spans="2:25" x14ac:dyDescent="0.25">
      <c r="B1480" s="124"/>
      <c r="C1480" s="124"/>
      <c r="D1480" s="124"/>
      <c r="E1480" s="124"/>
      <c r="F1480" s="124"/>
      <c r="G1480" s="124"/>
      <c r="H1480" s="124"/>
      <c r="I1480" s="124"/>
      <c r="J1480" s="124"/>
      <c r="K1480" s="124"/>
      <c r="L1480" s="124"/>
      <c r="M1480" s="124"/>
      <c r="N1480" s="124"/>
      <c r="O1480" s="124"/>
      <c r="P1480" s="124"/>
      <c r="Q1480" s="124"/>
      <c r="R1480" s="124"/>
      <c r="S1480" s="124"/>
      <c r="T1480" s="124"/>
      <c r="U1480" s="124"/>
      <c r="V1480" s="124"/>
      <c r="W1480" s="124"/>
      <c r="X1480" s="124"/>
      <c r="Y1480" s="124"/>
    </row>
    <row r="1481" spans="2:25" x14ac:dyDescent="0.25">
      <c r="B1481" s="124"/>
      <c r="C1481" s="124"/>
      <c r="D1481" s="124"/>
      <c r="E1481" s="124"/>
      <c r="F1481" s="124"/>
      <c r="G1481" s="124"/>
      <c r="H1481" s="124"/>
      <c r="I1481" s="124"/>
      <c r="J1481" s="124"/>
      <c r="K1481" s="124"/>
      <c r="L1481" s="124"/>
      <c r="M1481" s="124"/>
      <c r="N1481" s="124"/>
      <c r="O1481" s="124"/>
      <c r="P1481" s="124"/>
      <c r="Q1481" s="124"/>
      <c r="R1481" s="124"/>
      <c r="S1481" s="124"/>
      <c r="T1481" s="124"/>
      <c r="U1481" s="124"/>
      <c r="V1481" s="124"/>
      <c r="W1481" s="124"/>
      <c r="X1481" s="124"/>
      <c r="Y1481" s="124"/>
    </row>
    <row r="1482" spans="2:25" x14ac:dyDescent="0.25">
      <c r="B1482" s="124"/>
      <c r="C1482" s="124"/>
      <c r="D1482" s="124"/>
      <c r="E1482" s="124"/>
      <c r="F1482" s="124"/>
      <c r="G1482" s="124"/>
      <c r="H1482" s="124"/>
      <c r="I1482" s="124"/>
      <c r="J1482" s="124"/>
      <c r="K1482" s="124"/>
      <c r="L1482" s="124"/>
      <c r="M1482" s="124"/>
      <c r="N1482" s="124"/>
      <c r="O1482" s="124"/>
      <c r="P1482" s="124"/>
      <c r="Q1482" s="124"/>
      <c r="R1482" s="124"/>
      <c r="S1482" s="124"/>
      <c r="T1482" s="124"/>
      <c r="U1482" s="124"/>
      <c r="V1482" s="124"/>
      <c r="W1482" s="124"/>
      <c r="X1482" s="124"/>
      <c r="Y1482" s="124"/>
    </row>
    <row r="1483" spans="2:25" x14ac:dyDescent="0.25">
      <c r="B1483" s="124"/>
      <c r="C1483" s="124"/>
      <c r="D1483" s="124"/>
      <c r="E1483" s="124"/>
      <c r="F1483" s="124"/>
      <c r="G1483" s="124"/>
      <c r="H1483" s="124"/>
      <c r="I1483" s="124"/>
      <c r="J1483" s="124"/>
      <c r="K1483" s="124"/>
      <c r="L1483" s="124"/>
      <c r="M1483" s="124"/>
      <c r="N1483" s="124"/>
      <c r="O1483" s="124"/>
      <c r="P1483" s="124"/>
      <c r="Q1483" s="124"/>
      <c r="R1483" s="124"/>
      <c r="S1483" s="124"/>
      <c r="T1483" s="124"/>
      <c r="U1483" s="124"/>
      <c r="V1483" s="124"/>
      <c r="W1483" s="124"/>
      <c r="X1483" s="124"/>
      <c r="Y1483" s="124"/>
    </row>
    <row r="1484" spans="2:25" x14ac:dyDescent="0.25">
      <c r="B1484" s="124"/>
      <c r="C1484" s="124"/>
      <c r="D1484" s="124"/>
      <c r="E1484" s="124"/>
      <c r="F1484" s="124"/>
      <c r="G1484" s="124"/>
      <c r="H1484" s="124"/>
      <c r="I1484" s="124"/>
      <c r="J1484" s="124"/>
      <c r="K1484" s="124"/>
      <c r="L1484" s="124"/>
      <c r="M1484" s="124"/>
      <c r="N1484" s="124"/>
      <c r="O1484" s="124"/>
      <c r="P1484" s="124"/>
      <c r="Q1484" s="124"/>
      <c r="R1484" s="124"/>
      <c r="S1484" s="124"/>
      <c r="T1484" s="124"/>
      <c r="U1484" s="124"/>
      <c r="V1484" s="124"/>
      <c r="W1484" s="124"/>
      <c r="X1484" s="124"/>
      <c r="Y1484" s="124"/>
    </row>
    <row r="1485" spans="2:25" x14ac:dyDescent="0.25">
      <c r="B1485" s="124"/>
      <c r="C1485" s="124"/>
      <c r="D1485" s="124"/>
      <c r="E1485" s="124"/>
      <c r="F1485" s="124"/>
      <c r="G1485" s="124"/>
      <c r="H1485" s="124"/>
      <c r="I1485" s="124"/>
      <c r="J1485" s="124"/>
      <c r="K1485" s="124"/>
      <c r="L1485" s="124"/>
      <c r="M1485" s="124"/>
      <c r="N1485" s="124"/>
      <c r="O1485" s="124"/>
      <c r="P1485" s="124"/>
      <c r="Q1485" s="124"/>
      <c r="R1485" s="124"/>
      <c r="S1485" s="124"/>
      <c r="T1485" s="124"/>
      <c r="U1485" s="124"/>
      <c r="V1485" s="124"/>
      <c r="W1485" s="124"/>
      <c r="X1485" s="124"/>
      <c r="Y1485" s="124"/>
    </row>
    <row r="1486" spans="2:25" x14ac:dyDescent="0.25">
      <c r="B1486" s="124"/>
      <c r="C1486" s="124"/>
      <c r="D1486" s="124"/>
      <c r="E1486" s="124"/>
      <c r="F1486" s="124"/>
      <c r="G1486" s="124"/>
      <c r="H1486" s="124"/>
      <c r="I1486" s="124"/>
      <c r="J1486" s="124"/>
      <c r="K1486" s="124"/>
      <c r="L1486" s="124"/>
      <c r="M1486" s="124"/>
      <c r="N1486" s="124"/>
      <c r="O1486" s="124"/>
      <c r="P1486" s="124"/>
      <c r="Q1486" s="124"/>
      <c r="R1486" s="124"/>
      <c r="S1486" s="124"/>
      <c r="T1486" s="124"/>
      <c r="U1486" s="124"/>
      <c r="V1486" s="124"/>
      <c r="W1486" s="124"/>
      <c r="X1486" s="124"/>
      <c r="Y1486" s="124"/>
    </row>
    <row r="1487" spans="2:25" x14ac:dyDescent="0.25">
      <c r="B1487" s="124"/>
      <c r="C1487" s="124"/>
      <c r="D1487" s="124"/>
      <c r="E1487" s="124"/>
      <c r="F1487" s="124"/>
      <c r="G1487" s="124"/>
      <c r="H1487" s="124"/>
      <c r="I1487" s="124"/>
      <c r="J1487" s="124"/>
      <c r="K1487" s="124"/>
      <c r="L1487" s="124"/>
      <c r="M1487" s="124"/>
      <c r="N1487" s="124"/>
      <c r="O1487" s="124"/>
      <c r="P1487" s="124"/>
      <c r="Q1487" s="124"/>
      <c r="R1487" s="124"/>
      <c r="S1487" s="124"/>
      <c r="T1487" s="124"/>
      <c r="U1487" s="124"/>
      <c r="V1487" s="124"/>
      <c r="W1487" s="124"/>
      <c r="X1487" s="124"/>
      <c r="Y1487" s="124"/>
    </row>
    <row r="1488" spans="2:25" x14ac:dyDescent="0.25">
      <c r="B1488" s="124"/>
      <c r="C1488" s="124"/>
      <c r="D1488" s="124"/>
      <c r="E1488" s="124"/>
      <c r="F1488" s="124"/>
      <c r="G1488" s="124"/>
      <c r="H1488" s="124"/>
      <c r="I1488" s="124"/>
      <c r="J1488" s="124"/>
      <c r="K1488" s="124"/>
      <c r="L1488" s="124"/>
      <c r="M1488" s="124"/>
      <c r="N1488" s="124"/>
      <c r="O1488" s="124"/>
      <c r="P1488" s="124"/>
      <c r="Q1488" s="124"/>
      <c r="R1488" s="124"/>
      <c r="S1488" s="124"/>
      <c r="T1488" s="124"/>
      <c r="U1488" s="124"/>
      <c r="V1488" s="124"/>
      <c r="W1488" s="124"/>
      <c r="X1488" s="124"/>
      <c r="Y1488" s="124"/>
    </row>
    <row r="1489" spans="2:25" x14ac:dyDescent="0.25">
      <c r="B1489" s="124"/>
      <c r="C1489" s="124"/>
      <c r="D1489" s="124"/>
      <c r="E1489" s="124"/>
      <c r="F1489" s="124"/>
      <c r="G1489" s="124"/>
      <c r="H1489" s="124"/>
      <c r="I1489" s="124"/>
      <c r="J1489" s="124"/>
      <c r="K1489" s="124"/>
      <c r="L1489" s="124"/>
      <c r="M1489" s="124"/>
      <c r="N1489" s="124"/>
      <c r="O1489" s="124"/>
      <c r="P1489" s="124"/>
      <c r="Q1489" s="124"/>
      <c r="R1489" s="124"/>
      <c r="S1489" s="124"/>
      <c r="T1489" s="124"/>
      <c r="U1489" s="124"/>
      <c r="V1489" s="124"/>
      <c r="W1489" s="124"/>
      <c r="X1489" s="124"/>
      <c r="Y1489" s="124"/>
    </row>
    <row r="1490" spans="2:25" x14ac:dyDescent="0.25">
      <c r="B1490" s="124"/>
      <c r="C1490" s="124"/>
      <c r="D1490" s="124"/>
      <c r="E1490" s="124"/>
      <c r="F1490" s="124"/>
      <c r="G1490" s="124"/>
      <c r="H1490" s="124"/>
      <c r="I1490" s="124"/>
      <c r="J1490" s="124"/>
      <c r="K1490" s="124"/>
      <c r="L1490" s="124"/>
      <c r="M1490" s="124"/>
      <c r="N1490" s="124"/>
      <c r="O1490" s="124"/>
      <c r="P1490" s="124"/>
      <c r="Q1490" s="124"/>
      <c r="R1490" s="124"/>
      <c r="S1490" s="124"/>
      <c r="T1490" s="124"/>
      <c r="U1490" s="124"/>
      <c r="V1490" s="124"/>
      <c r="W1490" s="124"/>
      <c r="X1490" s="124"/>
      <c r="Y1490" s="124"/>
    </row>
    <row r="1491" spans="2:25" x14ac:dyDescent="0.25">
      <c r="B1491" s="124"/>
      <c r="C1491" s="124"/>
      <c r="D1491" s="124"/>
      <c r="E1491" s="124"/>
      <c r="F1491" s="124"/>
      <c r="G1491" s="124"/>
      <c r="H1491" s="124"/>
      <c r="I1491" s="124"/>
      <c r="J1491" s="124"/>
      <c r="K1491" s="124"/>
      <c r="L1491" s="124"/>
      <c r="M1491" s="124"/>
      <c r="N1491" s="124"/>
      <c r="O1491" s="124"/>
      <c r="P1491" s="124"/>
      <c r="Q1491" s="124"/>
      <c r="R1491" s="124"/>
      <c r="S1491" s="124"/>
      <c r="T1491" s="124"/>
      <c r="U1491" s="124"/>
      <c r="V1491" s="124"/>
      <c r="W1491" s="124"/>
      <c r="X1491" s="124"/>
      <c r="Y1491" s="124"/>
    </row>
    <row r="1492" spans="2:25" x14ac:dyDescent="0.25">
      <c r="B1492" s="124"/>
      <c r="C1492" s="124"/>
      <c r="D1492" s="124"/>
      <c r="E1492" s="124"/>
      <c r="F1492" s="124"/>
      <c r="G1492" s="124"/>
      <c r="H1492" s="124"/>
      <c r="I1492" s="124"/>
      <c r="J1492" s="124"/>
      <c r="K1492" s="124"/>
      <c r="L1492" s="124"/>
      <c r="M1492" s="124"/>
      <c r="N1492" s="124"/>
      <c r="O1492" s="124"/>
      <c r="P1492" s="124"/>
      <c r="Q1492" s="124"/>
      <c r="R1492" s="124"/>
      <c r="S1492" s="124"/>
      <c r="T1492" s="124"/>
      <c r="U1492" s="124"/>
      <c r="V1492" s="124"/>
      <c r="W1492" s="124"/>
      <c r="X1492" s="124"/>
      <c r="Y1492" s="124"/>
    </row>
    <row r="1493" spans="2:25" x14ac:dyDescent="0.25">
      <c r="B1493" s="124"/>
      <c r="C1493" s="124"/>
      <c r="D1493" s="124"/>
      <c r="E1493" s="124"/>
      <c r="F1493" s="124"/>
      <c r="G1493" s="124"/>
      <c r="H1493" s="124"/>
      <c r="I1493" s="124"/>
      <c r="J1493" s="124"/>
      <c r="K1493" s="124"/>
      <c r="L1493" s="124"/>
      <c r="M1493" s="124"/>
      <c r="N1493" s="124"/>
      <c r="O1493" s="124"/>
      <c r="P1493" s="124"/>
      <c r="Q1493" s="124"/>
      <c r="R1493" s="124"/>
      <c r="S1493" s="124"/>
      <c r="T1493" s="124"/>
      <c r="U1493" s="124"/>
      <c r="V1493" s="124"/>
      <c r="W1493" s="124"/>
      <c r="X1493" s="124"/>
      <c r="Y1493" s="124"/>
    </row>
    <row r="1494" spans="2:25" x14ac:dyDescent="0.25">
      <c r="B1494" s="124"/>
      <c r="C1494" s="124"/>
      <c r="D1494" s="124"/>
      <c r="E1494" s="124"/>
      <c r="F1494" s="124"/>
      <c r="G1494" s="124"/>
      <c r="H1494" s="124"/>
      <c r="I1494" s="124"/>
      <c r="J1494" s="124"/>
      <c r="K1494" s="124"/>
      <c r="L1494" s="124"/>
      <c r="M1494" s="124"/>
      <c r="N1494" s="124"/>
      <c r="O1494" s="124"/>
      <c r="P1494" s="124"/>
      <c r="Q1494" s="124"/>
      <c r="R1494" s="124"/>
      <c r="S1494" s="124"/>
      <c r="T1494" s="124"/>
      <c r="U1494" s="124"/>
      <c r="V1494" s="124"/>
      <c r="W1494" s="124"/>
      <c r="X1494" s="124"/>
      <c r="Y1494" s="124"/>
    </row>
    <row r="1495" spans="2:25" x14ac:dyDescent="0.25">
      <c r="B1495" s="124"/>
      <c r="C1495" s="124"/>
      <c r="D1495" s="124"/>
      <c r="E1495" s="124"/>
      <c r="F1495" s="124"/>
      <c r="G1495" s="124"/>
      <c r="H1495" s="124"/>
      <c r="I1495" s="124"/>
      <c r="J1495" s="124"/>
      <c r="K1495" s="124"/>
      <c r="L1495" s="124"/>
      <c r="M1495" s="124"/>
      <c r="N1495" s="124"/>
      <c r="O1495" s="124"/>
      <c r="P1495" s="124"/>
      <c r="Q1495" s="124"/>
      <c r="R1495" s="124"/>
      <c r="S1495" s="124"/>
      <c r="T1495" s="124"/>
      <c r="U1495" s="124"/>
      <c r="V1495" s="124"/>
      <c r="W1495" s="124"/>
      <c r="X1495" s="124"/>
      <c r="Y1495" s="124"/>
    </row>
    <row r="1496" spans="2:25" x14ac:dyDescent="0.25">
      <c r="B1496" s="124"/>
      <c r="C1496" s="124"/>
      <c r="D1496" s="124"/>
      <c r="E1496" s="124"/>
      <c r="F1496" s="124"/>
      <c r="G1496" s="124"/>
      <c r="H1496" s="124"/>
      <c r="I1496" s="124"/>
      <c r="J1496" s="124"/>
      <c r="K1496" s="124"/>
      <c r="L1496" s="124"/>
      <c r="M1496" s="124"/>
      <c r="N1496" s="124"/>
      <c r="O1496" s="124"/>
      <c r="P1496" s="124"/>
      <c r="Q1496" s="124"/>
      <c r="R1496" s="124"/>
      <c r="S1496" s="124"/>
      <c r="T1496" s="124"/>
      <c r="U1496" s="124"/>
      <c r="V1496" s="124"/>
      <c r="W1496" s="124"/>
      <c r="X1496" s="124"/>
      <c r="Y1496" s="124"/>
    </row>
    <row r="1497" spans="2:25" x14ac:dyDescent="0.25">
      <c r="B1497" s="124"/>
      <c r="C1497" s="124"/>
      <c r="D1497" s="124"/>
      <c r="E1497" s="124"/>
      <c r="F1497" s="124"/>
      <c r="G1497" s="124"/>
      <c r="H1497" s="124"/>
      <c r="I1497" s="124"/>
      <c r="J1497" s="124"/>
      <c r="K1497" s="124"/>
      <c r="L1497" s="124"/>
      <c r="M1497" s="124"/>
      <c r="N1497" s="124"/>
      <c r="O1497" s="124"/>
      <c r="P1497" s="124"/>
      <c r="Q1497" s="124"/>
      <c r="R1497" s="124"/>
      <c r="S1497" s="124"/>
      <c r="T1497" s="124"/>
      <c r="U1497" s="124"/>
      <c r="V1497" s="124"/>
      <c r="W1497" s="124"/>
      <c r="X1497" s="124"/>
      <c r="Y1497" s="124"/>
    </row>
    <row r="1498" spans="2:25" x14ac:dyDescent="0.25">
      <c r="B1498" s="124"/>
      <c r="C1498" s="124"/>
      <c r="D1498" s="124"/>
      <c r="E1498" s="124"/>
      <c r="F1498" s="124"/>
      <c r="G1498" s="124"/>
      <c r="H1498" s="124"/>
      <c r="I1498" s="124"/>
      <c r="J1498" s="124"/>
      <c r="K1498" s="124"/>
      <c r="L1498" s="124"/>
      <c r="M1498" s="124"/>
      <c r="N1498" s="124"/>
      <c r="O1498" s="124"/>
      <c r="P1498" s="124"/>
      <c r="Q1498" s="124"/>
      <c r="R1498" s="124"/>
      <c r="S1498" s="124"/>
      <c r="T1498" s="124"/>
      <c r="U1498" s="124"/>
      <c r="V1498" s="124"/>
      <c r="W1498" s="124"/>
      <c r="X1498" s="124"/>
      <c r="Y1498" s="124"/>
    </row>
    <row r="1499" spans="2:25" x14ac:dyDescent="0.25">
      <c r="B1499" s="124"/>
      <c r="C1499" s="124"/>
      <c r="D1499" s="124"/>
      <c r="E1499" s="124"/>
      <c r="F1499" s="124"/>
      <c r="G1499" s="124"/>
      <c r="H1499" s="124"/>
      <c r="I1499" s="124"/>
      <c r="J1499" s="124"/>
      <c r="K1499" s="124"/>
      <c r="L1499" s="124"/>
      <c r="M1499" s="124"/>
      <c r="N1499" s="124"/>
      <c r="O1499" s="124"/>
      <c r="P1499" s="124"/>
      <c r="Q1499" s="124"/>
      <c r="R1499" s="124"/>
      <c r="S1499" s="124"/>
      <c r="T1499" s="124"/>
      <c r="U1499" s="124"/>
      <c r="V1499" s="124"/>
      <c r="W1499" s="124"/>
      <c r="X1499" s="124"/>
      <c r="Y1499" s="124"/>
    </row>
    <row r="1500" spans="2:25" x14ac:dyDescent="0.25">
      <c r="B1500" s="124"/>
      <c r="C1500" s="124"/>
      <c r="D1500" s="124"/>
      <c r="E1500" s="124"/>
      <c r="F1500" s="124"/>
      <c r="G1500" s="124"/>
      <c r="H1500" s="124"/>
      <c r="I1500" s="124"/>
      <c r="J1500" s="124"/>
      <c r="K1500" s="124"/>
      <c r="L1500" s="124"/>
      <c r="M1500" s="124"/>
      <c r="N1500" s="124"/>
      <c r="O1500" s="124"/>
      <c r="P1500" s="124"/>
      <c r="Q1500" s="124"/>
      <c r="R1500" s="124"/>
      <c r="S1500" s="124"/>
      <c r="T1500" s="124"/>
      <c r="U1500" s="124"/>
      <c r="V1500" s="124"/>
      <c r="W1500" s="124"/>
      <c r="X1500" s="124"/>
      <c r="Y1500" s="124"/>
    </row>
    <row r="1501" spans="2:25" x14ac:dyDescent="0.25">
      <c r="B1501" s="124"/>
      <c r="C1501" s="124"/>
      <c r="D1501" s="124"/>
      <c r="E1501" s="124"/>
      <c r="F1501" s="124"/>
      <c r="G1501" s="124"/>
      <c r="H1501" s="124"/>
      <c r="I1501" s="124"/>
      <c r="J1501" s="124"/>
      <c r="K1501" s="124"/>
      <c r="L1501" s="124"/>
      <c r="M1501" s="124"/>
      <c r="N1501" s="124"/>
      <c r="O1501" s="124"/>
      <c r="P1501" s="124"/>
      <c r="Q1501" s="124"/>
      <c r="R1501" s="124"/>
      <c r="S1501" s="124"/>
      <c r="T1501" s="124"/>
      <c r="U1501" s="124"/>
      <c r="V1501" s="124"/>
      <c r="W1501" s="124"/>
      <c r="X1501" s="124"/>
      <c r="Y1501" s="124"/>
    </row>
    <row r="1502" spans="2:25" x14ac:dyDescent="0.25">
      <c r="B1502" s="124"/>
      <c r="C1502" s="124"/>
      <c r="D1502" s="124"/>
      <c r="E1502" s="124"/>
      <c r="F1502" s="124"/>
      <c r="G1502" s="124"/>
      <c r="H1502" s="124"/>
      <c r="I1502" s="124"/>
      <c r="J1502" s="124"/>
      <c r="K1502" s="124"/>
      <c r="L1502" s="124"/>
      <c r="M1502" s="124"/>
      <c r="N1502" s="124"/>
      <c r="O1502" s="124"/>
      <c r="P1502" s="124"/>
      <c r="Q1502" s="124"/>
      <c r="R1502" s="124"/>
      <c r="S1502" s="124"/>
      <c r="T1502" s="124"/>
      <c r="U1502" s="124"/>
      <c r="V1502" s="124"/>
      <c r="W1502" s="124"/>
      <c r="X1502" s="124"/>
      <c r="Y1502" s="124"/>
    </row>
    <row r="1503" spans="2:25" x14ac:dyDescent="0.25">
      <c r="B1503" s="124"/>
      <c r="C1503" s="124"/>
      <c r="D1503" s="124"/>
      <c r="E1503" s="124"/>
      <c r="F1503" s="124"/>
      <c r="G1503" s="124"/>
      <c r="H1503" s="124"/>
      <c r="I1503" s="124"/>
      <c r="J1503" s="124"/>
      <c r="K1503" s="124"/>
      <c r="L1503" s="124"/>
      <c r="M1503" s="124"/>
      <c r="N1503" s="124"/>
      <c r="O1503" s="124"/>
      <c r="P1503" s="124"/>
      <c r="Q1503" s="124"/>
      <c r="R1503" s="124"/>
      <c r="S1503" s="124"/>
      <c r="T1503" s="124"/>
      <c r="U1503" s="124"/>
      <c r="V1503" s="124"/>
      <c r="W1503" s="124"/>
      <c r="X1503" s="124"/>
      <c r="Y1503" s="124"/>
    </row>
    <row r="1504" spans="2:25" x14ac:dyDescent="0.25">
      <c r="B1504" s="124"/>
      <c r="C1504" s="124"/>
      <c r="D1504" s="124"/>
      <c r="E1504" s="124"/>
      <c r="F1504" s="124"/>
      <c r="G1504" s="124"/>
      <c r="H1504" s="124"/>
      <c r="I1504" s="124"/>
      <c r="J1504" s="124"/>
      <c r="K1504" s="124"/>
      <c r="L1504" s="124"/>
      <c r="M1504" s="124"/>
      <c r="N1504" s="124"/>
      <c r="O1504" s="124"/>
      <c r="P1504" s="124"/>
      <c r="Q1504" s="124"/>
      <c r="R1504" s="124"/>
      <c r="S1504" s="124"/>
      <c r="T1504" s="124"/>
      <c r="U1504" s="124"/>
      <c r="V1504" s="124"/>
      <c r="W1504" s="124"/>
      <c r="X1504" s="124"/>
      <c r="Y1504" s="124"/>
    </row>
    <row r="1505" spans="2:25" x14ac:dyDescent="0.25">
      <c r="B1505" s="124"/>
      <c r="C1505" s="124"/>
      <c r="D1505" s="124"/>
      <c r="E1505" s="124"/>
      <c r="F1505" s="124"/>
      <c r="G1505" s="124"/>
      <c r="H1505" s="124"/>
      <c r="I1505" s="124"/>
      <c r="J1505" s="124"/>
      <c r="K1505" s="124"/>
      <c r="L1505" s="124"/>
      <c r="M1505" s="124"/>
      <c r="N1505" s="124"/>
      <c r="O1505" s="124"/>
      <c r="P1505" s="124"/>
      <c r="Q1505" s="124"/>
      <c r="R1505" s="124"/>
      <c r="S1505" s="124"/>
      <c r="T1505" s="124"/>
      <c r="U1505" s="124"/>
      <c r="V1505" s="124"/>
      <c r="W1505" s="124"/>
      <c r="X1505" s="124"/>
      <c r="Y1505" s="124"/>
    </row>
    <row r="1506" spans="2:25" x14ac:dyDescent="0.25">
      <c r="B1506" s="124"/>
      <c r="C1506" s="124"/>
      <c r="D1506" s="124"/>
      <c r="E1506" s="124"/>
      <c r="F1506" s="124"/>
      <c r="G1506" s="124"/>
      <c r="H1506" s="124"/>
      <c r="I1506" s="124"/>
      <c r="J1506" s="124"/>
      <c r="K1506" s="124"/>
      <c r="L1506" s="124"/>
      <c r="M1506" s="124"/>
      <c r="N1506" s="124"/>
      <c r="O1506" s="124"/>
      <c r="P1506" s="124"/>
      <c r="Q1506" s="124"/>
      <c r="R1506" s="124"/>
      <c r="S1506" s="124"/>
      <c r="T1506" s="124"/>
      <c r="U1506" s="124"/>
      <c r="V1506" s="124"/>
      <c r="W1506" s="124"/>
      <c r="X1506" s="124"/>
      <c r="Y1506" s="124"/>
    </row>
    <row r="1507" spans="2:25" x14ac:dyDescent="0.25">
      <c r="B1507" s="124"/>
      <c r="C1507" s="124"/>
      <c r="D1507" s="124"/>
      <c r="E1507" s="124"/>
      <c r="F1507" s="124"/>
      <c r="G1507" s="124"/>
      <c r="H1507" s="124"/>
      <c r="I1507" s="124"/>
      <c r="J1507" s="124"/>
      <c r="K1507" s="124"/>
      <c r="L1507" s="124"/>
      <c r="M1507" s="124"/>
      <c r="N1507" s="124"/>
      <c r="O1507" s="124"/>
      <c r="P1507" s="124"/>
      <c r="Q1507" s="124"/>
      <c r="R1507" s="124"/>
      <c r="S1507" s="124"/>
      <c r="T1507" s="124"/>
      <c r="U1507" s="124"/>
      <c r="V1507" s="124"/>
      <c r="W1507" s="124"/>
      <c r="X1507" s="124"/>
      <c r="Y1507" s="124"/>
    </row>
    <row r="1508" spans="2:25" x14ac:dyDescent="0.25">
      <c r="B1508" s="124"/>
      <c r="C1508" s="124"/>
      <c r="D1508" s="124"/>
      <c r="E1508" s="124"/>
      <c r="F1508" s="124"/>
      <c r="G1508" s="124"/>
      <c r="H1508" s="124"/>
      <c r="I1508" s="124"/>
      <c r="J1508" s="124"/>
      <c r="K1508" s="124"/>
      <c r="L1508" s="124"/>
      <c r="M1508" s="124"/>
      <c r="N1508" s="124"/>
      <c r="O1508" s="124"/>
      <c r="P1508" s="124"/>
      <c r="Q1508" s="124"/>
      <c r="R1508" s="124"/>
      <c r="S1508" s="124"/>
      <c r="T1508" s="124"/>
      <c r="U1508" s="124"/>
      <c r="V1508" s="124"/>
      <c r="W1508" s="124"/>
      <c r="X1508" s="124"/>
      <c r="Y1508" s="124"/>
    </row>
    <row r="1509" spans="2:25" x14ac:dyDescent="0.25">
      <c r="B1509" s="124"/>
      <c r="C1509" s="124"/>
      <c r="D1509" s="124"/>
      <c r="E1509" s="124"/>
      <c r="F1509" s="124"/>
      <c r="G1509" s="124"/>
      <c r="H1509" s="124"/>
      <c r="I1509" s="124"/>
      <c r="J1509" s="124"/>
      <c r="K1509" s="124"/>
      <c r="L1509" s="124"/>
      <c r="M1509" s="124"/>
      <c r="N1509" s="124"/>
      <c r="O1509" s="124"/>
      <c r="P1509" s="124"/>
      <c r="Q1509" s="124"/>
      <c r="R1509" s="124"/>
      <c r="S1509" s="124"/>
      <c r="T1509" s="124"/>
      <c r="U1509" s="124"/>
      <c r="V1509" s="124"/>
      <c r="W1509" s="124"/>
      <c r="X1509" s="124"/>
      <c r="Y1509" s="124"/>
    </row>
    <row r="1510" spans="2:25" x14ac:dyDescent="0.25">
      <c r="B1510" s="124"/>
      <c r="C1510" s="124"/>
      <c r="D1510" s="124"/>
      <c r="E1510" s="124"/>
      <c r="F1510" s="124"/>
      <c r="G1510" s="124"/>
      <c r="H1510" s="124"/>
      <c r="I1510" s="124"/>
      <c r="J1510" s="124"/>
      <c r="K1510" s="124"/>
      <c r="L1510" s="124"/>
      <c r="M1510" s="124"/>
      <c r="N1510" s="124"/>
      <c r="O1510" s="124"/>
      <c r="P1510" s="124"/>
      <c r="Q1510" s="124"/>
      <c r="R1510" s="124"/>
      <c r="S1510" s="124"/>
      <c r="T1510" s="124"/>
      <c r="U1510" s="124"/>
      <c r="V1510" s="124"/>
      <c r="W1510" s="124"/>
      <c r="X1510" s="124"/>
      <c r="Y1510" s="124"/>
    </row>
    <row r="1511" spans="2:25" x14ac:dyDescent="0.25">
      <c r="B1511" s="124"/>
      <c r="C1511" s="124"/>
      <c r="D1511" s="124"/>
      <c r="E1511" s="124"/>
      <c r="F1511" s="124"/>
      <c r="G1511" s="124"/>
      <c r="H1511" s="124"/>
      <c r="I1511" s="124"/>
      <c r="J1511" s="124"/>
      <c r="K1511" s="124"/>
      <c r="L1511" s="124"/>
      <c r="M1511" s="124"/>
      <c r="N1511" s="124"/>
      <c r="O1511" s="124"/>
      <c r="P1511" s="124"/>
      <c r="Q1511" s="124"/>
      <c r="R1511" s="124"/>
      <c r="S1511" s="124"/>
      <c r="T1511" s="124"/>
      <c r="U1511" s="124"/>
      <c r="V1511" s="124"/>
      <c r="W1511" s="124"/>
      <c r="X1511" s="124"/>
      <c r="Y1511" s="124"/>
    </row>
    <row r="1512" spans="2:25" x14ac:dyDescent="0.25">
      <c r="B1512" s="124"/>
      <c r="C1512" s="124"/>
      <c r="D1512" s="124"/>
      <c r="E1512" s="124"/>
      <c r="F1512" s="124"/>
      <c r="G1512" s="124"/>
      <c r="H1512" s="124"/>
      <c r="I1512" s="124"/>
      <c r="J1512" s="124"/>
      <c r="K1512" s="124"/>
      <c r="L1512" s="124"/>
      <c r="M1512" s="124"/>
      <c r="N1512" s="124"/>
      <c r="O1512" s="124"/>
      <c r="P1512" s="124"/>
      <c r="Q1512" s="124"/>
      <c r="R1512" s="124"/>
      <c r="S1512" s="124"/>
      <c r="T1512" s="124"/>
      <c r="U1512" s="124"/>
      <c r="V1512" s="124"/>
      <c r="W1512" s="124"/>
      <c r="X1512" s="124"/>
      <c r="Y1512" s="124"/>
    </row>
    <row r="1513" spans="2:25" x14ac:dyDescent="0.25">
      <c r="B1513" s="124"/>
      <c r="C1513" s="124"/>
      <c r="D1513" s="124"/>
      <c r="E1513" s="124"/>
      <c r="F1513" s="124"/>
      <c r="G1513" s="124"/>
      <c r="H1513" s="124"/>
      <c r="I1513" s="124"/>
      <c r="J1513" s="124"/>
      <c r="K1513" s="124"/>
      <c r="L1513" s="124"/>
      <c r="M1513" s="124"/>
      <c r="N1513" s="124"/>
      <c r="O1513" s="124"/>
      <c r="P1513" s="124"/>
      <c r="Q1513" s="124"/>
      <c r="R1513" s="124"/>
      <c r="S1513" s="124"/>
      <c r="T1513" s="124"/>
      <c r="U1513" s="124"/>
      <c r="V1513" s="124"/>
      <c r="W1513" s="124"/>
      <c r="X1513" s="124"/>
      <c r="Y1513" s="124"/>
    </row>
    <row r="1514" spans="2:25" x14ac:dyDescent="0.25">
      <c r="B1514" s="124"/>
      <c r="C1514" s="124"/>
      <c r="D1514" s="124"/>
      <c r="E1514" s="124"/>
      <c r="F1514" s="124"/>
      <c r="G1514" s="124"/>
      <c r="H1514" s="124"/>
      <c r="I1514" s="124"/>
      <c r="J1514" s="124"/>
      <c r="K1514" s="124"/>
      <c r="L1514" s="124"/>
      <c r="M1514" s="124"/>
      <c r="N1514" s="124"/>
      <c r="O1514" s="124"/>
      <c r="P1514" s="124"/>
      <c r="Q1514" s="124"/>
      <c r="R1514" s="124"/>
      <c r="S1514" s="124"/>
      <c r="T1514" s="124"/>
      <c r="U1514" s="124"/>
      <c r="V1514" s="124"/>
      <c r="W1514" s="124"/>
      <c r="X1514" s="124"/>
      <c r="Y1514" s="124"/>
    </row>
    <row r="1515" spans="2:25" x14ac:dyDescent="0.25">
      <c r="B1515" s="124"/>
      <c r="C1515" s="124"/>
      <c r="D1515" s="124"/>
      <c r="E1515" s="124"/>
      <c r="F1515" s="124"/>
      <c r="G1515" s="124"/>
      <c r="H1515" s="124"/>
      <c r="I1515" s="124"/>
      <c r="J1515" s="124"/>
      <c r="K1515" s="124"/>
      <c r="L1515" s="124"/>
      <c r="M1515" s="124"/>
      <c r="N1515" s="124"/>
      <c r="O1515" s="124"/>
      <c r="P1515" s="124"/>
      <c r="Q1515" s="124"/>
      <c r="R1515" s="124"/>
      <c r="S1515" s="124"/>
      <c r="T1515" s="124"/>
      <c r="U1515" s="124"/>
      <c r="V1515" s="124"/>
      <c r="W1515" s="124"/>
      <c r="X1515" s="124"/>
      <c r="Y1515" s="124"/>
    </row>
    <row r="1516" spans="2:25" x14ac:dyDescent="0.25">
      <c r="B1516" s="124"/>
      <c r="C1516" s="124"/>
      <c r="D1516" s="124"/>
      <c r="E1516" s="124"/>
      <c r="F1516" s="124"/>
      <c r="G1516" s="124"/>
      <c r="H1516" s="124"/>
      <c r="I1516" s="124"/>
      <c r="J1516" s="124"/>
      <c r="K1516" s="124"/>
      <c r="L1516" s="124"/>
      <c r="M1516" s="124"/>
      <c r="N1516" s="124"/>
      <c r="O1516" s="124"/>
      <c r="P1516" s="124"/>
      <c r="Q1516" s="124"/>
      <c r="R1516" s="124"/>
      <c r="S1516" s="124"/>
      <c r="T1516" s="124"/>
      <c r="U1516" s="124"/>
      <c r="V1516" s="124"/>
      <c r="W1516" s="124"/>
      <c r="X1516" s="124"/>
      <c r="Y1516" s="124"/>
    </row>
    <row r="1517" spans="2:25" x14ac:dyDescent="0.25">
      <c r="B1517" s="124"/>
      <c r="C1517" s="124"/>
      <c r="D1517" s="124"/>
      <c r="E1517" s="124"/>
      <c r="F1517" s="124"/>
      <c r="G1517" s="124"/>
      <c r="H1517" s="124"/>
      <c r="I1517" s="124"/>
      <c r="J1517" s="124"/>
      <c r="K1517" s="124"/>
      <c r="L1517" s="124"/>
      <c r="M1517" s="124"/>
      <c r="N1517" s="124"/>
      <c r="O1517" s="124"/>
      <c r="P1517" s="124"/>
      <c r="Q1517" s="124"/>
      <c r="R1517" s="124"/>
      <c r="S1517" s="124"/>
      <c r="T1517" s="124"/>
      <c r="U1517" s="124"/>
      <c r="V1517" s="124"/>
      <c r="W1517" s="124"/>
      <c r="X1517" s="124"/>
      <c r="Y1517" s="124"/>
    </row>
    <row r="1518" spans="2:25" x14ac:dyDescent="0.25">
      <c r="B1518" s="124"/>
      <c r="C1518" s="124"/>
      <c r="D1518" s="124"/>
      <c r="E1518" s="124"/>
      <c r="F1518" s="124"/>
      <c r="G1518" s="124"/>
      <c r="H1518" s="124"/>
      <c r="I1518" s="124"/>
      <c r="J1518" s="124"/>
      <c r="K1518" s="124"/>
      <c r="L1518" s="124"/>
      <c r="M1518" s="124"/>
      <c r="N1518" s="124"/>
      <c r="O1518" s="124"/>
      <c r="P1518" s="124"/>
      <c r="Q1518" s="124"/>
      <c r="R1518" s="124"/>
      <c r="S1518" s="124"/>
      <c r="T1518" s="124"/>
      <c r="U1518" s="124"/>
      <c r="V1518" s="124"/>
      <c r="W1518" s="124"/>
      <c r="X1518" s="124"/>
      <c r="Y1518" s="124"/>
    </row>
    <row r="1519" spans="2:25" x14ac:dyDescent="0.25">
      <c r="B1519" s="124"/>
      <c r="C1519" s="124"/>
      <c r="D1519" s="124"/>
      <c r="E1519" s="124"/>
      <c r="F1519" s="124"/>
      <c r="G1519" s="124"/>
      <c r="H1519" s="124"/>
      <c r="I1519" s="124"/>
      <c r="J1519" s="124"/>
      <c r="K1519" s="124"/>
      <c r="L1519" s="124"/>
      <c r="M1519" s="124"/>
      <c r="N1519" s="124"/>
      <c r="O1519" s="124"/>
      <c r="P1519" s="124"/>
      <c r="Q1519" s="124"/>
      <c r="R1519" s="124"/>
      <c r="S1519" s="124"/>
      <c r="T1519" s="124"/>
      <c r="U1519" s="124"/>
      <c r="V1519" s="124"/>
      <c r="W1519" s="124"/>
      <c r="X1519" s="124"/>
      <c r="Y1519" s="124"/>
    </row>
    <row r="1520" spans="2:25" x14ac:dyDescent="0.25">
      <c r="B1520" s="124"/>
      <c r="C1520" s="124"/>
      <c r="D1520" s="124"/>
      <c r="E1520" s="124"/>
      <c r="F1520" s="124"/>
      <c r="G1520" s="124"/>
      <c r="H1520" s="124"/>
      <c r="I1520" s="124"/>
      <c r="J1520" s="124"/>
      <c r="K1520" s="124"/>
      <c r="L1520" s="124"/>
      <c r="M1520" s="124"/>
      <c r="N1520" s="124"/>
      <c r="O1520" s="124"/>
      <c r="P1520" s="124"/>
      <c r="Q1520" s="124"/>
      <c r="R1520" s="124"/>
      <c r="S1520" s="124"/>
      <c r="T1520" s="124"/>
      <c r="U1520" s="124"/>
      <c r="V1520" s="124"/>
      <c r="W1520" s="124"/>
      <c r="X1520" s="124"/>
      <c r="Y1520" s="124"/>
    </row>
    <row r="1521" spans="2:25" x14ac:dyDescent="0.25">
      <c r="B1521" s="124"/>
      <c r="C1521" s="124"/>
      <c r="D1521" s="124"/>
      <c r="E1521" s="124"/>
      <c r="F1521" s="124"/>
      <c r="G1521" s="124"/>
      <c r="H1521" s="124"/>
      <c r="I1521" s="124"/>
      <c r="J1521" s="124"/>
      <c r="K1521" s="124"/>
      <c r="L1521" s="124"/>
      <c r="M1521" s="124"/>
      <c r="N1521" s="124"/>
      <c r="O1521" s="124"/>
      <c r="P1521" s="124"/>
      <c r="Q1521" s="124"/>
      <c r="R1521" s="124"/>
      <c r="S1521" s="124"/>
      <c r="T1521" s="124"/>
      <c r="U1521" s="124"/>
      <c r="V1521" s="124"/>
      <c r="W1521" s="124"/>
      <c r="X1521" s="124"/>
      <c r="Y1521" s="124"/>
    </row>
    <row r="1522" spans="2:25" x14ac:dyDescent="0.25">
      <c r="B1522" s="124"/>
      <c r="C1522" s="124"/>
      <c r="D1522" s="124"/>
      <c r="E1522" s="124"/>
      <c r="F1522" s="124"/>
      <c r="G1522" s="124"/>
      <c r="H1522" s="124"/>
      <c r="I1522" s="124"/>
      <c r="J1522" s="124"/>
      <c r="K1522" s="124"/>
      <c r="L1522" s="124"/>
      <c r="M1522" s="124"/>
      <c r="N1522" s="124"/>
      <c r="O1522" s="124"/>
      <c r="P1522" s="124"/>
      <c r="Q1522" s="124"/>
      <c r="R1522" s="124"/>
      <c r="S1522" s="124"/>
      <c r="T1522" s="124"/>
      <c r="U1522" s="124"/>
      <c r="V1522" s="124"/>
      <c r="W1522" s="124"/>
      <c r="X1522" s="124"/>
      <c r="Y1522" s="124"/>
    </row>
    <row r="1523" spans="2:25" x14ac:dyDescent="0.25">
      <c r="B1523" s="124"/>
      <c r="C1523" s="124"/>
      <c r="D1523" s="124"/>
      <c r="E1523" s="124"/>
      <c r="F1523" s="124"/>
      <c r="G1523" s="124"/>
      <c r="H1523" s="124"/>
      <c r="I1523" s="124"/>
      <c r="J1523" s="124"/>
      <c r="K1523" s="124"/>
      <c r="L1523" s="124"/>
      <c r="M1523" s="124"/>
      <c r="N1523" s="124"/>
      <c r="O1523" s="124"/>
      <c r="P1523" s="124"/>
      <c r="Q1523" s="124"/>
      <c r="R1523" s="124"/>
      <c r="S1523" s="124"/>
      <c r="T1523" s="124"/>
      <c r="U1523" s="124"/>
      <c r="V1523" s="124"/>
      <c r="W1523" s="124"/>
      <c r="X1523" s="124"/>
      <c r="Y1523" s="124"/>
    </row>
    <row r="1524" spans="2:25" x14ac:dyDescent="0.25">
      <c r="B1524" s="124"/>
      <c r="C1524" s="124"/>
      <c r="D1524" s="124"/>
      <c r="E1524" s="124"/>
      <c r="F1524" s="124"/>
      <c r="G1524" s="124"/>
      <c r="H1524" s="124"/>
      <c r="I1524" s="124"/>
      <c r="J1524" s="124"/>
      <c r="K1524" s="124"/>
      <c r="L1524" s="124"/>
      <c r="M1524" s="124"/>
      <c r="N1524" s="124"/>
      <c r="O1524" s="124"/>
      <c r="P1524" s="124"/>
      <c r="Q1524" s="124"/>
      <c r="R1524" s="124"/>
      <c r="S1524" s="124"/>
      <c r="T1524" s="124"/>
      <c r="U1524" s="124"/>
      <c r="V1524" s="124"/>
      <c r="W1524" s="124"/>
      <c r="X1524" s="124"/>
      <c r="Y1524" s="124"/>
    </row>
    <row r="1525" spans="2:25" x14ac:dyDescent="0.25">
      <c r="B1525" s="124"/>
      <c r="C1525" s="124"/>
      <c r="D1525" s="124"/>
      <c r="E1525" s="124"/>
      <c r="F1525" s="124"/>
      <c r="G1525" s="124"/>
      <c r="H1525" s="124"/>
      <c r="I1525" s="124"/>
      <c r="J1525" s="124"/>
      <c r="K1525" s="124"/>
      <c r="L1525" s="124"/>
      <c r="M1525" s="124"/>
      <c r="N1525" s="124"/>
      <c r="O1525" s="124"/>
      <c r="P1525" s="124"/>
      <c r="Q1525" s="124"/>
      <c r="R1525" s="124"/>
      <c r="S1525" s="124"/>
      <c r="T1525" s="124"/>
      <c r="U1525" s="124"/>
      <c r="V1525" s="124"/>
      <c r="W1525" s="124"/>
      <c r="X1525" s="124"/>
      <c r="Y1525" s="124"/>
    </row>
    <row r="1526" spans="2:25" x14ac:dyDescent="0.25">
      <c r="B1526" s="124"/>
      <c r="C1526" s="124"/>
      <c r="D1526" s="124"/>
      <c r="E1526" s="124"/>
      <c r="F1526" s="124"/>
      <c r="G1526" s="124"/>
      <c r="H1526" s="124"/>
      <c r="I1526" s="124"/>
      <c r="J1526" s="124"/>
      <c r="K1526" s="124"/>
      <c r="L1526" s="124"/>
      <c r="M1526" s="124"/>
      <c r="N1526" s="124"/>
      <c r="O1526" s="124"/>
      <c r="P1526" s="124"/>
      <c r="Q1526" s="124"/>
      <c r="R1526" s="124"/>
      <c r="S1526" s="124"/>
      <c r="T1526" s="124"/>
      <c r="U1526" s="124"/>
      <c r="V1526" s="124"/>
      <c r="W1526" s="124"/>
      <c r="X1526" s="124"/>
      <c r="Y1526" s="124"/>
    </row>
    <row r="1527" spans="2:25" x14ac:dyDescent="0.25">
      <c r="B1527" s="124"/>
      <c r="C1527" s="124"/>
      <c r="D1527" s="124"/>
      <c r="E1527" s="124"/>
      <c r="F1527" s="124"/>
      <c r="G1527" s="124"/>
      <c r="H1527" s="124"/>
      <c r="I1527" s="124"/>
      <c r="J1527" s="124"/>
      <c r="K1527" s="124"/>
      <c r="L1527" s="124"/>
      <c r="M1527" s="124"/>
      <c r="N1527" s="124"/>
      <c r="O1527" s="124"/>
      <c r="P1527" s="124"/>
      <c r="Q1527" s="124"/>
      <c r="R1527" s="124"/>
      <c r="S1527" s="124"/>
      <c r="T1527" s="124"/>
      <c r="U1527" s="124"/>
      <c r="V1527" s="124"/>
      <c r="W1527" s="124"/>
      <c r="X1527" s="124"/>
      <c r="Y1527" s="124"/>
    </row>
    <row r="1528" spans="2:25" x14ac:dyDescent="0.25">
      <c r="B1528" s="124"/>
      <c r="C1528" s="124"/>
      <c r="D1528" s="124"/>
      <c r="E1528" s="124"/>
      <c r="F1528" s="124"/>
      <c r="G1528" s="124"/>
      <c r="H1528" s="124"/>
      <c r="I1528" s="124"/>
      <c r="J1528" s="124"/>
      <c r="K1528" s="124"/>
      <c r="L1528" s="124"/>
      <c r="M1528" s="124"/>
      <c r="N1528" s="124"/>
      <c r="O1528" s="124"/>
      <c r="P1528" s="124"/>
      <c r="Q1528" s="124"/>
      <c r="R1528" s="124"/>
      <c r="S1528" s="124"/>
      <c r="T1528" s="124"/>
      <c r="U1528" s="124"/>
      <c r="V1528" s="124"/>
      <c r="W1528" s="124"/>
      <c r="X1528" s="124"/>
      <c r="Y1528" s="124"/>
    </row>
    <row r="1529" spans="2:25" x14ac:dyDescent="0.25">
      <c r="B1529" s="124"/>
      <c r="C1529" s="124"/>
      <c r="D1529" s="124"/>
      <c r="E1529" s="124"/>
      <c r="F1529" s="124"/>
      <c r="G1529" s="124"/>
      <c r="H1529" s="124"/>
      <c r="I1529" s="124"/>
      <c r="J1529" s="124"/>
      <c r="K1529" s="124"/>
      <c r="L1529" s="124"/>
      <c r="M1529" s="124"/>
      <c r="N1529" s="124"/>
      <c r="O1529" s="124"/>
      <c r="P1529" s="124"/>
      <c r="Q1529" s="124"/>
      <c r="R1529" s="124"/>
      <c r="S1529" s="124"/>
      <c r="T1529" s="124"/>
      <c r="U1529" s="124"/>
      <c r="V1529" s="124"/>
      <c r="W1529" s="124"/>
      <c r="X1529" s="124"/>
      <c r="Y1529" s="124"/>
    </row>
    <row r="1530" spans="2:25" x14ac:dyDescent="0.25">
      <c r="B1530" s="124"/>
      <c r="C1530" s="124"/>
      <c r="D1530" s="124"/>
      <c r="E1530" s="124"/>
      <c r="F1530" s="124"/>
      <c r="G1530" s="124"/>
      <c r="H1530" s="124"/>
      <c r="I1530" s="124"/>
      <c r="J1530" s="124"/>
      <c r="K1530" s="124"/>
      <c r="L1530" s="124"/>
      <c r="M1530" s="124"/>
      <c r="N1530" s="124"/>
      <c r="O1530" s="124"/>
      <c r="P1530" s="124"/>
      <c r="Q1530" s="124"/>
      <c r="R1530" s="124"/>
      <c r="S1530" s="124"/>
      <c r="T1530" s="124"/>
      <c r="U1530" s="124"/>
      <c r="V1530" s="124"/>
      <c r="W1530" s="124"/>
      <c r="X1530" s="124"/>
      <c r="Y1530" s="124"/>
    </row>
    <row r="1531" spans="2:25" x14ac:dyDescent="0.25">
      <c r="B1531" s="124"/>
      <c r="C1531" s="124"/>
      <c r="D1531" s="124"/>
      <c r="E1531" s="124"/>
      <c r="F1531" s="124"/>
      <c r="G1531" s="124"/>
      <c r="H1531" s="124"/>
      <c r="I1531" s="124"/>
      <c r="J1531" s="124"/>
      <c r="K1531" s="124"/>
      <c r="L1531" s="124"/>
      <c r="M1531" s="124"/>
      <c r="N1531" s="124"/>
      <c r="O1531" s="124"/>
      <c r="P1531" s="124"/>
      <c r="Q1531" s="124"/>
      <c r="R1531" s="124"/>
      <c r="S1531" s="124"/>
      <c r="T1531" s="124"/>
      <c r="U1531" s="124"/>
      <c r="V1531" s="124"/>
      <c r="W1531" s="124"/>
      <c r="X1531" s="124"/>
      <c r="Y1531" s="124"/>
    </row>
    <row r="1532" spans="2:25" x14ac:dyDescent="0.25">
      <c r="B1532" s="124"/>
      <c r="C1532" s="124"/>
      <c r="D1532" s="124"/>
      <c r="E1532" s="124"/>
      <c r="F1532" s="124"/>
      <c r="G1532" s="124"/>
      <c r="H1532" s="124"/>
      <c r="I1532" s="124"/>
      <c r="J1532" s="124"/>
      <c r="K1532" s="124"/>
      <c r="L1532" s="124"/>
      <c r="M1532" s="124"/>
      <c r="N1532" s="124"/>
      <c r="O1532" s="124"/>
      <c r="P1532" s="124"/>
      <c r="Q1532" s="124"/>
      <c r="R1532" s="124"/>
      <c r="S1532" s="124"/>
      <c r="T1532" s="124"/>
      <c r="U1532" s="124"/>
      <c r="V1532" s="124"/>
      <c r="W1532" s="124"/>
      <c r="X1532" s="124"/>
      <c r="Y1532" s="124"/>
    </row>
    <row r="1533" spans="2:25" x14ac:dyDescent="0.25">
      <c r="B1533" s="124"/>
      <c r="C1533" s="124"/>
      <c r="D1533" s="124"/>
      <c r="E1533" s="124"/>
      <c r="F1533" s="124"/>
      <c r="G1533" s="124"/>
      <c r="H1533" s="124"/>
      <c r="I1533" s="124"/>
      <c r="J1533" s="124"/>
      <c r="K1533" s="124"/>
      <c r="L1533" s="124"/>
      <c r="M1533" s="124"/>
      <c r="N1533" s="124"/>
      <c r="O1533" s="124"/>
      <c r="P1533" s="124"/>
      <c r="Q1533" s="124"/>
      <c r="R1533" s="124"/>
      <c r="S1533" s="124"/>
      <c r="T1533" s="124"/>
      <c r="U1533" s="124"/>
      <c r="V1533" s="124"/>
      <c r="W1533" s="124"/>
      <c r="X1533" s="124"/>
      <c r="Y1533" s="124"/>
    </row>
    <row r="1534" spans="2:25" x14ac:dyDescent="0.25">
      <c r="B1534" s="124"/>
      <c r="C1534" s="124"/>
      <c r="D1534" s="124"/>
      <c r="E1534" s="124"/>
      <c r="F1534" s="124"/>
      <c r="G1534" s="124"/>
      <c r="H1534" s="124"/>
      <c r="I1534" s="124"/>
      <c r="J1534" s="124"/>
      <c r="K1534" s="124"/>
      <c r="L1534" s="124"/>
      <c r="M1534" s="124"/>
      <c r="N1534" s="124"/>
      <c r="O1534" s="124"/>
      <c r="P1534" s="124"/>
      <c r="Q1534" s="124"/>
      <c r="R1534" s="124"/>
      <c r="S1534" s="124"/>
      <c r="T1534" s="124"/>
      <c r="U1534" s="124"/>
      <c r="V1534" s="124"/>
      <c r="W1534" s="124"/>
      <c r="X1534" s="124"/>
      <c r="Y1534" s="124"/>
    </row>
    <row r="1535" spans="2:25" x14ac:dyDescent="0.25">
      <c r="B1535" s="124"/>
      <c r="C1535" s="124"/>
      <c r="D1535" s="124"/>
      <c r="E1535" s="124"/>
      <c r="F1535" s="124"/>
      <c r="G1535" s="124"/>
      <c r="H1535" s="124"/>
      <c r="I1535" s="124"/>
      <c r="J1535" s="124"/>
      <c r="K1535" s="124"/>
      <c r="L1535" s="124"/>
      <c r="M1535" s="124"/>
      <c r="N1535" s="124"/>
      <c r="O1535" s="124"/>
      <c r="P1535" s="124"/>
      <c r="Q1535" s="124"/>
      <c r="R1535" s="124"/>
      <c r="S1535" s="124"/>
      <c r="T1535" s="124"/>
      <c r="U1535" s="124"/>
      <c r="V1535" s="124"/>
      <c r="W1535" s="124"/>
      <c r="X1535" s="124"/>
      <c r="Y1535" s="124"/>
    </row>
    <row r="1536" spans="2:25" x14ac:dyDescent="0.25">
      <c r="B1536" s="124"/>
      <c r="C1536" s="124"/>
      <c r="D1536" s="124"/>
      <c r="E1536" s="124"/>
      <c r="F1536" s="124"/>
      <c r="G1536" s="124"/>
      <c r="H1536" s="124"/>
      <c r="I1536" s="124"/>
      <c r="J1536" s="124"/>
      <c r="K1536" s="124"/>
      <c r="L1536" s="124"/>
      <c r="M1536" s="124"/>
      <c r="N1536" s="124"/>
      <c r="O1536" s="124"/>
      <c r="P1536" s="124"/>
      <c r="Q1536" s="124"/>
      <c r="R1536" s="124"/>
      <c r="S1536" s="124"/>
      <c r="T1536" s="124"/>
      <c r="U1536" s="124"/>
      <c r="V1536" s="124"/>
      <c r="W1536" s="124"/>
      <c r="X1536" s="124"/>
      <c r="Y1536" s="124"/>
    </row>
    <row r="1537" spans="2:25" x14ac:dyDescent="0.25">
      <c r="B1537" s="124"/>
      <c r="C1537" s="124"/>
      <c r="D1537" s="124"/>
      <c r="E1537" s="124"/>
      <c r="F1537" s="124"/>
      <c r="G1537" s="124"/>
      <c r="H1537" s="124"/>
      <c r="I1537" s="124"/>
      <c r="J1537" s="124"/>
      <c r="K1537" s="124"/>
      <c r="L1537" s="124"/>
      <c r="M1537" s="124"/>
      <c r="N1537" s="124"/>
      <c r="O1537" s="124"/>
      <c r="P1537" s="124"/>
      <c r="Q1537" s="124"/>
      <c r="R1537" s="124"/>
      <c r="S1537" s="124"/>
      <c r="T1537" s="124"/>
      <c r="U1537" s="124"/>
      <c r="V1537" s="124"/>
      <c r="W1537" s="124"/>
      <c r="X1537" s="124"/>
      <c r="Y1537" s="124"/>
    </row>
    <row r="1538" spans="2:25" x14ac:dyDescent="0.25">
      <c r="B1538" s="124"/>
      <c r="C1538" s="124"/>
      <c r="D1538" s="124"/>
      <c r="E1538" s="124"/>
      <c r="F1538" s="124"/>
      <c r="G1538" s="124"/>
      <c r="H1538" s="124"/>
      <c r="I1538" s="124"/>
      <c r="J1538" s="124"/>
      <c r="K1538" s="124"/>
      <c r="L1538" s="124"/>
      <c r="M1538" s="124"/>
      <c r="N1538" s="124"/>
      <c r="O1538" s="124"/>
      <c r="P1538" s="124"/>
      <c r="Q1538" s="124"/>
      <c r="R1538" s="124"/>
      <c r="S1538" s="124"/>
      <c r="T1538" s="124"/>
      <c r="U1538" s="124"/>
      <c r="V1538" s="124"/>
      <c r="W1538" s="124"/>
      <c r="X1538" s="124"/>
      <c r="Y1538" s="124"/>
    </row>
    <row r="1539" spans="2:25" x14ac:dyDescent="0.25">
      <c r="B1539" s="124"/>
      <c r="C1539" s="124"/>
      <c r="D1539" s="124"/>
      <c r="E1539" s="124"/>
      <c r="F1539" s="124"/>
      <c r="G1539" s="124"/>
      <c r="H1539" s="124"/>
      <c r="I1539" s="124"/>
      <c r="J1539" s="124"/>
      <c r="K1539" s="124"/>
      <c r="L1539" s="124"/>
      <c r="M1539" s="124"/>
      <c r="N1539" s="124"/>
      <c r="O1539" s="124"/>
      <c r="P1539" s="124"/>
      <c r="Q1539" s="124"/>
      <c r="R1539" s="124"/>
      <c r="S1539" s="124"/>
      <c r="T1539" s="124"/>
      <c r="U1539" s="124"/>
      <c r="V1539" s="124"/>
      <c r="W1539" s="124"/>
      <c r="X1539" s="124"/>
      <c r="Y1539" s="124"/>
    </row>
    <row r="1540" spans="2:25" x14ac:dyDescent="0.25">
      <c r="B1540" s="124"/>
      <c r="C1540" s="124"/>
      <c r="D1540" s="124"/>
      <c r="E1540" s="124"/>
      <c r="F1540" s="124"/>
      <c r="G1540" s="124"/>
      <c r="H1540" s="124"/>
      <c r="I1540" s="124"/>
      <c r="J1540" s="124"/>
      <c r="K1540" s="124"/>
      <c r="L1540" s="124"/>
      <c r="M1540" s="124"/>
      <c r="N1540" s="124"/>
      <c r="O1540" s="124"/>
      <c r="P1540" s="124"/>
      <c r="Q1540" s="124"/>
      <c r="R1540" s="124"/>
      <c r="S1540" s="124"/>
      <c r="T1540" s="124"/>
      <c r="U1540" s="124"/>
      <c r="V1540" s="124"/>
      <c r="W1540" s="124"/>
      <c r="X1540" s="124"/>
      <c r="Y1540" s="124"/>
    </row>
    <row r="1541" spans="2:25" x14ac:dyDescent="0.25">
      <c r="B1541" s="124"/>
      <c r="C1541" s="124"/>
      <c r="D1541" s="124"/>
      <c r="E1541" s="124"/>
      <c r="F1541" s="124"/>
      <c r="G1541" s="124"/>
      <c r="H1541" s="124"/>
      <c r="I1541" s="124"/>
      <c r="J1541" s="124"/>
      <c r="K1541" s="124"/>
      <c r="L1541" s="124"/>
      <c r="M1541" s="124"/>
      <c r="N1541" s="124"/>
      <c r="O1541" s="124"/>
      <c r="P1541" s="124"/>
      <c r="Q1541" s="124"/>
      <c r="R1541" s="124"/>
      <c r="S1541" s="124"/>
      <c r="T1541" s="124"/>
      <c r="U1541" s="124"/>
      <c r="V1541" s="124"/>
      <c r="W1541" s="124"/>
      <c r="X1541" s="124"/>
      <c r="Y1541" s="124"/>
    </row>
    <row r="1542" spans="2:25" x14ac:dyDescent="0.25">
      <c r="B1542" s="124"/>
      <c r="C1542" s="124"/>
      <c r="D1542" s="124"/>
      <c r="E1542" s="124"/>
      <c r="F1542" s="124"/>
      <c r="G1542" s="124"/>
      <c r="H1542" s="124"/>
      <c r="I1542" s="124"/>
      <c r="J1542" s="124"/>
      <c r="K1542" s="124"/>
      <c r="L1542" s="124"/>
      <c r="M1542" s="124"/>
      <c r="N1542" s="124"/>
      <c r="O1542" s="124"/>
      <c r="P1542" s="124"/>
      <c r="Q1542" s="124"/>
      <c r="R1542" s="124"/>
      <c r="S1542" s="124"/>
      <c r="T1542" s="124"/>
      <c r="U1542" s="124"/>
      <c r="V1542" s="124"/>
      <c r="W1542" s="124"/>
      <c r="X1542" s="124"/>
      <c r="Y1542" s="124"/>
    </row>
    <row r="1543" spans="2:25" x14ac:dyDescent="0.25">
      <c r="B1543" s="124"/>
      <c r="C1543" s="124"/>
      <c r="D1543" s="124"/>
      <c r="E1543" s="124"/>
      <c r="F1543" s="124"/>
      <c r="G1543" s="124"/>
      <c r="H1543" s="124"/>
      <c r="I1543" s="124"/>
      <c r="J1543" s="124"/>
      <c r="K1543" s="124"/>
      <c r="L1543" s="124"/>
      <c r="M1543" s="124"/>
      <c r="N1543" s="124"/>
      <c r="O1543" s="124"/>
      <c r="P1543" s="124"/>
      <c r="Q1543" s="124"/>
      <c r="R1543" s="124"/>
      <c r="S1543" s="124"/>
      <c r="T1543" s="124"/>
      <c r="U1543" s="124"/>
      <c r="V1543" s="124"/>
      <c r="W1543" s="124"/>
      <c r="X1543" s="124"/>
      <c r="Y1543" s="124"/>
    </row>
    <row r="1544" spans="2:25" x14ac:dyDescent="0.25">
      <c r="B1544" s="124"/>
      <c r="C1544" s="124"/>
      <c r="D1544" s="124"/>
      <c r="E1544" s="124"/>
      <c r="F1544" s="124"/>
      <c r="G1544" s="124"/>
      <c r="H1544" s="124"/>
      <c r="I1544" s="124"/>
      <c r="J1544" s="124"/>
      <c r="K1544" s="124"/>
      <c r="L1544" s="124"/>
      <c r="M1544" s="124"/>
      <c r="N1544" s="124"/>
      <c r="O1544" s="124"/>
      <c r="P1544" s="124"/>
      <c r="Q1544" s="124"/>
      <c r="R1544" s="124"/>
      <c r="S1544" s="124"/>
      <c r="T1544" s="124"/>
      <c r="U1544" s="124"/>
      <c r="V1544" s="124"/>
      <c r="W1544" s="124"/>
      <c r="X1544" s="124"/>
      <c r="Y1544" s="124"/>
    </row>
    <row r="1545" spans="2:25" x14ac:dyDescent="0.25">
      <c r="B1545" s="124"/>
      <c r="C1545" s="124"/>
      <c r="D1545" s="124"/>
      <c r="E1545" s="124"/>
      <c r="F1545" s="124"/>
      <c r="G1545" s="124"/>
      <c r="H1545" s="124"/>
      <c r="I1545" s="124"/>
      <c r="J1545" s="124"/>
      <c r="K1545" s="124"/>
      <c r="L1545" s="124"/>
      <c r="M1545" s="124"/>
      <c r="N1545" s="124"/>
      <c r="O1545" s="124"/>
      <c r="P1545" s="124"/>
      <c r="Q1545" s="124"/>
      <c r="R1545" s="124"/>
      <c r="S1545" s="124"/>
      <c r="T1545" s="124"/>
      <c r="U1545" s="124"/>
      <c r="V1545" s="124"/>
      <c r="W1545" s="124"/>
      <c r="X1545" s="124"/>
      <c r="Y1545" s="124"/>
    </row>
    <row r="1546" spans="2:25" x14ac:dyDescent="0.25">
      <c r="B1546" s="124"/>
      <c r="C1546" s="124"/>
      <c r="D1546" s="124"/>
      <c r="E1546" s="124"/>
      <c r="F1546" s="124"/>
      <c r="G1546" s="124"/>
      <c r="H1546" s="124"/>
      <c r="I1546" s="124"/>
      <c r="J1546" s="124"/>
      <c r="K1546" s="124"/>
      <c r="L1546" s="124"/>
      <c r="M1546" s="124"/>
      <c r="N1546" s="124"/>
      <c r="O1546" s="124"/>
      <c r="P1546" s="124"/>
      <c r="Q1546" s="124"/>
      <c r="R1546" s="124"/>
      <c r="S1546" s="124"/>
      <c r="T1546" s="124"/>
      <c r="U1546" s="124"/>
      <c r="V1546" s="124"/>
      <c r="W1546" s="124"/>
      <c r="X1546" s="124"/>
      <c r="Y1546" s="124"/>
    </row>
    <row r="1547" spans="2:25" x14ac:dyDescent="0.25">
      <c r="B1547" s="124"/>
      <c r="C1547" s="124"/>
      <c r="D1547" s="124"/>
      <c r="E1547" s="124"/>
      <c r="F1547" s="124"/>
      <c r="G1547" s="124"/>
      <c r="H1547" s="124"/>
      <c r="I1547" s="124"/>
      <c r="J1547" s="124"/>
      <c r="K1547" s="124"/>
      <c r="L1547" s="124"/>
      <c r="M1547" s="124"/>
      <c r="N1547" s="124"/>
      <c r="O1547" s="124"/>
      <c r="P1547" s="124"/>
      <c r="Q1547" s="124"/>
      <c r="R1547" s="124"/>
      <c r="S1547" s="124"/>
      <c r="T1547" s="124"/>
      <c r="U1547" s="124"/>
      <c r="V1547" s="124"/>
      <c r="W1547" s="124"/>
      <c r="X1547" s="124"/>
      <c r="Y1547" s="124"/>
    </row>
    <row r="1548" spans="2:25" x14ac:dyDescent="0.25">
      <c r="B1548" s="124"/>
      <c r="C1548" s="124"/>
      <c r="D1548" s="124"/>
      <c r="E1548" s="124"/>
      <c r="F1548" s="124"/>
      <c r="G1548" s="124"/>
      <c r="H1548" s="124"/>
      <c r="I1548" s="124"/>
      <c r="J1548" s="124"/>
      <c r="K1548" s="124"/>
      <c r="L1548" s="124"/>
      <c r="M1548" s="124"/>
      <c r="N1548" s="124"/>
      <c r="O1548" s="124"/>
      <c r="P1548" s="124"/>
      <c r="Q1548" s="124"/>
      <c r="R1548" s="124"/>
      <c r="S1548" s="124"/>
      <c r="T1548" s="124"/>
      <c r="U1548" s="124"/>
      <c r="V1548" s="124"/>
      <c r="W1548" s="124"/>
      <c r="X1548" s="124"/>
      <c r="Y1548" s="124"/>
    </row>
    <row r="1549" spans="2:25" x14ac:dyDescent="0.25">
      <c r="B1549" s="124"/>
      <c r="C1549" s="124"/>
      <c r="D1549" s="124"/>
      <c r="E1549" s="124"/>
      <c r="F1549" s="124"/>
      <c r="G1549" s="124"/>
      <c r="H1549" s="124"/>
      <c r="I1549" s="124"/>
      <c r="J1549" s="124"/>
      <c r="K1549" s="124"/>
      <c r="L1549" s="124"/>
      <c r="M1549" s="124"/>
      <c r="N1549" s="124"/>
      <c r="O1549" s="124"/>
      <c r="P1549" s="124"/>
      <c r="Q1549" s="124"/>
      <c r="R1549" s="124"/>
      <c r="S1549" s="124"/>
      <c r="T1549" s="124"/>
      <c r="U1549" s="124"/>
      <c r="V1549" s="124"/>
      <c r="W1549" s="124"/>
      <c r="X1549" s="124"/>
      <c r="Y1549" s="124"/>
    </row>
    <row r="1550" spans="2:25" x14ac:dyDescent="0.25">
      <c r="B1550" s="124"/>
      <c r="C1550" s="124"/>
      <c r="D1550" s="124"/>
      <c r="E1550" s="124"/>
      <c r="F1550" s="124"/>
      <c r="G1550" s="124"/>
      <c r="H1550" s="124"/>
      <c r="I1550" s="124"/>
      <c r="J1550" s="124"/>
      <c r="K1550" s="124"/>
      <c r="L1550" s="124"/>
      <c r="M1550" s="124"/>
      <c r="N1550" s="124"/>
      <c r="O1550" s="124"/>
      <c r="P1550" s="124"/>
      <c r="Q1550" s="124"/>
      <c r="R1550" s="124"/>
      <c r="S1550" s="124"/>
      <c r="T1550" s="124"/>
      <c r="U1550" s="124"/>
      <c r="V1550" s="124"/>
      <c r="W1550" s="124"/>
      <c r="X1550" s="124"/>
      <c r="Y1550" s="124"/>
    </row>
    <row r="1551" spans="2:25" x14ac:dyDescent="0.25">
      <c r="B1551" s="124"/>
      <c r="C1551" s="124"/>
      <c r="D1551" s="124"/>
      <c r="E1551" s="124"/>
      <c r="F1551" s="124"/>
      <c r="G1551" s="124"/>
      <c r="H1551" s="124"/>
      <c r="I1551" s="124"/>
      <c r="J1551" s="124"/>
      <c r="K1551" s="124"/>
      <c r="L1551" s="124"/>
      <c r="M1551" s="124"/>
      <c r="N1551" s="124"/>
      <c r="O1551" s="124"/>
      <c r="P1551" s="124"/>
      <c r="Q1551" s="124"/>
      <c r="R1551" s="124"/>
      <c r="S1551" s="124"/>
      <c r="T1551" s="124"/>
      <c r="U1551" s="124"/>
      <c r="V1551" s="124"/>
      <c r="W1551" s="124"/>
      <c r="X1551" s="124"/>
      <c r="Y1551" s="124"/>
    </row>
    <row r="1552" spans="2:25" x14ac:dyDescent="0.25">
      <c r="B1552" s="124"/>
      <c r="C1552" s="124"/>
      <c r="D1552" s="124"/>
      <c r="E1552" s="124"/>
      <c r="F1552" s="124"/>
      <c r="G1552" s="124"/>
      <c r="H1552" s="124"/>
      <c r="I1552" s="124"/>
      <c r="J1552" s="124"/>
      <c r="K1552" s="124"/>
      <c r="L1552" s="124"/>
      <c r="M1552" s="124"/>
      <c r="N1552" s="124"/>
      <c r="O1552" s="124"/>
      <c r="P1552" s="124"/>
      <c r="Q1552" s="124"/>
      <c r="R1552" s="124"/>
      <c r="S1552" s="124"/>
      <c r="T1552" s="124"/>
      <c r="U1552" s="124"/>
      <c r="V1552" s="124"/>
      <c r="W1552" s="124"/>
      <c r="X1552" s="124"/>
      <c r="Y1552" s="124"/>
    </row>
    <row r="1553" spans="2:25" x14ac:dyDescent="0.25">
      <c r="B1553" s="124"/>
      <c r="C1553" s="124"/>
      <c r="D1553" s="124"/>
      <c r="E1553" s="124"/>
      <c r="F1553" s="124"/>
      <c r="G1553" s="124"/>
      <c r="H1553" s="124"/>
      <c r="I1553" s="124"/>
      <c r="J1553" s="124"/>
      <c r="K1553" s="124"/>
      <c r="L1553" s="124"/>
      <c r="M1553" s="124"/>
      <c r="N1553" s="124"/>
      <c r="O1553" s="124"/>
      <c r="P1553" s="124"/>
      <c r="Q1553" s="124"/>
      <c r="R1553" s="124"/>
      <c r="S1553" s="124"/>
      <c r="T1553" s="124"/>
      <c r="U1553" s="124"/>
      <c r="V1553" s="124"/>
      <c r="W1553" s="124"/>
      <c r="X1553" s="124"/>
      <c r="Y1553" s="124"/>
    </row>
    <row r="1554" spans="2:25" x14ac:dyDescent="0.25">
      <c r="B1554" s="124"/>
      <c r="C1554" s="124"/>
      <c r="D1554" s="124"/>
      <c r="E1554" s="124"/>
      <c r="F1554" s="124"/>
      <c r="G1554" s="124"/>
      <c r="H1554" s="124"/>
      <c r="I1554" s="124"/>
      <c r="J1554" s="124"/>
      <c r="K1554" s="124"/>
      <c r="L1554" s="124"/>
      <c r="M1554" s="124"/>
      <c r="N1554" s="124"/>
      <c r="O1554" s="124"/>
      <c r="P1554" s="124"/>
      <c r="Q1554" s="124"/>
      <c r="R1554" s="124"/>
      <c r="S1554" s="124"/>
      <c r="T1554" s="124"/>
      <c r="U1554" s="124"/>
      <c r="V1554" s="124"/>
      <c r="W1554" s="124"/>
      <c r="X1554" s="124"/>
      <c r="Y1554" s="124"/>
    </row>
    <row r="1555" spans="2:25" x14ac:dyDescent="0.25">
      <c r="B1555" s="124"/>
      <c r="C1555" s="124"/>
      <c r="D1555" s="124"/>
      <c r="E1555" s="124"/>
      <c r="F1555" s="124"/>
      <c r="G1555" s="124"/>
      <c r="H1555" s="124"/>
      <c r="I1555" s="124"/>
      <c r="J1555" s="124"/>
      <c r="K1555" s="124"/>
      <c r="L1555" s="124"/>
      <c r="M1555" s="124"/>
      <c r="N1555" s="124"/>
      <c r="O1555" s="124"/>
      <c r="P1555" s="124"/>
      <c r="Q1555" s="124"/>
      <c r="R1555" s="124"/>
      <c r="S1555" s="124"/>
      <c r="T1555" s="124"/>
      <c r="U1555" s="124"/>
      <c r="V1555" s="124"/>
      <c r="W1555" s="124"/>
      <c r="X1555" s="124"/>
      <c r="Y1555" s="124"/>
    </row>
    <row r="1556" spans="2:25" x14ac:dyDescent="0.25">
      <c r="B1556" s="124"/>
      <c r="C1556" s="124"/>
      <c r="D1556" s="124"/>
      <c r="E1556" s="124"/>
      <c r="F1556" s="124"/>
      <c r="G1556" s="124"/>
      <c r="H1556" s="124"/>
      <c r="I1556" s="124"/>
      <c r="J1556" s="124"/>
      <c r="K1556" s="124"/>
      <c r="L1556" s="124"/>
      <c r="M1556" s="124"/>
      <c r="N1556" s="124"/>
      <c r="O1556" s="124"/>
      <c r="P1556" s="124"/>
      <c r="Q1556" s="124"/>
      <c r="R1556" s="124"/>
      <c r="S1556" s="124"/>
      <c r="T1556" s="124"/>
      <c r="U1556" s="124"/>
      <c r="V1556" s="124"/>
      <c r="W1556" s="124"/>
      <c r="X1556" s="124"/>
      <c r="Y1556" s="124"/>
    </row>
    <row r="1557" spans="2:25" x14ac:dyDescent="0.25">
      <c r="B1557" s="124"/>
      <c r="C1557" s="124"/>
      <c r="D1557" s="124"/>
      <c r="E1557" s="124"/>
      <c r="F1557" s="124"/>
      <c r="G1557" s="124"/>
      <c r="H1557" s="124"/>
      <c r="I1557" s="124"/>
      <c r="J1557" s="124"/>
      <c r="K1557" s="124"/>
      <c r="L1557" s="124"/>
      <c r="M1557" s="124"/>
      <c r="N1557" s="124"/>
      <c r="O1557" s="124"/>
      <c r="P1557" s="124"/>
      <c r="Q1557" s="124"/>
      <c r="R1557" s="124"/>
      <c r="S1557" s="124"/>
      <c r="T1557" s="124"/>
      <c r="U1557" s="124"/>
      <c r="V1557" s="124"/>
      <c r="W1557" s="124"/>
      <c r="X1557" s="124"/>
      <c r="Y1557" s="124"/>
    </row>
    <row r="1558" spans="2:25" x14ac:dyDescent="0.25">
      <c r="B1558" s="124"/>
      <c r="C1558" s="124"/>
      <c r="D1558" s="124"/>
      <c r="E1558" s="124"/>
      <c r="F1558" s="124"/>
      <c r="G1558" s="124"/>
      <c r="H1558" s="124"/>
      <c r="I1558" s="124"/>
      <c r="J1558" s="124"/>
      <c r="K1558" s="124"/>
      <c r="L1558" s="124"/>
      <c r="M1558" s="124"/>
      <c r="N1558" s="124"/>
      <c r="O1558" s="124"/>
      <c r="P1558" s="124"/>
      <c r="Q1558" s="124"/>
      <c r="R1558" s="124"/>
      <c r="S1558" s="124"/>
      <c r="T1558" s="124"/>
      <c r="U1558" s="124"/>
      <c r="V1558" s="124"/>
      <c r="W1558" s="124"/>
      <c r="X1558" s="124"/>
      <c r="Y1558" s="124"/>
    </row>
    <row r="1559" spans="2:25" x14ac:dyDescent="0.25">
      <c r="B1559" s="124"/>
      <c r="C1559" s="124"/>
      <c r="D1559" s="124"/>
      <c r="E1559" s="124"/>
      <c r="F1559" s="124"/>
      <c r="G1559" s="124"/>
      <c r="H1559" s="124"/>
      <c r="I1559" s="124"/>
      <c r="J1559" s="124"/>
      <c r="K1559" s="124"/>
      <c r="L1559" s="124"/>
      <c r="M1559" s="124"/>
      <c r="N1559" s="124"/>
      <c r="O1559" s="124"/>
      <c r="P1559" s="124"/>
      <c r="Q1559" s="124"/>
      <c r="R1559" s="124"/>
      <c r="S1559" s="124"/>
      <c r="T1559" s="124"/>
      <c r="U1559" s="124"/>
      <c r="V1559" s="124"/>
      <c r="W1559" s="124"/>
      <c r="X1559" s="124"/>
      <c r="Y1559" s="124"/>
    </row>
    <row r="1560" spans="2:25" x14ac:dyDescent="0.25">
      <c r="B1560" s="124"/>
      <c r="C1560" s="124"/>
      <c r="D1560" s="124"/>
      <c r="E1560" s="124"/>
      <c r="F1560" s="124"/>
      <c r="G1560" s="124"/>
      <c r="H1560" s="124"/>
      <c r="I1560" s="124"/>
      <c r="J1560" s="124"/>
      <c r="K1560" s="124"/>
      <c r="L1560" s="124"/>
      <c r="M1560" s="124"/>
      <c r="N1560" s="124"/>
      <c r="O1560" s="124"/>
      <c r="P1560" s="124"/>
      <c r="Q1560" s="124"/>
      <c r="R1560" s="124"/>
      <c r="S1560" s="124"/>
      <c r="T1560" s="124"/>
      <c r="U1560" s="124"/>
      <c r="V1560" s="124"/>
      <c r="W1560" s="124"/>
      <c r="X1560" s="124"/>
      <c r="Y1560" s="124"/>
    </row>
    <row r="1561" spans="2:25" x14ac:dyDescent="0.25">
      <c r="B1561" s="124"/>
      <c r="C1561" s="124"/>
      <c r="D1561" s="124"/>
      <c r="E1561" s="124"/>
      <c r="F1561" s="124"/>
      <c r="G1561" s="124"/>
      <c r="H1561" s="124"/>
      <c r="I1561" s="124"/>
      <c r="J1561" s="124"/>
      <c r="K1561" s="124"/>
      <c r="L1561" s="124"/>
      <c r="M1561" s="124"/>
      <c r="N1561" s="124"/>
      <c r="O1561" s="124"/>
      <c r="P1561" s="124"/>
      <c r="Q1561" s="124"/>
      <c r="R1561" s="124"/>
      <c r="S1561" s="124"/>
      <c r="T1561" s="124"/>
      <c r="U1561" s="124"/>
      <c r="V1561" s="124"/>
      <c r="W1561" s="124"/>
      <c r="X1561" s="124"/>
      <c r="Y1561" s="124"/>
    </row>
    <row r="1562" spans="2:25" x14ac:dyDescent="0.25">
      <c r="B1562" s="124"/>
      <c r="C1562" s="124"/>
      <c r="D1562" s="124"/>
      <c r="E1562" s="124"/>
      <c r="F1562" s="124"/>
      <c r="G1562" s="124"/>
      <c r="H1562" s="124"/>
      <c r="I1562" s="124"/>
      <c r="J1562" s="124"/>
      <c r="K1562" s="124"/>
      <c r="L1562" s="124"/>
      <c r="M1562" s="124"/>
      <c r="N1562" s="124"/>
      <c r="O1562" s="124"/>
      <c r="P1562" s="124"/>
      <c r="Q1562" s="124"/>
      <c r="R1562" s="124"/>
      <c r="S1562" s="124"/>
      <c r="T1562" s="124"/>
      <c r="U1562" s="124"/>
      <c r="V1562" s="124"/>
      <c r="W1562" s="124"/>
      <c r="X1562" s="124"/>
      <c r="Y1562" s="124"/>
    </row>
    <row r="1563" spans="2:25" x14ac:dyDescent="0.25">
      <c r="B1563" s="124"/>
      <c r="C1563" s="124"/>
      <c r="D1563" s="124"/>
      <c r="E1563" s="124"/>
      <c r="F1563" s="124"/>
      <c r="G1563" s="124"/>
      <c r="H1563" s="124"/>
      <c r="I1563" s="124"/>
      <c r="J1563" s="124"/>
      <c r="K1563" s="124"/>
      <c r="L1563" s="124"/>
      <c r="M1563" s="124"/>
      <c r="N1563" s="124"/>
      <c r="O1563" s="124"/>
      <c r="P1563" s="124"/>
      <c r="Q1563" s="124"/>
      <c r="R1563" s="124"/>
      <c r="S1563" s="124"/>
      <c r="T1563" s="124"/>
      <c r="U1563" s="124"/>
      <c r="V1563" s="124"/>
      <c r="W1563" s="124"/>
      <c r="X1563" s="124"/>
      <c r="Y1563" s="124"/>
    </row>
    <row r="1564" spans="2:25" x14ac:dyDescent="0.25">
      <c r="B1564" s="124"/>
      <c r="C1564" s="124"/>
      <c r="D1564" s="124"/>
      <c r="E1564" s="124"/>
      <c r="F1564" s="124"/>
      <c r="G1564" s="124"/>
      <c r="H1564" s="124"/>
      <c r="I1564" s="124"/>
      <c r="J1564" s="124"/>
      <c r="K1564" s="124"/>
      <c r="L1564" s="124"/>
      <c r="M1564" s="124"/>
      <c r="N1564" s="124"/>
      <c r="O1564" s="124"/>
      <c r="P1564" s="124"/>
      <c r="Q1564" s="124"/>
      <c r="R1564" s="124"/>
      <c r="S1564" s="124"/>
      <c r="T1564" s="124"/>
      <c r="U1564" s="124"/>
      <c r="V1564" s="124"/>
      <c r="W1564" s="124"/>
      <c r="X1564" s="124"/>
      <c r="Y1564" s="124"/>
    </row>
    <row r="1565" spans="2:25" x14ac:dyDescent="0.25">
      <c r="B1565" s="124"/>
      <c r="C1565" s="124"/>
      <c r="D1565" s="124"/>
      <c r="E1565" s="124"/>
      <c r="F1565" s="124"/>
      <c r="G1565" s="124"/>
      <c r="H1565" s="124"/>
      <c r="I1565" s="124"/>
      <c r="J1565" s="124"/>
      <c r="K1565" s="124"/>
      <c r="L1565" s="124"/>
      <c r="M1565" s="124"/>
      <c r="N1565" s="124"/>
      <c r="O1565" s="124"/>
      <c r="P1565" s="124"/>
      <c r="Q1565" s="124"/>
      <c r="R1565" s="124"/>
      <c r="S1565" s="124"/>
      <c r="T1565" s="124"/>
      <c r="U1565" s="124"/>
      <c r="V1565" s="124"/>
      <c r="W1565" s="124"/>
      <c r="X1565" s="124"/>
      <c r="Y1565" s="124"/>
    </row>
    <row r="1566" spans="2:25" x14ac:dyDescent="0.25">
      <c r="B1566" s="124"/>
      <c r="C1566" s="124"/>
      <c r="D1566" s="124"/>
      <c r="E1566" s="124"/>
      <c r="F1566" s="124"/>
      <c r="G1566" s="124"/>
      <c r="H1566" s="124"/>
      <c r="I1566" s="124"/>
      <c r="J1566" s="124"/>
      <c r="K1566" s="124"/>
      <c r="L1566" s="124"/>
      <c r="M1566" s="124"/>
      <c r="N1566" s="124"/>
      <c r="O1566" s="124"/>
      <c r="P1566" s="124"/>
      <c r="Q1566" s="124"/>
      <c r="R1566" s="124"/>
      <c r="S1566" s="124"/>
      <c r="T1566" s="124"/>
      <c r="U1566" s="124"/>
      <c r="V1566" s="124"/>
      <c r="W1566" s="124"/>
      <c r="X1566" s="124"/>
      <c r="Y1566" s="124"/>
    </row>
    <row r="1567" spans="2:25" x14ac:dyDescent="0.25">
      <c r="B1567" s="124"/>
      <c r="C1567" s="124"/>
      <c r="D1567" s="124"/>
      <c r="E1567" s="124"/>
      <c r="F1567" s="124"/>
      <c r="G1567" s="124"/>
      <c r="H1567" s="124"/>
      <c r="I1567" s="124"/>
      <c r="J1567" s="124"/>
      <c r="K1567" s="124"/>
      <c r="L1567" s="124"/>
      <c r="M1567" s="124"/>
      <c r="N1567" s="124"/>
      <c r="O1567" s="124"/>
      <c r="P1567" s="124"/>
      <c r="Q1567" s="124"/>
      <c r="R1567" s="124"/>
      <c r="S1567" s="124"/>
      <c r="T1567" s="124"/>
      <c r="U1567" s="124"/>
      <c r="V1567" s="124"/>
      <c r="W1567" s="124"/>
      <c r="X1567" s="124"/>
      <c r="Y1567" s="124"/>
    </row>
    <row r="1568" spans="2:25" x14ac:dyDescent="0.25">
      <c r="B1568" s="124"/>
      <c r="C1568" s="124"/>
      <c r="D1568" s="124"/>
      <c r="E1568" s="124"/>
      <c r="F1568" s="124"/>
      <c r="G1568" s="124"/>
      <c r="H1568" s="124"/>
      <c r="I1568" s="124"/>
      <c r="J1568" s="124"/>
      <c r="K1568" s="124"/>
      <c r="L1568" s="124"/>
      <c r="M1568" s="124"/>
      <c r="N1568" s="124"/>
      <c r="O1568" s="124"/>
      <c r="P1568" s="124"/>
      <c r="Q1568" s="124"/>
      <c r="R1568" s="124"/>
      <c r="S1568" s="124"/>
      <c r="T1568" s="124"/>
      <c r="U1568" s="124"/>
      <c r="V1568" s="124"/>
      <c r="W1568" s="124"/>
      <c r="X1568" s="124"/>
      <c r="Y1568" s="124"/>
    </row>
    <row r="1569" spans="2:25" x14ac:dyDescent="0.25">
      <c r="B1569" s="124"/>
      <c r="C1569" s="124"/>
      <c r="D1569" s="124"/>
      <c r="E1569" s="124"/>
      <c r="F1569" s="124"/>
      <c r="G1569" s="124"/>
      <c r="H1569" s="124"/>
      <c r="I1569" s="124"/>
      <c r="J1569" s="124"/>
      <c r="K1569" s="124"/>
      <c r="L1569" s="124"/>
      <c r="M1569" s="124"/>
      <c r="N1569" s="124"/>
      <c r="O1569" s="124"/>
      <c r="P1569" s="124"/>
      <c r="Q1569" s="124"/>
      <c r="R1569" s="124"/>
      <c r="S1569" s="124"/>
      <c r="T1569" s="124"/>
      <c r="U1569" s="124"/>
      <c r="V1569" s="124"/>
      <c r="W1569" s="124"/>
      <c r="X1569" s="124"/>
      <c r="Y1569" s="124"/>
    </row>
    <row r="1570" spans="2:25" x14ac:dyDescent="0.25">
      <c r="B1570" s="124"/>
      <c r="C1570" s="124"/>
      <c r="D1570" s="124"/>
      <c r="E1570" s="124"/>
      <c r="F1570" s="124"/>
      <c r="G1570" s="124"/>
      <c r="H1570" s="124"/>
      <c r="I1570" s="124"/>
      <c r="J1570" s="124"/>
      <c r="K1570" s="124"/>
      <c r="L1570" s="124"/>
      <c r="M1570" s="124"/>
      <c r="N1570" s="124"/>
      <c r="O1570" s="124"/>
      <c r="P1570" s="124"/>
      <c r="Q1570" s="124"/>
      <c r="R1570" s="124"/>
      <c r="S1570" s="124"/>
      <c r="T1570" s="124"/>
      <c r="U1570" s="124"/>
      <c r="V1570" s="124"/>
      <c r="W1570" s="124"/>
      <c r="X1570" s="124"/>
      <c r="Y1570" s="124"/>
    </row>
    <row r="1571" spans="2:25" x14ac:dyDescent="0.25">
      <c r="B1571" s="124"/>
      <c r="C1571" s="124"/>
      <c r="D1571" s="124"/>
      <c r="E1571" s="124"/>
      <c r="F1571" s="124"/>
      <c r="G1571" s="124"/>
      <c r="H1571" s="124"/>
      <c r="I1571" s="124"/>
      <c r="J1571" s="124"/>
      <c r="K1571" s="124"/>
      <c r="L1571" s="124"/>
      <c r="M1571" s="124"/>
      <c r="N1571" s="124"/>
      <c r="O1571" s="124"/>
      <c r="P1571" s="124"/>
      <c r="Q1571" s="124"/>
      <c r="R1571" s="124"/>
      <c r="S1571" s="124"/>
      <c r="T1571" s="124"/>
      <c r="U1571" s="124"/>
      <c r="V1571" s="124"/>
      <c r="W1571" s="124"/>
      <c r="X1571" s="124"/>
      <c r="Y1571" s="124"/>
    </row>
    <row r="1572" spans="2:25" x14ac:dyDescent="0.25">
      <c r="B1572" s="124"/>
      <c r="C1572" s="124"/>
      <c r="D1572" s="124"/>
      <c r="E1572" s="124"/>
      <c r="F1572" s="124"/>
      <c r="G1572" s="124"/>
      <c r="H1572" s="124"/>
      <c r="I1572" s="124"/>
      <c r="J1572" s="124"/>
      <c r="K1572" s="124"/>
      <c r="L1572" s="124"/>
      <c r="M1572" s="124"/>
      <c r="N1572" s="124"/>
      <c r="O1572" s="124"/>
      <c r="P1572" s="124"/>
      <c r="Q1572" s="124"/>
      <c r="R1572" s="124"/>
      <c r="S1572" s="124"/>
      <c r="T1572" s="124"/>
      <c r="U1572" s="124"/>
      <c r="V1572" s="124"/>
      <c r="W1572" s="124"/>
      <c r="X1572" s="124"/>
      <c r="Y1572" s="124"/>
    </row>
    <row r="1573" spans="2:25" x14ac:dyDescent="0.25">
      <c r="B1573" s="124"/>
      <c r="C1573" s="124"/>
      <c r="D1573" s="124"/>
      <c r="E1573" s="124"/>
      <c r="F1573" s="124"/>
      <c r="G1573" s="124"/>
      <c r="H1573" s="124"/>
      <c r="I1573" s="124"/>
      <c r="J1573" s="124"/>
      <c r="K1573" s="124"/>
      <c r="L1573" s="124"/>
      <c r="M1573" s="124"/>
      <c r="N1573" s="124"/>
      <c r="O1573" s="124"/>
      <c r="P1573" s="124"/>
      <c r="Q1573" s="124"/>
      <c r="R1573" s="124"/>
      <c r="S1573" s="124"/>
      <c r="T1573" s="124"/>
      <c r="U1573" s="124"/>
      <c r="V1573" s="124"/>
      <c r="W1573" s="124"/>
      <c r="X1573" s="124"/>
      <c r="Y1573" s="124"/>
    </row>
    <row r="1574" spans="2:25" x14ac:dyDescent="0.25">
      <c r="B1574" s="124"/>
      <c r="C1574" s="124"/>
      <c r="D1574" s="124"/>
      <c r="E1574" s="124"/>
      <c r="F1574" s="124"/>
      <c r="G1574" s="124"/>
      <c r="H1574" s="124"/>
      <c r="I1574" s="124"/>
      <c r="J1574" s="124"/>
      <c r="K1574" s="124"/>
      <c r="L1574" s="124"/>
      <c r="M1574" s="124"/>
      <c r="N1574" s="124"/>
      <c r="O1574" s="124"/>
      <c r="P1574" s="124"/>
      <c r="Q1574" s="124"/>
      <c r="R1574" s="124"/>
      <c r="S1574" s="124"/>
      <c r="T1574" s="124"/>
      <c r="U1574" s="124"/>
      <c r="V1574" s="124"/>
      <c r="W1574" s="124"/>
      <c r="X1574" s="124"/>
      <c r="Y1574" s="124"/>
    </row>
    <row r="1575" spans="2:25" x14ac:dyDescent="0.25">
      <c r="B1575" s="124"/>
      <c r="C1575" s="124"/>
      <c r="D1575" s="124"/>
      <c r="E1575" s="124"/>
      <c r="F1575" s="124"/>
      <c r="G1575" s="124"/>
      <c r="H1575" s="124"/>
      <c r="I1575" s="124"/>
      <c r="J1575" s="124"/>
      <c r="K1575" s="124"/>
      <c r="L1575" s="124"/>
      <c r="M1575" s="124"/>
      <c r="N1575" s="124"/>
      <c r="O1575" s="124"/>
      <c r="P1575" s="124"/>
      <c r="Q1575" s="124"/>
      <c r="R1575" s="124"/>
      <c r="S1575" s="124"/>
      <c r="T1575" s="124"/>
      <c r="U1575" s="124"/>
      <c r="V1575" s="124"/>
      <c r="W1575" s="124"/>
      <c r="X1575" s="124"/>
      <c r="Y1575" s="124"/>
    </row>
    <row r="1576" spans="2:25" x14ac:dyDescent="0.25">
      <c r="B1576" s="124"/>
      <c r="C1576" s="124"/>
      <c r="D1576" s="124"/>
      <c r="E1576" s="124"/>
      <c r="F1576" s="124"/>
      <c r="G1576" s="124"/>
      <c r="H1576" s="124"/>
      <c r="I1576" s="124"/>
      <c r="J1576" s="124"/>
      <c r="K1576" s="124"/>
      <c r="L1576" s="124"/>
      <c r="M1576" s="124"/>
      <c r="N1576" s="124"/>
      <c r="O1576" s="124"/>
      <c r="P1576" s="124"/>
      <c r="Q1576" s="124"/>
      <c r="R1576" s="124"/>
      <c r="S1576" s="124"/>
      <c r="T1576" s="124"/>
      <c r="U1576" s="124"/>
      <c r="V1576" s="124"/>
      <c r="W1576" s="124"/>
      <c r="X1576" s="124"/>
      <c r="Y1576" s="124"/>
    </row>
    <row r="1577" spans="2:25" x14ac:dyDescent="0.25">
      <c r="B1577" s="124"/>
      <c r="C1577" s="124"/>
      <c r="D1577" s="124"/>
      <c r="E1577" s="124"/>
      <c r="F1577" s="124"/>
      <c r="G1577" s="124"/>
      <c r="H1577" s="124"/>
      <c r="I1577" s="124"/>
      <c r="J1577" s="124"/>
      <c r="K1577" s="124"/>
      <c r="L1577" s="124"/>
      <c r="M1577" s="124"/>
      <c r="N1577" s="124"/>
      <c r="O1577" s="124"/>
      <c r="P1577" s="124"/>
      <c r="Q1577" s="124"/>
      <c r="R1577" s="124"/>
      <c r="S1577" s="124"/>
      <c r="T1577" s="124"/>
      <c r="U1577" s="124"/>
      <c r="V1577" s="124"/>
      <c r="W1577" s="124"/>
      <c r="X1577" s="124"/>
      <c r="Y1577" s="124"/>
    </row>
    <row r="1578" spans="2:25" x14ac:dyDescent="0.25">
      <c r="B1578" s="124"/>
      <c r="C1578" s="124"/>
      <c r="D1578" s="124"/>
      <c r="E1578" s="124"/>
      <c r="F1578" s="124"/>
      <c r="G1578" s="124"/>
      <c r="H1578" s="124"/>
      <c r="I1578" s="124"/>
      <c r="J1578" s="124"/>
      <c r="K1578" s="124"/>
      <c r="L1578" s="124"/>
      <c r="M1578" s="124"/>
      <c r="N1578" s="124"/>
      <c r="O1578" s="124"/>
      <c r="P1578" s="124"/>
      <c r="Q1578" s="124"/>
      <c r="R1578" s="124"/>
      <c r="S1578" s="124"/>
      <c r="T1578" s="124"/>
      <c r="U1578" s="124"/>
      <c r="V1578" s="124"/>
      <c r="W1578" s="124"/>
      <c r="X1578" s="124"/>
      <c r="Y1578" s="124"/>
    </row>
    <row r="1579" spans="2:25" x14ac:dyDescent="0.25">
      <c r="B1579" s="124"/>
      <c r="C1579" s="124"/>
      <c r="D1579" s="124"/>
      <c r="E1579" s="124"/>
      <c r="F1579" s="124"/>
      <c r="G1579" s="124"/>
      <c r="H1579" s="124"/>
      <c r="I1579" s="124"/>
      <c r="J1579" s="124"/>
      <c r="K1579" s="124"/>
      <c r="L1579" s="124"/>
      <c r="M1579" s="124"/>
      <c r="N1579" s="124"/>
      <c r="O1579" s="124"/>
      <c r="P1579" s="124"/>
      <c r="Q1579" s="124"/>
      <c r="R1579" s="124"/>
      <c r="S1579" s="124"/>
      <c r="T1579" s="124"/>
      <c r="U1579" s="124"/>
      <c r="V1579" s="124"/>
      <c r="W1579" s="124"/>
      <c r="X1579" s="124"/>
      <c r="Y1579" s="124"/>
    </row>
    <row r="1580" spans="2:25" x14ac:dyDescent="0.25">
      <c r="B1580" s="124"/>
      <c r="C1580" s="124"/>
      <c r="D1580" s="124"/>
      <c r="E1580" s="124"/>
      <c r="F1580" s="124"/>
      <c r="G1580" s="124"/>
      <c r="H1580" s="124"/>
      <c r="I1580" s="124"/>
      <c r="J1580" s="124"/>
      <c r="K1580" s="124"/>
      <c r="L1580" s="124"/>
      <c r="M1580" s="124"/>
      <c r="N1580" s="124"/>
      <c r="O1580" s="124"/>
      <c r="P1580" s="124"/>
      <c r="Q1580" s="124"/>
      <c r="R1580" s="124"/>
      <c r="S1580" s="124"/>
      <c r="T1580" s="124"/>
      <c r="U1580" s="124"/>
      <c r="V1580" s="124"/>
      <c r="W1580" s="124"/>
      <c r="X1580" s="124"/>
      <c r="Y1580" s="124"/>
    </row>
    <row r="1581" spans="2:25" x14ac:dyDescent="0.25">
      <c r="B1581" s="124"/>
      <c r="C1581" s="124"/>
      <c r="D1581" s="124"/>
      <c r="E1581" s="124"/>
      <c r="F1581" s="124"/>
      <c r="G1581" s="124"/>
      <c r="H1581" s="124"/>
      <c r="I1581" s="124"/>
      <c r="J1581" s="124"/>
      <c r="K1581" s="124"/>
      <c r="L1581" s="124"/>
      <c r="M1581" s="124"/>
      <c r="N1581" s="124"/>
      <c r="O1581" s="124"/>
      <c r="P1581" s="124"/>
      <c r="Q1581" s="124"/>
      <c r="R1581" s="124"/>
      <c r="S1581" s="124"/>
      <c r="T1581" s="124"/>
      <c r="U1581" s="124"/>
      <c r="V1581" s="124"/>
      <c r="W1581" s="124"/>
      <c r="X1581" s="124"/>
      <c r="Y1581" s="124"/>
    </row>
    <row r="1582" spans="2:25" x14ac:dyDescent="0.25">
      <c r="B1582" s="124"/>
      <c r="C1582" s="124"/>
      <c r="D1582" s="124"/>
      <c r="E1582" s="124"/>
      <c r="F1582" s="124"/>
      <c r="G1582" s="124"/>
      <c r="H1582" s="124"/>
      <c r="I1582" s="124"/>
      <c r="J1582" s="124"/>
      <c r="K1582" s="124"/>
      <c r="L1582" s="124"/>
      <c r="M1582" s="124"/>
      <c r="N1582" s="124"/>
      <c r="O1582" s="124"/>
      <c r="P1582" s="124"/>
      <c r="Q1582" s="124"/>
      <c r="R1582" s="124"/>
      <c r="S1582" s="124"/>
      <c r="T1582" s="124"/>
      <c r="U1582" s="124"/>
      <c r="V1582" s="124"/>
      <c r="W1582" s="124"/>
      <c r="X1582" s="124"/>
      <c r="Y1582" s="124"/>
    </row>
    <row r="1583" spans="2:25" x14ac:dyDescent="0.25">
      <c r="B1583" s="124"/>
      <c r="C1583" s="124"/>
      <c r="D1583" s="124"/>
      <c r="E1583" s="124"/>
      <c r="F1583" s="124"/>
      <c r="G1583" s="124"/>
      <c r="H1583" s="124"/>
      <c r="I1583" s="124"/>
      <c r="J1583" s="124"/>
      <c r="K1583" s="124"/>
      <c r="L1583" s="124"/>
      <c r="M1583" s="124"/>
      <c r="N1583" s="124"/>
      <c r="O1583" s="124"/>
      <c r="P1583" s="124"/>
      <c r="Q1583" s="124"/>
      <c r="R1583" s="124"/>
      <c r="S1583" s="124"/>
      <c r="T1583" s="124"/>
      <c r="U1583" s="124"/>
      <c r="V1583" s="124"/>
      <c r="W1583" s="124"/>
      <c r="X1583" s="124"/>
      <c r="Y1583" s="124"/>
    </row>
    <row r="1584" spans="2:25" x14ac:dyDescent="0.25">
      <c r="B1584" s="124"/>
      <c r="C1584" s="124"/>
      <c r="D1584" s="124"/>
      <c r="E1584" s="124"/>
      <c r="F1584" s="124"/>
      <c r="G1584" s="124"/>
      <c r="H1584" s="124"/>
      <c r="I1584" s="124"/>
      <c r="J1584" s="124"/>
      <c r="K1584" s="124"/>
      <c r="L1584" s="124"/>
      <c r="M1584" s="124"/>
      <c r="N1584" s="124"/>
      <c r="O1584" s="124"/>
      <c r="P1584" s="124"/>
      <c r="Q1584" s="124"/>
      <c r="R1584" s="124"/>
      <c r="S1584" s="124"/>
      <c r="T1584" s="124"/>
      <c r="U1584" s="124"/>
      <c r="V1584" s="124"/>
      <c r="W1584" s="124"/>
      <c r="X1584" s="124"/>
      <c r="Y1584" s="124"/>
    </row>
    <row r="1585" spans="2:25" x14ac:dyDescent="0.25">
      <c r="B1585" s="124"/>
      <c r="C1585" s="124"/>
      <c r="D1585" s="124"/>
      <c r="E1585" s="124"/>
      <c r="F1585" s="124"/>
      <c r="G1585" s="124"/>
      <c r="H1585" s="124"/>
      <c r="I1585" s="124"/>
      <c r="J1585" s="124"/>
      <c r="K1585" s="124"/>
      <c r="L1585" s="124"/>
      <c r="M1585" s="124"/>
      <c r="N1585" s="124"/>
      <c r="O1585" s="124"/>
      <c r="P1585" s="124"/>
      <c r="Q1585" s="124"/>
      <c r="R1585" s="124"/>
      <c r="S1585" s="124"/>
      <c r="T1585" s="124"/>
      <c r="U1585" s="124"/>
      <c r="V1585" s="124"/>
      <c r="W1585" s="124"/>
      <c r="X1585" s="124"/>
      <c r="Y1585" s="124"/>
    </row>
    <row r="1586" spans="2:25" x14ac:dyDescent="0.25">
      <c r="B1586" s="124"/>
      <c r="C1586" s="124"/>
      <c r="D1586" s="124"/>
      <c r="E1586" s="124"/>
      <c r="F1586" s="124"/>
      <c r="G1586" s="124"/>
      <c r="H1586" s="124"/>
      <c r="I1586" s="124"/>
      <c r="J1586" s="124"/>
      <c r="K1586" s="124"/>
      <c r="L1586" s="124"/>
      <c r="M1586" s="124"/>
      <c r="N1586" s="124"/>
      <c r="O1586" s="124"/>
      <c r="P1586" s="124"/>
      <c r="Q1586" s="124"/>
      <c r="R1586" s="124"/>
      <c r="S1586" s="124"/>
      <c r="T1586" s="124"/>
      <c r="U1586" s="124"/>
      <c r="V1586" s="124"/>
      <c r="W1586" s="124"/>
      <c r="X1586" s="124"/>
      <c r="Y1586" s="124"/>
    </row>
    <row r="1587" spans="2:25" x14ac:dyDescent="0.25">
      <c r="B1587" s="124"/>
      <c r="C1587" s="124"/>
      <c r="D1587" s="124"/>
      <c r="E1587" s="124"/>
      <c r="F1587" s="124"/>
      <c r="G1587" s="124"/>
      <c r="H1587" s="124"/>
      <c r="I1587" s="124"/>
      <c r="J1587" s="124"/>
      <c r="K1587" s="124"/>
      <c r="L1587" s="124"/>
      <c r="M1587" s="124"/>
      <c r="N1587" s="124"/>
      <c r="O1587" s="124"/>
      <c r="P1587" s="124"/>
      <c r="Q1587" s="124"/>
      <c r="R1587" s="124"/>
      <c r="S1587" s="124"/>
      <c r="T1587" s="124"/>
      <c r="U1587" s="124"/>
      <c r="V1587" s="124"/>
      <c r="W1587" s="124"/>
      <c r="X1587" s="124"/>
      <c r="Y1587" s="124"/>
    </row>
    <row r="1588" spans="2:25" x14ac:dyDescent="0.25">
      <c r="B1588" s="124"/>
      <c r="C1588" s="124"/>
      <c r="D1588" s="124"/>
      <c r="E1588" s="124"/>
      <c r="F1588" s="124"/>
      <c r="G1588" s="124"/>
      <c r="H1588" s="124"/>
      <c r="I1588" s="124"/>
      <c r="J1588" s="124"/>
      <c r="K1588" s="124"/>
      <c r="L1588" s="124"/>
      <c r="M1588" s="124"/>
      <c r="N1588" s="124"/>
      <c r="O1588" s="124"/>
      <c r="P1588" s="124"/>
      <c r="Q1588" s="124"/>
      <c r="R1588" s="124"/>
      <c r="S1588" s="124"/>
      <c r="T1588" s="124"/>
      <c r="U1588" s="124"/>
      <c r="V1588" s="124"/>
      <c r="W1588" s="124"/>
      <c r="X1588" s="124"/>
      <c r="Y1588" s="124"/>
    </row>
    <row r="1589" spans="2:25" x14ac:dyDescent="0.25">
      <c r="B1589" s="124"/>
      <c r="C1589" s="124"/>
      <c r="D1589" s="124"/>
      <c r="E1589" s="124"/>
      <c r="F1589" s="124"/>
      <c r="G1589" s="124"/>
      <c r="H1589" s="124"/>
      <c r="I1589" s="124"/>
      <c r="J1589" s="124"/>
      <c r="K1589" s="124"/>
      <c r="L1589" s="124"/>
      <c r="M1589" s="124"/>
      <c r="N1589" s="124"/>
      <c r="O1589" s="124"/>
      <c r="P1589" s="124"/>
      <c r="Q1589" s="124"/>
      <c r="R1589" s="124"/>
      <c r="S1589" s="124"/>
      <c r="T1589" s="124"/>
      <c r="U1589" s="124"/>
      <c r="V1589" s="124"/>
      <c r="W1589" s="124"/>
      <c r="X1589" s="124"/>
      <c r="Y1589" s="124"/>
    </row>
    <row r="1590" spans="2:25" x14ac:dyDescent="0.25">
      <c r="B1590" s="124"/>
      <c r="C1590" s="124"/>
      <c r="D1590" s="124"/>
      <c r="E1590" s="124"/>
      <c r="F1590" s="124"/>
      <c r="G1590" s="124"/>
      <c r="H1590" s="124"/>
      <c r="I1590" s="124"/>
      <c r="J1590" s="124"/>
      <c r="K1590" s="124"/>
      <c r="L1590" s="124"/>
      <c r="M1590" s="124"/>
      <c r="N1590" s="124"/>
      <c r="O1590" s="124"/>
      <c r="P1590" s="124"/>
      <c r="Q1590" s="124"/>
      <c r="R1590" s="124"/>
      <c r="S1590" s="124"/>
      <c r="T1590" s="124"/>
      <c r="U1590" s="124"/>
      <c r="V1590" s="124"/>
      <c r="W1590" s="124"/>
      <c r="X1590" s="124"/>
      <c r="Y1590" s="124"/>
    </row>
    <row r="1591" spans="2:25" x14ac:dyDescent="0.25">
      <c r="B1591" s="124"/>
      <c r="C1591" s="124"/>
      <c r="D1591" s="124"/>
      <c r="E1591" s="124"/>
      <c r="F1591" s="124"/>
      <c r="G1591" s="124"/>
      <c r="H1591" s="124"/>
      <c r="I1591" s="124"/>
      <c r="J1591" s="124"/>
      <c r="K1591" s="124"/>
      <c r="L1591" s="124"/>
      <c r="M1591" s="124"/>
      <c r="N1591" s="124"/>
      <c r="O1591" s="124"/>
      <c r="P1591" s="124"/>
      <c r="Q1591" s="124"/>
      <c r="R1591" s="124"/>
      <c r="S1591" s="124"/>
      <c r="T1591" s="124"/>
      <c r="U1591" s="124"/>
      <c r="V1591" s="124"/>
      <c r="W1591" s="124"/>
      <c r="X1591" s="124"/>
      <c r="Y1591" s="124"/>
    </row>
    <row r="1592" spans="2:25" x14ac:dyDescent="0.25">
      <c r="B1592" s="124"/>
      <c r="C1592" s="124"/>
      <c r="D1592" s="124"/>
      <c r="E1592" s="124"/>
      <c r="F1592" s="124"/>
      <c r="G1592" s="124"/>
      <c r="H1592" s="124"/>
      <c r="I1592" s="124"/>
      <c r="J1592" s="124"/>
      <c r="K1592" s="124"/>
      <c r="L1592" s="124"/>
      <c r="M1592" s="124"/>
      <c r="N1592" s="124"/>
      <c r="O1592" s="124"/>
      <c r="P1592" s="124"/>
      <c r="Q1592" s="124"/>
      <c r="R1592" s="124"/>
      <c r="S1592" s="124"/>
      <c r="T1592" s="124"/>
      <c r="U1592" s="124"/>
      <c r="V1592" s="124"/>
      <c r="W1592" s="124"/>
      <c r="X1592" s="124"/>
      <c r="Y1592" s="124"/>
    </row>
    <row r="1593" spans="2:25" x14ac:dyDescent="0.25">
      <c r="B1593" s="124"/>
      <c r="C1593" s="124"/>
      <c r="D1593" s="124"/>
      <c r="E1593" s="124"/>
      <c r="F1593" s="124"/>
      <c r="G1593" s="124"/>
      <c r="H1593" s="124"/>
      <c r="I1593" s="124"/>
      <c r="J1593" s="124"/>
      <c r="K1593" s="124"/>
      <c r="L1593" s="124"/>
      <c r="M1593" s="124"/>
      <c r="N1593" s="124"/>
      <c r="O1593" s="124"/>
      <c r="P1593" s="124"/>
      <c r="Q1593" s="124"/>
      <c r="R1593" s="124"/>
      <c r="S1593" s="124"/>
      <c r="T1593" s="124"/>
      <c r="U1593" s="124"/>
      <c r="V1593" s="124"/>
      <c r="W1593" s="124"/>
      <c r="X1593" s="124"/>
      <c r="Y1593" s="124"/>
    </row>
    <row r="1594" spans="2:25" x14ac:dyDescent="0.25">
      <c r="B1594" s="124"/>
      <c r="C1594" s="124"/>
      <c r="D1594" s="124"/>
      <c r="E1594" s="124"/>
      <c r="F1594" s="124"/>
      <c r="G1594" s="124"/>
      <c r="H1594" s="124"/>
      <c r="I1594" s="124"/>
      <c r="J1594" s="124"/>
      <c r="K1594" s="124"/>
      <c r="L1594" s="124"/>
      <c r="M1594" s="124"/>
      <c r="N1594" s="124"/>
      <c r="O1594" s="124"/>
      <c r="P1594" s="124"/>
      <c r="Q1594" s="124"/>
      <c r="R1594" s="124"/>
      <c r="S1594" s="124"/>
      <c r="T1594" s="124"/>
      <c r="U1594" s="124"/>
      <c r="V1594" s="124"/>
      <c r="W1594" s="124"/>
      <c r="X1594" s="124"/>
      <c r="Y1594" s="124"/>
    </row>
    <row r="1595" spans="2:25" x14ac:dyDescent="0.25">
      <c r="B1595" s="124"/>
      <c r="C1595" s="124"/>
      <c r="D1595" s="124"/>
      <c r="E1595" s="124"/>
      <c r="F1595" s="124"/>
      <c r="G1595" s="124"/>
      <c r="H1595" s="124"/>
      <c r="I1595" s="124"/>
      <c r="J1595" s="124"/>
      <c r="K1595" s="124"/>
      <c r="L1595" s="124"/>
      <c r="M1595" s="124"/>
      <c r="N1595" s="124"/>
      <c r="O1595" s="124"/>
      <c r="P1595" s="124"/>
      <c r="Q1595" s="124"/>
      <c r="R1595" s="124"/>
      <c r="S1595" s="124"/>
      <c r="T1595" s="124"/>
      <c r="U1595" s="124"/>
      <c r="V1595" s="124"/>
      <c r="W1595" s="124"/>
      <c r="X1595" s="124"/>
      <c r="Y1595" s="124"/>
    </row>
    <row r="1596" spans="2:25" x14ac:dyDescent="0.25">
      <c r="B1596" s="124"/>
      <c r="C1596" s="124"/>
      <c r="D1596" s="124"/>
      <c r="E1596" s="124"/>
      <c r="F1596" s="124"/>
      <c r="G1596" s="124"/>
      <c r="H1596" s="124"/>
      <c r="I1596" s="124"/>
      <c r="J1596" s="124"/>
      <c r="K1596" s="124"/>
      <c r="L1596" s="124"/>
      <c r="M1596" s="124"/>
      <c r="N1596" s="124"/>
      <c r="O1596" s="124"/>
      <c r="P1596" s="124"/>
      <c r="Q1596" s="124"/>
      <c r="R1596" s="124"/>
      <c r="S1596" s="124"/>
      <c r="T1596" s="124"/>
      <c r="U1596" s="124"/>
      <c r="V1596" s="124"/>
      <c r="W1596" s="124"/>
      <c r="X1596" s="124"/>
      <c r="Y1596" s="124"/>
    </row>
    <row r="1597" spans="2:25" x14ac:dyDescent="0.25">
      <c r="B1597" s="124"/>
      <c r="C1597" s="124"/>
      <c r="D1597" s="124"/>
      <c r="E1597" s="124"/>
      <c r="F1597" s="124"/>
      <c r="G1597" s="124"/>
      <c r="H1597" s="124"/>
      <c r="I1597" s="124"/>
      <c r="J1597" s="124"/>
      <c r="K1597" s="124"/>
      <c r="L1597" s="124"/>
      <c r="M1597" s="124"/>
      <c r="N1597" s="124"/>
      <c r="O1597" s="124"/>
      <c r="P1597" s="124"/>
      <c r="Q1597" s="124"/>
      <c r="R1597" s="124"/>
      <c r="S1597" s="124"/>
      <c r="T1597" s="124"/>
      <c r="U1597" s="124"/>
      <c r="V1597" s="124"/>
      <c r="W1597" s="124"/>
      <c r="X1597" s="124"/>
      <c r="Y1597" s="124"/>
    </row>
    <row r="1598" spans="2:25" x14ac:dyDescent="0.25">
      <c r="B1598" s="124"/>
      <c r="C1598" s="124"/>
      <c r="D1598" s="124"/>
      <c r="E1598" s="124"/>
      <c r="F1598" s="124"/>
      <c r="G1598" s="124"/>
      <c r="H1598" s="124"/>
      <c r="I1598" s="124"/>
      <c r="J1598" s="124"/>
      <c r="K1598" s="124"/>
      <c r="L1598" s="124"/>
      <c r="M1598" s="124"/>
      <c r="N1598" s="124"/>
      <c r="O1598" s="124"/>
      <c r="P1598" s="124"/>
      <c r="Q1598" s="124"/>
      <c r="R1598" s="124"/>
      <c r="S1598" s="124"/>
      <c r="T1598" s="124"/>
      <c r="U1598" s="124"/>
      <c r="V1598" s="124"/>
      <c r="W1598" s="124"/>
      <c r="X1598" s="124"/>
      <c r="Y1598" s="124"/>
    </row>
    <row r="1599" spans="2:25" x14ac:dyDescent="0.25">
      <c r="B1599" s="124"/>
      <c r="C1599" s="124"/>
      <c r="D1599" s="124"/>
      <c r="E1599" s="124"/>
      <c r="F1599" s="124"/>
      <c r="G1599" s="124"/>
      <c r="H1599" s="124"/>
      <c r="I1599" s="124"/>
      <c r="J1599" s="124"/>
      <c r="K1599" s="124"/>
      <c r="L1599" s="124"/>
      <c r="M1599" s="124"/>
      <c r="N1599" s="124"/>
      <c r="O1599" s="124"/>
      <c r="P1599" s="124"/>
      <c r="Q1599" s="124"/>
      <c r="R1599" s="124"/>
      <c r="S1599" s="124"/>
      <c r="T1599" s="124"/>
      <c r="U1599" s="124"/>
      <c r="V1599" s="124"/>
      <c r="W1599" s="124"/>
      <c r="X1599" s="124"/>
      <c r="Y1599" s="124"/>
    </row>
    <row r="1600" spans="2:25" x14ac:dyDescent="0.25">
      <c r="B1600" s="124"/>
      <c r="C1600" s="124"/>
      <c r="D1600" s="124"/>
      <c r="E1600" s="124"/>
      <c r="F1600" s="124"/>
      <c r="G1600" s="124"/>
      <c r="H1600" s="124"/>
      <c r="I1600" s="124"/>
      <c r="J1600" s="124"/>
      <c r="K1600" s="124"/>
      <c r="L1600" s="124"/>
      <c r="M1600" s="124"/>
      <c r="N1600" s="124"/>
      <c r="O1600" s="124"/>
      <c r="P1600" s="124"/>
      <c r="Q1600" s="124"/>
      <c r="R1600" s="124"/>
      <c r="S1600" s="124"/>
      <c r="T1600" s="124"/>
      <c r="U1600" s="124"/>
      <c r="V1600" s="124"/>
      <c r="W1600" s="124"/>
      <c r="X1600" s="124"/>
      <c r="Y1600" s="124"/>
    </row>
    <row r="1601" spans="2:25" x14ac:dyDescent="0.25">
      <c r="B1601" s="124"/>
      <c r="C1601" s="124"/>
      <c r="D1601" s="124"/>
      <c r="E1601" s="124"/>
      <c r="F1601" s="124"/>
      <c r="G1601" s="124"/>
      <c r="H1601" s="124"/>
      <c r="I1601" s="124"/>
      <c r="J1601" s="124"/>
      <c r="K1601" s="124"/>
      <c r="L1601" s="124"/>
      <c r="M1601" s="124"/>
      <c r="N1601" s="124"/>
      <c r="O1601" s="124"/>
      <c r="P1601" s="124"/>
      <c r="Q1601" s="124"/>
      <c r="R1601" s="124"/>
      <c r="S1601" s="124"/>
      <c r="T1601" s="124"/>
      <c r="U1601" s="124"/>
      <c r="V1601" s="124"/>
      <c r="W1601" s="124"/>
      <c r="X1601" s="124"/>
      <c r="Y1601" s="124"/>
    </row>
    <row r="1602" spans="2:25" x14ac:dyDescent="0.25">
      <c r="B1602" s="124"/>
      <c r="C1602" s="124"/>
      <c r="D1602" s="124"/>
      <c r="E1602" s="124"/>
      <c r="F1602" s="124"/>
      <c r="G1602" s="124"/>
      <c r="H1602" s="124"/>
      <c r="I1602" s="124"/>
      <c r="J1602" s="124"/>
      <c r="K1602" s="124"/>
      <c r="L1602" s="124"/>
      <c r="M1602" s="124"/>
      <c r="N1602" s="124"/>
      <c r="O1602" s="124"/>
      <c r="P1602" s="124"/>
      <c r="Q1602" s="124"/>
      <c r="R1602" s="124"/>
      <c r="S1602" s="124"/>
      <c r="T1602" s="124"/>
      <c r="U1602" s="124"/>
      <c r="V1602" s="124"/>
      <c r="W1602" s="124"/>
      <c r="X1602" s="124"/>
      <c r="Y1602" s="124"/>
    </row>
    <row r="1603" spans="2:25" x14ac:dyDescent="0.25">
      <c r="B1603" s="124"/>
      <c r="C1603" s="124"/>
      <c r="D1603" s="124"/>
      <c r="E1603" s="124"/>
      <c r="F1603" s="124"/>
      <c r="G1603" s="124"/>
      <c r="H1603" s="124"/>
      <c r="I1603" s="124"/>
      <c r="J1603" s="124"/>
      <c r="K1603" s="124"/>
      <c r="L1603" s="124"/>
      <c r="M1603" s="124"/>
      <c r="N1603" s="124"/>
      <c r="O1603" s="124"/>
      <c r="P1603" s="124"/>
      <c r="Q1603" s="124"/>
      <c r="R1603" s="124"/>
      <c r="S1603" s="124"/>
      <c r="T1603" s="124"/>
      <c r="U1603" s="124"/>
      <c r="V1603" s="124"/>
      <c r="W1603" s="124"/>
      <c r="X1603" s="124"/>
      <c r="Y1603" s="124"/>
    </row>
    <row r="1604" spans="2:25" x14ac:dyDescent="0.25">
      <c r="B1604" s="124"/>
      <c r="C1604" s="124"/>
      <c r="D1604" s="124"/>
      <c r="E1604" s="124"/>
      <c r="F1604" s="124"/>
      <c r="G1604" s="124"/>
      <c r="H1604" s="124"/>
      <c r="I1604" s="124"/>
      <c r="J1604" s="124"/>
      <c r="K1604" s="124"/>
      <c r="L1604" s="124"/>
      <c r="M1604" s="124"/>
      <c r="N1604" s="124"/>
      <c r="O1604" s="124"/>
      <c r="P1604" s="124"/>
      <c r="Q1604" s="124"/>
      <c r="R1604" s="124"/>
      <c r="S1604" s="124"/>
      <c r="T1604" s="124"/>
      <c r="U1604" s="124"/>
      <c r="V1604" s="124"/>
      <c r="W1604" s="124"/>
      <c r="X1604" s="124"/>
      <c r="Y1604" s="124"/>
    </row>
    <row r="1605" spans="2:25" x14ac:dyDescent="0.25">
      <c r="B1605" s="124"/>
      <c r="C1605" s="124"/>
      <c r="D1605" s="124"/>
      <c r="E1605" s="124"/>
      <c r="F1605" s="124"/>
      <c r="G1605" s="124"/>
      <c r="H1605" s="124"/>
      <c r="I1605" s="124"/>
      <c r="J1605" s="124"/>
      <c r="K1605" s="124"/>
      <c r="L1605" s="124"/>
      <c r="M1605" s="124"/>
      <c r="N1605" s="124"/>
      <c r="O1605" s="124"/>
      <c r="P1605" s="124"/>
      <c r="Q1605" s="124"/>
      <c r="R1605" s="124"/>
      <c r="S1605" s="124"/>
      <c r="T1605" s="124"/>
      <c r="U1605" s="124"/>
      <c r="V1605" s="124"/>
      <c r="W1605" s="124"/>
      <c r="X1605" s="124"/>
      <c r="Y1605" s="124"/>
    </row>
    <row r="1606" spans="2:25" x14ac:dyDescent="0.25">
      <c r="B1606" s="124"/>
      <c r="C1606" s="124"/>
      <c r="D1606" s="124"/>
      <c r="E1606" s="124"/>
      <c r="F1606" s="124"/>
      <c r="G1606" s="124"/>
      <c r="H1606" s="124"/>
      <c r="I1606" s="124"/>
      <c r="J1606" s="124"/>
      <c r="K1606" s="124"/>
      <c r="L1606" s="124"/>
      <c r="M1606" s="124"/>
      <c r="N1606" s="124"/>
      <c r="O1606" s="124"/>
      <c r="P1606" s="124"/>
      <c r="Q1606" s="124"/>
      <c r="R1606" s="124"/>
      <c r="S1606" s="124"/>
      <c r="T1606" s="124"/>
      <c r="U1606" s="124"/>
      <c r="V1606" s="124"/>
      <c r="W1606" s="124"/>
      <c r="X1606" s="124"/>
      <c r="Y1606" s="124"/>
    </row>
    <row r="1607" spans="2:25" x14ac:dyDescent="0.25">
      <c r="B1607" s="124"/>
      <c r="C1607" s="124"/>
      <c r="D1607" s="124"/>
      <c r="E1607" s="124"/>
      <c r="F1607" s="124"/>
      <c r="G1607" s="124"/>
      <c r="H1607" s="124"/>
      <c r="I1607" s="124"/>
      <c r="J1607" s="124"/>
      <c r="K1607" s="124"/>
      <c r="L1607" s="124"/>
      <c r="M1607" s="124"/>
      <c r="N1607" s="124"/>
      <c r="O1607" s="124"/>
      <c r="P1607" s="124"/>
      <c r="Q1607" s="124"/>
      <c r="R1607" s="124"/>
      <c r="S1607" s="124"/>
      <c r="T1607" s="124"/>
      <c r="U1607" s="124"/>
      <c r="V1607" s="124"/>
      <c r="W1607" s="124"/>
      <c r="X1607" s="124"/>
      <c r="Y1607" s="124"/>
    </row>
    <row r="1608" spans="2:25" x14ac:dyDescent="0.25">
      <c r="B1608" s="124"/>
      <c r="C1608" s="124"/>
      <c r="D1608" s="124"/>
      <c r="E1608" s="124"/>
      <c r="F1608" s="124"/>
      <c r="G1608" s="124"/>
      <c r="H1608" s="124"/>
      <c r="I1608" s="124"/>
      <c r="J1608" s="124"/>
      <c r="K1608" s="124"/>
      <c r="L1608" s="124"/>
      <c r="M1608" s="124"/>
      <c r="N1608" s="124"/>
      <c r="O1608" s="124"/>
      <c r="P1608" s="124"/>
      <c r="Q1608" s="124"/>
      <c r="R1608" s="124"/>
      <c r="S1608" s="124"/>
      <c r="T1608" s="124"/>
      <c r="U1608" s="124"/>
      <c r="V1608" s="124"/>
      <c r="W1608" s="124"/>
      <c r="X1608" s="124"/>
      <c r="Y1608" s="124"/>
    </row>
    <row r="1609" spans="2:25" x14ac:dyDescent="0.25">
      <c r="B1609" s="124"/>
      <c r="C1609" s="124"/>
      <c r="D1609" s="124"/>
      <c r="E1609" s="124"/>
      <c r="F1609" s="124"/>
      <c r="G1609" s="124"/>
      <c r="H1609" s="124"/>
      <c r="I1609" s="124"/>
      <c r="J1609" s="124"/>
      <c r="K1609" s="124"/>
      <c r="L1609" s="124"/>
      <c r="M1609" s="124"/>
      <c r="N1609" s="124"/>
      <c r="O1609" s="124"/>
      <c r="P1609" s="124"/>
      <c r="Q1609" s="124"/>
      <c r="R1609" s="124"/>
      <c r="S1609" s="124"/>
      <c r="T1609" s="124"/>
      <c r="U1609" s="124"/>
      <c r="V1609" s="124"/>
      <c r="W1609" s="124"/>
      <c r="X1609" s="124"/>
      <c r="Y1609" s="124"/>
    </row>
    <row r="1610" spans="2:25" x14ac:dyDescent="0.25">
      <c r="B1610" s="124"/>
      <c r="C1610" s="124"/>
      <c r="D1610" s="124"/>
      <c r="E1610" s="124"/>
      <c r="F1610" s="124"/>
      <c r="G1610" s="124"/>
      <c r="H1610" s="124"/>
      <c r="I1610" s="124"/>
      <c r="J1610" s="124"/>
      <c r="K1610" s="124"/>
      <c r="L1610" s="124"/>
      <c r="M1610" s="124"/>
      <c r="N1610" s="124"/>
      <c r="O1610" s="124"/>
      <c r="P1610" s="124"/>
      <c r="Q1610" s="124"/>
      <c r="R1610" s="124"/>
      <c r="S1610" s="124"/>
      <c r="T1610" s="124"/>
      <c r="U1610" s="124"/>
      <c r="V1610" s="124"/>
      <c r="W1610" s="124"/>
      <c r="X1610" s="124"/>
      <c r="Y1610" s="124"/>
    </row>
    <row r="1611" spans="2:25" x14ac:dyDescent="0.25">
      <c r="B1611" s="124"/>
      <c r="C1611" s="124"/>
      <c r="D1611" s="124"/>
      <c r="E1611" s="124"/>
      <c r="F1611" s="124"/>
      <c r="G1611" s="124"/>
      <c r="H1611" s="124"/>
      <c r="I1611" s="124"/>
      <c r="J1611" s="124"/>
      <c r="K1611" s="124"/>
      <c r="L1611" s="124"/>
      <c r="M1611" s="124"/>
      <c r="N1611" s="124"/>
      <c r="O1611" s="124"/>
      <c r="P1611" s="124"/>
      <c r="Q1611" s="124"/>
      <c r="R1611" s="124"/>
      <c r="S1611" s="124"/>
      <c r="T1611" s="124"/>
      <c r="U1611" s="124"/>
      <c r="V1611" s="124"/>
      <c r="W1611" s="124"/>
      <c r="X1611" s="124"/>
      <c r="Y1611" s="124"/>
    </row>
    <row r="1612" spans="2:25" x14ac:dyDescent="0.25">
      <c r="B1612" s="124"/>
      <c r="C1612" s="124"/>
      <c r="D1612" s="124"/>
      <c r="E1612" s="124"/>
      <c r="F1612" s="124"/>
      <c r="G1612" s="124"/>
      <c r="H1612" s="124"/>
      <c r="I1612" s="124"/>
      <c r="J1612" s="124"/>
      <c r="K1612" s="124"/>
      <c r="L1612" s="124"/>
      <c r="M1612" s="124"/>
      <c r="N1612" s="124"/>
      <c r="O1612" s="124"/>
      <c r="P1612" s="124"/>
      <c r="Q1612" s="124"/>
      <c r="R1612" s="124"/>
      <c r="S1612" s="124"/>
      <c r="T1612" s="124"/>
      <c r="U1612" s="124"/>
      <c r="V1612" s="124"/>
      <c r="W1612" s="124"/>
      <c r="X1612" s="124"/>
      <c r="Y1612" s="124"/>
    </row>
    <row r="1613" spans="2:25" x14ac:dyDescent="0.25">
      <c r="B1613" s="124"/>
      <c r="C1613" s="124"/>
      <c r="D1613" s="124"/>
      <c r="E1613" s="124"/>
      <c r="F1613" s="124"/>
      <c r="G1613" s="124"/>
      <c r="H1613" s="124"/>
      <c r="I1613" s="124"/>
      <c r="J1613" s="124"/>
      <c r="K1613" s="124"/>
      <c r="L1613" s="124"/>
      <c r="M1613" s="124"/>
      <c r="N1613" s="124"/>
      <c r="O1613" s="124"/>
      <c r="P1613" s="124"/>
      <c r="Q1613" s="124"/>
      <c r="R1613" s="124"/>
      <c r="S1613" s="124"/>
      <c r="T1613" s="124"/>
      <c r="U1613" s="124"/>
      <c r="V1613" s="124"/>
      <c r="W1613" s="124"/>
      <c r="X1613" s="124"/>
      <c r="Y1613" s="124"/>
    </row>
    <row r="1614" spans="2:25" x14ac:dyDescent="0.25">
      <c r="B1614" s="124"/>
      <c r="C1614" s="124"/>
      <c r="D1614" s="124"/>
      <c r="E1614" s="124"/>
      <c r="F1614" s="124"/>
      <c r="G1614" s="124"/>
      <c r="H1614" s="124"/>
      <c r="I1614" s="124"/>
      <c r="J1614" s="124"/>
      <c r="K1614" s="124"/>
      <c r="L1614" s="124"/>
      <c r="M1614" s="124"/>
      <c r="N1614" s="124"/>
      <c r="O1614" s="124"/>
      <c r="P1614" s="124"/>
      <c r="Q1614" s="124"/>
      <c r="R1614" s="124"/>
      <c r="S1614" s="124"/>
      <c r="T1614" s="124"/>
      <c r="U1614" s="124"/>
      <c r="V1614" s="124"/>
      <c r="W1614" s="124"/>
      <c r="X1614" s="124"/>
      <c r="Y1614" s="124"/>
    </row>
    <row r="1615" spans="2:25" x14ac:dyDescent="0.25">
      <c r="B1615" s="124"/>
      <c r="C1615" s="124"/>
      <c r="D1615" s="124"/>
      <c r="E1615" s="124"/>
      <c r="F1615" s="124"/>
      <c r="G1615" s="124"/>
      <c r="H1615" s="124"/>
      <c r="I1615" s="124"/>
      <c r="J1615" s="124"/>
      <c r="K1615" s="124"/>
      <c r="L1615" s="124"/>
      <c r="M1615" s="124"/>
      <c r="N1615" s="124"/>
      <c r="O1615" s="124"/>
      <c r="P1615" s="124"/>
      <c r="Q1615" s="124"/>
      <c r="R1615" s="124"/>
      <c r="S1615" s="124"/>
      <c r="T1615" s="124"/>
      <c r="U1615" s="124"/>
      <c r="V1615" s="124"/>
      <c r="W1615" s="124"/>
      <c r="X1615" s="124"/>
      <c r="Y1615" s="124"/>
    </row>
    <row r="1616" spans="2:25" x14ac:dyDescent="0.25">
      <c r="B1616" s="124"/>
      <c r="C1616" s="124"/>
      <c r="D1616" s="124"/>
      <c r="E1616" s="124"/>
      <c r="F1616" s="124"/>
      <c r="G1616" s="124"/>
      <c r="H1616" s="124"/>
      <c r="I1616" s="124"/>
      <c r="J1616" s="124"/>
      <c r="K1616" s="124"/>
      <c r="L1616" s="124"/>
      <c r="M1616" s="124"/>
      <c r="N1616" s="124"/>
      <c r="O1616" s="124"/>
      <c r="P1616" s="124"/>
      <c r="Q1616" s="124"/>
      <c r="R1616" s="124"/>
      <c r="S1616" s="124"/>
      <c r="T1616" s="124"/>
      <c r="U1616" s="124"/>
      <c r="V1616" s="124"/>
      <c r="W1616" s="124"/>
      <c r="X1616" s="124"/>
      <c r="Y1616" s="124"/>
    </row>
    <row r="1617" spans="2:25" x14ac:dyDescent="0.25">
      <c r="B1617" s="124"/>
      <c r="C1617" s="124"/>
      <c r="D1617" s="124"/>
      <c r="E1617" s="124"/>
      <c r="F1617" s="124"/>
      <c r="G1617" s="124"/>
      <c r="H1617" s="124"/>
      <c r="I1617" s="124"/>
      <c r="J1617" s="124"/>
      <c r="K1617" s="124"/>
      <c r="L1617" s="124"/>
      <c r="M1617" s="124"/>
      <c r="N1617" s="124"/>
      <c r="O1617" s="124"/>
      <c r="P1617" s="124"/>
      <c r="Q1617" s="124"/>
      <c r="R1617" s="124"/>
      <c r="S1617" s="124"/>
      <c r="T1617" s="124"/>
      <c r="U1617" s="124"/>
      <c r="V1617" s="124"/>
      <c r="W1617" s="124"/>
      <c r="X1617" s="124"/>
      <c r="Y1617" s="124"/>
    </row>
    <row r="1618" spans="2:25" x14ac:dyDescent="0.25">
      <c r="B1618" s="124"/>
      <c r="C1618" s="124"/>
      <c r="D1618" s="124"/>
      <c r="E1618" s="124"/>
      <c r="F1618" s="124"/>
      <c r="G1618" s="124"/>
      <c r="H1618" s="124"/>
      <c r="I1618" s="124"/>
      <c r="J1618" s="124"/>
      <c r="K1618" s="124"/>
      <c r="L1618" s="124"/>
      <c r="M1618" s="124"/>
      <c r="N1618" s="124"/>
      <c r="O1618" s="124"/>
      <c r="P1618" s="124"/>
      <c r="Q1618" s="124"/>
      <c r="R1618" s="124"/>
      <c r="S1618" s="124"/>
      <c r="T1618" s="124"/>
      <c r="U1618" s="124"/>
      <c r="V1618" s="124"/>
      <c r="W1618" s="124"/>
      <c r="X1618" s="124"/>
      <c r="Y1618" s="124"/>
    </row>
    <row r="1619" spans="2:25" x14ac:dyDescent="0.25">
      <c r="B1619" s="124"/>
      <c r="C1619" s="124"/>
      <c r="D1619" s="124"/>
      <c r="E1619" s="124"/>
      <c r="F1619" s="124"/>
      <c r="G1619" s="124"/>
      <c r="H1619" s="124"/>
      <c r="I1619" s="124"/>
      <c r="J1619" s="124"/>
      <c r="K1619" s="124"/>
      <c r="L1619" s="124"/>
      <c r="M1619" s="124"/>
      <c r="N1619" s="124"/>
      <c r="O1619" s="124"/>
      <c r="P1619" s="124"/>
      <c r="Q1619" s="124"/>
      <c r="R1619" s="124"/>
      <c r="S1619" s="124"/>
      <c r="T1619" s="124"/>
      <c r="U1619" s="124"/>
      <c r="V1619" s="124"/>
      <c r="W1619" s="124"/>
      <c r="X1619" s="124"/>
      <c r="Y1619" s="124"/>
    </row>
    <row r="1620" spans="2:25" x14ac:dyDescent="0.25">
      <c r="B1620" s="124"/>
      <c r="C1620" s="124"/>
      <c r="D1620" s="124"/>
      <c r="E1620" s="124"/>
      <c r="F1620" s="124"/>
      <c r="G1620" s="124"/>
      <c r="H1620" s="124"/>
      <c r="I1620" s="124"/>
      <c r="J1620" s="124"/>
      <c r="K1620" s="124"/>
      <c r="L1620" s="124"/>
      <c r="M1620" s="124"/>
      <c r="N1620" s="124"/>
      <c r="O1620" s="124"/>
      <c r="P1620" s="124"/>
      <c r="Q1620" s="124"/>
      <c r="R1620" s="124"/>
      <c r="S1620" s="124"/>
      <c r="T1620" s="124"/>
      <c r="U1620" s="124"/>
      <c r="V1620" s="124"/>
      <c r="W1620" s="124"/>
      <c r="X1620" s="124"/>
      <c r="Y1620" s="124"/>
    </row>
    <row r="1621" spans="2:25" x14ac:dyDescent="0.25">
      <c r="B1621" s="124"/>
      <c r="C1621" s="124"/>
      <c r="D1621" s="124"/>
      <c r="E1621" s="124"/>
      <c r="F1621" s="124"/>
      <c r="G1621" s="124"/>
      <c r="H1621" s="124"/>
      <c r="I1621" s="124"/>
      <c r="J1621" s="124"/>
      <c r="K1621" s="124"/>
      <c r="L1621" s="124"/>
      <c r="M1621" s="124"/>
      <c r="N1621" s="124"/>
      <c r="O1621" s="124"/>
      <c r="P1621" s="124"/>
      <c r="Q1621" s="124"/>
      <c r="R1621" s="124"/>
      <c r="S1621" s="124"/>
      <c r="T1621" s="124"/>
      <c r="U1621" s="124"/>
      <c r="V1621" s="124"/>
      <c r="W1621" s="124"/>
      <c r="X1621" s="124"/>
      <c r="Y1621" s="124"/>
    </row>
    <row r="1622" spans="2:25" x14ac:dyDescent="0.25">
      <c r="B1622" s="124"/>
      <c r="C1622" s="124"/>
      <c r="D1622" s="124"/>
      <c r="E1622" s="124"/>
      <c r="F1622" s="124"/>
      <c r="G1622" s="124"/>
      <c r="H1622" s="124"/>
      <c r="I1622" s="124"/>
      <c r="J1622" s="124"/>
      <c r="K1622" s="124"/>
      <c r="L1622" s="124"/>
      <c r="M1622" s="124"/>
      <c r="N1622" s="124"/>
      <c r="O1622" s="124"/>
      <c r="P1622" s="124"/>
      <c r="Q1622" s="124"/>
      <c r="R1622" s="124"/>
      <c r="S1622" s="124"/>
      <c r="T1622" s="124"/>
      <c r="U1622" s="124"/>
      <c r="V1622" s="124"/>
      <c r="W1622" s="124"/>
      <c r="X1622" s="124"/>
      <c r="Y1622" s="124"/>
    </row>
    <row r="1623" spans="2:25" x14ac:dyDescent="0.25">
      <c r="B1623" s="124"/>
      <c r="C1623" s="124"/>
      <c r="D1623" s="124"/>
      <c r="E1623" s="124"/>
      <c r="F1623" s="124"/>
      <c r="G1623" s="124"/>
      <c r="H1623" s="124"/>
      <c r="I1623" s="124"/>
      <c r="J1623" s="124"/>
      <c r="K1623" s="124"/>
      <c r="L1623" s="124"/>
      <c r="M1623" s="124"/>
      <c r="N1623" s="124"/>
      <c r="O1623" s="124"/>
      <c r="P1623" s="124"/>
      <c r="Q1623" s="124"/>
      <c r="R1623" s="124"/>
      <c r="S1623" s="124"/>
      <c r="T1623" s="124"/>
      <c r="U1623" s="124"/>
      <c r="V1623" s="124"/>
      <c r="W1623" s="124"/>
      <c r="X1623" s="124"/>
      <c r="Y1623" s="124"/>
    </row>
    <row r="1624" spans="2:25" x14ac:dyDescent="0.25">
      <c r="B1624" s="124"/>
      <c r="C1624" s="124"/>
      <c r="D1624" s="124"/>
      <c r="E1624" s="124"/>
      <c r="F1624" s="124"/>
      <c r="G1624" s="124"/>
      <c r="H1624" s="124"/>
      <c r="I1624" s="124"/>
      <c r="J1624" s="124"/>
      <c r="K1624" s="124"/>
      <c r="L1624" s="124"/>
      <c r="M1624" s="124"/>
      <c r="N1624" s="124"/>
      <c r="O1624" s="124"/>
      <c r="P1624" s="124"/>
      <c r="Q1624" s="124"/>
      <c r="R1624" s="124"/>
      <c r="S1624" s="124"/>
      <c r="T1624" s="124"/>
      <c r="U1624" s="124"/>
      <c r="V1624" s="124"/>
      <c r="W1624" s="124"/>
      <c r="X1624" s="124"/>
      <c r="Y1624" s="124"/>
    </row>
    <row r="1625" spans="2:25" x14ac:dyDescent="0.25">
      <c r="B1625" s="124"/>
      <c r="C1625" s="124"/>
      <c r="D1625" s="124"/>
      <c r="E1625" s="124"/>
      <c r="F1625" s="124"/>
      <c r="G1625" s="124"/>
      <c r="H1625" s="124"/>
      <c r="I1625" s="124"/>
      <c r="J1625" s="124"/>
      <c r="K1625" s="124"/>
      <c r="L1625" s="124"/>
      <c r="M1625" s="124"/>
      <c r="N1625" s="124"/>
      <c r="O1625" s="124"/>
      <c r="P1625" s="124"/>
      <c r="Q1625" s="124"/>
      <c r="R1625" s="124"/>
      <c r="S1625" s="124"/>
      <c r="T1625" s="124"/>
      <c r="U1625" s="124"/>
      <c r="V1625" s="124"/>
      <c r="W1625" s="124"/>
      <c r="X1625" s="124"/>
      <c r="Y1625" s="124"/>
    </row>
    <row r="1626" spans="2:25" x14ac:dyDescent="0.25">
      <c r="B1626" s="124"/>
      <c r="C1626" s="124"/>
      <c r="D1626" s="124"/>
      <c r="E1626" s="124"/>
      <c r="F1626" s="124"/>
      <c r="G1626" s="124"/>
      <c r="H1626" s="124"/>
      <c r="I1626" s="124"/>
      <c r="J1626" s="124"/>
      <c r="K1626" s="124"/>
      <c r="L1626" s="124"/>
      <c r="M1626" s="124"/>
      <c r="N1626" s="124"/>
      <c r="O1626" s="124"/>
      <c r="P1626" s="124"/>
      <c r="Q1626" s="124"/>
      <c r="R1626" s="124"/>
      <c r="S1626" s="124"/>
      <c r="T1626" s="124"/>
      <c r="U1626" s="124"/>
      <c r="V1626" s="124"/>
      <c r="W1626" s="124"/>
      <c r="X1626" s="124"/>
      <c r="Y1626" s="124"/>
    </row>
    <row r="1627" spans="2:25" x14ac:dyDescent="0.25">
      <c r="B1627" s="124"/>
      <c r="C1627" s="124"/>
      <c r="D1627" s="124"/>
      <c r="E1627" s="124"/>
      <c r="F1627" s="124"/>
      <c r="G1627" s="124"/>
      <c r="H1627" s="124"/>
      <c r="I1627" s="124"/>
      <c r="J1627" s="124"/>
      <c r="K1627" s="124"/>
      <c r="L1627" s="124"/>
      <c r="M1627" s="124"/>
      <c r="N1627" s="124"/>
      <c r="O1627" s="124"/>
      <c r="P1627" s="124"/>
      <c r="Q1627" s="124"/>
      <c r="R1627" s="124"/>
      <c r="S1627" s="124"/>
      <c r="T1627" s="124"/>
      <c r="U1627" s="124"/>
      <c r="V1627" s="124"/>
      <c r="W1627" s="124"/>
      <c r="X1627" s="124"/>
      <c r="Y1627" s="124"/>
    </row>
    <row r="1628" spans="2:25" x14ac:dyDescent="0.25">
      <c r="B1628" s="124"/>
      <c r="C1628" s="124"/>
      <c r="D1628" s="124"/>
      <c r="E1628" s="124"/>
      <c r="F1628" s="124"/>
      <c r="G1628" s="124"/>
      <c r="H1628" s="124"/>
      <c r="I1628" s="124"/>
      <c r="J1628" s="124"/>
      <c r="K1628" s="124"/>
      <c r="L1628" s="124"/>
      <c r="M1628" s="124"/>
      <c r="N1628" s="124"/>
      <c r="O1628" s="124"/>
      <c r="P1628" s="124"/>
      <c r="Q1628" s="124"/>
      <c r="R1628" s="124"/>
      <c r="S1628" s="124"/>
      <c r="T1628" s="124"/>
      <c r="U1628" s="124"/>
      <c r="V1628" s="124"/>
      <c r="W1628" s="124"/>
      <c r="X1628" s="124"/>
      <c r="Y1628" s="124"/>
    </row>
    <row r="1629" spans="2:25" x14ac:dyDescent="0.25">
      <c r="B1629" s="124"/>
      <c r="C1629" s="124"/>
      <c r="D1629" s="124"/>
      <c r="E1629" s="124"/>
      <c r="F1629" s="124"/>
      <c r="G1629" s="124"/>
      <c r="H1629" s="124"/>
      <c r="I1629" s="124"/>
      <c r="J1629" s="124"/>
      <c r="K1629" s="124"/>
      <c r="L1629" s="124"/>
      <c r="M1629" s="124"/>
      <c r="N1629" s="124"/>
      <c r="O1629" s="124"/>
      <c r="P1629" s="124"/>
      <c r="Q1629" s="124"/>
      <c r="R1629" s="124"/>
      <c r="S1629" s="124"/>
      <c r="T1629" s="124"/>
      <c r="U1629" s="124"/>
      <c r="V1629" s="124"/>
      <c r="W1629" s="124"/>
      <c r="X1629" s="124"/>
      <c r="Y1629" s="124"/>
    </row>
    <row r="1630" spans="2:25" x14ac:dyDescent="0.25">
      <c r="B1630" s="124"/>
      <c r="C1630" s="124"/>
      <c r="D1630" s="124"/>
      <c r="E1630" s="124"/>
      <c r="F1630" s="124"/>
      <c r="G1630" s="124"/>
      <c r="H1630" s="124"/>
      <c r="I1630" s="124"/>
      <c r="J1630" s="124"/>
      <c r="K1630" s="124"/>
      <c r="L1630" s="124"/>
      <c r="M1630" s="124"/>
      <c r="N1630" s="124"/>
      <c r="O1630" s="124"/>
      <c r="P1630" s="124"/>
      <c r="Q1630" s="124"/>
      <c r="R1630" s="124"/>
      <c r="S1630" s="124"/>
      <c r="T1630" s="124"/>
      <c r="U1630" s="124"/>
      <c r="V1630" s="124"/>
      <c r="W1630" s="124"/>
      <c r="X1630" s="124"/>
      <c r="Y1630" s="124"/>
    </row>
    <row r="1631" spans="2:25" x14ac:dyDescent="0.25">
      <c r="B1631" s="124"/>
      <c r="C1631" s="124"/>
      <c r="D1631" s="124"/>
      <c r="E1631" s="124"/>
      <c r="F1631" s="124"/>
      <c r="G1631" s="124"/>
      <c r="H1631" s="124"/>
      <c r="I1631" s="124"/>
      <c r="J1631" s="124"/>
      <c r="K1631" s="124"/>
      <c r="L1631" s="124"/>
      <c r="M1631" s="124"/>
      <c r="N1631" s="124"/>
      <c r="O1631" s="124"/>
      <c r="P1631" s="124"/>
      <c r="Q1631" s="124"/>
      <c r="R1631" s="124"/>
      <c r="S1631" s="124"/>
      <c r="T1631" s="124"/>
      <c r="U1631" s="124"/>
      <c r="V1631" s="124"/>
      <c r="W1631" s="124"/>
      <c r="X1631" s="124"/>
      <c r="Y1631" s="124"/>
    </row>
    <row r="1632" spans="2:25" x14ac:dyDescent="0.25">
      <c r="B1632" s="124"/>
      <c r="C1632" s="124"/>
      <c r="D1632" s="124"/>
      <c r="E1632" s="124"/>
      <c r="F1632" s="124"/>
      <c r="G1632" s="124"/>
      <c r="H1632" s="124"/>
      <c r="I1632" s="124"/>
      <c r="J1632" s="124"/>
      <c r="K1632" s="124"/>
      <c r="L1632" s="124"/>
      <c r="M1632" s="124"/>
      <c r="N1632" s="124"/>
      <c r="O1632" s="124"/>
      <c r="P1632" s="124"/>
      <c r="Q1632" s="124"/>
      <c r="R1632" s="124"/>
      <c r="S1632" s="124"/>
      <c r="T1632" s="124"/>
      <c r="U1632" s="124"/>
      <c r="V1632" s="124"/>
      <c r="W1632" s="124"/>
      <c r="X1632" s="124"/>
      <c r="Y1632" s="124"/>
    </row>
    <row r="1633" spans="2:25" x14ac:dyDescent="0.25">
      <c r="B1633" s="124"/>
      <c r="C1633" s="124"/>
      <c r="D1633" s="124"/>
      <c r="E1633" s="124"/>
      <c r="F1633" s="124"/>
      <c r="G1633" s="124"/>
      <c r="H1633" s="124"/>
      <c r="I1633" s="124"/>
      <c r="J1633" s="124"/>
      <c r="K1633" s="124"/>
      <c r="L1633" s="124"/>
      <c r="M1633" s="124"/>
      <c r="N1633" s="124"/>
      <c r="O1633" s="124"/>
      <c r="P1633" s="124"/>
      <c r="Q1633" s="124"/>
      <c r="R1633" s="124"/>
      <c r="S1633" s="124"/>
      <c r="T1633" s="124"/>
      <c r="U1633" s="124"/>
      <c r="V1633" s="124"/>
      <c r="W1633" s="124"/>
      <c r="X1633" s="124"/>
      <c r="Y1633" s="124"/>
    </row>
    <row r="1634" spans="2:25" x14ac:dyDescent="0.25">
      <c r="B1634" s="124"/>
      <c r="C1634" s="124"/>
      <c r="D1634" s="124"/>
      <c r="E1634" s="124"/>
      <c r="F1634" s="124"/>
      <c r="G1634" s="124"/>
      <c r="H1634" s="124"/>
      <c r="I1634" s="124"/>
      <c r="J1634" s="124"/>
      <c r="K1634" s="124"/>
      <c r="L1634" s="124"/>
      <c r="M1634" s="124"/>
      <c r="N1634" s="124"/>
      <c r="O1634" s="124"/>
      <c r="P1634" s="124"/>
      <c r="Q1634" s="124"/>
      <c r="R1634" s="124"/>
      <c r="S1634" s="124"/>
      <c r="T1634" s="124"/>
      <c r="U1634" s="124"/>
      <c r="V1634" s="124"/>
      <c r="W1634" s="124"/>
      <c r="X1634" s="124"/>
      <c r="Y1634" s="124"/>
    </row>
    <row r="1635" spans="2:25" x14ac:dyDescent="0.25">
      <c r="B1635" s="124"/>
      <c r="C1635" s="124"/>
      <c r="D1635" s="124"/>
      <c r="E1635" s="124"/>
      <c r="F1635" s="124"/>
      <c r="G1635" s="124"/>
      <c r="H1635" s="124"/>
      <c r="I1635" s="124"/>
      <c r="J1635" s="124"/>
      <c r="K1635" s="124"/>
      <c r="L1635" s="124"/>
      <c r="M1635" s="124"/>
      <c r="N1635" s="124"/>
      <c r="O1635" s="124"/>
      <c r="P1635" s="124"/>
      <c r="Q1635" s="124"/>
      <c r="R1635" s="124"/>
      <c r="S1635" s="124"/>
      <c r="T1635" s="124"/>
      <c r="U1635" s="124"/>
      <c r="V1635" s="124"/>
      <c r="W1635" s="124"/>
      <c r="X1635" s="124"/>
      <c r="Y1635" s="124"/>
    </row>
    <row r="1636" spans="2:25" x14ac:dyDescent="0.25">
      <c r="B1636" s="124"/>
      <c r="C1636" s="124"/>
      <c r="D1636" s="124"/>
      <c r="E1636" s="124"/>
      <c r="F1636" s="124"/>
      <c r="G1636" s="124"/>
      <c r="H1636" s="124"/>
      <c r="I1636" s="124"/>
      <c r="J1636" s="124"/>
      <c r="K1636" s="124"/>
      <c r="L1636" s="124"/>
      <c r="M1636" s="124"/>
      <c r="N1636" s="124"/>
      <c r="O1636" s="124"/>
      <c r="P1636" s="124"/>
      <c r="Q1636" s="124"/>
      <c r="R1636" s="124"/>
      <c r="S1636" s="124"/>
      <c r="T1636" s="124"/>
      <c r="U1636" s="124"/>
      <c r="V1636" s="124"/>
      <c r="W1636" s="124"/>
      <c r="X1636" s="124"/>
      <c r="Y1636" s="124"/>
    </row>
    <row r="1637" spans="2:25" x14ac:dyDescent="0.25">
      <c r="B1637" s="124"/>
      <c r="C1637" s="124"/>
      <c r="D1637" s="124"/>
      <c r="E1637" s="124"/>
      <c r="F1637" s="124"/>
      <c r="G1637" s="124"/>
      <c r="H1637" s="124"/>
      <c r="I1637" s="124"/>
      <c r="J1637" s="124"/>
      <c r="K1637" s="124"/>
      <c r="L1637" s="124"/>
      <c r="M1637" s="124"/>
      <c r="N1637" s="124"/>
      <c r="O1637" s="124"/>
      <c r="P1637" s="124"/>
      <c r="Q1637" s="124"/>
      <c r="R1637" s="124"/>
      <c r="S1637" s="124"/>
      <c r="T1637" s="124"/>
      <c r="U1637" s="124"/>
      <c r="V1637" s="124"/>
      <c r="W1637" s="124"/>
      <c r="X1637" s="124"/>
      <c r="Y1637" s="124"/>
    </row>
    <row r="1638" spans="2:25" x14ac:dyDescent="0.25">
      <c r="B1638" s="124"/>
      <c r="C1638" s="124"/>
      <c r="D1638" s="124"/>
      <c r="E1638" s="124"/>
      <c r="F1638" s="124"/>
      <c r="G1638" s="124"/>
      <c r="H1638" s="124"/>
      <c r="I1638" s="124"/>
      <c r="J1638" s="124"/>
      <c r="K1638" s="124"/>
      <c r="L1638" s="124"/>
      <c r="M1638" s="124"/>
      <c r="N1638" s="124"/>
      <c r="O1638" s="124"/>
      <c r="P1638" s="124"/>
      <c r="Q1638" s="124"/>
      <c r="R1638" s="124"/>
      <c r="S1638" s="124"/>
      <c r="T1638" s="124"/>
      <c r="U1638" s="124"/>
      <c r="V1638" s="124"/>
      <c r="W1638" s="124"/>
      <c r="X1638" s="124"/>
      <c r="Y1638" s="124"/>
    </row>
    <row r="1639" spans="2:25" x14ac:dyDescent="0.25">
      <c r="B1639" s="124"/>
      <c r="C1639" s="124"/>
      <c r="D1639" s="124"/>
      <c r="E1639" s="124"/>
      <c r="F1639" s="124"/>
      <c r="G1639" s="124"/>
      <c r="H1639" s="124"/>
      <c r="I1639" s="124"/>
      <c r="J1639" s="124"/>
      <c r="K1639" s="124"/>
      <c r="L1639" s="124"/>
      <c r="M1639" s="124"/>
      <c r="N1639" s="124"/>
      <c r="O1639" s="124"/>
      <c r="P1639" s="124"/>
      <c r="Q1639" s="124"/>
      <c r="R1639" s="124"/>
      <c r="S1639" s="124"/>
      <c r="T1639" s="124"/>
      <c r="U1639" s="124"/>
      <c r="V1639" s="124"/>
      <c r="W1639" s="124"/>
      <c r="X1639" s="124"/>
      <c r="Y1639" s="124"/>
    </row>
    <row r="1640" spans="2:25" x14ac:dyDescent="0.25">
      <c r="B1640" s="124"/>
      <c r="C1640" s="124"/>
      <c r="D1640" s="124"/>
      <c r="E1640" s="124"/>
      <c r="F1640" s="124"/>
      <c r="G1640" s="124"/>
      <c r="H1640" s="124"/>
      <c r="I1640" s="124"/>
      <c r="J1640" s="124"/>
      <c r="K1640" s="124"/>
      <c r="L1640" s="124"/>
      <c r="M1640" s="124"/>
      <c r="N1640" s="124"/>
      <c r="O1640" s="124"/>
      <c r="P1640" s="124"/>
      <c r="Q1640" s="124"/>
      <c r="R1640" s="124"/>
      <c r="S1640" s="124"/>
      <c r="T1640" s="124"/>
      <c r="U1640" s="124"/>
      <c r="V1640" s="124"/>
      <c r="W1640" s="124"/>
      <c r="X1640" s="124"/>
      <c r="Y1640" s="124"/>
    </row>
    <row r="1641" spans="2:25" x14ac:dyDescent="0.25">
      <c r="B1641" s="124"/>
      <c r="C1641" s="124"/>
      <c r="D1641" s="124"/>
      <c r="E1641" s="124"/>
      <c r="F1641" s="124"/>
      <c r="G1641" s="124"/>
      <c r="H1641" s="124"/>
      <c r="I1641" s="124"/>
      <c r="J1641" s="124"/>
      <c r="K1641" s="124"/>
      <c r="L1641" s="124"/>
      <c r="M1641" s="124"/>
      <c r="N1641" s="124"/>
      <c r="O1641" s="124"/>
      <c r="P1641" s="124"/>
      <c r="Q1641" s="124"/>
      <c r="R1641" s="124"/>
      <c r="S1641" s="124"/>
      <c r="T1641" s="124"/>
      <c r="U1641" s="124"/>
      <c r="V1641" s="124"/>
      <c r="W1641" s="124"/>
      <c r="X1641" s="124"/>
      <c r="Y1641" s="124"/>
    </row>
    <row r="1642" spans="2:25" x14ac:dyDescent="0.25">
      <c r="B1642" s="124"/>
      <c r="C1642" s="124"/>
      <c r="D1642" s="124"/>
      <c r="E1642" s="124"/>
      <c r="F1642" s="124"/>
      <c r="G1642" s="124"/>
      <c r="H1642" s="124"/>
      <c r="I1642" s="124"/>
      <c r="J1642" s="124"/>
      <c r="K1642" s="124"/>
      <c r="L1642" s="124"/>
      <c r="M1642" s="124"/>
      <c r="N1642" s="124"/>
      <c r="O1642" s="124"/>
      <c r="P1642" s="124"/>
      <c r="Q1642" s="124"/>
      <c r="R1642" s="124"/>
      <c r="S1642" s="124"/>
      <c r="T1642" s="124"/>
      <c r="U1642" s="124"/>
      <c r="V1642" s="124"/>
      <c r="W1642" s="124"/>
      <c r="X1642" s="124"/>
      <c r="Y1642" s="124"/>
    </row>
    <row r="1643" spans="2:25" x14ac:dyDescent="0.25">
      <c r="B1643" s="124"/>
      <c r="C1643" s="124"/>
      <c r="D1643" s="124"/>
      <c r="E1643" s="124"/>
      <c r="F1643" s="124"/>
      <c r="G1643" s="124"/>
      <c r="H1643" s="124"/>
      <c r="I1643" s="124"/>
      <c r="J1643" s="124"/>
      <c r="K1643" s="124"/>
      <c r="L1643" s="124"/>
      <c r="M1643" s="124"/>
      <c r="N1643" s="124"/>
      <c r="O1643" s="124"/>
      <c r="P1643" s="124"/>
      <c r="Q1643" s="124"/>
      <c r="R1643" s="124"/>
      <c r="S1643" s="124"/>
      <c r="T1643" s="124"/>
      <c r="U1643" s="124"/>
      <c r="V1643" s="124"/>
      <c r="W1643" s="124"/>
      <c r="X1643" s="124"/>
      <c r="Y1643" s="124"/>
    </row>
    <row r="1644" spans="2:25" x14ac:dyDescent="0.25">
      <c r="B1644" s="124"/>
      <c r="C1644" s="124"/>
      <c r="D1644" s="124"/>
      <c r="E1644" s="124"/>
      <c r="F1644" s="124"/>
      <c r="G1644" s="124"/>
      <c r="H1644" s="124"/>
      <c r="I1644" s="124"/>
      <c r="J1644" s="124"/>
      <c r="K1644" s="124"/>
      <c r="L1644" s="124"/>
      <c r="M1644" s="124"/>
      <c r="N1644" s="124"/>
      <c r="O1644" s="124"/>
      <c r="P1644" s="124"/>
      <c r="Q1644" s="124"/>
      <c r="R1644" s="124"/>
      <c r="S1644" s="124"/>
      <c r="T1644" s="124"/>
      <c r="U1644" s="124"/>
      <c r="V1644" s="124"/>
      <c r="W1644" s="124"/>
      <c r="X1644" s="124"/>
      <c r="Y1644" s="124"/>
    </row>
    <row r="1645" spans="2:25" x14ac:dyDescent="0.25">
      <c r="B1645" s="124"/>
      <c r="C1645" s="124"/>
      <c r="D1645" s="124"/>
      <c r="E1645" s="124"/>
      <c r="F1645" s="124"/>
      <c r="G1645" s="124"/>
      <c r="H1645" s="124"/>
      <c r="I1645" s="124"/>
      <c r="J1645" s="124"/>
      <c r="K1645" s="124"/>
      <c r="L1645" s="124"/>
      <c r="M1645" s="124"/>
      <c r="N1645" s="124"/>
      <c r="O1645" s="124"/>
      <c r="P1645" s="124"/>
      <c r="Q1645" s="124"/>
      <c r="R1645" s="124"/>
      <c r="S1645" s="124"/>
      <c r="T1645" s="124"/>
      <c r="U1645" s="124"/>
      <c r="V1645" s="124"/>
      <c r="W1645" s="124"/>
      <c r="X1645" s="124"/>
      <c r="Y1645" s="124"/>
    </row>
    <row r="1646" spans="2:25" x14ac:dyDescent="0.25">
      <c r="B1646" s="124"/>
      <c r="C1646" s="124"/>
      <c r="D1646" s="124"/>
      <c r="E1646" s="124"/>
      <c r="F1646" s="124"/>
      <c r="G1646" s="124"/>
      <c r="H1646" s="124"/>
      <c r="I1646" s="124"/>
      <c r="J1646" s="124"/>
      <c r="K1646" s="124"/>
      <c r="L1646" s="124"/>
      <c r="M1646" s="124"/>
      <c r="N1646" s="124"/>
      <c r="O1646" s="124"/>
      <c r="P1646" s="124"/>
      <c r="Q1646" s="124"/>
      <c r="R1646" s="124"/>
      <c r="S1646" s="124"/>
      <c r="T1646" s="124"/>
      <c r="U1646" s="124"/>
      <c r="V1646" s="124"/>
      <c r="W1646" s="124"/>
      <c r="X1646" s="124"/>
      <c r="Y1646" s="124"/>
    </row>
    <row r="1647" spans="2:25" x14ac:dyDescent="0.25">
      <c r="B1647" s="124"/>
      <c r="C1647" s="124"/>
      <c r="D1647" s="124"/>
      <c r="E1647" s="124"/>
      <c r="F1647" s="124"/>
      <c r="G1647" s="124"/>
      <c r="H1647" s="124"/>
      <c r="I1647" s="124"/>
      <c r="J1647" s="124"/>
      <c r="K1647" s="124"/>
      <c r="L1647" s="124"/>
      <c r="M1647" s="124"/>
      <c r="N1647" s="124"/>
      <c r="O1647" s="124"/>
      <c r="P1647" s="124"/>
      <c r="Q1647" s="124"/>
      <c r="R1647" s="124"/>
      <c r="S1647" s="124"/>
      <c r="T1647" s="124"/>
      <c r="U1647" s="124"/>
      <c r="V1647" s="124"/>
      <c r="W1647" s="124"/>
      <c r="X1647" s="124"/>
      <c r="Y1647" s="124"/>
    </row>
    <row r="1648" spans="2:25" x14ac:dyDescent="0.25">
      <c r="B1648" s="124"/>
      <c r="C1648" s="124"/>
      <c r="D1648" s="124"/>
      <c r="E1648" s="124"/>
      <c r="F1648" s="124"/>
      <c r="G1648" s="124"/>
      <c r="H1648" s="124"/>
      <c r="I1648" s="124"/>
      <c r="J1648" s="124"/>
      <c r="K1648" s="124"/>
      <c r="L1648" s="124"/>
      <c r="M1648" s="124"/>
      <c r="N1648" s="124"/>
      <c r="O1648" s="124"/>
      <c r="P1648" s="124"/>
      <c r="Q1648" s="124"/>
      <c r="R1648" s="124"/>
      <c r="S1648" s="124"/>
      <c r="T1648" s="124"/>
      <c r="U1648" s="124"/>
      <c r="V1648" s="124"/>
      <c r="W1648" s="124"/>
      <c r="X1648" s="124"/>
      <c r="Y1648" s="124"/>
    </row>
    <row r="1649" spans="2:25" x14ac:dyDescent="0.25">
      <c r="B1649" s="124"/>
      <c r="C1649" s="124"/>
      <c r="D1649" s="124"/>
      <c r="E1649" s="124"/>
      <c r="F1649" s="124"/>
      <c r="G1649" s="124"/>
      <c r="H1649" s="124"/>
      <c r="I1649" s="124"/>
      <c r="J1649" s="124"/>
      <c r="K1649" s="124"/>
      <c r="L1649" s="124"/>
      <c r="M1649" s="124"/>
      <c r="N1649" s="124"/>
      <c r="O1649" s="124"/>
      <c r="P1649" s="124"/>
      <c r="Q1649" s="124"/>
      <c r="R1649" s="124"/>
      <c r="S1649" s="124"/>
      <c r="T1649" s="124"/>
      <c r="U1649" s="124"/>
      <c r="V1649" s="124"/>
      <c r="W1649" s="124"/>
      <c r="X1649" s="124"/>
      <c r="Y1649" s="124"/>
    </row>
    <row r="1650" spans="2:25" x14ac:dyDescent="0.25">
      <c r="B1650" s="124"/>
      <c r="C1650" s="124"/>
      <c r="D1650" s="124"/>
      <c r="E1650" s="124"/>
      <c r="F1650" s="124"/>
      <c r="G1650" s="124"/>
      <c r="H1650" s="124"/>
      <c r="I1650" s="124"/>
      <c r="J1650" s="124"/>
      <c r="K1650" s="124"/>
      <c r="L1650" s="124"/>
      <c r="M1650" s="124"/>
      <c r="N1650" s="124"/>
      <c r="O1650" s="124"/>
      <c r="P1650" s="124"/>
      <c r="Q1650" s="124"/>
      <c r="R1650" s="124"/>
      <c r="S1650" s="124"/>
      <c r="T1650" s="124"/>
      <c r="U1650" s="124"/>
      <c r="V1650" s="124"/>
      <c r="W1650" s="124"/>
      <c r="X1650" s="124"/>
      <c r="Y1650" s="124"/>
    </row>
    <row r="1651" spans="2:25" x14ac:dyDescent="0.25">
      <c r="B1651" s="124"/>
      <c r="C1651" s="124"/>
      <c r="D1651" s="124"/>
      <c r="E1651" s="124"/>
      <c r="F1651" s="124"/>
      <c r="G1651" s="124"/>
      <c r="H1651" s="124"/>
      <c r="I1651" s="124"/>
      <c r="J1651" s="124"/>
      <c r="K1651" s="124"/>
      <c r="L1651" s="124"/>
      <c r="M1651" s="124"/>
      <c r="N1651" s="124"/>
      <c r="O1651" s="124"/>
      <c r="P1651" s="124"/>
      <c r="Q1651" s="124"/>
      <c r="R1651" s="124"/>
      <c r="S1651" s="124"/>
      <c r="T1651" s="124"/>
      <c r="U1651" s="124"/>
      <c r="V1651" s="124"/>
      <c r="W1651" s="124"/>
      <c r="X1651" s="124"/>
      <c r="Y1651" s="124"/>
    </row>
    <row r="1652" spans="2:25" x14ac:dyDescent="0.25">
      <c r="B1652" s="124"/>
      <c r="C1652" s="124"/>
      <c r="D1652" s="124"/>
      <c r="E1652" s="124"/>
      <c r="F1652" s="124"/>
      <c r="G1652" s="124"/>
      <c r="H1652" s="124"/>
      <c r="I1652" s="124"/>
      <c r="J1652" s="124"/>
      <c r="K1652" s="124"/>
      <c r="L1652" s="124"/>
      <c r="M1652" s="124"/>
      <c r="N1652" s="124"/>
      <c r="O1652" s="124"/>
      <c r="P1652" s="124"/>
      <c r="Q1652" s="124"/>
      <c r="R1652" s="124"/>
      <c r="S1652" s="124"/>
      <c r="T1652" s="124"/>
      <c r="U1652" s="124"/>
      <c r="V1652" s="124"/>
      <c r="W1652" s="124"/>
      <c r="X1652" s="124"/>
      <c r="Y1652" s="124"/>
    </row>
    <row r="1653" spans="2:25" x14ac:dyDescent="0.25">
      <c r="B1653" s="124"/>
      <c r="C1653" s="124"/>
      <c r="D1653" s="124"/>
      <c r="E1653" s="124"/>
      <c r="F1653" s="124"/>
      <c r="G1653" s="124"/>
      <c r="H1653" s="124"/>
      <c r="I1653" s="124"/>
      <c r="J1653" s="124"/>
      <c r="K1653" s="124"/>
      <c r="L1653" s="124"/>
      <c r="M1653" s="124"/>
      <c r="N1653" s="124"/>
      <c r="O1653" s="124"/>
      <c r="P1653" s="124"/>
      <c r="Q1653" s="124"/>
      <c r="R1653" s="124"/>
      <c r="S1653" s="124"/>
      <c r="T1653" s="124"/>
      <c r="U1653" s="124"/>
      <c r="V1653" s="124"/>
      <c r="W1653" s="124"/>
      <c r="X1653" s="124"/>
      <c r="Y1653" s="124"/>
    </row>
    <row r="1654" spans="2:25" x14ac:dyDescent="0.25">
      <c r="B1654" s="124"/>
      <c r="C1654" s="124"/>
      <c r="D1654" s="124"/>
      <c r="E1654" s="124"/>
      <c r="F1654" s="124"/>
      <c r="G1654" s="124"/>
      <c r="H1654" s="124"/>
      <c r="I1654" s="124"/>
      <c r="J1654" s="124"/>
      <c r="K1654" s="124"/>
      <c r="L1654" s="124"/>
      <c r="M1654" s="124"/>
      <c r="N1654" s="124"/>
      <c r="O1654" s="124"/>
      <c r="P1654" s="124"/>
      <c r="Q1654" s="124"/>
      <c r="R1654" s="124"/>
      <c r="S1654" s="124"/>
      <c r="T1654" s="124"/>
      <c r="U1654" s="124"/>
      <c r="V1654" s="124"/>
      <c r="W1654" s="124"/>
      <c r="X1654" s="124"/>
      <c r="Y1654" s="124"/>
    </row>
    <row r="1655" spans="2:25" x14ac:dyDescent="0.25">
      <c r="B1655" s="124"/>
      <c r="C1655" s="124"/>
      <c r="D1655" s="124"/>
      <c r="E1655" s="124"/>
      <c r="F1655" s="124"/>
      <c r="G1655" s="124"/>
      <c r="H1655" s="124"/>
      <c r="I1655" s="124"/>
      <c r="J1655" s="124"/>
      <c r="K1655" s="124"/>
      <c r="L1655" s="124"/>
      <c r="M1655" s="124"/>
      <c r="N1655" s="124"/>
      <c r="O1655" s="124"/>
      <c r="P1655" s="124"/>
      <c r="Q1655" s="124"/>
      <c r="R1655" s="124"/>
      <c r="S1655" s="124"/>
      <c r="T1655" s="124"/>
      <c r="U1655" s="124"/>
      <c r="V1655" s="124"/>
      <c r="W1655" s="124"/>
      <c r="X1655" s="124"/>
      <c r="Y1655" s="124"/>
    </row>
    <row r="1656" spans="2:25" x14ac:dyDescent="0.25">
      <c r="B1656" s="124"/>
      <c r="C1656" s="124"/>
      <c r="D1656" s="124"/>
      <c r="E1656" s="124"/>
      <c r="F1656" s="124"/>
      <c r="G1656" s="124"/>
      <c r="H1656" s="124"/>
      <c r="I1656" s="124"/>
      <c r="J1656" s="124"/>
      <c r="K1656" s="124"/>
      <c r="L1656" s="124"/>
      <c r="M1656" s="124"/>
      <c r="N1656" s="124"/>
      <c r="O1656" s="124"/>
      <c r="P1656" s="124"/>
      <c r="Q1656" s="124"/>
      <c r="R1656" s="124"/>
      <c r="S1656" s="124"/>
      <c r="T1656" s="124"/>
      <c r="U1656" s="124"/>
      <c r="V1656" s="124"/>
      <c r="W1656" s="124"/>
      <c r="X1656" s="124"/>
      <c r="Y1656" s="124"/>
    </row>
    <row r="1657" spans="2:25" x14ac:dyDescent="0.25">
      <c r="B1657" s="124"/>
      <c r="C1657" s="124"/>
      <c r="D1657" s="124"/>
      <c r="E1657" s="124"/>
      <c r="F1657" s="124"/>
      <c r="G1657" s="124"/>
      <c r="H1657" s="124"/>
      <c r="I1657" s="124"/>
      <c r="J1657" s="124"/>
      <c r="K1657" s="124"/>
      <c r="L1657" s="124"/>
      <c r="M1657" s="124"/>
      <c r="N1657" s="124"/>
      <c r="O1657" s="124"/>
      <c r="P1657" s="124"/>
      <c r="Q1657" s="124"/>
      <c r="R1657" s="124"/>
      <c r="S1657" s="124"/>
      <c r="T1657" s="124"/>
      <c r="U1657" s="124"/>
      <c r="V1657" s="124"/>
      <c r="W1657" s="124"/>
      <c r="X1657" s="124"/>
      <c r="Y1657" s="124"/>
    </row>
    <row r="1658" spans="2:25" x14ac:dyDescent="0.25">
      <c r="B1658" s="124"/>
      <c r="C1658" s="124"/>
      <c r="D1658" s="124"/>
      <c r="E1658" s="124"/>
      <c r="F1658" s="124"/>
      <c r="G1658" s="124"/>
      <c r="H1658" s="124"/>
      <c r="I1658" s="124"/>
      <c r="J1658" s="124"/>
      <c r="K1658" s="124"/>
      <c r="L1658" s="124"/>
      <c r="M1658" s="124"/>
      <c r="N1658" s="124"/>
      <c r="O1658" s="124"/>
      <c r="P1658" s="124"/>
      <c r="Q1658" s="124"/>
      <c r="R1658" s="124"/>
      <c r="S1658" s="124"/>
      <c r="T1658" s="124"/>
      <c r="U1658" s="124"/>
      <c r="V1658" s="124"/>
      <c r="W1658" s="124"/>
      <c r="X1658" s="124"/>
      <c r="Y1658" s="124"/>
    </row>
    <row r="1659" spans="2:25" x14ac:dyDescent="0.25">
      <c r="B1659" s="124"/>
      <c r="C1659" s="124"/>
      <c r="D1659" s="124"/>
      <c r="E1659" s="124"/>
      <c r="F1659" s="124"/>
      <c r="G1659" s="124"/>
      <c r="H1659" s="124"/>
      <c r="I1659" s="124"/>
      <c r="J1659" s="124"/>
      <c r="K1659" s="124"/>
      <c r="L1659" s="124"/>
      <c r="M1659" s="124"/>
      <c r="N1659" s="124"/>
      <c r="O1659" s="124"/>
      <c r="P1659" s="124"/>
      <c r="Q1659" s="124"/>
      <c r="R1659" s="124"/>
      <c r="S1659" s="124"/>
      <c r="T1659" s="124"/>
      <c r="U1659" s="124"/>
      <c r="V1659" s="124"/>
      <c r="W1659" s="124"/>
      <c r="X1659" s="124"/>
      <c r="Y1659" s="124"/>
    </row>
    <row r="1660" spans="2:25" x14ac:dyDescent="0.25">
      <c r="B1660" s="124"/>
      <c r="C1660" s="124"/>
      <c r="D1660" s="124"/>
      <c r="E1660" s="124"/>
      <c r="F1660" s="124"/>
      <c r="G1660" s="124"/>
      <c r="H1660" s="124"/>
      <c r="I1660" s="124"/>
      <c r="J1660" s="124"/>
      <c r="K1660" s="124"/>
      <c r="L1660" s="124"/>
      <c r="M1660" s="124"/>
      <c r="N1660" s="124"/>
      <c r="O1660" s="124"/>
      <c r="P1660" s="124"/>
      <c r="Q1660" s="124"/>
      <c r="R1660" s="124"/>
      <c r="S1660" s="124"/>
      <c r="T1660" s="124"/>
      <c r="U1660" s="124"/>
      <c r="V1660" s="124"/>
      <c r="W1660" s="124"/>
      <c r="X1660" s="124"/>
      <c r="Y1660" s="124"/>
    </row>
    <row r="1661" spans="2:25" x14ac:dyDescent="0.25">
      <c r="B1661" s="124"/>
      <c r="C1661" s="124"/>
      <c r="D1661" s="124"/>
      <c r="E1661" s="124"/>
      <c r="F1661" s="124"/>
      <c r="G1661" s="124"/>
      <c r="H1661" s="124"/>
      <c r="I1661" s="124"/>
      <c r="J1661" s="124"/>
      <c r="K1661" s="124"/>
      <c r="L1661" s="124"/>
      <c r="M1661" s="124"/>
      <c r="N1661" s="124"/>
      <c r="O1661" s="124"/>
      <c r="P1661" s="124"/>
      <c r="Q1661" s="124"/>
      <c r="R1661" s="124"/>
      <c r="S1661" s="124"/>
      <c r="T1661" s="124"/>
      <c r="U1661" s="124"/>
      <c r="V1661" s="124"/>
      <c r="W1661" s="124"/>
      <c r="X1661" s="124"/>
      <c r="Y1661" s="124"/>
    </row>
    <row r="1662" spans="2:25" x14ac:dyDescent="0.25">
      <c r="B1662" s="124"/>
      <c r="C1662" s="124"/>
      <c r="D1662" s="124"/>
      <c r="E1662" s="124"/>
      <c r="F1662" s="124"/>
      <c r="G1662" s="124"/>
      <c r="H1662" s="124"/>
      <c r="I1662" s="124"/>
      <c r="J1662" s="124"/>
      <c r="K1662" s="124"/>
      <c r="L1662" s="124"/>
      <c r="M1662" s="124"/>
      <c r="N1662" s="124"/>
      <c r="O1662" s="124"/>
      <c r="P1662" s="124"/>
      <c r="Q1662" s="124"/>
      <c r="R1662" s="124"/>
      <c r="S1662" s="124"/>
      <c r="T1662" s="124"/>
      <c r="U1662" s="124"/>
      <c r="V1662" s="124"/>
      <c r="W1662" s="124"/>
      <c r="X1662" s="124"/>
      <c r="Y1662" s="124"/>
    </row>
    <row r="1663" spans="2:25" x14ac:dyDescent="0.25">
      <c r="B1663" s="124"/>
      <c r="C1663" s="124"/>
      <c r="D1663" s="124"/>
      <c r="E1663" s="124"/>
      <c r="F1663" s="124"/>
      <c r="G1663" s="124"/>
      <c r="H1663" s="124"/>
      <c r="I1663" s="124"/>
      <c r="J1663" s="124"/>
      <c r="K1663" s="124"/>
      <c r="L1663" s="124"/>
      <c r="M1663" s="124"/>
      <c r="N1663" s="124"/>
      <c r="O1663" s="124"/>
      <c r="P1663" s="124"/>
      <c r="Q1663" s="124"/>
      <c r="R1663" s="124"/>
      <c r="S1663" s="124"/>
      <c r="T1663" s="124"/>
      <c r="U1663" s="124"/>
      <c r="V1663" s="124"/>
      <c r="W1663" s="124"/>
      <c r="X1663" s="124"/>
      <c r="Y1663" s="124"/>
    </row>
    <row r="1664" spans="2:25" x14ac:dyDescent="0.25">
      <c r="B1664" s="124"/>
      <c r="C1664" s="124"/>
      <c r="D1664" s="124"/>
      <c r="E1664" s="124"/>
      <c r="F1664" s="124"/>
      <c r="G1664" s="124"/>
      <c r="H1664" s="124"/>
      <c r="I1664" s="124"/>
      <c r="J1664" s="124"/>
      <c r="K1664" s="124"/>
      <c r="L1664" s="124"/>
      <c r="M1664" s="124"/>
      <c r="N1664" s="124"/>
      <c r="O1664" s="124"/>
      <c r="P1664" s="124"/>
      <c r="Q1664" s="124"/>
      <c r="R1664" s="124"/>
      <c r="S1664" s="124"/>
      <c r="T1664" s="124"/>
      <c r="U1664" s="124"/>
      <c r="V1664" s="124"/>
      <c r="W1664" s="124"/>
      <c r="X1664" s="124"/>
      <c r="Y1664" s="124"/>
    </row>
    <row r="1665" spans="2:25" x14ac:dyDescent="0.25">
      <c r="B1665" s="124"/>
      <c r="C1665" s="124"/>
      <c r="D1665" s="124"/>
      <c r="E1665" s="124"/>
      <c r="F1665" s="124"/>
      <c r="G1665" s="124"/>
      <c r="H1665" s="124"/>
      <c r="I1665" s="124"/>
      <c r="J1665" s="124"/>
      <c r="K1665" s="124"/>
      <c r="L1665" s="124"/>
      <c r="M1665" s="124"/>
      <c r="N1665" s="124"/>
      <c r="O1665" s="124"/>
      <c r="P1665" s="124"/>
      <c r="Q1665" s="124"/>
      <c r="R1665" s="124"/>
      <c r="S1665" s="124"/>
      <c r="T1665" s="124"/>
      <c r="U1665" s="124"/>
      <c r="V1665" s="124"/>
      <c r="W1665" s="124"/>
      <c r="X1665" s="124"/>
      <c r="Y1665" s="124"/>
    </row>
    <row r="1666" spans="2:25" x14ac:dyDescent="0.25">
      <c r="B1666" s="124"/>
      <c r="C1666" s="124"/>
      <c r="D1666" s="124"/>
      <c r="E1666" s="124"/>
      <c r="F1666" s="124"/>
      <c r="G1666" s="124"/>
      <c r="H1666" s="124"/>
      <c r="I1666" s="124"/>
      <c r="J1666" s="124"/>
      <c r="K1666" s="124"/>
      <c r="L1666" s="124"/>
      <c r="M1666" s="124"/>
      <c r="N1666" s="124"/>
      <c r="O1666" s="124"/>
      <c r="P1666" s="124"/>
      <c r="Q1666" s="124"/>
      <c r="R1666" s="124"/>
      <c r="S1666" s="124"/>
      <c r="T1666" s="124"/>
      <c r="U1666" s="124"/>
      <c r="V1666" s="124"/>
      <c r="W1666" s="124"/>
      <c r="X1666" s="124"/>
      <c r="Y1666" s="124"/>
    </row>
    <row r="1667" spans="2:25" x14ac:dyDescent="0.25">
      <c r="B1667" s="124"/>
      <c r="C1667" s="124"/>
      <c r="D1667" s="124"/>
      <c r="E1667" s="124"/>
      <c r="F1667" s="124"/>
      <c r="G1667" s="124"/>
      <c r="H1667" s="124"/>
      <c r="I1667" s="124"/>
      <c r="J1667" s="124"/>
      <c r="K1667" s="124"/>
      <c r="L1667" s="124"/>
      <c r="M1667" s="124"/>
      <c r="N1667" s="124"/>
      <c r="O1667" s="124"/>
      <c r="P1667" s="124"/>
      <c r="Q1667" s="124"/>
      <c r="R1667" s="124"/>
      <c r="S1667" s="124"/>
      <c r="T1667" s="124"/>
      <c r="U1667" s="124"/>
      <c r="V1667" s="124"/>
      <c r="W1667" s="124"/>
      <c r="X1667" s="124"/>
      <c r="Y1667" s="124"/>
    </row>
    <row r="1668" spans="2:25" x14ac:dyDescent="0.25">
      <c r="B1668" s="124"/>
      <c r="C1668" s="124"/>
      <c r="D1668" s="124"/>
      <c r="E1668" s="124"/>
      <c r="F1668" s="124"/>
      <c r="G1668" s="124"/>
      <c r="H1668" s="124"/>
      <c r="I1668" s="124"/>
      <c r="J1668" s="124"/>
      <c r="K1668" s="124"/>
      <c r="L1668" s="124"/>
      <c r="M1668" s="124"/>
      <c r="N1668" s="124"/>
      <c r="O1668" s="124"/>
      <c r="P1668" s="124"/>
      <c r="Q1668" s="124"/>
      <c r="R1668" s="124"/>
      <c r="S1668" s="124"/>
      <c r="T1668" s="124"/>
      <c r="U1668" s="124"/>
      <c r="V1668" s="124"/>
      <c r="W1668" s="124"/>
      <c r="X1668" s="124"/>
      <c r="Y1668" s="124"/>
    </row>
    <row r="1669" spans="2:25" x14ac:dyDescent="0.25">
      <c r="B1669" s="124"/>
      <c r="C1669" s="124"/>
      <c r="D1669" s="124"/>
      <c r="E1669" s="124"/>
      <c r="F1669" s="124"/>
      <c r="G1669" s="124"/>
      <c r="H1669" s="124"/>
      <c r="I1669" s="124"/>
      <c r="J1669" s="124"/>
      <c r="K1669" s="124"/>
      <c r="L1669" s="124"/>
      <c r="M1669" s="124"/>
      <c r="N1669" s="124"/>
      <c r="O1669" s="124"/>
      <c r="P1669" s="124"/>
      <c r="Q1669" s="124"/>
      <c r="R1669" s="124"/>
      <c r="S1669" s="124"/>
      <c r="T1669" s="124"/>
      <c r="U1669" s="124"/>
      <c r="V1669" s="124"/>
      <c r="W1669" s="124"/>
      <c r="X1669" s="124"/>
      <c r="Y1669" s="124"/>
    </row>
    <row r="1670" spans="2:25" x14ac:dyDescent="0.25">
      <c r="B1670" s="124"/>
      <c r="C1670" s="124"/>
      <c r="D1670" s="124"/>
      <c r="E1670" s="124"/>
      <c r="F1670" s="124"/>
      <c r="G1670" s="124"/>
      <c r="H1670" s="124"/>
      <c r="I1670" s="124"/>
      <c r="J1670" s="124"/>
      <c r="K1670" s="124"/>
      <c r="L1670" s="124"/>
      <c r="M1670" s="124"/>
      <c r="N1670" s="124"/>
      <c r="O1670" s="124"/>
      <c r="P1670" s="124"/>
      <c r="Q1670" s="124"/>
      <c r="R1670" s="124"/>
      <c r="S1670" s="124"/>
      <c r="T1670" s="124"/>
      <c r="U1670" s="124"/>
      <c r="V1670" s="124"/>
      <c r="W1670" s="124"/>
      <c r="X1670" s="124"/>
      <c r="Y1670" s="124"/>
    </row>
    <row r="1671" spans="2:25" x14ac:dyDescent="0.25">
      <c r="B1671" s="124"/>
      <c r="C1671" s="124"/>
      <c r="D1671" s="124"/>
      <c r="E1671" s="124"/>
      <c r="F1671" s="124"/>
      <c r="G1671" s="124"/>
      <c r="H1671" s="124"/>
      <c r="I1671" s="124"/>
      <c r="J1671" s="124"/>
      <c r="K1671" s="124"/>
      <c r="L1671" s="124"/>
      <c r="M1671" s="124"/>
      <c r="N1671" s="124"/>
      <c r="O1671" s="124"/>
      <c r="P1671" s="124"/>
      <c r="Q1671" s="124"/>
      <c r="R1671" s="124"/>
      <c r="S1671" s="124"/>
      <c r="T1671" s="124"/>
      <c r="U1671" s="124"/>
      <c r="V1671" s="124"/>
      <c r="W1671" s="124"/>
      <c r="X1671" s="124"/>
      <c r="Y1671" s="124"/>
    </row>
    <row r="1672" spans="2:25" x14ac:dyDescent="0.25">
      <c r="B1672" s="124"/>
      <c r="C1672" s="124"/>
      <c r="D1672" s="124"/>
      <c r="E1672" s="124"/>
      <c r="F1672" s="124"/>
      <c r="G1672" s="124"/>
      <c r="H1672" s="124"/>
      <c r="I1672" s="124"/>
      <c r="J1672" s="124"/>
      <c r="K1672" s="124"/>
      <c r="L1672" s="124"/>
      <c r="M1672" s="124"/>
      <c r="N1672" s="124"/>
      <c r="O1672" s="124"/>
      <c r="P1672" s="124"/>
      <c r="Q1672" s="124"/>
      <c r="R1672" s="124"/>
      <c r="S1672" s="124"/>
      <c r="T1672" s="124"/>
      <c r="U1672" s="124"/>
      <c r="V1672" s="124"/>
      <c r="W1672" s="124"/>
      <c r="X1672" s="124"/>
      <c r="Y1672" s="124"/>
    </row>
    <row r="1673" spans="2:25" x14ac:dyDescent="0.25">
      <c r="B1673" s="124"/>
      <c r="C1673" s="124"/>
      <c r="D1673" s="124"/>
      <c r="E1673" s="124"/>
      <c r="F1673" s="124"/>
      <c r="G1673" s="124"/>
      <c r="H1673" s="124"/>
      <c r="I1673" s="124"/>
      <c r="J1673" s="124"/>
      <c r="K1673" s="124"/>
      <c r="L1673" s="124"/>
      <c r="M1673" s="124"/>
      <c r="N1673" s="124"/>
      <c r="O1673" s="124"/>
      <c r="P1673" s="124"/>
      <c r="Q1673" s="124"/>
      <c r="R1673" s="124"/>
      <c r="S1673" s="124"/>
      <c r="T1673" s="124"/>
      <c r="U1673" s="124"/>
      <c r="V1673" s="124"/>
      <c r="W1673" s="124"/>
      <c r="X1673" s="124"/>
      <c r="Y1673" s="124"/>
    </row>
    <row r="1674" spans="2:25" x14ac:dyDescent="0.25">
      <c r="B1674" s="124"/>
      <c r="C1674" s="124"/>
      <c r="D1674" s="124"/>
      <c r="E1674" s="124"/>
      <c r="F1674" s="124"/>
      <c r="G1674" s="124"/>
      <c r="H1674" s="124"/>
      <c r="I1674" s="124"/>
      <c r="J1674" s="124"/>
      <c r="K1674" s="124"/>
      <c r="L1674" s="124"/>
      <c r="M1674" s="124"/>
      <c r="N1674" s="124"/>
      <c r="O1674" s="124"/>
      <c r="P1674" s="124"/>
      <c r="Q1674" s="124"/>
      <c r="R1674" s="124"/>
      <c r="S1674" s="124"/>
      <c r="T1674" s="124"/>
      <c r="U1674" s="124"/>
      <c r="V1674" s="124"/>
      <c r="W1674" s="124"/>
      <c r="X1674" s="124"/>
      <c r="Y1674" s="124"/>
    </row>
    <row r="1675" spans="2:25" x14ac:dyDescent="0.25">
      <c r="B1675" s="124"/>
      <c r="C1675" s="124"/>
      <c r="D1675" s="124"/>
      <c r="E1675" s="124"/>
      <c r="F1675" s="124"/>
      <c r="G1675" s="124"/>
      <c r="H1675" s="124"/>
      <c r="I1675" s="124"/>
      <c r="J1675" s="124"/>
      <c r="K1675" s="124"/>
      <c r="L1675" s="124"/>
      <c r="M1675" s="124"/>
      <c r="N1675" s="124"/>
      <c r="O1675" s="124"/>
      <c r="P1675" s="124"/>
      <c r="Q1675" s="124"/>
      <c r="R1675" s="124"/>
      <c r="S1675" s="124"/>
      <c r="T1675" s="124"/>
      <c r="U1675" s="124"/>
      <c r="V1675" s="124"/>
      <c r="W1675" s="124"/>
      <c r="X1675" s="124"/>
      <c r="Y1675" s="124"/>
    </row>
    <row r="1676" spans="2:25" x14ac:dyDescent="0.25">
      <c r="B1676" s="124"/>
      <c r="C1676" s="124"/>
      <c r="D1676" s="124"/>
      <c r="E1676" s="124"/>
      <c r="F1676" s="124"/>
      <c r="G1676" s="124"/>
      <c r="H1676" s="124"/>
      <c r="I1676" s="124"/>
      <c r="J1676" s="124"/>
      <c r="K1676" s="124"/>
      <c r="L1676" s="124"/>
      <c r="M1676" s="124"/>
      <c r="N1676" s="124"/>
      <c r="O1676" s="124"/>
      <c r="P1676" s="124"/>
      <c r="Q1676" s="124"/>
      <c r="R1676" s="124"/>
      <c r="S1676" s="124"/>
      <c r="T1676" s="124"/>
      <c r="U1676" s="124"/>
      <c r="V1676" s="124"/>
      <c r="W1676" s="124"/>
      <c r="X1676" s="124"/>
      <c r="Y1676" s="124"/>
    </row>
    <row r="1677" spans="2:25" x14ac:dyDescent="0.25">
      <c r="B1677" s="124"/>
      <c r="C1677" s="124"/>
      <c r="D1677" s="124"/>
      <c r="E1677" s="124"/>
      <c r="F1677" s="124"/>
      <c r="G1677" s="124"/>
      <c r="H1677" s="124"/>
      <c r="I1677" s="124"/>
      <c r="J1677" s="124"/>
      <c r="K1677" s="124"/>
      <c r="L1677" s="124"/>
      <c r="M1677" s="124"/>
      <c r="N1677" s="124"/>
      <c r="O1677" s="124"/>
      <c r="P1677" s="124"/>
      <c r="Q1677" s="124"/>
      <c r="R1677" s="124"/>
      <c r="S1677" s="124"/>
      <c r="T1677" s="124"/>
      <c r="U1677" s="124"/>
      <c r="V1677" s="124"/>
      <c r="W1677" s="124"/>
      <c r="X1677" s="124"/>
      <c r="Y1677" s="124"/>
    </row>
    <row r="1678" spans="2:25" x14ac:dyDescent="0.25">
      <c r="B1678" s="124"/>
      <c r="C1678" s="124"/>
      <c r="D1678" s="124"/>
      <c r="E1678" s="124"/>
      <c r="F1678" s="124"/>
      <c r="G1678" s="124"/>
      <c r="H1678" s="124"/>
      <c r="I1678" s="124"/>
      <c r="J1678" s="124"/>
      <c r="K1678" s="124"/>
      <c r="L1678" s="124"/>
      <c r="M1678" s="124"/>
      <c r="N1678" s="124"/>
      <c r="O1678" s="124"/>
      <c r="P1678" s="124"/>
      <c r="Q1678" s="124"/>
      <c r="R1678" s="124"/>
      <c r="S1678" s="124"/>
      <c r="T1678" s="124"/>
      <c r="U1678" s="124"/>
      <c r="V1678" s="124"/>
      <c r="W1678" s="124"/>
      <c r="X1678" s="124"/>
      <c r="Y1678" s="124"/>
    </row>
    <row r="1679" spans="2:25" x14ac:dyDescent="0.25">
      <c r="B1679" s="124"/>
      <c r="C1679" s="124"/>
      <c r="D1679" s="124"/>
      <c r="E1679" s="124"/>
      <c r="F1679" s="124"/>
      <c r="G1679" s="124"/>
      <c r="H1679" s="124"/>
      <c r="I1679" s="124"/>
      <c r="J1679" s="124"/>
      <c r="K1679" s="124"/>
      <c r="L1679" s="124"/>
      <c r="M1679" s="124"/>
      <c r="N1679" s="124"/>
      <c r="O1679" s="124"/>
      <c r="P1679" s="124"/>
      <c r="Q1679" s="124"/>
      <c r="R1679" s="124"/>
      <c r="S1679" s="124"/>
      <c r="T1679" s="124"/>
      <c r="U1679" s="124"/>
      <c r="V1679" s="124"/>
      <c r="W1679" s="124"/>
      <c r="X1679" s="124"/>
      <c r="Y1679" s="124"/>
    </row>
    <row r="1680" spans="2:25" x14ac:dyDescent="0.25">
      <c r="B1680" s="124"/>
      <c r="C1680" s="124"/>
      <c r="D1680" s="124"/>
      <c r="E1680" s="124"/>
      <c r="F1680" s="124"/>
      <c r="G1680" s="124"/>
      <c r="H1680" s="124"/>
      <c r="I1680" s="124"/>
      <c r="J1680" s="124"/>
      <c r="K1680" s="124"/>
      <c r="L1680" s="124"/>
      <c r="M1680" s="124"/>
      <c r="N1680" s="124"/>
      <c r="O1680" s="124"/>
      <c r="P1680" s="124"/>
      <c r="Q1680" s="124"/>
      <c r="R1680" s="124"/>
      <c r="S1680" s="124"/>
      <c r="T1680" s="124"/>
      <c r="U1680" s="124"/>
      <c r="V1680" s="124"/>
      <c r="W1680" s="124"/>
      <c r="X1680" s="124"/>
      <c r="Y1680" s="124"/>
    </row>
    <row r="1681" spans="2:25" x14ac:dyDescent="0.25">
      <c r="B1681" s="124"/>
      <c r="C1681" s="124"/>
      <c r="D1681" s="124"/>
      <c r="E1681" s="124"/>
      <c r="F1681" s="124"/>
      <c r="G1681" s="124"/>
      <c r="H1681" s="124"/>
      <c r="I1681" s="124"/>
      <c r="J1681" s="124"/>
      <c r="K1681" s="124"/>
      <c r="L1681" s="124"/>
      <c r="M1681" s="124"/>
      <c r="N1681" s="124"/>
      <c r="O1681" s="124"/>
      <c r="P1681" s="124"/>
      <c r="Q1681" s="124"/>
      <c r="R1681" s="124"/>
      <c r="S1681" s="124"/>
      <c r="T1681" s="124"/>
      <c r="U1681" s="124"/>
      <c r="V1681" s="124"/>
      <c r="W1681" s="124"/>
      <c r="X1681" s="124"/>
      <c r="Y1681" s="124"/>
    </row>
    <row r="1682" spans="2:25" x14ac:dyDescent="0.25">
      <c r="B1682" s="124"/>
      <c r="C1682" s="124"/>
      <c r="D1682" s="124"/>
      <c r="E1682" s="124"/>
      <c r="F1682" s="124"/>
      <c r="G1682" s="124"/>
      <c r="H1682" s="124"/>
      <c r="I1682" s="124"/>
      <c r="J1682" s="124"/>
      <c r="K1682" s="124"/>
      <c r="L1682" s="124"/>
      <c r="M1682" s="124"/>
      <c r="N1682" s="124"/>
      <c r="O1682" s="124"/>
      <c r="P1682" s="124"/>
      <c r="Q1682" s="124"/>
      <c r="R1682" s="124"/>
      <c r="S1682" s="124"/>
      <c r="T1682" s="124"/>
      <c r="U1682" s="124"/>
      <c r="V1682" s="124"/>
      <c r="W1682" s="124"/>
      <c r="X1682" s="124"/>
      <c r="Y1682" s="124"/>
    </row>
    <row r="1683" spans="2:25" x14ac:dyDescent="0.25">
      <c r="B1683" s="124"/>
      <c r="C1683" s="124"/>
      <c r="D1683" s="124"/>
      <c r="E1683" s="124"/>
      <c r="F1683" s="124"/>
      <c r="G1683" s="124"/>
      <c r="H1683" s="124"/>
      <c r="I1683" s="124"/>
      <c r="J1683" s="124"/>
      <c r="K1683" s="124"/>
      <c r="L1683" s="124"/>
      <c r="M1683" s="124"/>
      <c r="N1683" s="124"/>
      <c r="O1683" s="124"/>
      <c r="P1683" s="124"/>
      <c r="Q1683" s="124"/>
      <c r="R1683" s="124"/>
      <c r="S1683" s="124"/>
      <c r="T1683" s="124"/>
      <c r="U1683" s="124"/>
      <c r="V1683" s="124"/>
      <c r="W1683" s="124"/>
      <c r="X1683" s="124"/>
      <c r="Y1683" s="124"/>
    </row>
    <row r="1684" spans="2:25" x14ac:dyDescent="0.25">
      <c r="B1684" s="124"/>
      <c r="C1684" s="124"/>
      <c r="D1684" s="124"/>
      <c r="E1684" s="124"/>
      <c r="F1684" s="124"/>
      <c r="G1684" s="124"/>
      <c r="H1684" s="124"/>
      <c r="I1684" s="124"/>
      <c r="J1684" s="124"/>
      <c r="K1684" s="124"/>
      <c r="L1684" s="124"/>
      <c r="M1684" s="124"/>
      <c r="N1684" s="124"/>
      <c r="O1684" s="124"/>
      <c r="P1684" s="124"/>
      <c r="Q1684" s="124"/>
      <c r="R1684" s="124"/>
      <c r="S1684" s="124"/>
      <c r="T1684" s="124"/>
      <c r="U1684" s="124"/>
      <c r="V1684" s="124"/>
      <c r="W1684" s="124"/>
      <c r="X1684" s="124"/>
      <c r="Y1684" s="124"/>
    </row>
    <row r="1685" spans="2:25" x14ac:dyDescent="0.25">
      <c r="B1685" s="124"/>
      <c r="C1685" s="124"/>
      <c r="D1685" s="124"/>
      <c r="E1685" s="124"/>
      <c r="F1685" s="124"/>
      <c r="G1685" s="124"/>
      <c r="H1685" s="124"/>
      <c r="I1685" s="124"/>
      <c r="J1685" s="124"/>
      <c r="K1685" s="124"/>
      <c r="L1685" s="124"/>
      <c r="M1685" s="124"/>
      <c r="N1685" s="124"/>
      <c r="O1685" s="124"/>
      <c r="P1685" s="124"/>
      <c r="Q1685" s="124"/>
      <c r="R1685" s="124"/>
      <c r="S1685" s="124"/>
      <c r="T1685" s="124"/>
      <c r="U1685" s="124"/>
      <c r="V1685" s="124"/>
      <c r="W1685" s="124"/>
      <c r="X1685" s="124"/>
      <c r="Y1685" s="124"/>
    </row>
    <row r="1686" spans="2:25" x14ac:dyDescent="0.25">
      <c r="B1686" s="124"/>
      <c r="C1686" s="124"/>
      <c r="D1686" s="124"/>
      <c r="E1686" s="124"/>
      <c r="F1686" s="124"/>
      <c r="G1686" s="124"/>
      <c r="H1686" s="124"/>
      <c r="I1686" s="124"/>
      <c r="J1686" s="124"/>
      <c r="K1686" s="124"/>
      <c r="L1686" s="124"/>
      <c r="M1686" s="124"/>
      <c r="N1686" s="124"/>
      <c r="O1686" s="124"/>
      <c r="P1686" s="124"/>
      <c r="Q1686" s="124"/>
      <c r="R1686" s="124"/>
      <c r="S1686" s="124"/>
      <c r="T1686" s="124"/>
      <c r="U1686" s="124"/>
      <c r="V1686" s="124"/>
      <c r="W1686" s="124"/>
      <c r="X1686" s="124"/>
      <c r="Y1686" s="124"/>
    </row>
    <row r="1687" spans="2:25" x14ac:dyDescent="0.25">
      <c r="B1687" s="124"/>
      <c r="C1687" s="124"/>
      <c r="D1687" s="124"/>
      <c r="E1687" s="124"/>
      <c r="F1687" s="124"/>
      <c r="G1687" s="124"/>
      <c r="H1687" s="124"/>
      <c r="I1687" s="124"/>
      <c r="J1687" s="124"/>
      <c r="K1687" s="124"/>
      <c r="L1687" s="124"/>
      <c r="M1687" s="124"/>
      <c r="N1687" s="124"/>
      <c r="O1687" s="124"/>
      <c r="P1687" s="124"/>
      <c r="Q1687" s="124"/>
      <c r="R1687" s="124"/>
      <c r="S1687" s="124"/>
      <c r="T1687" s="124"/>
      <c r="U1687" s="124"/>
      <c r="V1687" s="124"/>
      <c r="W1687" s="124"/>
      <c r="X1687" s="124"/>
      <c r="Y1687" s="124"/>
    </row>
    <row r="1688" spans="2:25" x14ac:dyDescent="0.25">
      <c r="B1688" s="124"/>
      <c r="C1688" s="124"/>
      <c r="D1688" s="124"/>
      <c r="E1688" s="124"/>
      <c r="F1688" s="124"/>
      <c r="G1688" s="124"/>
      <c r="H1688" s="124"/>
      <c r="I1688" s="124"/>
      <c r="J1688" s="124"/>
      <c r="K1688" s="124"/>
      <c r="L1688" s="124"/>
      <c r="M1688" s="124"/>
      <c r="N1688" s="124"/>
      <c r="O1688" s="124"/>
      <c r="P1688" s="124"/>
      <c r="Q1688" s="124"/>
      <c r="R1688" s="124"/>
      <c r="S1688" s="124"/>
      <c r="T1688" s="124"/>
      <c r="U1688" s="124"/>
      <c r="V1688" s="124"/>
      <c r="W1688" s="124"/>
      <c r="X1688" s="124"/>
      <c r="Y1688" s="124"/>
    </row>
    <row r="1689" spans="2:25" x14ac:dyDescent="0.25">
      <c r="B1689" s="124"/>
      <c r="C1689" s="124"/>
      <c r="D1689" s="124"/>
      <c r="E1689" s="124"/>
      <c r="F1689" s="124"/>
      <c r="G1689" s="124"/>
      <c r="H1689" s="124"/>
      <c r="I1689" s="124"/>
      <c r="J1689" s="124"/>
      <c r="K1689" s="124"/>
      <c r="L1689" s="124"/>
      <c r="M1689" s="124"/>
      <c r="N1689" s="124"/>
      <c r="O1689" s="124"/>
      <c r="P1689" s="124"/>
      <c r="Q1689" s="124"/>
      <c r="R1689" s="124"/>
      <c r="S1689" s="124"/>
      <c r="T1689" s="124"/>
      <c r="U1689" s="124"/>
      <c r="V1689" s="124"/>
      <c r="W1689" s="124"/>
      <c r="X1689" s="124"/>
      <c r="Y1689" s="124"/>
    </row>
    <row r="1690" spans="2:25" x14ac:dyDescent="0.25">
      <c r="B1690" s="124"/>
      <c r="C1690" s="124"/>
      <c r="D1690" s="124"/>
      <c r="E1690" s="124"/>
      <c r="F1690" s="124"/>
      <c r="G1690" s="124"/>
      <c r="H1690" s="124"/>
      <c r="I1690" s="124"/>
      <c r="J1690" s="124"/>
      <c r="K1690" s="124"/>
      <c r="L1690" s="124"/>
      <c r="M1690" s="124"/>
      <c r="N1690" s="124"/>
      <c r="O1690" s="124"/>
      <c r="P1690" s="124"/>
      <c r="Q1690" s="124"/>
      <c r="R1690" s="124"/>
      <c r="S1690" s="124"/>
      <c r="T1690" s="124"/>
      <c r="U1690" s="124"/>
      <c r="V1690" s="124"/>
      <c r="W1690" s="124"/>
      <c r="X1690" s="124"/>
      <c r="Y1690" s="124"/>
    </row>
    <row r="1691" spans="2:25" x14ac:dyDescent="0.25">
      <c r="B1691" s="124"/>
      <c r="C1691" s="124"/>
      <c r="D1691" s="124"/>
      <c r="E1691" s="124"/>
      <c r="F1691" s="124"/>
      <c r="G1691" s="124"/>
      <c r="H1691" s="124"/>
      <c r="I1691" s="124"/>
      <c r="J1691" s="124"/>
      <c r="K1691" s="124"/>
      <c r="L1691" s="124"/>
      <c r="M1691" s="124"/>
      <c r="N1691" s="124"/>
      <c r="O1691" s="124"/>
      <c r="P1691" s="124"/>
      <c r="Q1691" s="124"/>
      <c r="R1691" s="124"/>
      <c r="S1691" s="124"/>
      <c r="T1691" s="124"/>
      <c r="U1691" s="124"/>
      <c r="V1691" s="124"/>
      <c r="W1691" s="124"/>
      <c r="X1691" s="124"/>
      <c r="Y1691" s="124"/>
    </row>
    <row r="1692" spans="2:25" x14ac:dyDescent="0.25">
      <c r="B1692" s="124"/>
      <c r="C1692" s="124"/>
      <c r="D1692" s="124"/>
      <c r="E1692" s="124"/>
      <c r="F1692" s="124"/>
      <c r="G1692" s="124"/>
      <c r="H1692" s="124"/>
      <c r="I1692" s="124"/>
      <c r="J1692" s="124"/>
      <c r="K1692" s="124"/>
      <c r="L1692" s="124"/>
      <c r="M1692" s="124"/>
      <c r="N1692" s="124"/>
      <c r="O1692" s="124"/>
      <c r="P1692" s="124"/>
      <c r="Q1692" s="124"/>
      <c r="R1692" s="124"/>
      <c r="S1692" s="124"/>
      <c r="T1692" s="124"/>
      <c r="U1692" s="124"/>
      <c r="V1692" s="124"/>
      <c r="W1692" s="124"/>
      <c r="X1692" s="124"/>
      <c r="Y1692" s="124"/>
    </row>
    <row r="1693" spans="2:25" x14ac:dyDescent="0.25">
      <c r="B1693" s="124"/>
      <c r="C1693" s="124"/>
      <c r="D1693" s="124"/>
      <c r="E1693" s="124"/>
      <c r="F1693" s="124"/>
      <c r="G1693" s="124"/>
      <c r="H1693" s="124"/>
      <c r="I1693" s="124"/>
      <c r="J1693" s="124"/>
      <c r="K1693" s="124"/>
      <c r="L1693" s="124"/>
      <c r="M1693" s="124"/>
      <c r="N1693" s="124"/>
      <c r="O1693" s="124"/>
      <c r="P1693" s="124"/>
      <c r="Q1693" s="124"/>
      <c r="R1693" s="124"/>
      <c r="S1693" s="124"/>
      <c r="T1693" s="124"/>
      <c r="U1693" s="124"/>
      <c r="V1693" s="124"/>
      <c r="W1693" s="124"/>
      <c r="X1693" s="124"/>
      <c r="Y1693" s="124"/>
    </row>
    <row r="1694" spans="2:25" x14ac:dyDescent="0.25">
      <c r="B1694" s="124"/>
      <c r="C1694" s="124"/>
      <c r="D1694" s="124"/>
      <c r="E1694" s="124"/>
      <c r="F1694" s="124"/>
      <c r="G1694" s="124"/>
      <c r="H1694" s="124"/>
      <c r="I1694" s="124"/>
      <c r="J1694" s="124"/>
      <c r="K1694" s="124"/>
      <c r="L1694" s="124"/>
      <c r="M1694" s="124"/>
      <c r="N1694" s="124"/>
      <c r="O1694" s="124"/>
      <c r="P1694" s="124"/>
      <c r="Q1694" s="124"/>
      <c r="R1694" s="124"/>
      <c r="S1694" s="124"/>
      <c r="T1694" s="124"/>
      <c r="U1694" s="124"/>
      <c r="V1694" s="124"/>
      <c r="W1694" s="124"/>
      <c r="X1694" s="124"/>
      <c r="Y1694" s="124"/>
    </row>
    <row r="1695" spans="2:25" x14ac:dyDescent="0.25">
      <c r="B1695" s="124"/>
      <c r="C1695" s="124"/>
      <c r="D1695" s="124"/>
      <c r="E1695" s="124"/>
      <c r="F1695" s="124"/>
      <c r="G1695" s="124"/>
      <c r="H1695" s="124"/>
      <c r="I1695" s="124"/>
      <c r="J1695" s="124"/>
      <c r="K1695" s="124"/>
      <c r="L1695" s="124"/>
      <c r="M1695" s="124"/>
      <c r="N1695" s="124"/>
      <c r="O1695" s="124"/>
      <c r="P1695" s="124"/>
      <c r="Q1695" s="124"/>
      <c r="R1695" s="124"/>
      <c r="S1695" s="124"/>
      <c r="T1695" s="124"/>
      <c r="U1695" s="124"/>
      <c r="V1695" s="124"/>
      <c r="W1695" s="124"/>
      <c r="X1695" s="124"/>
      <c r="Y1695" s="124"/>
    </row>
    <row r="1696" spans="2:25" x14ac:dyDescent="0.25">
      <c r="B1696" s="124"/>
      <c r="C1696" s="124"/>
      <c r="D1696" s="124"/>
      <c r="E1696" s="124"/>
      <c r="F1696" s="124"/>
      <c r="G1696" s="124"/>
      <c r="H1696" s="124"/>
      <c r="I1696" s="124"/>
      <c r="J1696" s="124"/>
      <c r="K1696" s="124"/>
      <c r="L1696" s="124"/>
      <c r="M1696" s="124"/>
      <c r="N1696" s="124"/>
      <c r="O1696" s="124"/>
      <c r="P1696" s="124"/>
      <c r="Q1696" s="124"/>
      <c r="R1696" s="124"/>
      <c r="S1696" s="124"/>
      <c r="T1696" s="124"/>
      <c r="U1696" s="124"/>
      <c r="V1696" s="124"/>
      <c r="W1696" s="124"/>
      <c r="X1696" s="124"/>
      <c r="Y1696" s="124"/>
    </row>
    <row r="1697" spans="2:25" x14ac:dyDescent="0.25">
      <c r="B1697" s="124"/>
      <c r="C1697" s="124"/>
      <c r="D1697" s="124"/>
      <c r="E1697" s="124"/>
      <c r="F1697" s="124"/>
      <c r="G1697" s="124"/>
      <c r="H1697" s="124"/>
      <c r="I1697" s="124"/>
      <c r="J1697" s="124"/>
      <c r="K1697" s="124"/>
      <c r="L1697" s="124"/>
      <c r="M1697" s="124"/>
      <c r="N1697" s="124"/>
      <c r="O1697" s="124"/>
      <c r="P1697" s="124"/>
      <c r="Q1697" s="124"/>
      <c r="R1697" s="124"/>
      <c r="S1697" s="124"/>
      <c r="T1697" s="124"/>
      <c r="U1697" s="124"/>
      <c r="V1697" s="124"/>
      <c r="W1697" s="124"/>
      <c r="X1697" s="124"/>
      <c r="Y1697" s="124"/>
    </row>
    <row r="1698" spans="2:25" x14ac:dyDescent="0.25">
      <c r="B1698" s="124"/>
      <c r="C1698" s="124"/>
      <c r="D1698" s="124"/>
      <c r="E1698" s="124"/>
      <c r="F1698" s="124"/>
      <c r="G1698" s="124"/>
      <c r="H1698" s="124"/>
      <c r="I1698" s="124"/>
      <c r="J1698" s="124"/>
      <c r="K1698" s="124"/>
      <c r="L1698" s="124"/>
      <c r="M1698" s="124"/>
      <c r="N1698" s="124"/>
      <c r="O1698" s="124"/>
      <c r="P1698" s="124"/>
      <c r="Q1698" s="124"/>
      <c r="R1698" s="124"/>
      <c r="S1698" s="124"/>
      <c r="T1698" s="124"/>
      <c r="U1698" s="124"/>
      <c r="V1698" s="124"/>
      <c r="W1698" s="124"/>
      <c r="X1698" s="124"/>
      <c r="Y1698" s="124"/>
    </row>
    <row r="1699" spans="2:25" x14ac:dyDescent="0.25">
      <c r="B1699" s="124"/>
      <c r="C1699" s="124"/>
      <c r="D1699" s="124"/>
      <c r="E1699" s="124"/>
      <c r="F1699" s="124"/>
      <c r="G1699" s="124"/>
      <c r="H1699" s="124"/>
      <c r="I1699" s="124"/>
      <c r="J1699" s="124"/>
      <c r="K1699" s="124"/>
      <c r="L1699" s="124"/>
      <c r="M1699" s="124"/>
      <c r="N1699" s="124"/>
      <c r="O1699" s="124"/>
      <c r="P1699" s="124"/>
      <c r="Q1699" s="124"/>
      <c r="R1699" s="124"/>
      <c r="S1699" s="124"/>
      <c r="T1699" s="124"/>
      <c r="U1699" s="124"/>
      <c r="V1699" s="124"/>
      <c r="W1699" s="124"/>
      <c r="X1699" s="124"/>
      <c r="Y1699" s="124"/>
    </row>
    <row r="1700" spans="2:25" x14ac:dyDescent="0.25">
      <c r="B1700" s="124"/>
      <c r="C1700" s="124"/>
      <c r="D1700" s="124"/>
      <c r="E1700" s="124"/>
      <c r="F1700" s="124"/>
      <c r="G1700" s="124"/>
      <c r="H1700" s="124"/>
      <c r="I1700" s="124"/>
      <c r="J1700" s="124"/>
      <c r="K1700" s="124"/>
      <c r="L1700" s="124"/>
      <c r="M1700" s="124"/>
      <c r="N1700" s="124"/>
      <c r="O1700" s="124"/>
      <c r="P1700" s="124"/>
      <c r="Q1700" s="124"/>
      <c r="R1700" s="124"/>
      <c r="S1700" s="124"/>
      <c r="T1700" s="124"/>
      <c r="U1700" s="124"/>
      <c r="V1700" s="124"/>
      <c r="W1700" s="124"/>
      <c r="X1700" s="124"/>
      <c r="Y1700" s="124"/>
    </row>
    <row r="1701" spans="2:25" x14ac:dyDescent="0.25">
      <c r="B1701" s="124"/>
      <c r="C1701" s="124"/>
      <c r="D1701" s="124"/>
      <c r="E1701" s="124"/>
      <c r="F1701" s="124"/>
      <c r="G1701" s="124"/>
      <c r="H1701" s="124"/>
      <c r="I1701" s="124"/>
      <c r="J1701" s="124"/>
      <c r="K1701" s="124"/>
      <c r="L1701" s="124"/>
      <c r="M1701" s="124"/>
      <c r="N1701" s="124"/>
      <c r="O1701" s="124"/>
      <c r="P1701" s="124"/>
      <c r="Q1701" s="124"/>
      <c r="R1701" s="124"/>
      <c r="S1701" s="124"/>
      <c r="T1701" s="124"/>
      <c r="U1701" s="124"/>
      <c r="V1701" s="124"/>
      <c r="W1701" s="124"/>
      <c r="X1701" s="124"/>
      <c r="Y1701" s="124"/>
    </row>
    <row r="1702" spans="2:25" x14ac:dyDescent="0.25">
      <c r="B1702" s="124"/>
      <c r="C1702" s="124"/>
      <c r="D1702" s="124"/>
      <c r="E1702" s="124"/>
      <c r="F1702" s="124"/>
      <c r="G1702" s="124"/>
      <c r="H1702" s="124"/>
      <c r="I1702" s="124"/>
      <c r="J1702" s="124"/>
      <c r="K1702" s="124"/>
      <c r="L1702" s="124"/>
      <c r="M1702" s="124"/>
      <c r="N1702" s="124"/>
      <c r="O1702" s="124"/>
      <c r="P1702" s="124"/>
      <c r="Q1702" s="124"/>
      <c r="R1702" s="124"/>
      <c r="S1702" s="124"/>
      <c r="T1702" s="124"/>
      <c r="U1702" s="124"/>
      <c r="V1702" s="124"/>
      <c r="W1702" s="124"/>
      <c r="X1702" s="124"/>
      <c r="Y1702" s="124"/>
    </row>
    <row r="1703" spans="2:25" x14ac:dyDescent="0.25">
      <c r="B1703" s="124"/>
      <c r="C1703" s="124"/>
      <c r="D1703" s="124"/>
      <c r="E1703" s="124"/>
      <c r="F1703" s="124"/>
      <c r="G1703" s="124"/>
      <c r="H1703" s="124"/>
      <c r="I1703" s="124"/>
      <c r="J1703" s="124"/>
      <c r="K1703" s="124"/>
      <c r="L1703" s="124"/>
      <c r="M1703" s="124"/>
      <c r="N1703" s="124"/>
      <c r="O1703" s="124"/>
      <c r="P1703" s="124"/>
      <c r="Q1703" s="124"/>
      <c r="R1703" s="124"/>
      <c r="S1703" s="124"/>
      <c r="T1703" s="124"/>
      <c r="U1703" s="124"/>
      <c r="V1703" s="124"/>
      <c r="W1703" s="124"/>
      <c r="X1703" s="124"/>
      <c r="Y1703" s="124"/>
    </row>
    <row r="1704" spans="2:25" x14ac:dyDescent="0.25">
      <c r="B1704" s="124"/>
      <c r="C1704" s="124"/>
      <c r="D1704" s="124"/>
      <c r="E1704" s="124"/>
      <c r="F1704" s="124"/>
      <c r="G1704" s="124"/>
      <c r="H1704" s="124"/>
      <c r="I1704" s="124"/>
      <c r="J1704" s="124"/>
      <c r="K1704" s="124"/>
      <c r="L1704" s="124"/>
      <c r="M1704" s="124"/>
      <c r="N1704" s="124"/>
      <c r="O1704" s="124"/>
      <c r="P1704" s="124"/>
      <c r="Q1704" s="124"/>
      <c r="R1704" s="124"/>
      <c r="S1704" s="124"/>
      <c r="T1704" s="124"/>
      <c r="U1704" s="124"/>
      <c r="V1704" s="124"/>
      <c r="W1704" s="124"/>
      <c r="X1704" s="124"/>
      <c r="Y1704" s="124"/>
    </row>
    <row r="1705" spans="2:25" x14ac:dyDescent="0.25">
      <c r="B1705" s="124"/>
      <c r="C1705" s="124"/>
      <c r="D1705" s="124"/>
      <c r="E1705" s="124"/>
      <c r="F1705" s="124"/>
      <c r="G1705" s="124"/>
      <c r="H1705" s="124"/>
      <c r="I1705" s="124"/>
      <c r="J1705" s="124"/>
      <c r="K1705" s="124"/>
      <c r="L1705" s="124"/>
      <c r="M1705" s="124"/>
      <c r="N1705" s="124"/>
      <c r="O1705" s="124"/>
      <c r="P1705" s="124"/>
      <c r="Q1705" s="124"/>
      <c r="R1705" s="124"/>
      <c r="S1705" s="124"/>
      <c r="T1705" s="124"/>
      <c r="U1705" s="124"/>
      <c r="V1705" s="124"/>
      <c r="W1705" s="124"/>
      <c r="X1705" s="124"/>
      <c r="Y1705" s="124"/>
    </row>
    <row r="1706" spans="2:25" x14ac:dyDescent="0.25">
      <c r="B1706" s="124"/>
      <c r="C1706" s="124"/>
      <c r="D1706" s="124"/>
      <c r="E1706" s="124"/>
      <c r="F1706" s="124"/>
      <c r="G1706" s="124"/>
      <c r="H1706" s="124"/>
      <c r="I1706" s="124"/>
      <c r="J1706" s="124"/>
      <c r="K1706" s="124"/>
      <c r="L1706" s="124"/>
      <c r="M1706" s="124"/>
      <c r="N1706" s="124"/>
      <c r="O1706" s="124"/>
      <c r="P1706" s="124"/>
      <c r="Q1706" s="124"/>
      <c r="R1706" s="124"/>
      <c r="S1706" s="124"/>
      <c r="T1706" s="124"/>
      <c r="U1706" s="124"/>
      <c r="V1706" s="124"/>
      <c r="W1706" s="124"/>
      <c r="X1706" s="124"/>
      <c r="Y1706" s="124"/>
    </row>
    <row r="1707" spans="2:25" x14ac:dyDescent="0.25">
      <c r="B1707" s="124"/>
      <c r="C1707" s="124"/>
      <c r="D1707" s="124"/>
      <c r="E1707" s="124"/>
      <c r="F1707" s="124"/>
      <c r="G1707" s="124"/>
      <c r="H1707" s="124"/>
      <c r="I1707" s="124"/>
      <c r="J1707" s="124"/>
      <c r="K1707" s="124"/>
      <c r="L1707" s="124"/>
      <c r="M1707" s="124"/>
      <c r="N1707" s="124"/>
      <c r="O1707" s="124"/>
      <c r="P1707" s="124"/>
      <c r="Q1707" s="124"/>
      <c r="R1707" s="124"/>
      <c r="S1707" s="124"/>
      <c r="T1707" s="124"/>
      <c r="U1707" s="124"/>
      <c r="V1707" s="124"/>
      <c r="W1707" s="124"/>
      <c r="X1707" s="124"/>
      <c r="Y1707" s="124"/>
    </row>
    <row r="1708" spans="2:25" x14ac:dyDescent="0.25">
      <c r="B1708" s="124"/>
      <c r="C1708" s="124"/>
      <c r="D1708" s="124"/>
      <c r="E1708" s="124"/>
      <c r="F1708" s="124"/>
      <c r="G1708" s="124"/>
      <c r="H1708" s="124"/>
      <c r="I1708" s="124"/>
      <c r="J1708" s="124"/>
      <c r="K1708" s="124"/>
      <c r="L1708" s="124"/>
      <c r="M1708" s="124"/>
      <c r="N1708" s="124"/>
      <c r="O1708" s="124"/>
      <c r="P1708" s="124"/>
      <c r="Q1708" s="124"/>
      <c r="R1708" s="124"/>
      <c r="S1708" s="124"/>
      <c r="T1708" s="124"/>
      <c r="U1708" s="124"/>
      <c r="V1708" s="124"/>
      <c r="W1708" s="124"/>
      <c r="X1708" s="124"/>
      <c r="Y1708" s="124"/>
    </row>
    <row r="1709" spans="2:25" x14ac:dyDescent="0.25">
      <c r="B1709" s="124"/>
      <c r="C1709" s="124"/>
      <c r="D1709" s="124"/>
      <c r="E1709" s="124"/>
      <c r="F1709" s="124"/>
      <c r="G1709" s="124"/>
      <c r="H1709" s="124"/>
      <c r="I1709" s="124"/>
      <c r="J1709" s="124"/>
      <c r="K1709" s="124"/>
      <c r="L1709" s="124"/>
      <c r="M1709" s="124"/>
      <c r="N1709" s="124"/>
      <c r="O1709" s="124"/>
      <c r="P1709" s="124"/>
      <c r="Q1709" s="124"/>
      <c r="R1709" s="124"/>
      <c r="S1709" s="124"/>
      <c r="T1709" s="124"/>
      <c r="U1709" s="124"/>
      <c r="V1709" s="124"/>
      <c r="W1709" s="124"/>
      <c r="X1709" s="124"/>
      <c r="Y1709" s="124"/>
    </row>
    <row r="1710" spans="2:25" x14ac:dyDescent="0.25">
      <c r="B1710" s="124"/>
      <c r="C1710" s="124"/>
      <c r="D1710" s="124"/>
      <c r="E1710" s="124"/>
      <c r="F1710" s="124"/>
      <c r="G1710" s="124"/>
      <c r="H1710" s="124"/>
      <c r="I1710" s="124"/>
      <c r="J1710" s="124"/>
      <c r="K1710" s="124"/>
      <c r="L1710" s="124"/>
      <c r="M1710" s="124"/>
      <c r="N1710" s="124"/>
      <c r="O1710" s="124"/>
      <c r="P1710" s="124"/>
      <c r="Q1710" s="124"/>
      <c r="R1710" s="124"/>
      <c r="S1710" s="124"/>
      <c r="T1710" s="124"/>
      <c r="U1710" s="124"/>
      <c r="V1710" s="124"/>
      <c r="W1710" s="124"/>
      <c r="X1710" s="124"/>
      <c r="Y1710" s="124"/>
    </row>
    <row r="1711" spans="2:25" x14ac:dyDescent="0.25">
      <c r="B1711" s="124"/>
      <c r="C1711" s="124"/>
      <c r="D1711" s="124"/>
      <c r="E1711" s="124"/>
      <c r="F1711" s="124"/>
      <c r="G1711" s="124"/>
      <c r="H1711" s="124"/>
      <c r="I1711" s="124"/>
      <c r="J1711" s="124"/>
      <c r="K1711" s="124"/>
      <c r="L1711" s="124"/>
      <c r="M1711" s="124"/>
      <c r="N1711" s="124"/>
      <c r="O1711" s="124"/>
      <c r="P1711" s="124"/>
      <c r="Q1711" s="124"/>
      <c r="R1711" s="124"/>
      <c r="S1711" s="124"/>
      <c r="T1711" s="124"/>
      <c r="U1711" s="124"/>
      <c r="V1711" s="124"/>
      <c r="W1711" s="124"/>
      <c r="X1711" s="124"/>
      <c r="Y1711" s="124"/>
    </row>
    <row r="1712" spans="2:25" x14ac:dyDescent="0.25">
      <c r="B1712" s="124"/>
      <c r="C1712" s="124"/>
      <c r="D1712" s="124"/>
      <c r="E1712" s="124"/>
      <c r="F1712" s="124"/>
      <c r="G1712" s="124"/>
      <c r="H1712" s="124"/>
      <c r="I1712" s="124"/>
      <c r="J1712" s="124"/>
      <c r="K1712" s="124"/>
      <c r="L1712" s="124"/>
      <c r="M1712" s="124"/>
      <c r="N1712" s="124"/>
      <c r="O1712" s="124"/>
      <c r="P1712" s="124"/>
      <c r="Q1712" s="124"/>
      <c r="R1712" s="124"/>
      <c r="S1712" s="124"/>
      <c r="T1712" s="124"/>
      <c r="U1712" s="124"/>
      <c r="V1712" s="124"/>
      <c r="W1712" s="124"/>
      <c r="X1712" s="124"/>
      <c r="Y1712" s="124"/>
    </row>
    <row r="1713" spans="2:25" x14ac:dyDescent="0.25">
      <c r="B1713" s="124"/>
      <c r="C1713" s="124"/>
      <c r="D1713" s="124"/>
      <c r="E1713" s="124"/>
      <c r="F1713" s="124"/>
      <c r="G1713" s="124"/>
      <c r="H1713" s="124"/>
      <c r="I1713" s="124"/>
      <c r="J1713" s="124"/>
      <c r="K1713" s="124"/>
      <c r="L1713" s="124"/>
      <c r="M1713" s="124"/>
      <c r="N1713" s="124"/>
      <c r="O1713" s="124"/>
      <c r="P1713" s="124"/>
      <c r="Q1713" s="124"/>
      <c r="R1713" s="124"/>
      <c r="S1713" s="124"/>
      <c r="T1713" s="124"/>
      <c r="U1713" s="124"/>
      <c r="V1713" s="124"/>
      <c r="W1713" s="124"/>
      <c r="X1713" s="124"/>
      <c r="Y1713" s="124"/>
    </row>
    <row r="1714" spans="2:25" x14ac:dyDescent="0.25">
      <c r="B1714" s="124"/>
      <c r="C1714" s="124"/>
      <c r="D1714" s="124"/>
      <c r="E1714" s="124"/>
      <c r="F1714" s="124"/>
      <c r="G1714" s="124"/>
      <c r="H1714" s="124"/>
      <c r="I1714" s="124"/>
      <c r="J1714" s="124"/>
      <c r="K1714" s="124"/>
      <c r="L1714" s="124"/>
      <c r="M1714" s="124"/>
      <c r="N1714" s="124"/>
      <c r="O1714" s="124"/>
      <c r="P1714" s="124"/>
      <c r="Q1714" s="124"/>
      <c r="R1714" s="124"/>
      <c r="S1714" s="124"/>
      <c r="T1714" s="124"/>
      <c r="U1714" s="124"/>
      <c r="V1714" s="124"/>
      <c r="W1714" s="124"/>
      <c r="X1714" s="124"/>
      <c r="Y1714" s="124"/>
    </row>
    <row r="1715" spans="2:25" x14ac:dyDescent="0.25">
      <c r="B1715" s="124"/>
      <c r="C1715" s="124"/>
      <c r="D1715" s="124"/>
      <c r="E1715" s="124"/>
      <c r="F1715" s="124"/>
      <c r="G1715" s="124"/>
      <c r="H1715" s="124"/>
      <c r="I1715" s="124"/>
      <c r="J1715" s="124"/>
      <c r="K1715" s="124"/>
      <c r="L1715" s="124"/>
      <c r="M1715" s="124"/>
      <c r="N1715" s="124"/>
      <c r="O1715" s="124"/>
      <c r="P1715" s="124"/>
      <c r="Q1715" s="124"/>
      <c r="R1715" s="124"/>
      <c r="S1715" s="124"/>
      <c r="T1715" s="124"/>
      <c r="U1715" s="124"/>
      <c r="V1715" s="124"/>
      <c r="W1715" s="124"/>
      <c r="X1715" s="124"/>
      <c r="Y1715" s="124"/>
    </row>
    <row r="1716" spans="2:25" x14ac:dyDescent="0.25">
      <c r="B1716" s="124"/>
      <c r="C1716" s="124"/>
      <c r="D1716" s="124"/>
      <c r="E1716" s="124"/>
      <c r="F1716" s="124"/>
      <c r="G1716" s="124"/>
      <c r="H1716" s="124"/>
      <c r="I1716" s="124"/>
      <c r="J1716" s="124"/>
      <c r="K1716" s="124"/>
      <c r="L1716" s="124"/>
      <c r="M1716" s="124"/>
      <c r="N1716" s="124"/>
      <c r="O1716" s="124"/>
      <c r="P1716" s="124"/>
      <c r="Q1716" s="124"/>
      <c r="R1716" s="124"/>
      <c r="S1716" s="124"/>
      <c r="T1716" s="124"/>
      <c r="U1716" s="124"/>
      <c r="V1716" s="124"/>
      <c r="W1716" s="124"/>
      <c r="X1716" s="124"/>
      <c r="Y1716" s="124"/>
    </row>
    <row r="1717" spans="2:25" x14ac:dyDescent="0.25">
      <c r="B1717" s="124"/>
      <c r="C1717" s="124"/>
      <c r="D1717" s="124"/>
      <c r="E1717" s="124"/>
      <c r="F1717" s="124"/>
      <c r="G1717" s="124"/>
      <c r="H1717" s="124"/>
      <c r="I1717" s="124"/>
      <c r="J1717" s="124"/>
      <c r="K1717" s="124"/>
      <c r="L1717" s="124"/>
      <c r="M1717" s="124"/>
      <c r="N1717" s="124"/>
      <c r="O1717" s="124"/>
      <c r="P1717" s="124"/>
      <c r="Q1717" s="124"/>
      <c r="R1717" s="124"/>
      <c r="S1717" s="124"/>
      <c r="T1717" s="124"/>
      <c r="U1717" s="124"/>
      <c r="V1717" s="124"/>
      <c r="W1717" s="124"/>
      <c r="X1717" s="124"/>
      <c r="Y1717" s="124"/>
    </row>
    <row r="1718" spans="2:25" x14ac:dyDescent="0.25">
      <c r="B1718" s="124"/>
      <c r="C1718" s="124"/>
      <c r="D1718" s="124"/>
      <c r="E1718" s="124"/>
      <c r="F1718" s="124"/>
      <c r="G1718" s="124"/>
      <c r="H1718" s="124"/>
      <c r="I1718" s="124"/>
      <c r="J1718" s="124"/>
      <c r="K1718" s="124"/>
      <c r="L1718" s="124"/>
      <c r="M1718" s="124"/>
      <c r="N1718" s="124"/>
      <c r="O1718" s="124"/>
      <c r="P1718" s="124"/>
      <c r="Q1718" s="124"/>
      <c r="R1718" s="124"/>
      <c r="S1718" s="124"/>
      <c r="T1718" s="124"/>
      <c r="U1718" s="124"/>
      <c r="V1718" s="124"/>
      <c r="W1718" s="124"/>
      <c r="X1718" s="124"/>
      <c r="Y1718" s="124"/>
    </row>
    <row r="1719" spans="2:25" x14ac:dyDescent="0.25">
      <c r="B1719" s="124"/>
      <c r="C1719" s="124"/>
      <c r="D1719" s="124"/>
      <c r="E1719" s="124"/>
      <c r="F1719" s="124"/>
      <c r="G1719" s="124"/>
      <c r="H1719" s="124"/>
      <c r="I1719" s="124"/>
      <c r="J1719" s="124"/>
      <c r="K1719" s="124"/>
      <c r="L1719" s="124"/>
      <c r="M1719" s="124"/>
      <c r="N1719" s="124"/>
      <c r="O1719" s="124"/>
      <c r="P1719" s="124"/>
      <c r="Q1719" s="124"/>
      <c r="R1719" s="124"/>
      <c r="S1719" s="124"/>
      <c r="T1719" s="124"/>
      <c r="U1719" s="124"/>
      <c r="V1719" s="124"/>
      <c r="W1719" s="124"/>
      <c r="X1719" s="124"/>
      <c r="Y1719" s="124"/>
    </row>
    <row r="1720" spans="2:25" x14ac:dyDescent="0.25">
      <c r="B1720" s="124"/>
      <c r="C1720" s="124"/>
      <c r="D1720" s="124"/>
      <c r="E1720" s="124"/>
      <c r="F1720" s="124"/>
      <c r="G1720" s="124"/>
      <c r="H1720" s="124"/>
      <c r="I1720" s="124"/>
      <c r="J1720" s="124"/>
      <c r="K1720" s="124"/>
      <c r="L1720" s="124"/>
      <c r="M1720" s="124"/>
      <c r="N1720" s="124"/>
      <c r="O1720" s="124"/>
      <c r="P1720" s="124"/>
      <c r="Q1720" s="124"/>
      <c r="R1720" s="124"/>
      <c r="S1720" s="124"/>
      <c r="T1720" s="124"/>
      <c r="U1720" s="124"/>
      <c r="V1720" s="124"/>
      <c r="W1720" s="124"/>
      <c r="X1720" s="124"/>
      <c r="Y1720" s="124"/>
    </row>
    <row r="1721" spans="2:25" x14ac:dyDescent="0.25">
      <c r="B1721" s="124"/>
      <c r="C1721" s="124"/>
      <c r="D1721" s="124"/>
      <c r="E1721" s="124"/>
      <c r="F1721" s="124"/>
      <c r="G1721" s="124"/>
      <c r="H1721" s="124"/>
      <c r="I1721" s="124"/>
      <c r="J1721" s="124"/>
      <c r="K1721" s="124"/>
      <c r="L1721" s="124"/>
      <c r="M1721" s="124"/>
      <c r="N1721" s="124"/>
      <c r="O1721" s="124"/>
      <c r="P1721" s="124"/>
      <c r="Q1721" s="124"/>
      <c r="R1721" s="124"/>
      <c r="S1721" s="124"/>
      <c r="T1721" s="124"/>
      <c r="U1721" s="124"/>
      <c r="V1721" s="124"/>
      <c r="W1721" s="124"/>
      <c r="X1721" s="124"/>
      <c r="Y1721" s="124"/>
    </row>
    <row r="1722" spans="2:25" x14ac:dyDescent="0.25">
      <c r="B1722" s="124"/>
      <c r="C1722" s="124"/>
      <c r="D1722" s="124"/>
      <c r="E1722" s="124"/>
      <c r="F1722" s="124"/>
      <c r="G1722" s="124"/>
      <c r="H1722" s="124"/>
      <c r="I1722" s="124"/>
      <c r="J1722" s="124"/>
      <c r="K1722" s="124"/>
      <c r="L1722" s="124"/>
      <c r="M1722" s="124"/>
      <c r="N1722" s="124"/>
      <c r="O1722" s="124"/>
      <c r="P1722" s="124"/>
      <c r="Q1722" s="124"/>
      <c r="R1722" s="124"/>
      <c r="S1722" s="124"/>
      <c r="T1722" s="124"/>
      <c r="U1722" s="124"/>
      <c r="V1722" s="124"/>
      <c r="W1722" s="124"/>
      <c r="X1722" s="124"/>
      <c r="Y1722" s="124"/>
    </row>
    <row r="1723" spans="2:25" x14ac:dyDescent="0.25">
      <c r="B1723" s="124"/>
      <c r="C1723" s="124"/>
      <c r="D1723" s="124"/>
      <c r="E1723" s="124"/>
      <c r="F1723" s="124"/>
      <c r="G1723" s="124"/>
      <c r="H1723" s="124"/>
      <c r="I1723" s="124"/>
      <c r="J1723" s="124"/>
      <c r="K1723" s="124"/>
      <c r="L1723" s="124"/>
      <c r="M1723" s="124"/>
      <c r="N1723" s="124"/>
      <c r="O1723" s="124"/>
      <c r="P1723" s="124"/>
      <c r="Q1723" s="124"/>
      <c r="R1723" s="124"/>
      <c r="S1723" s="124"/>
      <c r="T1723" s="124"/>
      <c r="U1723" s="124"/>
      <c r="V1723" s="124"/>
      <c r="W1723" s="124"/>
      <c r="X1723" s="124"/>
      <c r="Y1723" s="124"/>
    </row>
    <row r="1724" spans="2:25" x14ac:dyDescent="0.25">
      <c r="B1724" s="124"/>
      <c r="C1724" s="124"/>
      <c r="D1724" s="124"/>
      <c r="E1724" s="124"/>
      <c r="F1724" s="124"/>
      <c r="G1724" s="124"/>
      <c r="H1724" s="124"/>
      <c r="I1724" s="124"/>
      <c r="J1724" s="124"/>
      <c r="K1724" s="124"/>
      <c r="L1724" s="124"/>
      <c r="M1724" s="124"/>
      <c r="N1724" s="124"/>
      <c r="O1724" s="124"/>
      <c r="P1724" s="124"/>
      <c r="Q1724" s="124"/>
      <c r="R1724" s="124"/>
      <c r="S1724" s="124"/>
      <c r="T1724" s="124"/>
      <c r="U1724" s="124"/>
      <c r="V1724" s="124"/>
      <c r="W1724" s="124"/>
      <c r="X1724" s="124"/>
      <c r="Y1724" s="124"/>
    </row>
    <row r="1725" spans="2:25" x14ac:dyDescent="0.25">
      <c r="B1725" s="124"/>
      <c r="C1725" s="124"/>
      <c r="D1725" s="124"/>
      <c r="E1725" s="124"/>
      <c r="F1725" s="124"/>
      <c r="G1725" s="124"/>
      <c r="H1725" s="124"/>
      <c r="I1725" s="124"/>
      <c r="J1725" s="124"/>
      <c r="K1725" s="124"/>
      <c r="L1725" s="124"/>
      <c r="M1725" s="124"/>
      <c r="N1725" s="124"/>
      <c r="O1725" s="124"/>
      <c r="P1725" s="124"/>
      <c r="Q1725" s="124"/>
      <c r="R1725" s="124"/>
      <c r="S1725" s="124"/>
      <c r="T1725" s="124"/>
      <c r="U1725" s="124"/>
      <c r="V1725" s="124"/>
      <c r="W1725" s="124"/>
      <c r="X1725" s="124"/>
      <c r="Y1725" s="124"/>
    </row>
    <row r="1726" spans="2:25" x14ac:dyDescent="0.25">
      <c r="B1726" s="124"/>
      <c r="C1726" s="124"/>
      <c r="D1726" s="124"/>
      <c r="E1726" s="124"/>
      <c r="F1726" s="124"/>
      <c r="G1726" s="124"/>
      <c r="H1726" s="124"/>
      <c r="I1726" s="124"/>
      <c r="J1726" s="124"/>
      <c r="K1726" s="124"/>
      <c r="L1726" s="124"/>
      <c r="M1726" s="124"/>
      <c r="N1726" s="124"/>
      <c r="O1726" s="124"/>
      <c r="P1726" s="124"/>
      <c r="Q1726" s="124"/>
      <c r="R1726" s="124"/>
      <c r="S1726" s="124"/>
      <c r="T1726" s="124"/>
      <c r="U1726" s="124"/>
      <c r="V1726" s="124"/>
      <c r="W1726" s="124"/>
      <c r="X1726" s="124"/>
      <c r="Y1726" s="124"/>
    </row>
    <row r="1727" spans="2:25" x14ac:dyDescent="0.25">
      <c r="B1727" s="124"/>
      <c r="C1727" s="124"/>
      <c r="D1727" s="124"/>
      <c r="E1727" s="124"/>
      <c r="F1727" s="124"/>
      <c r="G1727" s="124"/>
      <c r="H1727" s="124"/>
      <c r="I1727" s="124"/>
      <c r="J1727" s="124"/>
      <c r="K1727" s="124"/>
      <c r="L1727" s="124"/>
      <c r="M1727" s="124"/>
      <c r="N1727" s="124"/>
      <c r="O1727" s="124"/>
      <c r="P1727" s="124"/>
      <c r="Q1727" s="124"/>
      <c r="R1727" s="124"/>
      <c r="S1727" s="124"/>
      <c r="T1727" s="124"/>
      <c r="U1727" s="124"/>
      <c r="V1727" s="124"/>
      <c r="W1727" s="124"/>
      <c r="X1727" s="124"/>
      <c r="Y1727" s="124"/>
    </row>
    <row r="1728" spans="2:25" x14ac:dyDescent="0.25">
      <c r="B1728" s="124"/>
      <c r="C1728" s="124"/>
      <c r="D1728" s="124"/>
      <c r="E1728" s="124"/>
      <c r="F1728" s="124"/>
      <c r="G1728" s="124"/>
      <c r="H1728" s="124"/>
      <c r="I1728" s="124"/>
      <c r="J1728" s="124"/>
      <c r="K1728" s="124"/>
      <c r="L1728" s="124"/>
      <c r="M1728" s="124"/>
      <c r="N1728" s="124"/>
      <c r="O1728" s="124"/>
      <c r="P1728" s="124"/>
      <c r="Q1728" s="124"/>
      <c r="R1728" s="124"/>
      <c r="S1728" s="124"/>
      <c r="T1728" s="124"/>
      <c r="U1728" s="124"/>
      <c r="V1728" s="124"/>
      <c r="W1728" s="124"/>
      <c r="X1728" s="124"/>
      <c r="Y1728" s="124"/>
    </row>
    <row r="1729" spans="2:25" x14ac:dyDescent="0.25">
      <c r="B1729" s="124"/>
      <c r="C1729" s="124"/>
      <c r="D1729" s="124"/>
      <c r="E1729" s="124"/>
      <c r="F1729" s="124"/>
      <c r="G1729" s="124"/>
      <c r="H1729" s="124"/>
      <c r="I1729" s="124"/>
      <c r="J1729" s="124"/>
      <c r="K1729" s="124"/>
      <c r="L1729" s="124"/>
      <c r="M1729" s="124"/>
      <c r="N1729" s="124"/>
      <c r="O1729" s="124"/>
      <c r="P1729" s="124"/>
      <c r="Q1729" s="124"/>
      <c r="R1729" s="124"/>
      <c r="S1729" s="124"/>
      <c r="T1729" s="124"/>
      <c r="U1729" s="124"/>
      <c r="V1729" s="124"/>
      <c r="W1729" s="124"/>
      <c r="X1729" s="124"/>
      <c r="Y1729" s="124"/>
    </row>
    <row r="1730" spans="2:25" x14ac:dyDescent="0.25">
      <c r="B1730" s="124"/>
      <c r="C1730" s="124"/>
      <c r="D1730" s="124"/>
      <c r="E1730" s="124"/>
      <c r="F1730" s="124"/>
      <c r="G1730" s="124"/>
      <c r="H1730" s="124"/>
      <c r="I1730" s="124"/>
      <c r="J1730" s="124"/>
      <c r="K1730" s="124"/>
      <c r="L1730" s="124"/>
      <c r="M1730" s="124"/>
      <c r="N1730" s="124"/>
      <c r="O1730" s="124"/>
      <c r="P1730" s="124"/>
      <c r="Q1730" s="124"/>
      <c r="R1730" s="124"/>
      <c r="S1730" s="124"/>
      <c r="T1730" s="124"/>
      <c r="U1730" s="124"/>
      <c r="V1730" s="124"/>
      <c r="W1730" s="124"/>
      <c r="X1730" s="124"/>
      <c r="Y1730" s="124"/>
    </row>
    <row r="1731" spans="2:25" x14ac:dyDescent="0.25">
      <c r="B1731" s="124"/>
      <c r="C1731" s="124"/>
      <c r="D1731" s="124"/>
      <c r="E1731" s="124"/>
      <c r="F1731" s="124"/>
      <c r="G1731" s="124"/>
      <c r="H1731" s="124"/>
      <c r="I1731" s="124"/>
      <c r="J1731" s="124"/>
      <c r="K1731" s="124"/>
      <c r="L1731" s="124"/>
      <c r="M1731" s="124"/>
      <c r="N1731" s="124"/>
      <c r="O1731" s="124"/>
      <c r="P1731" s="124"/>
      <c r="Q1731" s="124"/>
      <c r="R1731" s="124"/>
      <c r="S1731" s="124"/>
      <c r="T1731" s="124"/>
      <c r="U1731" s="124"/>
      <c r="V1731" s="124"/>
      <c r="W1731" s="124"/>
      <c r="X1731" s="124"/>
      <c r="Y1731" s="124"/>
    </row>
    <row r="1732" spans="2:25" x14ac:dyDescent="0.25">
      <c r="B1732" s="124"/>
      <c r="C1732" s="124"/>
      <c r="D1732" s="124"/>
      <c r="E1732" s="124"/>
      <c r="F1732" s="124"/>
      <c r="G1732" s="124"/>
      <c r="H1732" s="124"/>
      <c r="I1732" s="124"/>
      <c r="J1732" s="124"/>
      <c r="K1732" s="124"/>
      <c r="L1732" s="124"/>
      <c r="M1732" s="124"/>
      <c r="N1732" s="124"/>
      <c r="O1732" s="124"/>
      <c r="P1732" s="124"/>
      <c r="Q1732" s="124"/>
      <c r="R1732" s="124"/>
      <c r="S1732" s="124"/>
      <c r="T1732" s="124"/>
      <c r="U1732" s="124"/>
      <c r="V1732" s="124"/>
      <c r="W1732" s="124"/>
      <c r="X1732" s="124"/>
      <c r="Y1732" s="124"/>
    </row>
    <row r="1733" spans="2:25" x14ac:dyDescent="0.25">
      <c r="B1733" s="124"/>
      <c r="C1733" s="124"/>
      <c r="D1733" s="124"/>
      <c r="E1733" s="124"/>
      <c r="F1733" s="124"/>
      <c r="G1733" s="124"/>
      <c r="H1733" s="124"/>
      <c r="I1733" s="124"/>
      <c r="J1733" s="124"/>
      <c r="K1733" s="124"/>
      <c r="L1733" s="124"/>
      <c r="M1733" s="124"/>
      <c r="N1733" s="124"/>
      <c r="O1733" s="124"/>
      <c r="P1733" s="124"/>
      <c r="Q1733" s="124"/>
      <c r="R1733" s="124"/>
      <c r="S1733" s="124"/>
      <c r="T1733" s="124"/>
      <c r="U1733" s="124"/>
      <c r="V1733" s="124"/>
      <c r="W1733" s="124"/>
      <c r="X1733" s="124"/>
      <c r="Y1733" s="124"/>
    </row>
    <row r="1734" spans="2:25" x14ac:dyDescent="0.25">
      <c r="B1734" s="124"/>
      <c r="C1734" s="124"/>
      <c r="D1734" s="124"/>
      <c r="E1734" s="124"/>
      <c r="F1734" s="124"/>
      <c r="G1734" s="124"/>
      <c r="H1734" s="124"/>
      <c r="I1734" s="124"/>
      <c r="J1734" s="124"/>
      <c r="K1734" s="124"/>
      <c r="L1734" s="124"/>
      <c r="M1734" s="124"/>
      <c r="N1734" s="124"/>
      <c r="O1734" s="124"/>
      <c r="P1734" s="124"/>
      <c r="Q1734" s="124"/>
      <c r="R1734" s="124"/>
      <c r="S1734" s="124"/>
      <c r="T1734" s="124"/>
      <c r="U1734" s="124"/>
      <c r="V1734" s="124"/>
      <c r="W1734" s="124"/>
      <c r="X1734" s="124"/>
      <c r="Y1734" s="124"/>
    </row>
    <row r="1735" spans="2:25" x14ac:dyDescent="0.25">
      <c r="B1735" s="124"/>
      <c r="C1735" s="124"/>
      <c r="D1735" s="124"/>
      <c r="E1735" s="124"/>
      <c r="F1735" s="124"/>
      <c r="G1735" s="124"/>
      <c r="H1735" s="124"/>
      <c r="I1735" s="124"/>
      <c r="J1735" s="124"/>
      <c r="K1735" s="124"/>
      <c r="L1735" s="124"/>
      <c r="M1735" s="124"/>
      <c r="N1735" s="124"/>
      <c r="O1735" s="124"/>
      <c r="P1735" s="124"/>
      <c r="Q1735" s="124"/>
      <c r="R1735" s="124"/>
      <c r="S1735" s="124"/>
      <c r="T1735" s="124"/>
      <c r="U1735" s="124"/>
      <c r="V1735" s="124"/>
      <c r="W1735" s="124"/>
      <c r="X1735" s="124"/>
      <c r="Y1735" s="124"/>
    </row>
    <row r="1736" spans="2:25" x14ac:dyDescent="0.25">
      <c r="B1736" s="124"/>
      <c r="C1736" s="124"/>
      <c r="D1736" s="124"/>
      <c r="E1736" s="124"/>
      <c r="F1736" s="124"/>
      <c r="G1736" s="124"/>
      <c r="H1736" s="124"/>
      <c r="I1736" s="124"/>
      <c r="J1736" s="124"/>
      <c r="K1736" s="124"/>
      <c r="L1736" s="124"/>
      <c r="M1736" s="124"/>
      <c r="N1736" s="124"/>
      <c r="O1736" s="124"/>
      <c r="P1736" s="124"/>
      <c r="Q1736" s="124"/>
      <c r="R1736" s="124"/>
      <c r="S1736" s="124"/>
      <c r="T1736" s="124"/>
      <c r="U1736" s="124"/>
      <c r="V1736" s="124"/>
      <c r="W1736" s="124"/>
      <c r="X1736" s="124"/>
      <c r="Y1736" s="124"/>
    </row>
    <row r="1737" spans="2:25" x14ac:dyDescent="0.25">
      <c r="B1737" s="124"/>
      <c r="C1737" s="124"/>
      <c r="D1737" s="124"/>
      <c r="E1737" s="124"/>
      <c r="F1737" s="124"/>
      <c r="G1737" s="124"/>
      <c r="H1737" s="124"/>
      <c r="I1737" s="124"/>
      <c r="J1737" s="124"/>
      <c r="K1737" s="124"/>
      <c r="L1737" s="124"/>
      <c r="M1737" s="124"/>
      <c r="N1737" s="124"/>
      <c r="O1737" s="124"/>
      <c r="P1737" s="124"/>
      <c r="Q1737" s="124"/>
      <c r="R1737" s="124"/>
      <c r="S1737" s="124"/>
      <c r="T1737" s="124"/>
      <c r="U1737" s="124"/>
      <c r="V1737" s="124"/>
      <c r="W1737" s="124"/>
      <c r="X1737" s="124"/>
      <c r="Y1737" s="124"/>
    </row>
    <row r="1738" spans="2:25" x14ac:dyDescent="0.25">
      <c r="B1738" s="124"/>
      <c r="C1738" s="124"/>
      <c r="D1738" s="124"/>
      <c r="E1738" s="124"/>
      <c r="F1738" s="124"/>
      <c r="G1738" s="124"/>
      <c r="H1738" s="124"/>
      <c r="I1738" s="124"/>
      <c r="J1738" s="124"/>
      <c r="K1738" s="124"/>
      <c r="L1738" s="124"/>
      <c r="M1738" s="124"/>
      <c r="N1738" s="124"/>
      <c r="O1738" s="124"/>
      <c r="P1738" s="124"/>
      <c r="Q1738" s="124"/>
      <c r="R1738" s="124"/>
      <c r="S1738" s="124"/>
      <c r="T1738" s="124"/>
      <c r="U1738" s="124"/>
      <c r="V1738" s="124"/>
      <c r="W1738" s="124"/>
      <c r="X1738" s="124"/>
      <c r="Y1738" s="124"/>
    </row>
    <row r="1739" spans="2:25" x14ac:dyDescent="0.25">
      <c r="B1739" s="124"/>
      <c r="C1739" s="124"/>
      <c r="D1739" s="124"/>
      <c r="E1739" s="124"/>
      <c r="F1739" s="124"/>
      <c r="G1739" s="124"/>
      <c r="H1739" s="124"/>
      <c r="I1739" s="124"/>
      <c r="J1739" s="124"/>
      <c r="K1739" s="124"/>
      <c r="L1739" s="124"/>
      <c r="M1739" s="124"/>
      <c r="N1739" s="124"/>
      <c r="O1739" s="124"/>
      <c r="P1739" s="124"/>
      <c r="Q1739" s="124"/>
      <c r="R1739" s="124"/>
      <c r="S1739" s="124"/>
      <c r="T1739" s="124"/>
      <c r="U1739" s="124"/>
      <c r="V1739" s="124"/>
      <c r="W1739" s="124"/>
      <c r="X1739" s="124"/>
      <c r="Y1739" s="124"/>
    </row>
    <row r="1740" spans="2:25" x14ac:dyDescent="0.25">
      <c r="B1740" s="124"/>
      <c r="C1740" s="124"/>
      <c r="D1740" s="124"/>
      <c r="E1740" s="124"/>
      <c r="F1740" s="124"/>
      <c r="G1740" s="124"/>
      <c r="H1740" s="124"/>
      <c r="I1740" s="124"/>
      <c r="J1740" s="124"/>
      <c r="K1740" s="124"/>
      <c r="L1740" s="124"/>
      <c r="M1740" s="124"/>
      <c r="N1740" s="124"/>
      <c r="O1740" s="124"/>
      <c r="P1740" s="124"/>
      <c r="Q1740" s="124"/>
      <c r="R1740" s="124"/>
      <c r="S1740" s="124"/>
      <c r="T1740" s="124"/>
      <c r="U1740" s="124"/>
      <c r="V1740" s="124"/>
      <c r="W1740" s="124"/>
      <c r="X1740" s="124"/>
      <c r="Y1740" s="124"/>
    </row>
    <row r="1741" spans="2:25" x14ac:dyDescent="0.25">
      <c r="B1741" s="124"/>
      <c r="C1741" s="124"/>
      <c r="D1741" s="124"/>
      <c r="E1741" s="124"/>
      <c r="F1741" s="124"/>
      <c r="G1741" s="124"/>
      <c r="H1741" s="124"/>
      <c r="I1741" s="124"/>
      <c r="J1741" s="124"/>
      <c r="K1741" s="124"/>
      <c r="L1741" s="124"/>
      <c r="M1741" s="124"/>
      <c r="N1741" s="124"/>
      <c r="O1741" s="124"/>
      <c r="P1741" s="124"/>
      <c r="Q1741" s="124"/>
      <c r="R1741" s="124"/>
      <c r="S1741" s="124"/>
      <c r="T1741" s="124"/>
      <c r="U1741" s="124"/>
      <c r="V1741" s="124"/>
      <c r="W1741" s="124"/>
      <c r="X1741" s="124"/>
      <c r="Y1741" s="124"/>
    </row>
    <row r="1742" spans="2:25" x14ac:dyDescent="0.25">
      <c r="B1742" s="124"/>
      <c r="C1742" s="124"/>
      <c r="D1742" s="124"/>
      <c r="E1742" s="124"/>
      <c r="F1742" s="124"/>
      <c r="G1742" s="124"/>
      <c r="H1742" s="124"/>
      <c r="I1742" s="124"/>
      <c r="J1742" s="124"/>
      <c r="K1742" s="124"/>
      <c r="L1742" s="124"/>
      <c r="M1742" s="124"/>
      <c r="N1742" s="124"/>
      <c r="O1742" s="124"/>
      <c r="P1742" s="124"/>
      <c r="Q1742" s="124"/>
      <c r="R1742" s="124"/>
      <c r="S1742" s="124"/>
      <c r="T1742" s="124"/>
      <c r="U1742" s="124"/>
      <c r="V1742" s="124"/>
      <c r="W1742" s="124"/>
      <c r="X1742" s="124"/>
      <c r="Y1742" s="124"/>
    </row>
    <row r="1743" spans="2:25" x14ac:dyDescent="0.25">
      <c r="B1743" s="124"/>
      <c r="C1743" s="124"/>
      <c r="D1743" s="124"/>
      <c r="E1743" s="124"/>
      <c r="F1743" s="124"/>
      <c r="G1743" s="124"/>
      <c r="H1743" s="124"/>
      <c r="I1743" s="124"/>
      <c r="J1743" s="124"/>
      <c r="K1743" s="124"/>
      <c r="L1743" s="124"/>
      <c r="M1743" s="124"/>
      <c r="N1743" s="124"/>
      <c r="O1743" s="124"/>
      <c r="P1743" s="124"/>
      <c r="Q1743" s="124"/>
      <c r="R1743" s="124"/>
      <c r="S1743" s="124"/>
      <c r="T1743" s="124"/>
      <c r="U1743" s="124"/>
      <c r="V1743" s="124"/>
      <c r="W1743" s="124"/>
      <c r="X1743" s="124"/>
      <c r="Y1743" s="124"/>
    </row>
    <row r="1744" spans="2:25" x14ac:dyDescent="0.25">
      <c r="B1744" s="124"/>
      <c r="C1744" s="124"/>
      <c r="D1744" s="124"/>
      <c r="E1744" s="124"/>
      <c r="F1744" s="124"/>
      <c r="G1744" s="124"/>
      <c r="H1744" s="124"/>
      <c r="I1744" s="124"/>
      <c r="J1744" s="124"/>
      <c r="K1744" s="124"/>
      <c r="L1744" s="124"/>
      <c r="M1744" s="124"/>
      <c r="N1744" s="124"/>
      <c r="O1744" s="124"/>
      <c r="P1744" s="124"/>
      <c r="Q1744" s="124"/>
      <c r="R1744" s="124"/>
      <c r="S1744" s="124"/>
      <c r="T1744" s="124"/>
      <c r="U1744" s="124"/>
      <c r="V1744" s="124"/>
      <c r="W1744" s="124"/>
      <c r="X1744" s="124"/>
      <c r="Y1744" s="124"/>
    </row>
    <row r="1745" spans="2:25" x14ac:dyDescent="0.25">
      <c r="B1745" s="124"/>
      <c r="C1745" s="124"/>
      <c r="D1745" s="124"/>
      <c r="E1745" s="124"/>
      <c r="F1745" s="124"/>
      <c r="G1745" s="124"/>
      <c r="H1745" s="124"/>
      <c r="I1745" s="124"/>
      <c r="J1745" s="124"/>
      <c r="K1745" s="124"/>
      <c r="L1745" s="124"/>
      <c r="M1745" s="124"/>
      <c r="N1745" s="124"/>
      <c r="O1745" s="124"/>
      <c r="P1745" s="124"/>
      <c r="Q1745" s="124"/>
      <c r="R1745" s="124"/>
      <c r="S1745" s="124"/>
      <c r="T1745" s="124"/>
      <c r="U1745" s="124"/>
      <c r="V1745" s="124"/>
      <c r="W1745" s="124"/>
      <c r="X1745" s="124"/>
      <c r="Y1745" s="124"/>
    </row>
    <row r="1746" spans="2:25" x14ac:dyDescent="0.25">
      <c r="B1746" s="124"/>
      <c r="C1746" s="124"/>
      <c r="D1746" s="124"/>
      <c r="E1746" s="124"/>
      <c r="F1746" s="124"/>
      <c r="G1746" s="124"/>
      <c r="H1746" s="124"/>
      <c r="I1746" s="124"/>
      <c r="J1746" s="124"/>
      <c r="K1746" s="124"/>
      <c r="L1746" s="124"/>
      <c r="M1746" s="124"/>
      <c r="N1746" s="124"/>
      <c r="O1746" s="124"/>
      <c r="P1746" s="124"/>
      <c r="Q1746" s="124"/>
      <c r="R1746" s="124"/>
      <c r="S1746" s="124"/>
      <c r="T1746" s="124"/>
      <c r="U1746" s="124"/>
      <c r="V1746" s="124"/>
      <c r="W1746" s="124"/>
      <c r="X1746" s="124"/>
      <c r="Y1746" s="124"/>
    </row>
    <row r="1747" spans="2:25" x14ac:dyDescent="0.25">
      <c r="B1747" s="124"/>
      <c r="C1747" s="124"/>
      <c r="D1747" s="124"/>
      <c r="E1747" s="124"/>
      <c r="F1747" s="124"/>
      <c r="G1747" s="124"/>
      <c r="H1747" s="124"/>
      <c r="I1747" s="124"/>
      <c r="J1747" s="124"/>
      <c r="K1747" s="124"/>
      <c r="L1747" s="124"/>
      <c r="M1747" s="124"/>
      <c r="N1747" s="124"/>
      <c r="O1747" s="124"/>
      <c r="P1747" s="124"/>
      <c r="Q1747" s="124"/>
      <c r="R1747" s="124"/>
      <c r="S1747" s="124"/>
      <c r="T1747" s="124"/>
      <c r="U1747" s="124"/>
      <c r="V1747" s="124"/>
      <c r="W1747" s="124"/>
      <c r="X1747" s="124"/>
      <c r="Y1747" s="124"/>
    </row>
    <row r="1748" spans="2:25" x14ac:dyDescent="0.25">
      <c r="B1748" s="124"/>
      <c r="C1748" s="124"/>
      <c r="D1748" s="124"/>
      <c r="E1748" s="124"/>
      <c r="F1748" s="124"/>
      <c r="G1748" s="124"/>
      <c r="H1748" s="124"/>
      <c r="I1748" s="124"/>
      <c r="J1748" s="124"/>
      <c r="K1748" s="124"/>
      <c r="L1748" s="124"/>
      <c r="M1748" s="124"/>
      <c r="N1748" s="124"/>
      <c r="O1748" s="124"/>
      <c r="P1748" s="124"/>
      <c r="Q1748" s="124"/>
      <c r="R1748" s="124"/>
      <c r="S1748" s="124"/>
      <c r="T1748" s="124"/>
      <c r="U1748" s="124"/>
      <c r="V1748" s="124"/>
      <c r="W1748" s="124"/>
      <c r="X1748" s="124"/>
      <c r="Y1748" s="124"/>
    </row>
    <row r="1749" spans="2:25" x14ac:dyDescent="0.25">
      <c r="B1749" s="124"/>
      <c r="C1749" s="124"/>
      <c r="D1749" s="124"/>
      <c r="E1749" s="124"/>
      <c r="F1749" s="124"/>
      <c r="G1749" s="124"/>
      <c r="H1749" s="124"/>
      <c r="I1749" s="124"/>
      <c r="J1749" s="124"/>
      <c r="K1749" s="124"/>
      <c r="L1749" s="124"/>
      <c r="M1749" s="124"/>
      <c r="N1749" s="124"/>
      <c r="O1749" s="124"/>
      <c r="P1749" s="124"/>
      <c r="Q1749" s="124"/>
      <c r="R1749" s="124"/>
      <c r="S1749" s="124"/>
      <c r="T1749" s="124"/>
      <c r="U1749" s="124"/>
      <c r="V1749" s="124"/>
      <c r="W1749" s="124"/>
      <c r="X1749" s="124"/>
      <c r="Y1749" s="124"/>
    </row>
    <row r="1750" spans="2:25" x14ac:dyDescent="0.25">
      <c r="B1750" s="124"/>
      <c r="C1750" s="124"/>
      <c r="D1750" s="124"/>
      <c r="E1750" s="124"/>
      <c r="F1750" s="124"/>
      <c r="G1750" s="124"/>
      <c r="H1750" s="124"/>
      <c r="I1750" s="124"/>
      <c r="J1750" s="124"/>
      <c r="K1750" s="124"/>
      <c r="L1750" s="124"/>
      <c r="M1750" s="124"/>
      <c r="N1750" s="124"/>
      <c r="O1750" s="124"/>
      <c r="P1750" s="124"/>
      <c r="Q1750" s="124"/>
      <c r="R1750" s="124"/>
      <c r="S1750" s="124"/>
      <c r="T1750" s="124"/>
      <c r="U1750" s="124"/>
      <c r="V1750" s="124"/>
      <c r="W1750" s="124"/>
      <c r="X1750" s="124"/>
      <c r="Y1750" s="124"/>
    </row>
    <row r="1751" spans="2:25" x14ac:dyDescent="0.25">
      <c r="B1751" s="124"/>
      <c r="C1751" s="124"/>
      <c r="D1751" s="124"/>
      <c r="E1751" s="124"/>
      <c r="F1751" s="124"/>
      <c r="G1751" s="124"/>
      <c r="H1751" s="124"/>
      <c r="I1751" s="124"/>
      <c r="J1751" s="124"/>
      <c r="K1751" s="124"/>
      <c r="L1751" s="124"/>
      <c r="M1751" s="124"/>
      <c r="N1751" s="124"/>
      <c r="O1751" s="124"/>
      <c r="P1751" s="124"/>
      <c r="Q1751" s="124"/>
      <c r="R1751" s="124"/>
      <c r="S1751" s="124"/>
      <c r="T1751" s="124"/>
      <c r="U1751" s="124"/>
      <c r="V1751" s="124"/>
      <c r="W1751" s="124"/>
      <c r="X1751" s="124"/>
      <c r="Y1751" s="124"/>
    </row>
    <row r="1752" spans="2:25" x14ac:dyDescent="0.25">
      <c r="B1752" s="124"/>
      <c r="C1752" s="124"/>
      <c r="D1752" s="124"/>
      <c r="E1752" s="124"/>
      <c r="F1752" s="124"/>
      <c r="G1752" s="124"/>
      <c r="H1752" s="124"/>
      <c r="I1752" s="124"/>
      <c r="J1752" s="124"/>
      <c r="K1752" s="124"/>
      <c r="L1752" s="124"/>
      <c r="M1752" s="124"/>
      <c r="N1752" s="124"/>
      <c r="O1752" s="124"/>
      <c r="P1752" s="124"/>
      <c r="Q1752" s="124"/>
      <c r="R1752" s="124"/>
      <c r="S1752" s="124"/>
      <c r="T1752" s="124"/>
      <c r="U1752" s="124"/>
      <c r="V1752" s="124"/>
      <c r="W1752" s="124"/>
      <c r="X1752" s="124"/>
      <c r="Y1752" s="124"/>
    </row>
    <row r="1753" spans="2:25" x14ac:dyDescent="0.25">
      <c r="B1753" s="124"/>
      <c r="C1753" s="124"/>
      <c r="D1753" s="124"/>
      <c r="E1753" s="124"/>
      <c r="F1753" s="124"/>
      <c r="G1753" s="124"/>
      <c r="H1753" s="124"/>
      <c r="I1753" s="124"/>
      <c r="J1753" s="124"/>
      <c r="K1753" s="124"/>
      <c r="L1753" s="124"/>
      <c r="M1753" s="124"/>
      <c r="N1753" s="124"/>
      <c r="O1753" s="124"/>
      <c r="P1753" s="124"/>
      <c r="Q1753" s="124"/>
      <c r="R1753" s="124"/>
      <c r="S1753" s="124"/>
      <c r="T1753" s="124"/>
      <c r="U1753" s="124"/>
      <c r="V1753" s="124"/>
      <c r="W1753" s="124"/>
      <c r="X1753" s="124"/>
      <c r="Y1753" s="124"/>
    </row>
    <row r="1754" spans="2:25" x14ac:dyDescent="0.25">
      <c r="B1754" s="124"/>
      <c r="C1754" s="124"/>
      <c r="D1754" s="124"/>
      <c r="E1754" s="124"/>
      <c r="F1754" s="124"/>
      <c r="G1754" s="124"/>
      <c r="H1754" s="124"/>
      <c r="I1754" s="124"/>
      <c r="J1754" s="124"/>
      <c r="K1754" s="124"/>
      <c r="L1754" s="124"/>
      <c r="M1754" s="124"/>
      <c r="N1754" s="124"/>
      <c r="O1754" s="124"/>
      <c r="P1754" s="124"/>
      <c r="Q1754" s="124"/>
      <c r="R1754" s="124"/>
      <c r="S1754" s="124"/>
      <c r="T1754" s="124"/>
      <c r="U1754" s="124"/>
      <c r="V1754" s="124"/>
      <c r="W1754" s="124"/>
      <c r="X1754" s="124"/>
      <c r="Y1754" s="124"/>
    </row>
    <row r="1755" spans="2:25" x14ac:dyDescent="0.25">
      <c r="B1755" s="124"/>
      <c r="C1755" s="124"/>
      <c r="D1755" s="124"/>
      <c r="E1755" s="124"/>
      <c r="F1755" s="124"/>
      <c r="G1755" s="124"/>
      <c r="H1755" s="124"/>
      <c r="I1755" s="124"/>
      <c r="J1755" s="124"/>
      <c r="K1755" s="124"/>
      <c r="L1755" s="124"/>
      <c r="M1755" s="124"/>
      <c r="N1755" s="124"/>
      <c r="O1755" s="124"/>
      <c r="P1755" s="124"/>
      <c r="Q1755" s="124"/>
      <c r="R1755" s="124"/>
      <c r="S1755" s="124"/>
      <c r="T1755" s="124"/>
      <c r="U1755" s="124"/>
      <c r="V1755" s="124"/>
      <c r="W1755" s="124"/>
      <c r="X1755" s="124"/>
      <c r="Y1755" s="124"/>
    </row>
    <row r="1756" spans="2:25" x14ac:dyDescent="0.25">
      <c r="B1756" s="124"/>
      <c r="C1756" s="124"/>
      <c r="D1756" s="124"/>
      <c r="E1756" s="124"/>
      <c r="F1756" s="124"/>
      <c r="G1756" s="124"/>
      <c r="H1756" s="124"/>
      <c r="I1756" s="124"/>
      <c r="J1756" s="124"/>
      <c r="K1756" s="124"/>
      <c r="L1756" s="124"/>
      <c r="M1756" s="124"/>
      <c r="N1756" s="124"/>
      <c r="O1756" s="124"/>
      <c r="P1756" s="124"/>
      <c r="Q1756" s="124"/>
      <c r="R1756" s="124"/>
      <c r="S1756" s="124"/>
      <c r="T1756" s="124"/>
      <c r="U1756" s="124"/>
      <c r="V1756" s="124"/>
      <c r="W1756" s="124"/>
      <c r="X1756" s="124"/>
      <c r="Y1756" s="124"/>
    </row>
    <row r="1757" spans="2:25" x14ac:dyDescent="0.25">
      <c r="B1757" s="124"/>
      <c r="C1757" s="124"/>
      <c r="D1757" s="124"/>
      <c r="E1757" s="124"/>
      <c r="F1757" s="124"/>
      <c r="G1757" s="124"/>
      <c r="H1757" s="124"/>
      <c r="I1757" s="124"/>
      <c r="J1757" s="124"/>
      <c r="K1757" s="124"/>
      <c r="L1757" s="124"/>
      <c r="M1757" s="124"/>
      <c r="N1757" s="124"/>
      <c r="O1757" s="124"/>
      <c r="P1757" s="124"/>
      <c r="Q1757" s="124"/>
      <c r="R1757" s="124"/>
      <c r="S1757" s="124"/>
      <c r="T1757" s="124"/>
      <c r="U1757" s="124"/>
      <c r="V1757" s="124"/>
      <c r="W1757" s="124"/>
      <c r="X1757" s="124"/>
      <c r="Y1757" s="124"/>
    </row>
    <row r="1758" spans="2:25" x14ac:dyDescent="0.25">
      <c r="B1758" s="124"/>
      <c r="C1758" s="124"/>
      <c r="D1758" s="124"/>
      <c r="E1758" s="124"/>
      <c r="F1758" s="124"/>
      <c r="G1758" s="124"/>
      <c r="H1758" s="124"/>
      <c r="I1758" s="124"/>
      <c r="J1758" s="124"/>
      <c r="K1758" s="124"/>
      <c r="L1758" s="124"/>
      <c r="M1758" s="124"/>
      <c r="N1758" s="124"/>
      <c r="O1758" s="124"/>
      <c r="P1758" s="124"/>
      <c r="Q1758" s="124"/>
      <c r="R1758" s="124"/>
      <c r="S1758" s="124"/>
      <c r="T1758" s="124"/>
      <c r="U1758" s="124"/>
      <c r="V1758" s="124"/>
      <c r="W1758" s="124"/>
      <c r="X1758" s="124"/>
      <c r="Y1758" s="124"/>
    </row>
    <row r="1759" spans="2:25" x14ac:dyDescent="0.25">
      <c r="B1759" s="124"/>
      <c r="C1759" s="124"/>
      <c r="D1759" s="124"/>
      <c r="E1759" s="124"/>
      <c r="F1759" s="124"/>
      <c r="G1759" s="124"/>
      <c r="H1759" s="124"/>
      <c r="I1759" s="124"/>
      <c r="J1759" s="124"/>
      <c r="K1759" s="124"/>
      <c r="L1759" s="124"/>
      <c r="M1759" s="124"/>
      <c r="N1759" s="124"/>
      <c r="O1759" s="124"/>
      <c r="P1759" s="124"/>
      <c r="Q1759" s="124"/>
      <c r="R1759" s="124"/>
      <c r="S1759" s="124"/>
      <c r="T1759" s="124"/>
      <c r="U1759" s="124"/>
      <c r="V1759" s="124"/>
      <c r="W1759" s="124"/>
      <c r="X1759" s="124"/>
      <c r="Y1759" s="124"/>
    </row>
    <row r="1760" spans="2:25" x14ac:dyDescent="0.25">
      <c r="B1760" s="124"/>
      <c r="C1760" s="124"/>
      <c r="D1760" s="124"/>
      <c r="E1760" s="124"/>
      <c r="F1760" s="124"/>
      <c r="G1760" s="124"/>
      <c r="H1760" s="124"/>
      <c r="I1760" s="124"/>
      <c r="J1760" s="124"/>
      <c r="K1760" s="124"/>
      <c r="L1760" s="124"/>
      <c r="M1760" s="124"/>
      <c r="N1760" s="124"/>
      <c r="O1760" s="124"/>
      <c r="P1760" s="124"/>
      <c r="Q1760" s="124"/>
      <c r="R1760" s="124"/>
      <c r="S1760" s="124"/>
      <c r="T1760" s="124"/>
      <c r="U1760" s="124"/>
      <c r="V1760" s="124"/>
      <c r="W1760" s="124"/>
      <c r="X1760" s="124"/>
      <c r="Y1760" s="124"/>
    </row>
    <row r="1761" spans="2:25" x14ac:dyDescent="0.25">
      <c r="B1761" s="124"/>
      <c r="C1761" s="124"/>
      <c r="D1761" s="124"/>
      <c r="E1761" s="124"/>
      <c r="F1761" s="124"/>
      <c r="G1761" s="124"/>
      <c r="H1761" s="124"/>
      <c r="I1761" s="124"/>
      <c r="J1761" s="124"/>
      <c r="K1761" s="124"/>
      <c r="L1761" s="124"/>
      <c r="M1761" s="124"/>
      <c r="N1761" s="124"/>
      <c r="O1761" s="124"/>
      <c r="P1761" s="124"/>
      <c r="Q1761" s="124"/>
      <c r="R1761" s="124"/>
      <c r="S1761" s="124"/>
      <c r="T1761" s="124"/>
      <c r="U1761" s="124"/>
      <c r="V1761" s="124"/>
      <c r="W1761" s="124"/>
      <c r="X1761" s="124"/>
      <c r="Y1761" s="124"/>
    </row>
    <row r="1762" spans="2:25" x14ac:dyDescent="0.25">
      <c r="B1762" s="124"/>
      <c r="C1762" s="124"/>
      <c r="D1762" s="124"/>
      <c r="E1762" s="124"/>
      <c r="F1762" s="124"/>
      <c r="G1762" s="124"/>
      <c r="H1762" s="124"/>
      <c r="I1762" s="124"/>
      <c r="J1762" s="124"/>
      <c r="K1762" s="124"/>
      <c r="L1762" s="124"/>
      <c r="M1762" s="124"/>
      <c r="N1762" s="124"/>
      <c r="O1762" s="124"/>
      <c r="P1762" s="124"/>
      <c r="Q1762" s="124"/>
      <c r="R1762" s="124"/>
      <c r="S1762" s="124"/>
      <c r="T1762" s="124"/>
      <c r="U1762" s="124"/>
      <c r="V1762" s="124"/>
      <c r="W1762" s="124"/>
      <c r="X1762" s="124"/>
      <c r="Y1762" s="124"/>
    </row>
    <row r="1763" spans="2:25" x14ac:dyDescent="0.25">
      <c r="B1763" s="124"/>
      <c r="C1763" s="124"/>
      <c r="D1763" s="124"/>
      <c r="E1763" s="124"/>
      <c r="F1763" s="124"/>
      <c r="G1763" s="124"/>
      <c r="H1763" s="124"/>
      <c r="I1763" s="124"/>
      <c r="J1763" s="124"/>
      <c r="K1763" s="124"/>
      <c r="L1763" s="124"/>
      <c r="M1763" s="124"/>
      <c r="N1763" s="124"/>
      <c r="O1763" s="124"/>
      <c r="P1763" s="124"/>
      <c r="Q1763" s="124"/>
      <c r="R1763" s="124"/>
      <c r="S1763" s="124"/>
      <c r="T1763" s="124"/>
      <c r="U1763" s="124"/>
      <c r="V1763" s="124"/>
      <c r="W1763" s="124"/>
      <c r="X1763" s="124"/>
      <c r="Y1763" s="124"/>
    </row>
    <row r="1764" spans="2:25" x14ac:dyDescent="0.25">
      <c r="B1764" s="124"/>
      <c r="C1764" s="124"/>
      <c r="D1764" s="124"/>
      <c r="E1764" s="124"/>
      <c r="F1764" s="124"/>
      <c r="G1764" s="124"/>
      <c r="H1764" s="124"/>
      <c r="I1764" s="124"/>
      <c r="J1764" s="124"/>
      <c r="K1764" s="124"/>
      <c r="L1764" s="124"/>
      <c r="M1764" s="124"/>
      <c r="N1764" s="124"/>
      <c r="O1764" s="124"/>
      <c r="P1764" s="124"/>
      <c r="Q1764" s="124"/>
      <c r="R1764" s="124"/>
      <c r="S1764" s="124"/>
      <c r="T1764" s="124"/>
      <c r="U1764" s="124"/>
      <c r="V1764" s="124"/>
      <c r="W1764" s="124"/>
      <c r="X1764" s="124"/>
      <c r="Y1764" s="124"/>
    </row>
    <row r="1765" spans="2:25" x14ac:dyDescent="0.25">
      <c r="B1765" s="124"/>
      <c r="C1765" s="124"/>
      <c r="D1765" s="124"/>
      <c r="E1765" s="124"/>
      <c r="F1765" s="124"/>
      <c r="G1765" s="124"/>
      <c r="H1765" s="124"/>
      <c r="I1765" s="124"/>
      <c r="J1765" s="124"/>
      <c r="K1765" s="124"/>
      <c r="L1765" s="124"/>
      <c r="M1765" s="124"/>
      <c r="N1765" s="124"/>
      <c r="O1765" s="124"/>
      <c r="P1765" s="124"/>
      <c r="Q1765" s="124"/>
      <c r="R1765" s="124"/>
      <c r="S1765" s="124"/>
      <c r="T1765" s="124"/>
      <c r="U1765" s="124"/>
      <c r="V1765" s="124"/>
      <c r="W1765" s="124"/>
      <c r="X1765" s="124"/>
      <c r="Y1765" s="124"/>
    </row>
    <row r="1766" spans="2:25" x14ac:dyDescent="0.25">
      <c r="B1766" s="124"/>
      <c r="C1766" s="124"/>
      <c r="D1766" s="124"/>
      <c r="E1766" s="124"/>
      <c r="F1766" s="124"/>
      <c r="G1766" s="124"/>
      <c r="H1766" s="124"/>
      <c r="I1766" s="124"/>
      <c r="J1766" s="124"/>
      <c r="K1766" s="124"/>
      <c r="L1766" s="124"/>
      <c r="M1766" s="124"/>
      <c r="N1766" s="124"/>
      <c r="O1766" s="124"/>
      <c r="P1766" s="124"/>
      <c r="Q1766" s="124"/>
      <c r="R1766" s="124"/>
      <c r="S1766" s="124"/>
      <c r="T1766" s="124"/>
      <c r="U1766" s="124"/>
      <c r="V1766" s="124"/>
      <c r="W1766" s="124"/>
      <c r="X1766" s="124"/>
      <c r="Y1766" s="124"/>
    </row>
    <row r="1767" spans="2:25" x14ac:dyDescent="0.25">
      <c r="B1767" s="124"/>
      <c r="C1767" s="124"/>
      <c r="D1767" s="124"/>
      <c r="E1767" s="124"/>
      <c r="F1767" s="124"/>
      <c r="G1767" s="124"/>
      <c r="H1767" s="124"/>
      <c r="I1767" s="124"/>
      <c r="J1767" s="124"/>
      <c r="K1767" s="124"/>
      <c r="L1767" s="124"/>
      <c r="M1767" s="124"/>
      <c r="N1767" s="124"/>
      <c r="O1767" s="124"/>
      <c r="P1767" s="124"/>
      <c r="Q1767" s="124"/>
      <c r="R1767" s="124"/>
      <c r="S1767" s="124"/>
      <c r="T1767" s="124"/>
      <c r="U1767" s="124"/>
      <c r="V1767" s="124"/>
      <c r="W1767" s="124"/>
      <c r="X1767" s="124"/>
      <c r="Y1767" s="124"/>
    </row>
    <row r="1768" spans="2:25" x14ac:dyDescent="0.25">
      <c r="B1768" s="124"/>
      <c r="C1768" s="124"/>
      <c r="D1768" s="124"/>
      <c r="E1768" s="124"/>
      <c r="F1768" s="124"/>
      <c r="G1768" s="124"/>
      <c r="H1768" s="124"/>
      <c r="I1768" s="124"/>
      <c r="J1768" s="124"/>
      <c r="K1768" s="124"/>
      <c r="L1768" s="124"/>
      <c r="M1768" s="124"/>
      <c r="N1768" s="124"/>
      <c r="O1768" s="124"/>
      <c r="P1768" s="124"/>
      <c r="Q1768" s="124"/>
      <c r="R1768" s="124"/>
      <c r="S1768" s="124"/>
      <c r="T1768" s="124"/>
      <c r="U1768" s="124"/>
      <c r="V1768" s="124"/>
      <c r="W1768" s="124"/>
      <c r="X1768" s="124"/>
      <c r="Y1768" s="124"/>
    </row>
    <row r="1769" spans="2:25" x14ac:dyDescent="0.25">
      <c r="B1769" s="124"/>
      <c r="C1769" s="124"/>
      <c r="D1769" s="124"/>
      <c r="E1769" s="124"/>
      <c r="F1769" s="124"/>
      <c r="G1769" s="124"/>
      <c r="H1769" s="124"/>
      <c r="I1769" s="124"/>
      <c r="J1769" s="124"/>
      <c r="K1769" s="124"/>
      <c r="L1769" s="124"/>
      <c r="M1769" s="124"/>
      <c r="N1769" s="124"/>
      <c r="O1769" s="124"/>
      <c r="P1769" s="124"/>
      <c r="Q1769" s="124"/>
      <c r="R1769" s="124"/>
      <c r="S1769" s="124"/>
      <c r="T1769" s="124"/>
      <c r="U1769" s="124"/>
      <c r="V1769" s="124"/>
      <c r="W1769" s="124"/>
      <c r="X1769" s="124"/>
      <c r="Y1769" s="124"/>
    </row>
    <row r="1770" spans="2:25" x14ac:dyDescent="0.25">
      <c r="B1770" s="124"/>
      <c r="C1770" s="124"/>
      <c r="D1770" s="124"/>
      <c r="E1770" s="124"/>
      <c r="F1770" s="124"/>
      <c r="G1770" s="124"/>
      <c r="H1770" s="124"/>
      <c r="I1770" s="124"/>
      <c r="J1770" s="124"/>
      <c r="K1770" s="124"/>
      <c r="L1770" s="124"/>
      <c r="M1770" s="124"/>
      <c r="N1770" s="124"/>
      <c r="O1770" s="124"/>
      <c r="P1770" s="124"/>
      <c r="Q1770" s="124"/>
      <c r="R1770" s="124"/>
      <c r="S1770" s="124"/>
      <c r="T1770" s="124"/>
      <c r="U1770" s="124"/>
      <c r="V1770" s="124"/>
      <c r="W1770" s="124"/>
      <c r="X1770" s="124"/>
      <c r="Y1770" s="124"/>
    </row>
    <row r="1771" spans="2:25" x14ac:dyDescent="0.25">
      <c r="B1771" s="124"/>
      <c r="C1771" s="124"/>
      <c r="D1771" s="124"/>
      <c r="E1771" s="124"/>
      <c r="F1771" s="124"/>
      <c r="G1771" s="124"/>
      <c r="H1771" s="124"/>
      <c r="I1771" s="124"/>
      <c r="J1771" s="124"/>
      <c r="K1771" s="124"/>
      <c r="L1771" s="124"/>
      <c r="M1771" s="124"/>
      <c r="N1771" s="124"/>
      <c r="O1771" s="124"/>
      <c r="P1771" s="124"/>
      <c r="Q1771" s="124"/>
      <c r="R1771" s="124"/>
      <c r="S1771" s="124"/>
      <c r="T1771" s="124"/>
      <c r="U1771" s="124"/>
      <c r="V1771" s="124"/>
      <c r="W1771" s="124"/>
      <c r="X1771" s="124"/>
      <c r="Y1771" s="124"/>
    </row>
    <row r="1772" spans="2:25" x14ac:dyDescent="0.25">
      <c r="B1772" s="124"/>
      <c r="C1772" s="124"/>
      <c r="D1772" s="124"/>
      <c r="E1772" s="124"/>
      <c r="F1772" s="124"/>
      <c r="G1772" s="124"/>
      <c r="H1772" s="124"/>
      <c r="I1772" s="124"/>
      <c r="J1772" s="124"/>
      <c r="K1772" s="124"/>
      <c r="L1772" s="124"/>
      <c r="M1772" s="124"/>
      <c r="N1772" s="124"/>
      <c r="O1772" s="124"/>
      <c r="P1772" s="124"/>
      <c r="Q1772" s="124"/>
      <c r="R1772" s="124"/>
      <c r="S1772" s="124"/>
      <c r="T1772" s="124"/>
      <c r="U1772" s="124"/>
      <c r="V1772" s="124"/>
      <c r="W1772" s="124"/>
      <c r="X1772" s="124"/>
      <c r="Y1772" s="124"/>
    </row>
    <row r="1773" spans="2:25" x14ac:dyDescent="0.25">
      <c r="B1773" s="124"/>
      <c r="C1773" s="124"/>
      <c r="D1773" s="124"/>
      <c r="E1773" s="124"/>
      <c r="F1773" s="124"/>
      <c r="G1773" s="124"/>
      <c r="H1773" s="124"/>
      <c r="I1773" s="124"/>
      <c r="J1773" s="124"/>
      <c r="K1773" s="124"/>
      <c r="L1773" s="124"/>
      <c r="M1773" s="124"/>
      <c r="N1773" s="124"/>
      <c r="O1773" s="124"/>
      <c r="P1773" s="124"/>
      <c r="Q1773" s="124"/>
      <c r="R1773" s="124"/>
      <c r="S1773" s="124"/>
      <c r="T1773" s="124"/>
      <c r="U1773" s="124"/>
      <c r="V1773" s="124"/>
      <c r="W1773" s="124"/>
      <c r="X1773" s="124"/>
      <c r="Y1773" s="124"/>
    </row>
    <row r="1774" spans="2:25" x14ac:dyDescent="0.25">
      <c r="B1774" s="124"/>
      <c r="C1774" s="124"/>
      <c r="D1774" s="124"/>
      <c r="E1774" s="124"/>
      <c r="F1774" s="124"/>
      <c r="G1774" s="124"/>
      <c r="H1774" s="124"/>
      <c r="I1774" s="124"/>
      <c r="J1774" s="124"/>
      <c r="K1774" s="124"/>
      <c r="L1774" s="124"/>
      <c r="M1774" s="124"/>
      <c r="N1774" s="124"/>
      <c r="O1774" s="124"/>
      <c r="P1774" s="124"/>
      <c r="Q1774" s="124"/>
      <c r="R1774" s="124"/>
      <c r="S1774" s="124"/>
      <c r="T1774" s="124"/>
      <c r="U1774" s="124"/>
      <c r="V1774" s="124"/>
      <c r="W1774" s="124"/>
      <c r="X1774" s="124"/>
      <c r="Y1774" s="124"/>
    </row>
    <row r="1775" spans="2:25" x14ac:dyDescent="0.25">
      <c r="B1775" s="124"/>
      <c r="C1775" s="124"/>
      <c r="D1775" s="124"/>
      <c r="E1775" s="124"/>
      <c r="F1775" s="124"/>
      <c r="G1775" s="124"/>
      <c r="H1775" s="124"/>
      <c r="I1775" s="124"/>
      <c r="J1775" s="124"/>
      <c r="K1775" s="124"/>
      <c r="L1775" s="124"/>
      <c r="M1775" s="124"/>
      <c r="N1775" s="124"/>
      <c r="O1775" s="124"/>
      <c r="P1775" s="124"/>
      <c r="Q1775" s="124"/>
      <c r="R1775" s="124"/>
      <c r="S1775" s="124"/>
      <c r="T1775" s="124"/>
      <c r="U1775" s="124"/>
      <c r="V1775" s="124"/>
      <c r="W1775" s="124"/>
      <c r="X1775" s="124"/>
      <c r="Y1775" s="124"/>
    </row>
    <row r="1776" spans="2:25" x14ac:dyDescent="0.25">
      <c r="B1776" s="124"/>
      <c r="C1776" s="124"/>
      <c r="D1776" s="124"/>
      <c r="E1776" s="124"/>
      <c r="F1776" s="124"/>
      <c r="G1776" s="124"/>
      <c r="H1776" s="124"/>
      <c r="I1776" s="124"/>
      <c r="J1776" s="124"/>
      <c r="K1776" s="124"/>
      <c r="L1776" s="124"/>
      <c r="M1776" s="124"/>
      <c r="N1776" s="124"/>
      <c r="O1776" s="124"/>
      <c r="P1776" s="124"/>
      <c r="Q1776" s="124"/>
      <c r="R1776" s="124"/>
      <c r="S1776" s="124"/>
      <c r="T1776" s="124"/>
      <c r="U1776" s="124"/>
      <c r="V1776" s="124"/>
      <c r="W1776" s="124"/>
      <c r="X1776" s="124"/>
      <c r="Y1776" s="124"/>
    </row>
    <row r="1777" spans="2:25" x14ac:dyDescent="0.25">
      <c r="B1777" s="124"/>
      <c r="C1777" s="124"/>
      <c r="D1777" s="124"/>
      <c r="E1777" s="124"/>
      <c r="F1777" s="124"/>
      <c r="G1777" s="124"/>
      <c r="H1777" s="124"/>
      <c r="I1777" s="124"/>
      <c r="J1777" s="124"/>
      <c r="K1777" s="124"/>
      <c r="L1777" s="124"/>
      <c r="M1777" s="124"/>
      <c r="N1777" s="124"/>
      <c r="O1777" s="124"/>
      <c r="P1777" s="124"/>
      <c r="Q1777" s="124"/>
      <c r="R1777" s="124"/>
      <c r="S1777" s="124"/>
      <c r="T1777" s="124"/>
      <c r="U1777" s="124"/>
      <c r="V1777" s="124"/>
      <c r="W1777" s="124"/>
      <c r="X1777" s="124"/>
      <c r="Y1777" s="124"/>
    </row>
    <row r="1778" spans="2:25" x14ac:dyDescent="0.25">
      <c r="B1778" s="124"/>
      <c r="C1778" s="124"/>
      <c r="D1778" s="124"/>
      <c r="E1778" s="124"/>
      <c r="F1778" s="124"/>
      <c r="G1778" s="124"/>
      <c r="H1778" s="124"/>
      <c r="I1778" s="124"/>
      <c r="J1778" s="124"/>
      <c r="K1778" s="124"/>
      <c r="L1778" s="124"/>
      <c r="M1778" s="124"/>
      <c r="N1778" s="124"/>
      <c r="O1778" s="124"/>
      <c r="P1778" s="124"/>
      <c r="Q1778" s="124"/>
      <c r="R1778" s="124"/>
      <c r="S1778" s="124"/>
      <c r="T1778" s="124"/>
      <c r="U1778" s="124"/>
      <c r="V1778" s="124"/>
      <c r="W1778" s="124"/>
      <c r="X1778" s="124"/>
      <c r="Y1778" s="124"/>
    </row>
    <row r="1779" spans="2:25" x14ac:dyDescent="0.25">
      <c r="B1779" s="124"/>
      <c r="C1779" s="124"/>
      <c r="D1779" s="124"/>
      <c r="E1779" s="124"/>
      <c r="F1779" s="124"/>
      <c r="G1779" s="124"/>
      <c r="H1779" s="124"/>
      <c r="I1779" s="124"/>
      <c r="J1779" s="124"/>
      <c r="K1779" s="124"/>
      <c r="L1779" s="124"/>
      <c r="M1779" s="124"/>
      <c r="N1779" s="124"/>
      <c r="O1779" s="124"/>
      <c r="P1779" s="124"/>
      <c r="Q1779" s="124"/>
      <c r="R1779" s="124"/>
      <c r="S1779" s="124"/>
      <c r="T1779" s="124"/>
      <c r="U1779" s="124"/>
      <c r="V1779" s="124"/>
      <c r="W1779" s="124"/>
      <c r="X1779" s="124"/>
      <c r="Y1779" s="124"/>
    </row>
    <row r="1780" spans="2:25" x14ac:dyDescent="0.25">
      <c r="B1780" s="124"/>
      <c r="C1780" s="124"/>
      <c r="D1780" s="124"/>
      <c r="E1780" s="124"/>
      <c r="F1780" s="124"/>
      <c r="G1780" s="124"/>
      <c r="H1780" s="124"/>
      <c r="I1780" s="124"/>
      <c r="J1780" s="124"/>
      <c r="K1780" s="124"/>
      <c r="L1780" s="124"/>
      <c r="M1780" s="124"/>
      <c r="N1780" s="124"/>
      <c r="O1780" s="124"/>
      <c r="P1780" s="124"/>
      <c r="Q1780" s="124"/>
      <c r="R1780" s="124"/>
      <c r="S1780" s="124"/>
      <c r="T1780" s="124"/>
      <c r="U1780" s="124"/>
      <c r="V1780" s="124"/>
      <c r="W1780" s="124"/>
      <c r="X1780" s="124"/>
      <c r="Y1780" s="124"/>
    </row>
    <row r="1781" spans="2:25" x14ac:dyDescent="0.25">
      <c r="B1781" s="124"/>
      <c r="C1781" s="124"/>
      <c r="D1781" s="124"/>
      <c r="E1781" s="124"/>
      <c r="F1781" s="124"/>
      <c r="G1781" s="124"/>
      <c r="H1781" s="124"/>
      <c r="I1781" s="124"/>
      <c r="J1781" s="124"/>
      <c r="K1781" s="124"/>
      <c r="L1781" s="124"/>
      <c r="M1781" s="124"/>
      <c r="N1781" s="124"/>
      <c r="O1781" s="124"/>
      <c r="P1781" s="124"/>
      <c r="Q1781" s="124"/>
      <c r="R1781" s="124"/>
      <c r="S1781" s="124"/>
      <c r="T1781" s="124"/>
      <c r="U1781" s="124"/>
      <c r="V1781" s="124"/>
      <c r="W1781" s="124"/>
      <c r="X1781" s="124"/>
      <c r="Y1781" s="124"/>
    </row>
    <row r="1782" spans="2:25" x14ac:dyDescent="0.25">
      <c r="B1782" s="124"/>
      <c r="C1782" s="124"/>
      <c r="D1782" s="124"/>
      <c r="E1782" s="124"/>
      <c r="F1782" s="124"/>
      <c r="G1782" s="124"/>
      <c r="H1782" s="124"/>
      <c r="I1782" s="124"/>
      <c r="J1782" s="124"/>
      <c r="K1782" s="124"/>
      <c r="L1782" s="124"/>
      <c r="M1782" s="124"/>
      <c r="N1782" s="124"/>
      <c r="O1782" s="124"/>
      <c r="P1782" s="124"/>
      <c r="Q1782" s="124"/>
      <c r="R1782" s="124"/>
      <c r="S1782" s="124"/>
      <c r="T1782" s="124"/>
      <c r="U1782" s="124"/>
      <c r="V1782" s="124"/>
      <c r="W1782" s="124"/>
      <c r="X1782" s="124"/>
      <c r="Y1782" s="124"/>
    </row>
    <row r="1783" spans="2:25" x14ac:dyDescent="0.25">
      <c r="B1783" s="124"/>
      <c r="C1783" s="124"/>
      <c r="D1783" s="124"/>
      <c r="E1783" s="124"/>
      <c r="F1783" s="124"/>
      <c r="G1783" s="124"/>
      <c r="H1783" s="124"/>
      <c r="I1783" s="124"/>
      <c r="J1783" s="124"/>
      <c r="K1783" s="124"/>
      <c r="L1783" s="124"/>
      <c r="M1783" s="124"/>
      <c r="N1783" s="124"/>
      <c r="O1783" s="124"/>
      <c r="P1783" s="124"/>
      <c r="Q1783" s="124"/>
      <c r="R1783" s="124"/>
      <c r="S1783" s="124"/>
      <c r="T1783" s="124"/>
      <c r="U1783" s="124"/>
      <c r="V1783" s="124"/>
      <c r="W1783" s="124"/>
      <c r="X1783" s="124"/>
      <c r="Y1783" s="124"/>
    </row>
    <row r="1784" spans="2:25" x14ac:dyDescent="0.25">
      <c r="B1784" s="124"/>
      <c r="C1784" s="124"/>
      <c r="D1784" s="124"/>
      <c r="E1784" s="124"/>
      <c r="F1784" s="124"/>
      <c r="G1784" s="124"/>
      <c r="H1784" s="124"/>
      <c r="I1784" s="124"/>
      <c r="J1784" s="124"/>
      <c r="K1784" s="124"/>
      <c r="L1784" s="124"/>
      <c r="M1784" s="124"/>
      <c r="N1784" s="124"/>
      <c r="O1784" s="124"/>
      <c r="P1784" s="124"/>
      <c r="Q1784" s="124"/>
      <c r="R1784" s="124"/>
      <c r="S1784" s="124"/>
      <c r="T1784" s="124"/>
      <c r="U1784" s="124"/>
      <c r="V1784" s="124"/>
      <c r="W1784" s="124"/>
      <c r="X1784" s="124"/>
      <c r="Y1784" s="124"/>
    </row>
    <row r="1785" spans="2:25" x14ac:dyDescent="0.25">
      <c r="B1785" s="124"/>
      <c r="C1785" s="124"/>
      <c r="D1785" s="124"/>
      <c r="E1785" s="124"/>
      <c r="F1785" s="124"/>
      <c r="G1785" s="124"/>
      <c r="H1785" s="124"/>
      <c r="I1785" s="124"/>
      <c r="J1785" s="124"/>
      <c r="K1785" s="124"/>
      <c r="L1785" s="124"/>
      <c r="M1785" s="124"/>
      <c r="N1785" s="124"/>
      <c r="O1785" s="124"/>
      <c r="P1785" s="124"/>
      <c r="Q1785" s="124"/>
      <c r="R1785" s="124"/>
      <c r="S1785" s="124"/>
      <c r="T1785" s="124"/>
      <c r="U1785" s="124"/>
      <c r="V1785" s="124"/>
      <c r="W1785" s="124"/>
      <c r="X1785" s="124"/>
      <c r="Y1785" s="124"/>
    </row>
    <row r="1786" spans="2:25" x14ac:dyDescent="0.25">
      <c r="B1786" s="124"/>
      <c r="C1786" s="124"/>
      <c r="D1786" s="124"/>
      <c r="E1786" s="124"/>
      <c r="F1786" s="124"/>
      <c r="G1786" s="124"/>
      <c r="H1786" s="124"/>
      <c r="I1786" s="124"/>
      <c r="J1786" s="124"/>
      <c r="K1786" s="124"/>
      <c r="L1786" s="124"/>
      <c r="M1786" s="124"/>
      <c r="N1786" s="124"/>
      <c r="O1786" s="124"/>
      <c r="P1786" s="124"/>
      <c r="Q1786" s="124"/>
      <c r="R1786" s="124"/>
      <c r="S1786" s="124"/>
      <c r="T1786" s="124"/>
      <c r="U1786" s="124"/>
      <c r="V1786" s="124"/>
      <c r="W1786" s="124"/>
      <c r="X1786" s="124"/>
      <c r="Y1786" s="124"/>
    </row>
    <row r="1787" spans="2:25" x14ac:dyDescent="0.25">
      <c r="B1787" s="124"/>
      <c r="C1787" s="124"/>
      <c r="D1787" s="124"/>
      <c r="E1787" s="124"/>
      <c r="F1787" s="124"/>
      <c r="G1787" s="124"/>
      <c r="H1787" s="124"/>
      <c r="I1787" s="124"/>
      <c r="J1787" s="124"/>
      <c r="K1787" s="124"/>
      <c r="L1787" s="124"/>
      <c r="M1787" s="124"/>
      <c r="N1787" s="124"/>
      <c r="O1787" s="124"/>
      <c r="P1787" s="124"/>
      <c r="Q1787" s="124"/>
      <c r="R1787" s="124"/>
      <c r="S1787" s="124"/>
      <c r="T1787" s="124"/>
      <c r="U1787" s="124"/>
      <c r="V1787" s="124"/>
      <c r="W1787" s="124"/>
      <c r="X1787" s="124"/>
      <c r="Y1787" s="124"/>
    </row>
    <row r="1788" spans="2:25" x14ac:dyDescent="0.25">
      <c r="B1788" s="124"/>
      <c r="C1788" s="124"/>
      <c r="D1788" s="124"/>
      <c r="E1788" s="124"/>
      <c r="F1788" s="124"/>
      <c r="G1788" s="124"/>
      <c r="H1788" s="124"/>
      <c r="I1788" s="124"/>
      <c r="J1788" s="124"/>
      <c r="K1788" s="124"/>
      <c r="L1788" s="124"/>
      <c r="M1788" s="124"/>
      <c r="N1788" s="124"/>
      <c r="O1788" s="124"/>
      <c r="P1788" s="124"/>
      <c r="Q1788" s="124"/>
      <c r="R1788" s="124"/>
      <c r="S1788" s="124"/>
      <c r="T1788" s="124"/>
      <c r="U1788" s="124"/>
      <c r="V1788" s="124"/>
      <c r="W1788" s="124"/>
      <c r="X1788" s="124"/>
      <c r="Y1788" s="124"/>
    </row>
    <row r="1789" spans="2:25" x14ac:dyDescent="0.25">
      <c r="B1789" s="124"/>
      <c r="C1789" s="124"/>
      <c r="D1789" s="124"/>
      <c r="E1789" s="124"/>
      <c r="F1789" s="124"/>
      <c r="G1789" s="124"/>
      <c r="H1789" s="124"/>
      <c r="I1789" s="124"/>
      <c r="J1789" s="124"/>
      <c r="K1789" s="124"/>
      <c r="L1789" s="124"/>
      <c r="M1789" s="124"/>
      <c r="N1789" s="124"/>
      <c r="O1789" s="124"/>
      <c r="P1789" s="124"/>
      <c r="Q1789" s="124"/>
      <c r="R1789" s="124"/>
      <c r="S1789" s="124"/>
      <c r="T1789" s="124"/>
      <c r="U1789" s="124"/>
      <c r="V1789" s="124"/>
      <c r="W1789" s="124"/>
      <c r="X1789" s="124"/>
      <c r="Y1789" s="124"/>
    </row>
    <row r="1790" spans="2:25" x14ac:dyDescent="0.25">
      <c r="B1790" s="124"/>
      <c r="C1790" s="124"/>
      <c r="D1790" s="124"/>
      <c r="E1790" s="124"/>
      <c r="F1790" s="124"/>
      <c r="G1790" s="124"/>
      <c r="H1790" s="124"/>
      <c r="I1790" s="124"/>
      <c r="J1790" s="124"/>
      <c r="K1790" s="124"/>
      <c r="L1790" s="124"/>
      <c r="M1790" s="124"/>
      <c r="N1790" s="124"/>
      <c r="O1790" s="124"/>
      <c r="P1790" s="124"/>
      <c r="Q1790" s="124"/>
      <c r="R1790" s="124"/>
      <c r="S1790" s="124"/>
      <c r="T1790" s="124"/>
      <c r="U1790" s="124"/>
      <c r="V1790" s="124"/>
      <c r="W1790" s="124"/>
      <c r="X1790" s="124"/>
      <c r="Y1790" s="124"/>
    </row>
    <row r="1791" spans="2:25" x14ac:dyDescent="0.25">
      <c r="B1791" s="124"/>
      <c r="C1791" s="124"/>
      <c r="D1791" s="124"/>
      <c r="E1791" s="124"/>
      <c r="F1791" s="124"/>
      <c r="G1791" s="124"/>
      <c r="H1791" s="124"/>
      <c r="I1791" s="124"/>
      <c r="J1791" s="124"/>
      <c r="K1791" s="124"/>
      <c r="L1791" s="124"/>
      <c r="M1791" s="124"/>
      <c r="N1791" s="124"/>
      <c r="O1791" s="124"/>
      <c r="P1791" s="124"/>
      <c r="Q1791" s="124"/>
      <c r="R1791" s="124"/>
      <c r="S1791" s="124"/>
      <c r="T1791" s="124"/>
      <c r="U1791" s="124"/>
      <c r="V1791" s="124"/>
      <c r="W1791" s="124"/>
      <c r="X1791" s="124"/>
      <c r="Y1791" s="124"/>
    </row>
    <row r="1792" spans="2:25" x14ac:dyDescent="0.25">
      <c r="B1792" s="124"/>
      <c r="C1792" s="124"/>
      <c r="D1792" s="124"/>
      <c r="E1792" s="124"/>
      <c r="F1792" s="124"/>
      <c r="G1792" s="124"/>
      <c r="H1792" s="124"/>
      <c r="I1792" s="124"/>
      <c r="J1792" s="124"/>
      <c r="K1792" s="124"/>
      <c r="L1792" s="124"/>
      <c r="M1792" s="124"/>
      <c r="N1792" s="124"/>
      <c r="O1792" s="124"/>
      <c r="P1792" s="124"/>
      <c r="Q1792" s="124"/>
      <c r="R1792" s="124"/>
      <c r="S1792" s="124"/>
      <c r="T1792" s="124"/>
      <c r="U1792" s="124"/>
      <c r="V1792" s="124"/>
      <c r="W1792" s="124"/>
      <c r="X1792" s="124"/>
      <c r="Y1792" s="124"/>
    </row>
    <row r="1793" spans="2:25" x14ac:dyDescent="0.25">
      <c r="B1793" s="124"/>
      <c r="C1793" s="124"/>
      <c r="D1793" s="124"/>
      <c r="E1793" s="124"/>
      <c r="F1793" s="124"/>
      <c r="G1793" s="124"/>
      <c r="H1793" s="124"/>
      <c r="I1793" s="124"/>
      <c r="J1793" s="124"/>
      <c r="K1793" s="124"/>
      <c r="L1793" s="124"/>
      <c r="M1793" s="124"/>
      <c r="N1793" s="124"/>
      <c r="O1793" s="124"/>
      <c r="P1793" s="124"/>
      <c r="Q1793" s="124"/>
      <c r="R1793" s="124"/>
      <c r="S1793" s="124"/>
      <c r="T1793" s="124"/>
      <c r="U1793" s="124"/>
      <c r="V1793" s="124"/>
      <c r="W1793" s="124"/>
      <c r="X1793" s="124"/>
      <c r="Y1793" s="124"/>
    </row>
    <row r="1794" spans="2:25" x14ac:dyDescent="0.25">
      <c r="B1794" s="124"/>
      <c r="C1794" s="124"/>
      <c r="D1794" s="124"/>
      <c r="E1794" s="124"/>
      <c r="F1794" s="124"/>
      <c r="G1794" s="124"/>
      <c r="H1794" s="124"/>
      <c r="I1794" s="124"/>
      <c r="J1794" s="124"/>
      <c r="K1794" s="124"/>
      <c r="L1794" s="124"/>
      <c r="M1794" s="124"/>
      <c r="N1794" s="124"/>
      <c r="O1794" s="124"/>
      <c r="P1794" s="124"/>
      <c r="Q1794" s="124"/>
      <c r="R1794" s="124"/>
      <c r="S1794" s="124"/>
      <c r="T1794" s="124"/>
      <c r="U1794" s="124"/>
      <c r="V1794" s="124"/>
      <c r="W1794" s="124"/>
      <c r="X1794" s="124"/>
      <c r="Y1794" s="124"/>
    </row>
    <row r="1795" spans="2:25" x14ac:dyDescent="0.25">
      <c r="B1795" s="124"/>
      <c r="C1795" s="124"/>
      <c r="D1795" s="124"/>
      <c r="E1795" s="124"/>
      <c r="F1795" s="124"/>
      <c r="G1795" s="124"/>
      <c r="H1795" s="124"/>
      <c r="I1795" s="124"/>
      <c r="J1795" s="124"/>
      <c r="K1795" s="124"/>
      <c r="L1795" s="124"/>
      <c r="M1795" s="124"/>
      <c r="N1795" s="124"/>
      <c r="O1795" s="124"/>
      <c r="P1795" s="124"/>
      <c r="Q1795" s="124"/>
      <c r="R1795" s="124"/>
      <c r="S1795" s="124"/>
      <c r="T1795" s="124"/>
      <c r="U1795" s="124"/>
      <c r="V1795" s="124"/>
      <c r="W1795" s="124"/>
      <c r="X1795" s="124"/>
      <c r="Y1795" s="124"/>
    </row>
    <row r="1796" spans="2:25" x14ac:dyDescent="0.25">
      <c r="B1796" s="124"/>
      <c r="C1796" s="124"/>
      <c r="D1796" s="124"/>
      <c r="E1796" s="124"/>
      <c r="F1796" s="124"/>
      <c r="G1796" s="124"/>
      <c r="H1796" s="124"/>
      <c r="I1796" s="124"/>
      <c r="J1796" s="124"/>
      <c r="K1796" s="124"/>
      <c r="L1796" s="124"/>
      <c r="M1796" s="124"/>
      <c r="N1796" s="124"/>
      <c r="O1796" s="124"/>
      <c r="P1796" s="124"/>
      <c r="Q1796" s="124"/>
      <c r="R1796" s="124"/>
      <c r="S1796" s="124"/>
      <c r="T1796" s="124"/>
      <c r="U1796" s="124"/>
      <c r="V1796" s="124"/>
      <c r="W1796" s="124"/>
      <c r="X1796" s="124"/>
      <c r="Y1796" s="124"/>
    </row>
    <row r="1797" spans="2:25" x14ac:dyDescent="0.25">
      <c r="B1797" s="124"/>
      <c r="C1797" s="124"/>
      <c r="D1797" s="124"/>
      <c r="E1797" s="124"/>
      <c r="F1797" s="124"/>
      <c r="G1797" s="124"/>
      <c r="H1797" s="124"/>
      <c r="I1797" s="124"/>
      <c r="J1797" s="124"/>
      <c r="K1797" s="124"/>
      <c r="L1797" s="124"/>
      <c r="M1797" s="124"/>
      <c r="N1797" s="124"/>
      <c r="O1797" s="124"/>
      <c r="P1797" s="124"/>
      <c r="Q1797" s="124"/>
      <c r="R1797" s="124"/>
      <c r="S1797" s="124"/>
      <c r="T1797" s="124"/>
      <c r="U1797" s="124"/>
      <c r="V1797" s="124"/>
      <c r="W1797" s="124"/>
      <c r="X1797" s="124"/>
      <c r="Y1797" s="124"/>
    </row>
    <row r="1798" spans="2:25" x14ac:dyDescent="0.25">
      <c r="B1798" s="124"/>
      <c r="C1798" s="124"/>
      <c r="D1798" s="124"/>
      <c r="E1798" s="124"/>
      <c r="F1798" s="124"/>
      <c r="G1798" s="124"/>
      <c r="H1798" s="124"/>
      <c r="I1798" s="124"/>
      <c r="J1798" s="124"/>
      <c r="K1798" s="124"/>
      <c r="L1798" s="124"/>
      <c r="M1798" s="124"/>
      <c r="N1798" s="124"/>
      <c r="O1798" s="124"/>
      <c r="P1798" s="124"/>
      <c r="Q1798" s="124"/>
      <c r="R1798" s="124"/>
      <c r="S1798" s="124"/>
      <c r="T1798" s="124"/>
      <c r="U1798" s="124"/>
      <c r="V1798" s="124"/>
      <c r="W1798" s="124"/>
      <c r="X1798" s="124"/>
      <c r="Y1798" s="124"/>
    </row>
    <row r="1799" spans="2:25" x14ac:dyDescent="0.25">
      <c r="B1799" s="124"/>
      <c r="C1799" s="124"/>
      <c r="D1799" s="124"/>
      <c r="E1799" s="124"/>
      <c r="F1799" s="124"/>
      <c r="G1799" s="124"/>
      <c r="H1799" s="124"/>
      <c r="I1799" s="124"/>
      <c r="J1799" s="124"/>
      <c r="K1799" s="124"/>
      <c r="L1799" s="124"/>
      <c r="M1799" s="124"/>
      <c r="N1799" s="124"/>
      <c r="O1799" s="124"/>
      <c r="P1799" s="124"/>
      <c r="Q1799" s="124"/>
      <c r="R1799" s="124"/>
      <c r="S1799" s="124"/>
      <c r="T1799" s="124"/>
      <c r="U1799" s="124"/>
      <c r="V1799" s="124"/>
      <c r="W1799" s="124"/>
      <c r="X1799" s="124"/>
      <c r="Y1799" s="124"/>
    </row>
    <row r="1800" spans="2:25" x14ac:dyDescent="0.25">
      <c r="B1800" s="124"/>
      <c r="C1800" s="124"/>
      <c r="D1800" s="124"/>
      <c r="E1800" s="124"/>
      <c r="F1800" s="124"/>
      <c r="G1800" s="124"/>
      <c r="H1800" s="124"/>
      <c r="I1800" s="124"/>
      <c r="J1800" s="124"/>
      <c r="K1800" s="124"/>
      <c r="L1800" s="124"/>
      <c r="M1800" s="124"/>
      <c r="N1800" s="124"/>
      <c r="O1800" s="124"/>
      <c r="P1800" s="124"/>
      <c r="Q1800" s="124"/>
      <c r="R1800" s="124"/>
      <c r="S1800" s="124"/>
      <c r="T1800" s="124"/>
      <c r="U1800" s="124"/>
      <c r="V1800" s="124"/>
      <c r="W1800" s="124"/>
      <c r="X1800" s="124"/>
      <c r="Y1800" s="124"/>
    </row>
    <row r="1801" spans="2:25" x14ac:dyDescent="0.25">
      <c r="B1801" s="124"/>
      <c r="C1801" s="124"/>
      <c r="D1801" s="124"/>
      <c r="E1801" s="124"/>
      <c r="F1801" s="124"/>
      <c r="G1801" s="124"/>
      <c r="H1801" s="124"/>
      <c r="I1801" s="124"/>
      <c r="J1801" s="124"/>
      <c r="K1801" s="124"/>
      <c r="L1801" s="124"/>
      <c r="M1801" s="124"/>
      <c r="N1801" s="124"/>
      <c r="O1801" s="124"/>
      <c r="P1801" s="124"/>
      <c r="Q1801" s="124"/>
      <c r="R1801" s="124"/>
      <c r="S1801" s="124"/>
      <c r="T1801" s="124"/>
      <c r="U1801" s="124"/>
      <c r="V1801" s="124"/>
      <c r="W1801" s="124"/>
      <c r="X1801" s="124"/>
      <c r="Y1801" s="124"/>
    </row>
    <row r="1802" spans="2:25" x14ac:dyDescent="0.25">
      <c r="B1802" s="124"/>
      <c r="C1802" s="124"/>
      <c r="D1802" s="124"/>
      <c r="E1802" s="124"/>
      <c r="F1802" s="124"/>
      <c r="G1802" s="124"/>
      <c r="H1802" s="124"/>
      <c r="I1802" s="124"/>
      <c r="J1802" s="124"/>
      <c r="K1802" s="124"/>
      <c r="L1802" s="124"/>
      <c r="M1802" s="124"/>
      <c r="N1802" s="124"/>
      <c r="O1802" s="124"/>
      <c r="P1802" s="124"/>
      <c r="Q1802" s="124"/>
      <c r="R1802" s="124"/>
      <c r="S1802" s="124"/>
      <c r="T1802" s="124"/>
      <c r="U1802" s="124"/>
      <c r="V1802" s="124"/>
      <c r="W1802" s="124"/>
      <c r="X1802" s="124"/>
      <c r="Y1802" s="124"/>
    </row>
    <row r="1803" spans="2:25" x14ac:dyDescent="0.25">
      <c r="B1803" s="124"/>
      <c r="C1803" s="124"/>
      <c r="D1803" s="124"/>
      <c r="E1803" s="124"/>
      <c r="F1803" s="124"/>
      <c r="G1803" s="124"/>
      <c r="H1803" s="124"/>
      <c r="I1803" s="124"/>
      <c r="J1803" s="124"/>
      <c r="K1803" s="124"/>
      <c r="L1803" s="124"/>
      <c r="M1803" s="124"/>
      <c r="N1803" s="124"/>
      <c r="O1803" s="124"/>
      <c r="P1803" s="124"/>
      <c r="Q1803" s="124"/>
      <c r="R1803" s="124"/>
      <c r="S1803" s="124"/>
      <c r="T1803" s="124"/>
      <c r="U1803" s="124"/>
      <c r="V1803" s="124"/>
      <c r="W1803" s="124"/>
      <c r="X1803" s="124"/>
      <c r="Y1803" s="124"/>
    </row>
    <row r="1804" spans="2:25" x14ac:dyDescent="0.25">
      <c r="B1804" s="124"/>
      <c r="C1804" s="124"/>
      <c r="D1804" s="124"/>
      <c r="E1804" s="124"/>
      <c r="F1804" s="124"/>
      <c r="G1804" s="124"/>
      <c r="H1804" s="124"/>
      <c r="I1804" s="124"/>
      <c r="J1804" s="124"/>
      <c r="K1804" s="124"/>
      <c r="L1804" s="124"/>
      <c r="M1804" s="124"/>
      <c r="N1804" s="124"/>
      <c r="O1804" s="124"/>
      <c r="P1804" s="124"/>
      <c r="Q1804" s="124"/>
      <c r="R1804" s="124"/>
      <c r="S1804" s="124"/>
      <c r="T1804" s="124"/>
      <c r="U1804" s="124"/>
      <c r="V1804" s="124"/>
      <c r="W1804" s="124"/>
      <c r="X1804" s="124"/>
      <c r="Y1804" s="124"/>
    </row>
    <row r="1805" spans="2:25" x14ac:dyDescent="0.25">
      <c r="B1805" s="124"/>
      <c r="C1805" s="124"/>
      <c r="D1805" s="124"/>
      <c r="E1805" s="124"/>
      <c r="F1805" s="124"/>
      <c r="G1805" s="124"/>
      <c r="H1805" s="124"/>
      <c r="I1805" s="124"/>
      <c r="J1805" s="124"/>
      <c r="K1805" s="124"/>
      <c r="L1805" s="124"/>
      <c r="M1805" s="124"/>
      <c r="N1805" s="124"/>
      <c r="O1805" s="124"/>
      <c r="P1805" s="124"/>
      <c r="Q1805" s="124"/>
      <c r="R1805" s="124"/>
      <c r="S1805" s="124"/>
      <c r="T1805" s="124"/>
      <c r="U1805" s="124"/>
      <c r="V1805" s="124"/>
      <c r="W1805" s="124"/>
      <c r="X1805" s="124"/>
      <c r="Y1805" s="124"/>
    </row>
    <row r="1806" spans="2:25" x14ac:dyDescent="0.25">
      <c r="B1806" s="124"/>
      <c r="C1806" s="124"/>
      <c r="D1806" s="124"/>
      <c r="E1806" s="124"/>
      <c r="F1806" s="124"/>
      <c r="G1806" s="124"/>
      <c r="H1806" s="124"/>
      <c r="I1806" s="124"/>
      <c r="J1806" s="124"/>
      <c r="K1806" s="124"/>
      <c r="L1806" s="124"/>
      <c r="M1806" s="124"/>
      <c r="N1806" s="124"/>
      <c r="O1806" s="124"/>
      <c r="P1806" s="124"/>
      <c r="Q1806" s="124"/>
      <c r="R1806" s="124"/>
      <c r="S1806" s="124"/>
      <c r="T1806" s="124"/>
      <c r="U1806" s="124"/>
      <c r="V1806" s="124"/>
      <c r="W1806" s="124"/>
      <c r="X1806" s="124"/>
      <c r="Y1806" s="124"/>
    </row>
    <row r="1807" spans="2:25" x14ac:dyDescent="0.25">
      <c r="B1807" s="124"/>
      <c r="C1807" s="124"/>
      <c r="D1807" s="124"/>
      <c r="E1807" s="124"/>
      <c r="F1807" s="124"/>
      <c r="G1807" s="124"/>
      <c r="H1807" s="124"/>
      <c r="I1807" s="124"/>
      <c r="J1807" s="124"/>
      <c r="K1807" s="124"/>
      <c r="L1807" s="124"/>
      <c r="M1807" s="124"/>
      <c r="N1807" s="124"/>
      <c r="O1807" s="124"/>
      <c r="P1807" s="124"/>
      <c r="Q1807" s="124"/>
      <c r="R1807" s="124"/>
      <c r="S1807" s="124"/>
      <c r="T1807" s="124"/>
      <c r="U1807" s="124"/>
      <c r="V1807" s="124"/>
      <c r="W1807" s="124"/>
      <c r="X1807" s="124"/>
      <c r="Y1807" s="124"/>
    </row>
    <row r="1808" spans="2:25" x14ac:dyDescent="0.25">
      <c r="B1808" s="124"/>
      <c r="C1808" s="124"/>
      <c r="D1808" s="124"/>
      <c r="E1808" s="124"/>
      <c r="F1808" s="124"/>
      <c r="G1808" s="124"/>
      <c r="H1808" s="124"/>
      <c r="I1808" s="124"/>
      <c r="J1808" s="124"/>
      <c r="K1808" s="124"/>
      <c r="L1808" s="124"/>
      <c r="M1808" s="124"/>
      <c r="N1808" s="124"/>
      <c r="O1808" s="124"/>
      <c r="P1808" s="124"/>
      <c r="Q1808" s="124"/>
      <c r="R1808" s="124"/>
      <c r="S1808" s="124"/>
      <c r="T1808" s="124"/>
      <c r="U1808" s="124"/>
      <c r="V1808" s="124"/>
      <c r="W1808" s="124"/>
      <c r="X1808" s="124"/>
      <c r="Y1808" s="124"/>
    </row>
    <row r="1809" spans="2:25" x14ac:dyDescent="0.25">
      <c r="B1809" s="124"/>
      <c r="C1809" s="124"/>
      <c r="D1809" s="124"/>
      <c r="E1809" s="124"/>
      <c r="F1809" s="124"/>
      <c r="G1809" s="124"/>
      <c r="H1809" s="124"/>
      <c r="I1809" s="124"/>
      <c r="J1809" s="124"/>
      <c r="K1809" s="124"/>
      <c r="L1809" s="124"/>
      <c r="M1809" s="124"/>
      <c r="N1809" s="124"/>
      <c r="O1809" s="124"/>
      <c r="P1809" s="124"/>
      <c r="Q1809" s="124"/>
      <c r="R1809" s="124"/>
      <c r="S1809" s="124"/>
      <c r="T1809" s="124"/>
      <c r="U1809" s="124"/>
      <c r="V1809" s="124"/>
      <c r="W1809" s="124"/>
      <c r="X1809" s="124"/>
      <c r="Y1809" s="124"/>
    </row>
    <row r="1810" spans="2:25" x14ac:dyDescent="0.25">
      <c r="B1810" s="124"/>
      <c r="C1810" s="124"/>
      <c r="D1810" s="124"/>
      <c r="E1810" s="124"/>
      <c r="F1810" s="124"/>
      <c r="G1810" s="124"/>
      <c r="H1810" s="124"/>
      <c r="I1810" s="124"/>
      <c r="J1810" s="124"/>
      <c r="K1810" s="124"/>
      <c r="L1810" s="124"/>
      <c r="M1810" s="124"/>
      <c r="N1810" s="124"/>
      <c r="O1810" s="124"/>
      <c r="P1810" s="124"/>
      <c r="Q1810" s="124"/>
      <c r="R1810" s="124"/>
      <c r="S1810" s="124"/>
      <c r="T1810" s="124"/>
      <c r="U1810" s="124"/>
      <c r="V1810" s="124"/>
      <c r="W1810" s="124"/>
      <c r="X1810" s="124"/>
      <c r="Y1810" s="124"/>
    </row>
    <row r="1811" spans="2:25" x14ac:dyDescent="0.25">
      <c r="B1811" s="124"/>
      <c r="C1811" s="124"/>
      <c r="D1811" s="124"/>
      <c r="E1811" s="124"/>
      <c r="F1811" s="124"/>
      <c r="G1811" s="124"/>
      <c r="H1811" s="124"/>
      <c r="I1811" s="124"/>
      <c r="J1811" s="124"/>
      <c r="K1811" s="124"/>
      <c r="L1811" s="124"/>
      <c r="M1811" s="124"/>
      <c r="N1811" s="124"/>
      <c r="O1811" s="124"/>
      <c r="P1811" s="124"/>
      <c r="Q1811" s="124"/>
      <c r="R1811" s="124"/>
      <c r="S1811" s="124"/>
      <c r="T1811" s="124"/>
      <c r="U1811" s="124"/>
      <c r="V1811" s="124"/>
      <c r="W1811" s="124"/>
      <c r="X1811" s="124"/>
      <c r="Y1811" s="124"/>
    </row>
    <row r="1812" spans="2:25" x14ac:dyDescent="0.25">
      <c r="B1812" s="124"/>
      <c r="C1812" s="124"/>
      <c r="D1812" s="124"/>
      <c r="E1812" s="124"/>
      <c r="F1812" s="124"/>
      <c r="G1812" s="124"/>
      <c r="H1812" s="124"/>
      <c r="I1812" s="124"/>
      <c r="J1812" s="124"/>
      <c r="K1812" s="124"/>
      <c r="L1812" s="124"/>
      <c r="M1812" s="124"/>
      <c r="N1812" s="124"/>
      <c r="O1812" s="124"/>
      <c r="P1812" s="124"/>
      <c r="Q1812" s="124"/>
      <c r="R1812" s="124"/>
      <c r="S1812" s="124"/>
      <c r="T1812" s="124"/>
      <c r="U1812" s="124"/>
      <c r="V1812" s="124"/>
      <c r="W1812" s="124"/>
      <c r="X1812" s="124"/>
      <c r="Y1812" s="124"/>
    </row>
    <row r="1813" spans="2:25" x14ac:dyDescent="0.25">
      <c r="B1813" s="124"/>
      <c r="C1813" s="124"/>
      <c r="D1813" s="124"/>
      <c r="E1813" s="124"/>
      <c r="F1813" s="124"/>
      <c r="G1813" s="124"/>
      <c r="H1813" s="124"/>
      <c r="I1813" s="124"/>
      <c r="J1813" s="124"/>
      <c r="K1813" s="124"/>
      <c r="L1813" s="124"/>
      <c r="M1813" s="124"/>
      <c r="N1813" s="124"/>
      <c r="O1813" s="124"/>
      <c r="P1813" s="124"/>
      <c r="Q1813" s="124"/>
      <c r="R1813" s="124"/>
      <c r="S1813" s="124"/>
      <c r="T1813" s="124"/>
      <c r="U1813" s="124"/>
      <c r="V1813" s="124"/>
      <c r="W1813" s="124"/>
      <c r="X1813" s="124"/>
      <c r="Y1813" s="124"/>
    </row>
    <row r="1814" spans="2:25" x14ac:dyDescent="0.25">
      <c r="B1814" s="124"/>
      <c r="C1814" s="124"/>
      <c r="D1814" s="124"/>
      <c r="E1814" s="124"/>
      <c r="F1814" s="124"/>
      <c r="G1814" s="124"/>
      <c r="H1814" s="124"/>
      <c r="I1814" s="124"/>
      <c r="J1814" s="124"/>
      <c r="K1814" s="124"/>
      <c r="L1814" s="124"/>
      <c r="M1814" s="124"/>
      <c r="N1814" s="124"/>
      <c r="O1814" s="124"/>
      <c r="P1814" s="124"/>
      <c r="Q1814" s="124"/>
      <c r="R1814" s="124"/>
      <c r="S1814" s="124"/>
      <c r="T1814" s="124"/>
      <c r="U1814" s="124"/>
      <c r="V1814" s="124"/>
      <c r="W1814" s="124"/>
      <c r="X1814" s="124"/>
      <c r="Y1814" s="124"/>
    </row>
    <row r="1815" spans="2:25" x14ac:dyDescent="0.25">
      <c r="B1815" s="124"/>
      <c r="C1815" s="124"/>
      <c r="D1815" s="124"/>
      <c r="E1815" s="124"/>
      <c r="F1815" s="124"/>
      <c r="G1815" s="124"/>
      <c r="H1815" s="124"/>
      <c r="I1815" s="124"/>
      <c r="J1815" s="124"/>
      <c r="K1815" s="124"/>
      <c r="L1815" s="124"/>
      <c r="M1815" s="124"/>
      <c r="N1815" s="124"/>
      <c r="O1815" s="124"/>
      <c r="P1815" s="124"/>
      <c r="Q1815" s="124"/>
      <c r="R1815" s="124"/>
      <c r="S1815" s="124"/>
      <c r="T1815" s="124"/>
      <c r="U1815" s="124"/>
      <c r="V1815" s="124"/>
      <c r="W1815" s="124"/>
      <c r="X1815" s="124"/>
      <c r="Y1815" s="124"/>
    </row>
    <row r="1816" spans="2:25" x14ac:dyDescent="0.25">
      <c r="B1816" s="124"/>
      <c r="C1816" s="124"/>
      <c r="D1816" s="124"/>
      <c r="E1816" s="124"/>
      <c r="F1816" s="124"/>
      <c r="G1816" s="124"/>
      <c r="H1816" s="124"/>
      <c r="I1816" s="124"/>
      <c r="J1816" s="124"/>
      <c r="K1816" s="124"/>
      <c r="L1816" s="124"/>
      <c r="M1816" s="124"/>
      <c r="N1816" s="124"/>
      <c r="O1816" s="124"/>
      <c r="P1816" s="124"/>
      <c r="Q1816" s="124"/>
      <c r="R1816" s="124"/>
      <c r="S1816" s="124"/>
      <c r="T1816" s="124"/>
      <c r="U1816" s="124"/>
      <c r="V1816" s="124"/>
      <c r="W1816" s="124"/>
      <c r="X1816" s="124"/>
      <c r="Y1816" s="124"/>
    </row>
    <row r="1817" spans="2:25" x14ac:dyDescent="0.25">
      <c r="B1817" s="124"/>
      <c r="C1817" s="124"/>
      <c r="D1817" s="124"/>
      <c r="E1817" s="124"/>
      <c r="F1817" s="124"/>
      <c r="G1817" s="124"/>
      <c r="H1817" s="124"/>
      <c r="I1817" s="124"/>
      <c r="J1817" s="124"/>
      <c r="K1817" s="124"/>
      <c r="L1817" s="124"/>
      <c r="M1817" s="124"/>
      <c r="N1817" s="124"/>
      <c r="O1817" s="124"/>
      <c r="P1817" s="124"/>
      <c r="Q1817" s="124"/>
      <c r="R1817" s="124"/>
      <c r="S1817" s="124"/>
      <c r="T1817" s="124"/>
      <c r="U1817" s="124"/>
      <c r="V1817" s="124"/>
      <c r="W1817" s="124"/>
      <c r="X1817" s="124"/>
      <c r="Y1817" s="124"/>
    </row>
    <row r="1818" spans="2:25" x14ac:dyDescent="0.25">
      <c r="B1818" s="124"/>
      <c r="C1818" s="124"/>
      <c r="D1818" s="124"/>
      <c r="E1818" s="124"/>
      <c r="F1818" s="124"/>
      <c r="G1818" s="124"/>
      <c r="H1818" s="124"/>
      <c r="I1818" s="124"/>
      <c r="J1818" s="124"/>
      <c r="K1818" s="124"/>
      <c r="L1818" s="124"/>
      <c r="M1818" s="124"/>
      <c r="N1818" s="124"/>
      <c r="O1818" s="124"/>
      <c r="P1818" s="124"/>
      <c r="Q1818" s="124"/>
      <c r="R1818" s="124"/>
      <c r="S1818" s="124"/>
      <c r="T1818" s="124"/>
      <c r="U1818" s="124"/>
      <c r="V1818" s="124"/>
      <c r="W1818" s="124"/>
      <c r="X1818" s="124"/>
      <c r="Y1818" s="124"/>
    </row>
    <row r="1819" spans="2:25" x14ac:dyDescent="0.25">
      <c r="B1819" s="124"/>
      <c r="C1819" s="124"/>
      <c r="D1819" s="124"/>
      <c r="E1819" s="124"/>
      <c r="F1819" s="124"/>
      <c r="G1819" s="124"/>
      <c r="H1819" s="124"/>
      <c r="I1819" s="124"/>
      <c r="J1819" s="124"/>
      <c r="K1819" s="124"/>
      <c r="L1819" s="124"/>
      <c r="M1819" s="124"/>
      <c r="N1819" s="124"/>
      <c r="O1819" s="124"/>
      <c r="P1819" s="124"/>
      <c r="Q1819" s="124"/>
      <c r="R1819" s="124"/>
      <c r="S1819" s="124"/>
      <c r="T1819" s="124"/>
      <c r="U1819" s="124"/>
      <c r="V1819" s="124"/>
      <c r="W1819" s="124"/>
      <c r="X1819" s="124"/>
      <c r="Y1819" s="124"/>
    </row>
    <row r="1820" spans="2:25" x14ac:dyDescent="0.25">
      <c r="B1820" s="124"/>
      <c r="C1820" s="124"/>
      <c r="D1820" s="124"/>
      <c r="E1820" s="124"/>
      <c r="F1820" s="124"/>
      <c r="G1820" s="124"/>
      <c r="H1820" s="124"/>
      <c r="I1820" s="124"/>
      <c r="J1820" s="124"/>
      <c r="K1820" s="124"/>
      <c r="L1820" s="124"/>
      <c r="M1820" s="124"/>
      <c r="N1820" s="124"/>
      <c r="O1820" s="124"/>
      <c r="P1820" s="124"/>
      <c r="Q1820" s="124"/>
      <c r="R1820" s="124"/>
      <c r="S1820" s="124"/>
      <c r="T1820" s="124"/>
      <c r="U1820" s="124"/>
      <c r="V1820" s="124"/>
      <c r="W1820" s="124"/>
      <c r="X1820" s="124"/>
      <c r="Y1820" s="124"/>
    </row>
    <row r="1821" spans="2:25" x14ac:dyDescent="0.25">
      <c r="B1821" s="124"/>
      <c r="C1821" s="124"/>
      <c r="D1821" s="124"/>
      <c r="E1821" s="124"/>
      <c r="F1821" s="124"/>
      <c r="G1821" s="124"/>
      <c r="H1821" s="124"/>
      <c r="I1821" s="124"/>
      <c r="J1821" s="124"/>
      <c r="K1821" s="124"/>
      <c r="L1821" s="124"/>
      <c r="M1821" s="124"/>
      <c r="N1821" s="124"/>
      <c r="O1821" s="124"/>
      <c r="P1821" s="124"/>
      <c r="Q1821" s="124"/>
      <c r="R1821" s="124"/>
      <c r="S1821" s="124"/>
      <c r="T1821" s="124"/>
      <c r="U1821" s="124"/>
      <c r="V1821" s="124"/>
      <c r="W1821" s="124"/>
      <c r="X1821" s="124"/>
      <c r="Y1821" s="124"/>
    </row>
    <row r="1822" spans="2:25" x14ac:dyDescent="0.25">
      <c r="B1822" s="124"/>
      <c r="C1822" s="124"/>
      <c r="D1822" s="124"/>
      <c r="E1822" s="124"/>
      <c r="F1822" s="124"/>
      <c r="G1822" s="124"/>
      <c r="H1822" s="124"/>
      <c r="I1822" s="124"/>
      <c r="J1822" s="124"/>
      <c r="K1822" s="124"/>
      <c r="L1822" s="124"/>
      <c r="M1822" s="124"/>
      <c r="N1822" s="124"/>
      <c r="O1822" s="124"/>
      <c r="P1822" s="124"/>
      <c r="Q1822" s="124"/>
      <c r="R1822" s="124"/>
      <c r="S1822" s="124"/>
      <c r="T1822" s="124"/>
      <c r="U1822" s="124"/>
      <c r="V1822" s="124"/>
      <c r="W1822" s="124"/>
      <c r="X1822" s="124"/>
      <c r="Y1822" s="124"/>
    </row>
    <row r="1823" spans="2:25" x14ac:dyDescent="0.25">
      <c r="B1823" s="124"/>
      <c r="C1823" s="124"/>
      <c r="D1823" s="124"/>
      <c r="E1823" s="124"/>
      <c r="F1823" s="124"/>
      <c r="G1823" s="124"/>
      <c r="H1823" s="124"/>
      <c r="I1823" s="124"/>
      <c r="J1823" s="124"/>
      <c r="K1823" s="124"/>
      <c r="L1823" s="124"/>
      <c r="M1823" s="124"/>
      <c r="N1823" s="124"/>
      <c r="O1823" s="124"/>
      <c r="P1823" s="124"/>
      <c r="Q1823" s="124"/>
      <c r="R1823" s="124"/>
      <c r="S1823" s="124"/>
      <c r="T1823" s="124"/>
      <c r="U1823" s="124"/>
      <c r="V1823" s="124"/>
      <c r="W1823" s="124"/>
      <c r="X1823" s="124"/>
      <c r="Y1823" s="124"/>
    </row>
    <row r="1824" spans="2:25" x14ac:dyDescent="0.25">
      <c r="B1824" s="124"/>
      <c r="C1824" s="124"/>
      <c r="D1824" s="124"/>
      <c r="E1824" s="124"/>
      <c r="F1824" s="124"/>
      <c r="G1824" s="124"/>
      <c r="H1824" s="124"/>
      <c r="I1824" s="124"/>
      <c r="J1824" s="124"/>
      <c r="K1824" s="124"/>
      <c r="L1824" s="124"/>
      <c r="M1824" s="124"/>
      <c r="N1824" s="124"/>
      <c r="O1824" s="124"/>
      <c r="P1824" s="124"/>
      <c r="Q1824" s="124"/>
      <c r="R1824" s="124"/>
      <c r="S1824" s="124"/>
      <c r="T1824" s="124"/>
      <c r="U1824" s="124"/>
      <c r="V1824" s="124"/>
      <c r="W1824" s="124"/>
      <c r="X1824" s="124"/>
      <c r="Y1824" s="124"/>
    </row>
    <row r="1825" spans="2:25" x14ac:dyDescent="0.25">
      <c r="B1825" s="124"/>
      <c r="C1825" s="124"/>
      <c r="D1825" s="124"/>
      <c r="E1825" s="124"/>
      <c r="F1825" s="124"/>
      <c r="G1825" s="124"/>
      <c r="H1825" s="124"/>
      <c r="I1825" s="124"/>
      <c r="J1825" s="124"/>
      <c r="K1825" s="124"/>
      <c r="L1825" s="124"/>
      <c r="M1825" s="124"/>
      <c r="N1825" s="124"/>
      <c r="O1825" s="124"/>
      <c r="P1825" s="124"/>
      <c r="Q1825" s="124"/>
      <c r="R1825" s="124"/>
      <c r="S1825" s="124"/>
      <c r="T1825" s="124"/>
      <c r="U1825" s="124"/>
      <c r="V1825" s="124"/>
      <c r="W1825" s="124"/>
      <c r="X1825" s="124"/>
      <c r="Y1825" s="124"/>
    </row>
    <row r="1826" spans="2:25" x14ac:dyDescent="0.25">
      <c r="B1826" s="124"/>
      <c r="C1826" s="124"/>
      <c r="D1826" s="124"/>
      <c r="E1826" s="124"/>
      <c r="F1826" s="124"/>
      <c r="G1826" s="124"/>
      <c r="H1826" s="124"/>
      <c r="I1826" s="124"/>
      <c r="J1826" s="124"/>
      <c r="K1826" s="124"/>
      <c r="L1826" s="124"/>
      <c r="M1826" s="124"/>
      <c r="N1826" s="124"/>
      <c r="O1826" s="124"/>
      <c r="P1826" s="124"/>
      <c r="Q1826" s="124"/>
      <c r="R1826" s="124"/>
      <c r="S1826" s="124"/>
      <c r="T1826" s="124"/>
      <c r="U1826" s="124"/>
      <c r="V1826" s="124"/>
      <c r="W1826" s="124"/>
      <c r="X1826" s="124"/>
      <c r="Y1826" s="124"/>
    </row>
    <row r="1827" spans="2:25" x14ac:dyDescent="0.25">
      <c r="B1827" s="124"/>
      <c r="C1827" s="124"/>
      <c r="D1827" s="124"/>
      <c r="E1827" s="124"/>
      <c r="F1827" s="124"/>
      <c r="G1827" s="124"/>
      <c r="H1827" s="124"/>
      <c r="I1827" s="124"/>
      <c r="J1827" s="124"/>
      <c r="K1827" s="124"/>
      <c r="L1827" s="124"/>
      <c r="M1827" s="124"/>
      <c r="N1827" s="124"/>
      <c r="O1827" s="124"/>
      <c r="P1827" s="124"/>
      <c r="Q1827" s="124"/>
      <c r="R1827" s="124"/>
      <c r="S1827" s="124"/>
      <c r="T1827" s="124"/>
      <c r="U1827" s="124"/>
      <c r="V1827" s="124"/>
      <c r="W1827" s="124"/>
      <c r="X1827" s="124"/>
      <c r="Y1827" s="124"/>
    </row>
    <row r="1828" spans="2:25" x14ac:dyDescent="0.25">
      <c r="B1828" s="124"/>
      <c r="C1828" s="124"/>
      <c r="D1828" s="124"/>
      <c r="E1828" s="124"/>
      <c r="F1828" s="124"/>
      <c r="G1828" s="124"/>
      <c r="H1828" s="124"/>
      <c r="I1828" s="124"/>
      <c r="J1828" s="124"/>
      <c r="K1828" s="124"/>
      <c r="L1828" s="124"/>
      <c r="M1828" s="124"/>
      <c r="N1828" s="124"/>
      <c r="O1828" s="124"/>
      <c r="P1828" s="124"/>
      <c r="Q1828" s="124"/>
      <c r="R1828" s="124"/>
      <c r="S1828" s="124"/>
      <c r="T1828" s="124"/>
      <c r="U1828" s="124"/>
      <c r="V1828" s="124"/>
      <c r="W1828" s="124"/>
      <c r="X1828" s="124"/>
      <c r="Y1828" s="124"/>
    </row>
    <row r="1829" spans="2:25" x14ac:dyDescent="0.25">
      <c r="B1829" s="124"/>
      <c r="C1829" s="124"/>
      <c r="D1829" s="124"/>
      <c r="E1829" s="124"/>
      <c r="F1829" s="124"/>
      <c r="G1829" s="124"/>
      <c r="H1829" s="124"/>
      <c r="I1829" s="124"/>
      <c r="J1829" s="124"/>
      <c r="K1829" s="124"/>
      <c r="L1829" s="124"/>
      <c r="M1829" s="124"/>
      <c r="N1829" s="124"/>
      <c r="O1829" s="124"/>
      <c r="P1829" s="124"/>
      <c r="Q1829" s="124"/>
      <c r="R1829" s="124"/>
      <c r="S1829" s="124"/>
      <c r="T1829" s="124"/>
      <c r="U1829" s="124"/>
      <c r="V1829" s="124"/>
      <c r="W1829" s="124"/>
      <c r="X1829" s="124"/>
      <c r="Y1829" s="124"/>
    </row>
    <row r="1830" spans="2:25" x14ac:dyDescent="0.25">
      <c r="B1830" s="124"/>
      <c r="C1830" s="124"/>
      <c r="D1830" s="124"/>
      <c r="E1830" s="124"/>
      <c r="F1830" s="124"/>
      <c r="G1830" s="124"/>
      <c r="H1830" s="124"/>
      <c r="I1830" s="124"/>
      <c r="J1830" s="124"/>
      <c r="K1830" s="124"/>
      <c r="L1830" s="124"/>
      <c r="M1830" s="124"/>
      <c r="N1830" s="124"/>
      <c r="O1830" s="124"/>
      <c r="P1830" s="124"/>
      <c r="Q1830" s="124"/>
      <c r="R1830" s="124"/>
      <c r="S1830" s="124"/>
      <c r="T1830" s="124"/>
      <c r="U1830" s="124"/>
      <c r="V1830" s="124"/>
      <c r="W1830" s="124"/>
      <c r="X1830" s="124"/>
      <c r="Y1830" s="124"/>
    </row>
    <row r="1831" spans="2:25" x14ac:dyDescent="0.25">
      <c r="B1831" s="124"/>
      <c r="C1831" s="124"/>
      <c r="D1831" s="124"/>
      <c r="E1831" s="124"/>
      <c r="F1831" s="124"/>
      <c r="G1831" s="124"/>
      <c r="H1831" s="124"/>
      <c r="I1831" s="124"/>
      <c r="J1831" s="124"/>
      <c r="K1831" s="124"/>
      <c r="L1831" s="124"/>
      <c r="M1831" s="124"/>
      <c r="N1831" s="124"/>
      <c r="O1831" s="124"/>
      <c r="P1831" s="124"/>
      <c r="Q1831" s="124"/>
      <c r="R1831" s="124"/>
      <c r="S1831" s="124"/>
      <c r="T1831" s="124"/>
      <c r="U1831" s="124"/>
      <c r="V1831" s="124"/>
      <c r="W1831" s="124"/>
      <c r="X1831" s="124"/>
      <c r="Y1831" s="124"/>
    </row>
    <row r="1832" spans="2:25" x14ac:dyDescent="0.25">
      <c r="B1832" s="124"/>
      <c r="C1832" s="124"/>
      <c r="D1832" s="124"/>
      <c r="E1832" s="124"/>
      <c r="F1832" s="124"/>
      <c r="G1832" s="124"/>
      <c r="H1832" s="124"/>
      <c r="I1832" s="124"/>
      <c r="J1832" s="124"/>
      <c r="K1832" s="124"/>
      <c r="L1832" s="124"/>
      <c r="M1832" s="124"/>
      <c r="N1832" s="124"/>
      <c r="O1832" s="124"/>
      <c r="P1832" s="124"/>
      <c r="Q1832" s="124"/>
      <c r="R1832" s="124"/>
      <c r="S1832" s="124"/>
      <c r="T1832" s="124"/>
      <c r="U1832" s="124"/>
      <c r="V1832" s="124"/>
      <c r="W1832" s="124"/>
      <c r="X1832" s="124"/>
      <c r="Y1832" s="124"/>
    </row>
    <row r="1833" spans="2:25" x14ac:dyDescent="0.25">
      <c r="B1833" s="124"/>
      <c r="C1833" s="124"/>
      <c r="D1833" s="124"/>
      <c r="E1833" s="124"/>
      <c r="F1833" s="124"/>
      <c r="G1833" s="124"/>
      <c r="H1833" s="124"/>
      <c r="I1833" s="124"/>
      <c r="J1833" s="124"/>
      <c r="K1833" s="124"/>
      <c r="L1833" s="124"/>
      <c r="M1833" s="124"/>
      <c r="N1833" s="124"/>
      <c r="O1833" s="124"/>
      <c r="P1833" s="124"/>
      <c r="Q1833" s="124"/>
      <c r="R1833" s="124"/>
      <c r="S1833" s="124"/>
      <c r="T1833" s="124"/>
      <c r="U1833" s="124"/>
      <c r="V1833" s="124"/>
      <c r="W1833" s="124"/>
      <c r="X1833" s="124"/>
      <c r="Y1833" s="124"/>
    </row>
    <row r="1834" spans="2:25" x14ac:dyDescent="0.25">
      <c r="B1834" s="124"/>
      <c r="C1834" s="124"/>
      <c r="D1834" s="124"/>
      <c r="E1834" s="124"/>
      <c r="F1834" s="124"/>
      <c r="G1834" s="124"/>
      <c r="H1834" s="124"/>
      <c r="I1834" s="124"/>
      <c r="J1834" s="124"/>
      <c r="K1834" s="124"/>
      <c r="L1834" s="124"/>
      <c r="M1834" s="124"/>
      <c r="N1834" s="124"/>
      <c r="O1834" s="124"/>
      <c r="P1834" s="124"/>
      <c r="Q1834" s="124"/>
      <c r="R1834" s="124"/>
      <c r="S1834" s="124"/>
      <c r="T1834" s="124"/>
      <c r="U1834" s="124"/>
      <c r="V1834" s="124"/>
      <c r="W1834" s="124"/>
      <c r="X1834" s="124"/>
      <c r="Y1834" s="124"/>
    </row>
    <row r="1835" spans="2:25" x14ac:dyDescent="0.25">
      <c r="B1835" s="124"/>
      <c r="C1835" s="124"/>
      <c r="D1835" s="124"/>
      <c r="E1835" s="124"/>
      <c r="F1835" s="124"/>
      <c r="G1835" s="124"/>
      <c r="H1835" s="124"/>
      <c r="I1835" s="124"/>
      <c r="J1835" s="124"/>
      <c r="K1835" s="124"/>
      <c r="L1835" s="124"/>
      <c r="M1835" s="124"/>
      <c r="N1835" s="124"/>
      <c r="O1835" s="124"/>
      <c r="P1835" s="124"/>
      <c r="Q1835" s="124"/>
      <c r="R1835" s="124"/>
      <c r="S1835" s="124"/>
      <c r="T1835" s="124"/>
      <c r="U1835" s="124"/>
      <c r="V1835" s="124"/>
      <c r="W1835" s="124"/>
      <c r="X1835" s="124"/>
      <c r="Y1835" s="124"/>
    </row>
    <row r="1836" spans="2:25" x14ac:dyDescent="0.25">
      <c r="B1836" s="124"/>
      <c r="C1836" s="124"/>
      <c r="D1836" s="124"/>
      <c r="E1836" s="124"/>
      <c r="F1836" s="124"/>
      <c r="G1836" s="124"/>
      <c r="H1836" s="124"/>
      <c r="I1836" s="124"/>
      <c r="J1836" s="124"/>
      <c r="K1836" s="124"/>
      <c r="L1836" s="124"/>
      <c r="M1836" s="124"/>
      <c r="N1836" s="124"/>
      <c r="O1836" s="124"/>
      <c r="P1836" s="124"/>
      <c r="Q1836" s="124"/>
      <c r="R1836" s="124"/>
      <c r="S1836" s="124"/>
      <c r="T1836" s="124"/>
      <c r="U1836" s="124"/>
      <c r="V1836" s="124"/>
      <c r="W1836" s="124"/>
      <c r="X1836" s="124"/>
      <c r="Y1836" s="124"/>
    </row>
    <row r="1837" spans="2:25" x14ac:dyDescent="0.25">
      <c r="B1837" s="124"/>
      <c r="C1837" s="124"/>
      <c r="D1837" s="124"/>
      <c r="E1837" s="124"/>
      <c r="F1837" s="124"/>
      <c r="G1837" s="124"/>
      <c r="H1837" s="124"/>
      <c r="I1837" s="124"/>
      <c r="J1837" s="124"/>
      <c r="K1837" s="124"/>
      <c r="L1837" s="124"/>
      <c r="M1837" s="124"/>
      <c r="N1837" s="124"/>
      <c r="O1837" s="124"/>
      <c r="P1837" s="124"/>
      <c r="Q1837" s="124"/>
      <c r="R1837" s="124"/>
      <c r="S1837" s="124"/>
      <c r="T1837" s="124"/>
      <c r="U1837" s="124"/>
      <c r="V1837" s="124"/>
      <c r="W1837" s="124"/>
      <c r="X1837" s="124"/>
      <c r="Y1837" s="124"/>
    </row>
    <row r="1838" spans="2:25" x14ac:dyDescent="0.25">
      <c r="B1838" s="124"/>
      <c r="C1838" s="124"/>
      <c r="D1838" s="124"/>
      <c r="E1838" s="124"/>
      <c r="F1838" s="124"/>
      <c r="G1838" s="124"/>
      <c r="H1838" s="124"/>
      <c r="I1838" s="124"/>
      <c r="J1838" s="124"/>
      <c r="K1838" s="124"/>
      <c r="L1838" s="124"/>
      <c r="M1838" s="124"/>
      <c r="N1838" s="124"/>
      <c r="O1838" s="124"/>
      <c r="P1838" s="124"/>
      <c r="Q1838" s="124"/>
      <c r="R1838" s="124"/>
      <c r="S1838" s="124"/>
      <c r="T1838" s="124"/>
      <c r="U1838" s="124"/>
      <c r="V1838" s="124"/>
      <c r="W1838" s="124"/>
      <c r="X1838" s="124"/>
      <c r="Y1838" s="124"/>
    </row>
    <row r="1839" spans="2:25" x14ac:dyDescent="0.25">
      <c r="B1839" s="124"/>
      <c r="C1839" s="124"/>
      <c r="D1839" s="124"/>
      <c r="E1839" s="124"/>
      <c r="F1839" s="124"/>
      <c r="G1839" s="124"/>
      <c r="H1839" s="124"/>
      <c r="I1839" s="124"/>
      <c r="J1839" s="124"/>
      <c r="K1839" s="124"/>
      <c r="L1839" s="124"/>
      <c r="M1839" s="124"/>
      <c r="N1839" s="124"/>
      <c r="O1839" s="124"/>
      <c r="P1839" s="124"/>
      <c r="Q1839" s="124"/>
      <c r="R1839" s="124"/>
      <c r="S1839" s="124"/>
      <c r="T1839" s="124"/>
      <c r="U1839" s="124"/>
      <c r="V1839" s="124"/>
      <c r="W1839" s="124"/>
      <c r="X1839" s="124"/>
      <c r="Y1839" s="124"/>
    </row>
    <row r="1840" spans="2:25" x14ac:dyDescent="0.25">
      <c r="B1840" s="124"/>
      <c r="C1840" s="124"/>
      <c r="D1840" s="124"/>
      <c r="E1840" s="124"/>
      <c r="F1840" s="124"/>
      <c r="G1840" s="124"/>
      <c r="H1840" s="124"/>
      <c r="I1840" s="124"/>
      <c r="J1840" s="124"/>
      <c r="K1840" s="124"/>
      <c r="L1840" s="124"/>
      <c r="M1840" s="124"/>
      <c r="N1840" s="124"/>
      <c r="O1840" s="124"/>
      <c r="P1840" s="124"/>
      <c r="Q1840" s="124"/>
      <c r="R1840" s="124"/>
      <c r="S1840" s="124"/>
      <c r="T1840" s="124"/>
      <c r="U1840" s="124"/>
      <c r="V1840" s="124"/>
      <c r="W1840" s="124"/>
      <c r="X1840" s="124"/>
      <c r="Y1840" s="124"/>
    </row>
    <row r="1841" spans="2:25" x14ac:dyDescent="0.25">
      <c r="B1841" s="124"/>
      <c r="C1841" s="124"/>
      <c r="D1841" s="124"/>
      <c r="E1841" s="124"/>
      <c r="F1841" s="124"/>
      <c r="G1841" s="124"/>
      <c r="H1841" s="124"/>
      <c r="I1841" s="124"/>
      <c r="J1841" s="124"/>
      <c r="K1841" s="124"/>
      <c r="L1841" s="124"/>
      <c r="M1841" s="124"/>
      <c r="N1841" s="124"/>
      <c r="O1841" s="124"/>
      <c r="P1841" s="124"/>
      <c r="Q1841" s="124"/>
      <c r="R1841" s="124"/>
      <c r="S1841" s="124"/>
      <c r="T1841" s="124"/>
      <c r="U1841" s="124"/>
      <c r="V1841" s="124"/>
      <c r="W1841" s="124"/>
      <c r="X1841" s="124"/>
      <c r="Y1841" s="124"/>
    </row>
    <row r="1842" spans="2:25" x14ac:dyDescent="0.25">
      <c r="B1842" s="124"/>
      <c r="C1842" s="124"/>
      <c r="D1842" s="124"/>
      <c r="E1842" s="124"/>
      <c r="F1842" s="124"/>
      <c r="G1842" s="124"/>
      <c r="H1842" s="124"/>
      <c r="I1842" s="124"/>
      <c r="J1842" s="124"/>
      <c r="K1842" s="124"/>
      <c r="L1842" s="124"/>
      <c r="M1842" s="124"/>
      <c r="N1842" s="124"/>
      <c r="O1842" s="124"/>
      <c r="P1842" s="124"/>
      <c r="Q1842" s="124"/>
      <c r="R1842" s="124"/>
      <c r="S1842" s="124"/>
      <c r="T1842" s="124"/>
      <c r="U1842" s="124"/>
      <c r="V1842" s="124"/>
      <c r="W1842" s="124"/>
      <c r="X1842" s="124"/>
      <c r="Y1842" s="124"/>
    </row>
    <row r="1843" spans="2:25" x14ac:dyDescent="0.25">
      <c r="B1843" s="124"/>
      <c r="C1843" s="124"/>
      <c r="D1843" s="124"/>
      <c r="E1843" s="124"/>
      <c r="F1843" s="124"/>
      <c r="G1843" s="124"/>
      <c r="H1843" s="124"/>
      <c r="I1843" s="124"/>
      <c r="J1843" s="124"/>
      <c r="K1843" s="124"/>
      <c r="L1843" s="124"/>
      <c r="M1843" s="124"/>
      <c r="N1843" s="124"/>
      <c r="O1843" s="124"/>
      <c r="P1843" s="124"/>
      <c r="Q1843" s="124"/>
      <c r="R1843" s="124"/>
      <c r="S1843" s="124"/>
      <c r="T1843" s="124"/>
      <c r="U1843" s="124"/>
      <c r="V1843" s="124"/>
      <c r="W1843" s="124"/>
      <c r="X1843" s="124"/>
      <c r="Y1843" s="124"/>
    </row>
    <row r="1844" spans="2:25" x14ac:dyDescent="0.25">
      <c r="B1844" s="124"/>
      <c r="C1844" s="124"/>
      <c r="D1844" s="124"/>
      <c r="E1844" s="124"/>
      <c r="F1844" s="124"/>
      <c r="G1844" s="124"/>
      <c r="H1844" s="124"/>
      <c r="I1844" s="124"/>
      <c r="J1844" s="124"/>
      <c r="K1844" s="124"/>
      <c r="L1844" s="124"/>
      <c r="M1844" s="124"/>
      <c r="N1844" s="124"/>
      <c r="O1844" s="124"/>
      <c r="P1844" s="124"/>
      <c r="Q1844" s="124"/>
      <c r="R1844" s="124"/>
      <c r="S1844" s="124"/>
      <c r="T1844" s="124"/>
      <c r="U1844" s="124"/>
      <c r="V1844" s="124"/>
      <c r="W1844" s="124"/>
      <c r="X1844" s="124"/>
      <c r="Y1844" s="124"/>
    </row>
    <row r="1845" spans="2:25" x14ac:dyDescent="0.25">
      <c r="B1845" s="124"/>
      <c r="C1845" s="124"/>
      <c r="D1845" s="124"/>
      <c r="E1845" s="124"/>
      <c r="F1845" s="124"/>
      <c r="G1845" s="124"/>
      <c r="H1845" s="124"/>
      <c r="I1845" s="124"/>
      <c r="J1845" s="124"/>
      <c r="K1845" s="124"/>
      <c r="L1845" s="124"/>
      <c r="M1845" s="124"/>
      <c r="N1845" s="124"/>
      <c r="O1845" s="124"/>
      <c r="P1845" s="124"/>
      <c r="Q1845" s="124"/>
      <c r="R1845" s="124"/>
      <c r="S1845" s="124"/>
      <c r="T1845" s="124"/>
      <c r="U1845" s="124"/>
      <c r="V1845" s="124"/>
      <c r="W1845" s="124"/>
      <c r="X1845" s="124"/>
      <c r="Y1845" s="124"/>
    </row>
    <row r="1846" spans="2:25" x14ac:dyDescent="0.25">
      <c r="B1846" s="124"/>
      <c r="C1846" s="124"/>
      <c r="D1846" s="124"/>
      <c r="E1846" s="124"/>
      <c r="F1846" s="124"/>
      <c r="G1846" s="124"/>
      <c r="H1846" s="124"/>
      <c r="I1846" s="124"/>
      <c r="J1846" s="124"/>
      <c r="K1846" s="124"/>
      <c r="L1846" s="124"/>
      <c r="M1846" s="124"/>
      <c r="N1846" s="124"/>
      <c r="O1846" s="124"/>
      <c r="P1846" s="124"/>
      <c r="Q1846" s="124"/>
      <c r="R1846" s="124"/>
      <c r="S1846" s="124"/>
      <c r="T1846" s="124"/>
      <c r="U1846" s="124"/>
      <c r="V1846" s="124"/>
      <c r="W1846" s="124"/>
      <c r="X1846" s="124"/>
      <c r="Y1846" s="124"/>
    </row>
    <row r="1847" spans="2:25" x14ac:dyDescent="0.25">
      <c r="B1847" s="124"/>
      <c r="C1847" s="124"/>
      <c r="D1847" s="124"/>
      <c r="E1847" s="124"/>
      <c r="F1847" s="124"/>
      <c r="G1847" s="124"/>
      <c r="H1847" s="124"/>
      <c r="I1847" s="124"/>
      <c r="J1847" s="124"/>
      <c r="K1847" s="124"/>
      <c r="L1847" s="124"/>
      <c r="M1847" s="124"/>
      <c r="N1847" s="124"/>
      <c r="O1847" s="124"/>
      <c r="P1847" s="124"/>
      <c r="Q1847" s="124"/>
      <c r="R1847" s="124"/>
      <c r="S1847" s="124"/>
      <c r="T1847" s="124"/>
      <c r="U1847" s="124"/>
      <c r="V1847" s="124"/>
      <c r="W1847" s="124"/>
      <c r="X1847" s="124"/>
      <c r="Y1847" s="124"/>
    </row>
    <row r="1848" spans="2:25" x14ac:dyDescent="0.25">
      <c r="B1848" s="124"/>
      <c r="C1848" s="124"/>
      <c r="D1848" s="124"/>
      <c r="E1848" s="124"/>
      <c r="F1848" s="124"/>
      <c r="G1848" s="124"/>
      <c r="H1848" s="124"/>
      <c r="I1848" s="124"/>
      <c r="J1848" s="124"/>
      <c r="K1848" s="124"/>
      <c r="L1848" s="124"/>
      <c r="M1848" s="124"/>
      <c r="N1848" s="124"/>
      <c r="O1848" s="124"/>
      <c r="P1848" s="124"/>
      <c r="Q1848" s="124"/>
      <c r="R1848" s="124"/>
      <c r="S1848" s="124"/>
      <c r="T1848" s="124"/>
      <c r="U1848" s="124"/>
      <c r="V1848" s="124"/>
      <c r="W1848" s="124"/>
      <c r="X1848" s="124"/>
      <c r="Y1848" s="124"/>
    </row>
    <row r="1849" spans="2:25" x14ac:dyDescent="0.25">
      <c r="B1849" s="124"/>
      <c r="C1849" s="124"/>
      <c r="D1849" s="124"/>
      <c r="E1849" s="124"/>
      <c r="F1849" s="124"/>
      <c r="G1849" s="124"/>
      <c r="H1849" s="124"/>
      <c r="I1849" s="124"/>
      <c r="J1849" s="124"/>
      <c r="K1849" s="124"/>
      <c r="L1849" s="124"/>
      <c r="M1849" s="124"/>
      <c r="N1849" s="124"/>
      <c r="O1849" s="124"/>
      <c r="P1849" s="124"/>
      <c r="Q1849" s="124"/>
      <c r="R1849" s="124"/>
      <c r="S1849" s="124"/>
      <c r="T1849" s="124"/>
      <c r="U1849" s="124"/>
      <c r="V1849" s="124"/>
      <c r="W1849" s="124"/>
      <c r="X1849" s="124"/>
      <c r="Y1849" s="124"/>
    </row>
    <row r="1850" spans="2:25" x14ac:dyDescent="0.25">
      <c r="B1850" s="124"/>
      <c r="C1850" s="124"/>
      <c r="D1850" s="124"/>
      <c r="E1850" s="124"/>
      <c r="F1850" s="124"/>
      <c r="G1850" s="124"/>
      <c r="H1850" s="124"/>
      <c r="I1850" s="124"/>
      <c r="J1850" s="124"/>
      <c r="K1850" s="124"/>
      <c r="L1850" s="124"/>
      <c r="M1850" s="124"/>
      <c r="N1850" s="124"/>
      <c r="O1850" s="124"/>
      <c r="P1850" s="124"/>
      <c r="Q1850" s="124"/>
      <c r="R1850" s="124"/>
      <c r="S1850" s="124"/>
      <c r="T1850" s="124"/>
      <c r="U1850" s="124"/>
      <c r="V1850" s="124"/>
      <c r="W1850" s="124"/>
      <c r="X1850" s="124"/>
      <c r="Y1850" s="124"/>
    </row>
    <row r="1851" spans="2:25" x14ac:dyDescent="0.25">
      <c r="B1851" s="124"/>
      <c r="C1851" s="124"/>
      <c r="D1851" s="124"/>
      <c r="E1851" s="124"/>
      <c r="F1851" s="124"/>
      <c r="G1851" s="124"/>
      <c r="H1851" s="124"/>
      <c r="I1851" s="124"/>
      <c r="J1851" s="124"/>
      <c r="K1851" s="124"/>
      <c r="L1851" s="124"/>
      <c r="M1851" s="124"/>
      <c r="N1851" s="124"/>
      <c r="O1851" s="124"/>
      <c r="P1851" s="124"/>
      <c r="Q1851" s="124"/>
      <c r="R1851" s="124"/>
      <c r="S1851" s="124"/>
      <c r="T1851" s="124"/>
      <c r="U1851" s="124"/>
      <c r="V1851" s="124"/>
      <c r="W1851" s="124"/>
      <c r="X1851" s="124"/>
      <c r="Y1851" s="124"/>
    </row>
    <row r="1852" spans="2:25" x14ac:dyDescent="0.25">
      <c r="B1852" s="124"/>
      <c r="C1852" s="124"/>
      <c r="D1852" s="124"/>
      <c r="E1852" s="124"/>
      <c r="F1852" s="124"/>
      <c r="G1852" s="124"/>
      <c r="H1852" s="124"/>
      <c r="I1852" s="124"/>
      <c r="J1852" s="124"/>
      <c r="K1852" s="124"/>
      <c r="L1852" s="124"/>
      <c r="M1852" s="124"/>
      <c r="N1852" s="124"/>
      <c r="O1852" s="124"/>
      <c r="P1852" s="124"/>
      <c r="Q1852" s="124"/>
      <c r="R1852" s="124"/>
      <c r="S1852" s="124"/>
      <c r="T1852" s="124"/>
      <c r="U1852" s="124"/>
      <c r="V1852" s="124"/>
      <c r="W1852" s="124"/>
      <c r="X1852" s="124"/>
      <c r="Y1852" s="124"/>
    </row>
    <row r="1853" spans="2:25" x14ac:dyDescent="0.25">
      <c r="B1853" s="124"/>
      <c r="C1853" s="124"/>
      <c r="D1853" s="124"/>
      <c r="E1853" s="124"/>
      <c r="F1853" s="124"/>
      <c r="G1853" s="124"/>
      <c r="H1853" s="124"/>
      <c r="I1853" s="124"/>
      <c r="J1853" s="124"/>
      <c r="K1853" s="124"/>
      <c r="L1853" s="124"/>
      <c r="M1853" s="124"/>
      <c r="N1853" s="124"/>
      <c r="O1853" s="124"/>
      <c r="P1853" s="124"/>
      <c r="Q1853" s="124"/>
      <c r="R1853" s="124"/>
      <c r="S1853" s="124"/>
      <c r="T1853" s="124"/>
      <c r="U1853" s="124"/>
      <c r="V1853" s="124"/>
      <c r="W1853" s="124"/>
      <c r="X1853" s="124"/>
      <c r="Y1853" s="124"/>
    </row>
    <row r="1854" spans="2:25" x14ac:dyDescent="0.25">
      <c r="B1854" s="124"/>
      <c r="C1854" s="124"/>
      <c r="D1854" s="124"/>
      <c r="E1854" s="124"/>
      <c r="F1854" s="124"/>
      <c r="G1854" s="124"/>
      <c r="H1854" s="124"/>
      <c r="I1854" s="124"/>
      <c r="J1854" s="124"/>
      <c r="K1854" s="124"/>
      <c r="L1854" s="124"/>
      <c r="M1854" s="124"/>
      <c r="N1854" s="124"/>
      <c r="O1854" s="124"/>
      <c r="P1854" s="124"/>
      <c r="Q1854" s="124"/>
      <c r="R1854" s="124"/>
      <c r="S1854" s="124"/>
      <c r="T1854" s="124"/>
      <c r="U1854" s="124"/>
      <c r="V1854" s="124"/>
      <c r="W1854" s="124"/>
      <c r="X1854" s="124"/>
      <c r="Y1854" s="124"/>
    </row>
    <row r="1855" spans="2:25" x14ac:dyDescent="0.25">
      <c r="B1855" s="124"/>
      <c r="C1855" s="124"/>
      <c r="D1855" s="124"/>
      <c r="E1855" s="124"/>
      <c r="F1855" s="124"/>
      <c r="G1855" s="124"/>
      <c r="H1855" s="124"/>
      <c r="I1855" s="124"/>
      <c r="J1855" s="124"/>
      <c r="K1855" s="124"/>
      <c r="L1855" s="124"/>
      <c r="M1855" s="124"/>
      <c r="N1855" s="124"/>
      <c r="O1855" s="124"/>
      <c r="P1855" s="124"/>
      <c r="Q1855" s="124"/>
      <c r="R1855" s="124"/>
      <c r="S1855" s="124"/>
      <c r="T1855" s="124"/>
      <c r="U1855" s="124"/>
      <c r="V1855" s="124"/>
      <c r="W1855" s="124"/>
      <c r="X1855" s="124"/>
      <c r="Y1855" s="124"/>
    </row>
    <row r="1856" spans="2:25" x14ac:dyDescent="0.25">
      <c r="B1856" s="124"/>
      <c r="C1856" s="124"/>
      <c r="D1856" s="124"/>
      <c r="E1856" s="124"/>
      <c r="F1856" s="124"/>
      <c r="G1856" s="124"/>
      <c r="H1856" s="124"/>
      <c r="I1856" s="124"/>
      <c r="J1856" s="124"/>
      <c r="K1856" s="124"/>
      <c r="L1856" s="124"/>
      <c r="M1856" s="124"/>
      <c r="N1856" s="124"/>
      <c r="O1856" s="124"/>
      <c r="P1856" s="124"/>
      <c r="Q1856" s="124"/>
      <c r="R1856" s="124"/>
      <c r="S1856" s="124"/>
      <c r="T1856" s="124"/>
      <c r="U1856" s="124"/>
      <c r="V1856" s="124"/>
      <c r="W1856" s="124"/>
      <c r="X1856" s="124"/>
      <c r="Y1856" s="124"/>
    </row>
    <row r="1857" spans="2:25" x14ac:dyDescent="0.25">
      <c r="B1857" s="124"/>
      <c r="C1857" s="124"/>
      <c r="D1857" s="124"/>
      <c r="E1857" s="124"/>
      <c r="F1857" s="124"/>
      <c r="G1857" s="124"/>
      <c r="H1857" s="124"/>
      <c r="I1857" s="124"/>
      <c r="J1857" s="124"/>
      <c r="K1857" s="124"/>
      <c r="L1857" s="124"/>
      <c r="M1857" s="124"/>
      <c r="N1857" s="124"/>
      <c r="O1857" s="124"/>
      <c r="P1857" s="124"/>
      <c r="Q1857" s="124"/>
      <c r="R1857" s="124"/>
      <c r="S1857" s="124"/>
      <c r="T1857" s="124"/>
      <c r="U1857" s="124"/>
      <c r="V1857" s="124"/>
      <c r="W1857" s="124"/>
      <c r="X1857" s="124"/>
      <c r="Y1857" s="124"/>
    </row>
    <row r="1858" spans="2:25" x14ac:dyDescent="0.25">
      <c r="B1858" s="124"/>
      <c r="C1858" s="124"/>
      <c r="D1858" s="124"/>
      <c r="E1858" s="124"/>
      <c r="F1858" s="124"/>
      <c r="G1858" s="124"/>
      <c r="H1858" s="124"/>
      <c r="I1858" s="124"/>
      <c r="J1858" s="124"/>
      <c r="K1858" s="124"/>
      <c r="L1858" s="124"/>
      <c r="M1858" s="124"/>
      <c r="N1858" s="124"/>
      <c r="O1858" s="124"/>
      <c r="P1858" s="124"/>
      <c r="Q1858" s="124"/>
      <c r="R1858" s="124"/>
      <c r="S1858" s="124"/>
      <c r="T1858" s="124"/>
      <c r="U1858" s="124"/>
      <c r="V1858" s="124"/>
      <c r="W1858" s="124"/>
      <c r="X1858" s="124"/>
      <c r="Y1858" s="124"/>
    </row>
    <row r="1859" spans="2:25" x14ac:dyDescent="0.25">
      <c r="B1859" s="124"/>
      <c r="C1859" s="124"/>
      <c r="D1859" s="124"/>
      <c r="E1859" s="124"/>
      <c r="F1859" s="124"/>
      <c r="G1859" s="124"/>
      <c r="H1859" s="124"/>
      <c r="I1859" s="124"/>
      <c r="J1859" s="124"/>
      <c r="K1859" s="124"/>
      <c r="L1859" s="124"/>
      <c r="M1859" s="124"/>
      <c r="N1859" s="124"/>
      <c r="O1859" s="124"/>
      <c r="P1859" s="124"/>
      <c r="Q1859" s="124"/>
      <c r="R1859" s="124"/>
      <c r="S1859" s="124"/>
      <c r="T1859" s="124"/>
      <c r="U1859" s="124"/>
      <c r="V1859" s="124"/>
      <c r="W1859" s="124"/>
      <c r="X1859" s="124"/>
      <c r="Y1859" s="124"/>
    </row>
    <row r="1860" spans="2:25" x14ac:dyDescent="0.25">
      <c r="B1860" s="124"/>
      <c r="C1860" s="124"/>
      <c r="D1860" s="124"/>
      <c r="E1860" s="124"/>
      <c r="F1860" s="124"/>
      <c r="G1860" s="124"/>
      <c r="H1860" s="124"/>
      <c r="I1860" s="124"/>
      <c r="J1860" s="124"/>
      <c r="K1860" s="124"/>
      <c r="L1860" s="124"/>
      <c r="M1860" s="124"/>
      <c r="N1860" s="124"/>
      <c r="O1860" s="124"/>
      <c r="P1860" s="124"/>
      <c r="Q1860" s="124"/>
      <c r="R1860" s="124"/>
      <c r="S1860" s="124"/>
      <c r="T1860" s="124"/>
      <c r="U1860" s="124"/>
      <c r="V1860" s="124"/>
      <c r="W1860" s="124"/>
      <c r="X1860" s="124"/>
      <c r="Y1860" s="124"/>
    </row>
    <row r="1861" spans="2:25" x14ac:dyDescent="0.25">
      <c r="B1861" s="124"/>
      <c r="C1861" s="124"/>
      <c r="D1861" s="124"/>
      <c r="E1861" s="124"/>
      <c r="F1861" s="124"/>
      <c r="G1861" s="124"/>
      <c r="H1861" s="124"/>
      <c r="I1861" s="124"/>
      <c r="J1861" s="124"/>
      <c r="K1861" s="124"/>
      <c r="L1861" s="124"/>
      <c r="M1861" s="124"/>
      <c r="N1861" s="124"/>
      <c r="O1861" s="124"/>
      <c r="P1861" s="124"/>
      <c r="Q1861" s="124"/>
      <c r="R1861" s="124"/>
      <c r="S1861" s="124"/>
      <c r="T1861" s="124"/>
      <c r="U1861" s="124"/>
      <c r="V1861" s="124"/>
      <c r="W1861" s="124"/>
      <c r="X1861" s="124"/>
      <c r="Y1861" s="124"/>
    </row>
    <row r="1862" spans="2:25" x14ac:dyDescent="0.25">
      <c r="B1862" s="124"/>
      <c r="C1862" s="124"/>
      <c r="D1862" s="124"/>
      <c r="E1862" s="124"/>
      <c r="F1862" s="124"/>
      <c r="G1862" s="124"/>
      <c r="H1862" s="124"/>
      <c r="I1862" s="124"/>
      <c r="J1862" s="124"/>
      <c r="K1862" s="124"/>
      <c r="L1862" s="124"/>
      <c r="M1862" s="124"/>
      <c r="N1862" s="124"/>
      <c r="O1862" s="124"/>
      <c r="P1862" s="124"/>
      <c r="Q1862" s="124"/>
      <c r="R1862" s="124"/>
      <c r="S1862" s="124"/>
      <c r="T1862" s="124"/>
      <c r="U1862" s="124"/>
      <c r="V1862" s="124"/>
      <c r="W1862" s="124"/>
      <c r="X1862" s="124"/>
      <c r="Y1862" s="124"/>
    </row>
    <row r="1863" spans="2:25" x14ac:dyDescent="0.25">
      <c r="B1863" s="124"/>
      <c r="C1863" s="124"/>
      <c r="D1863" s="124"/>
      <c r="E1863" s="124"/>
      <c r="F1863" s="124"/>
      <c r="G1863" s="124"/>
      <c r="H1863" s="124"/>
      <c r="I1863" s="124"/>
      <c r="J1863" s="124"/>
      <c r="K1863" s="124"/>
      <c r="L1863" s="124"/>
      <c r="M1863" s="124"/>
      <c r="N1863" s="124"/>
      <c r="O1863" s="124"/>
      <c r="P1863" s="124"/>
      <c r="Q1863" s="124"/>
      <c r="R1863" s="124"/>
      <c r="S1863" s="124"/>
      <c r="T1863" s="124"/>
      <c r="U1863" s="124"/>
      <c r="V1863" s="124"/>
      <c r="W1863" s="124"/>
      <c r="X1863" s="124"/>
      <c r="Y1863" s="124"/>
    </row>
    <row r="1864" spans="2:25" x14ac:dyDescent="0.25">
      <c r="B1864" s="124"/>
      <c r="C1864" s="124"/>
      <c r="D1864" s="124"/>
      <c r="E1864" s="124"/>
      <c r="F1864" s="124"/>
      <c r="G1864" s="124"/>
      <c r="H1864" s="124"/>
      <c r="I1864" s="124"/>
      <c r="J1864" s="124"/>
      <c r="K1864" s="124"/>
      <c r="L1864" s="124"/>
      <c r="M1864" s="124"/>
      <c r="N1864" s="124"/>
      <c r="O1864" s="124"/>
      <c r="P1864" s="124"/>
      <c r="Q1864" s="124"/>
      <c r="R1864" s="124"/>
      <c r="S1864" s="124"/>
      <c r="T1864" s="124"/>
      <c r="U1864" s="124"/>
      <c r="V1864" s="124"/>
      <c r="W1864" s="124"/>
      <c r="X1864" s="124"/>
      <c r="Y1864" s="124"/>
    </row>
    <row r="1865" spans="2:25" x14ac:dyDescent="0.25">
      <c r="B1865" s="124"/>
      <c r="C1865" s="124"/>
      <c r="D1865" s="124"/>
      <c r="E1865" s="124"/>
      <c r="F1865" s="124"/>
      <c r="G1865" s="124"/>
      <c r="H1865" s="124"/>
      <c r="I1865" s="124"/>
      <c r="J1865" s="124"/>
      <c r="K1865" s="124"/>
      <c r="L1865" s="124"/>
      <c r="M1865" s="124"/>
      <c r="N1865" s="124"/>
      <c r="O1865" s="124"/>
      <c r="P1865" s="124"/>
      <c r="Q1865" s="124"/>
      <c r="R1865" s="124"/>
      <c r="S1865" s="124"/>
      <c r="T1865" s="124"/>
      <c r="U1865" s="124"/>
      <c r="V1865" s="124"/>
      <c r="W1865" s="124"/>
      <c r="X1865" s="124"/>
      <c r="Y1865" s="124"/>
    </row>
    <row r="1866" spans="2:25" x14ac:dyDescent="0.25">
      <c r="B1866" s="124"/>
      <c r="C1866" s="124"/>
      <c r="D1866" s="124"/>
      <c r="E1866" s="124"/>
      <c r="F1866" s="124"/>
      <c r="G1866" s="124"/>
      <c r="H1866" s="124"/>
      <c r="I1866" s="124"/>
      <c r="J1866" s="124"/>
      <c r="K1866" s="124"/>
      <c r="L1866" s="124"/>
      <c r="M1866" s="124"/>
      <c r="N1866" s="124"/>
      <c r="O1866" s="124"/>
      <c r="P1866" s="124"/>
      <c r="Q1866" s="124"/>
      <c r="R1866" s="124"/>
      <c r="S1866" s="124"/>
      <c r="T1866" s="124"/>
      <c r="U1866" s="124"/>
      <c r="V1866" s="124"/>
      <c r="W1866" s="124"/>
      <c r="X1866" s="124"/>
      <c r="Y1866" s="124"/>
    </row>
    <row r="1867" spans="2:25" x14ac:dyDescent="0.25">
      <c r="B1867" s="124"/>
      <c r="C1867" s="124"/>
      <c r="D1867" s="124"/>
      <c r="E1867" s="124"/>
      <c r="F1867" s="124"/>
      <c r="G1867" s="124"/>
      <c r="H1867" s="124"/>
      <c r="I1867" s="124"/>
      <c r="J1867" s="124"/>
      <c r="K1867" s="124"/>
      <c r="L1867" s="124"/>
      <c r="M1867" s="124"/>
      <c r="N1867" s="124"/>
      <c r="O1867" s="124"/>
      <c r="P1867" s="124"/>
      <c r="Q1867" s="124"/>
      <c r="R1867" s="124"/>
      <c r="S1867" s="124"/>
      <c r="T1867" s="124"/>
      <c r="U1867" s="124"/>
      <c r="V1867" s="124"/>
      <c r="W1867" s="124"/>
      <c r="X1867" s="124"/>
      <c r="Y1867" s="124"/>
    </row>
    <row r="1868" spans="2:25" x14ac:dyDescent="0.25">
      <c r="B1868" s="124"/>
      <c r="C1868" s="124"/>
      <c r="D1868" s="124"/>
      <c r="E1868" s="124"/>
      <c r="F1868" s="124"/>
      <c r="G1868" s="124"/>
      <c r="H1868" s="124"/>
      <c r="I1868" s="124"/>
      <c r="J1868" s="124"/>
      <c r="K1868" s="124"/>
      <c r="L1868" s="124"/>
      <c r="M1868" s="124"/>
      <c r="N1868" s="124"/>
      <c r="O1868" s="124"/>
      <c r="P1868" s="124"/>
      <c r="Q1868" s="124"/>
      <c r="R1868" s="124"/>
      <c r="S1868" s="124"/>
      <c r="T1868" s="124"/>
      <c r="U1868" s="124"/>
      <c r="V1868" s="124"/>
      <c r="W1868" s="124"/>
      <c r="X1868" s="124"/>
      <c r="Y1868" s="124"/>
    </row>
    <row r="1869" spans="2:25" x14ac:dyDescent="0.25">
      <c r="B1869" s="124"/>
      <c r="C1869" s="124"/>
      <c r="D1869" s="124"/>
      <c r="E1869" s="124"/>
      <c r="F1869" s="124"/>
      <c r="G1869" s="124"/>
      <c r="H1869" s="124"/>
      <c r="I1869" s="124"/>
      <c r="J1869" s="124"/>
      <c r="K1869" s="124"/>
      <c r="L1869" s="124"/>
      <c r="M1869" s="124"/>
      <c r="N1869" s="124"/>
      <c r="O1869" s="124"/>
      <c r="P1869" s="124"/>
      <c r="Q1869" s="124"/>
      <c r="R1869" s="124"/>
      <c r="S1869" s="124"/>
      <c r="T1869" s="124"/>
      <c r="U1869" s="124"/>
      <c r="V1869" s="124"/>
      <c r="W1869" s="124"/>
      <c r="X1869" s="124"/>
      <c r="Y1869" s="124"/>
    </row>
    <row r="1870" spans="2:25" x14ac:dyDescent="0.25">
      <c r="B1870" s="124"/>
      <c r="C1870" s="124"/>
      <c r="D1870" s="124"/>
      <c r="E1870" s="124"/>
      <c r="F1870" s="124"/>
      <c r="G1870" s="124"/>
      <c r="H1870" s="124"/>
      <c r="I1870" s="124"/>
      <c r="J1870" s="124"/>
      <c r="K1870" s="124"/>
      <c r="L1870" s="124"/>
      <c r="M1870" s="124"/>
      <c r="N1870" s="124"/>
      <c r="O1870" s="124"/>
      <c r="P1870" s="124"/>
      <c r="Q1870" s="124"/>
      <c r="R1870" s="124"/>
      <c r="S1870" s="124"/>
      <c r="T1870" s="124"/>
      <c r="U1870" s="124"/>
      <c r="V1870" s="124"/>
      <c r="W1870" s="124"/>
      <c r="X1870" s="124"/>
      <c r="Y1870" s="124"/>
    </row>
    <row r="1871" spans="2:25" x14ac:dyDescent="0.25">
      <c r="B1871" s="124"/>
      <c r="C1871" s="124"/>
      <c r="D1871" s="124"/>
      <c r="E1871" s="124"/>
      <c r="F1871" s="124"/>
      <c r="G1871" s="124"/>
      <c r="H1871" s="124"/>
      <c r="I1871" s="124"/>
      <c r="J1871" s="124"/>
      <c r="K1871" s="124"/>
      <c r="L1871" s="124"/>
      <c r="M1871" s="124"/>
      <c r="N1871" s="124"/>
      <c r="O1871" s="124"/>
      <c r="P1871" s="124"/>
      <c r="Q1871" s="124"/>
      <c r="R1871" s="124"/>
      <c r="S1871" s="124"/>
      <c r="T1871" s="124"/>
      <c r="U1871" s="124"/>
      <c r="V1871" s="124"/>
      <c r="W1871" s="124"/>
      <c r="X1871" s="124"/>
      <c r="Y1871" s="124"/>
    </row>
    <row r="1872" spans="2:25" x14ac:dyDescent="0.25">
      <c r="B1872" s="124"/>
      <c r="C1872" s="124"/>
      <c r="D1872" s="124"/>
      <c r="E1872" s="124"/>
      <c r="F1872" s="124"/>
      <c r="G1872" s="124"/>
      <c r="H1872" s="124"/>
      <c r="I1872" s="124"/>
      <c r="J1872" s="124"/>
      <c r="K1872" s="124"/>
      <c r="L1872" s="124"/>
      <c r="M1872" s="124"/>
      <c r="N1872" s="124"/>
      <c r="O1872" s="124"/>
      <c r="P1872" s="124"/>
      <c r="Q1872" s="124"/>
      <c r="R1872" s="124"/>
      <c r="S1872" s="124"/>
      <c r="T1872" s="124"/>
      <c r="U1872" s="124"/>
      <c r="V1872" s="124"/>
      <c r="W1872" s="124"/>
      <c r="X1872" s="124"/>
      <c r="Y1872" s="124"/>
    </row>
    <row r="1873" spans="2:25" x14ac:dyDescent="0.25">
      <c r="B1873" s="124"/>
      <c r="C1873" s="124"/>
      <c r="D1873" s="124"/>
      <c r="E1873" s="124"/>
      <c r="F1873" s="124"/>
      <c r="G1873" s="124"/>
      <c r="H1873" s="124"/>
      <c r="I1873" s="124"/>
      <c r="J1873" s="124"/>
      <c r="K1873" s="124"/>
      <c r="L1873" s="124"/>
      <c r="M1873" s="124"/>
      <c r="N1873" s="124"/>
      <c r="O1873" s="124"/>
      <c r="P1873" s="124"/>
      <c r="Q1873" s="124"/>
      <c r="R1873" s="124"/>
      <c r="S1873" s="124"/>
      <c r="T1873" s="124"/>
      <c r="U1873" s="124"/>
      <c r="V1873" s="124"/>
      <c r="W1873" s="124"/>
      <c r="X1873" s="124"/>
      <c r="Y1873" s="124"/>
    </row>
    <row r="1874" spans="2:25" x14ac:dyDescent="0.25">
      <c r="B1874" s="124"/>
      <c r="C1874" s="124"/>
      <c r="D1874" s="124"/>
      <c r="E1874" s="124"/>
      <c r="F1874" s="124"/>
      <c r="G1874" s="124"/>
      <c r="H1874" s="124"/>
      <c r="I1874" s="124"/>
      <c r="J1874" s="124"/>
      <c r="K1874" s="124"/>
      <c r="L1874" s="124"/>
      <c r="M1874" s="124"/>
      <c r="N1874" s="124"/>
      <c r="O1874" s="124"/>
      <c r="P1874" s="124"/>
      <c r="Q1874" s="124"/>
      <c r="R1874" s="124"/>
      <c r="S1874" s="124"/>
      <c r="T1874" s="124"/>
      <c r="U1874" s="124"/>
      <c r="V1874" s="124"/>
      <c r="W1874" s="124"/>
      <c r="X1874" s="124"/>
      <c r="Y1874" s="124"/>
    </row>
    <row r="1875" spans="2:25" x14ac:dyDescent="0.25">
      <c r="B1875" s="124"/>
      <c r="C1875" s="124"/>
      <c r="D1875" s="124"/>
      <c r="E1875" s="124"/>
      <c r="F1875" s="124"/>
      <c r="G1875" s="124"/>
      <c r="H1875" s="124"/>
      <c r="I1875" s="124"/>
      <c r="J1875" s="124"/>
      <c r="K1875" s="124"/>
      <c r="L1875" s="124"/>
      <c r="M1875" s="124"/>
      <c r="N1875" s="124"/>
      <c r="O1875" s="124"/>
      <c r="P1875" s="124"/>
      <c r="Q1875" s="124"/>
      <c r="R1875" s="124"/>
      <c r="S1875" s="124"/>
      <c r="T1875" s="124"/>
      <c r="U1875" s="124"/>
      <c r="V1875" s="124"/>
      <c r="W1875" s="124"/>
      <c r="X1875" s="124"/>
      <c r="Y1875" s="124"/>
    </row>
    <row r="1876" spans="2:25" x14ac:dyDescent="0.25">
      <c r="B1876" s="124"/>
      <c r="C1876" s="124"/>
      <c r="D1876" s="124"/>
      <c r="E1876" s="124"/>
      <c r="F1876" s="124"/>
      <c r="G1876" s="124"/>
      <c r="H1876" s="124"/>
      <c r="I1876" s="124"/>
      <c r="J1876" s="124"/>
      <c r="K1876" s="124"/>
      <c r="L1876" s="124"/>
      <c r="M1876" s="124"/>
      <c r="N1876" s="124"/>
      <c r="O1876" s="124"/>
      <c r="P1876" s="124"/>
      <c r="Q1876" s="124"/>
      <c r="R1876" s="124"/>
      <c r="S1876" s="124"/>
      <c r="T1876" s="124"/>
      <c r="U1876" s="124"/>
      <c r="V1876" s="124"/>
      <c r="W1876" s="124"/>
      <c r="X1876" s="124"/>
      <c r="Y1876" s="124"/>
    </row>
    <row r="1877" spans="2:25" x14ac:dyDescent="0.25">
      <c r="B1877" s="124"/>
      <c r="C1877" s="124"/>
      <c r="D1877" s="124"/>
      <c r="E1877" s="124"/>
      <c r="F1877" s="124"/>
      <c r="G1877" s="124"/>
      <c r="H1877" s="124"/>
      <c r="I1877" s="124"/>
      <c r="J1877" s="124"/>
      <c r="K1877" s="124"/>
      <c r="L1877" s="124"/>
      <c r="M1877" s="124"/>
      <c r="N1877" s="124"/>
      <c r="O1877" s="124"/>
      <c r="P1877" s="124"/>
      <c r="Q1877" s="124"/>
      <c r="R1877" s="124"/>
      <c r="S1877" s="124"/>
      <c r="T1877" s="124"/>
      <c r="U1877" s="124"/>
      <c r="V1877" s="124"/>
      <c r="W1877" s="124"/>
      <c r="X1877" s="124"/>
      <c r="Y1877" s="124"/>
    </row>
    <row r="1878" spans="2:25" x14ac:dyDescent="0.25">
      <c r="B1878" s="124"/>
      <c r="C1878" s="124"/>
      <c r="D1878" s="124"/>
      <c r="E1878" s="124"/>
      <c r="F1878" s="124"/>
      <c r="G1878" s="124"/>
      <c r="H1878" s="124"/>
      <c r="I1878" s="124"/>
      <c r="J1878" s="124"/>
      <c r="K1878" s="124"/>
      <c r="L1878" s="124"/>
      <c r="M1878" s="124"/>
      <c r="N1878" s="124"/>
      <c r="O1878" s="124"/>
      <c r="P1878" s="124"/>
      <c r="Q1878" s="124"/>
      <c r="R1878" s="124"/>
      <c r="S1878" s="124"/>
      <c r="T1878" s="124"/>
      <c r="U1878" s="124"/>
      <c r="V1878" s="124"/>
      <c r="W1878" s="124"/>
      <c r="X1878" s="124"/>
      <c r="Y1878" s="124"/>
    </row>
    <row r="1879" spans="2:25" x14ac:dyDescent="0.25">
      <c r="B1879" s="124"/>
      <c r="C1879" s="124"/>
      <c r="D1879" s="124"/>
      <c r="E1879" s="124"/>
      <c r="F1879" s="124"/>
      <c r="G1879" s="124"/>
      <c r="H1879" s="124"/>
      <c r="I1879" s="124"/>
      <c r="J1879" s="124"/>
      <c r="K1879" s="124"/>
      <c r="L1879" s="124"/>
      <c r="M1879" s="124"/>
      <c r="N1879" s="124"/>
      <c r="O1879" s="124"/>
      <c r="P1879" s="124"/>
      <c r="Q1879" s="124"/>
      <c r="R1879" s="124"/>
      <c r="S1879" s="124"/>
      <c r="T1879" s="124"/>
      <c r="U1879" s="124"/>
      <c r="V1879" s="124"/>
      <c r="W1879" s="124"/>
      <c r="X1879" s="124"/>
      <c r="Y1879" s="124"/>
    </row>
    <row r="1880" spans="2:25" x14ac:dyDescent="0.25">
      <c r="B1880" s="124"/>
      <c r="C1880" s="124"/>
      <c r="D1880" s="124"/>
      <c r="E1880" s="124"/>
      <c r="F1880" s="124"/>
      <c r="G1880" s="124"/>
      <c r="H1880" s="124"/>
      <c r="I1880" s="124"/>
      <c r="J1880" s="124"/>
      <c r="K1880" s="124"/>
      <c r="L1880" s="124"/>
      <c r="M1880" s="124"/>
      <c r="N1880" s="124"/>
      <c r="O1880" s="124"/>
      <c r="P1880" s="124"/>
      <c r="Q1880" s="124"/>
      <c r="R1880" s="124"/>
      <c r="S1880" s="124"/>
      <c r="T1880" s="124"/>
      <c r="U1880" s="124"/>
      <c r="V1880" s="124"/>
      <c r="W1880" s="124"/>
      <c r="X1880" s="124"/>
      <c r="Y1880" s="124"/>
    </row>
    <row r="1881" spans="2:25" x14ac:dyDescent="0.25">
      <c r="B1881" s="124"/>
      <c r="C1881" s="124"/>
      <c r="D1881" s="124"/>
      <c r="E1881" s="124"/>
      <c r="F1881" s="124"/>
      <c r="G1881" s="124"/>
      <c r="H1881" s="124"/>
      <c r="I1881" s="124"/>
      <c r="J1881" s="124"/>
      <c r="K1881" s="124"/>
      <c r="L1881" s="124"/>
      <c r="M1881" s="124"/>
      <c r="N1881" s="124"/>
      <c r="O1881" s="124"/>
      <c r="P1881" s="124"/>
      <c r="Q1881" s="124"/>
      <c r="R1881" s="124"/>
      <c r="S1881" s="124"/>
      <c r="T1881" s="124"/>
      <c r="U1881" s="124"/>
      <c r="V1881" s="124"/>
      <c r="W1881" s="124"/>
      <c r="X1881" s="124"/>
      <c r="Y1881" s="124"/>
    </row>
    <row r="1882" spans="2:25" x14ac:dyDescent="0.25">
      <c r="B1882" s="124"/>
      <c r="C1882" s="124"/>
      <c r="D1882" s="124"/>
      <c r="E1882" s="124"/>
      <c r="F1882" s="124"/>
      <c r="G1882" s="124"/>
      <c r="H1882" s="124"/>
      <c r="I1882" s="124"/>
      <c r="J1882" s="124"/>
      <c r="K1882" s="124"/>
      <c r="L1882" s="124"/>
      <c r="M1882" s="124"/>
      <c r="N1882" s="124"/>
      <c r="O1882" s="124"/>
      <c r="P1882" s="124"/>
      <c r="Q1882" s="124"/>
      <c r="R1882" s="124"/>
      <c r="S1882" s="124"/>
      <c r="T1882" s="124"/>
      <c r="U1882" s="124"/>
      <c r="V1882" s="124"/>
      <c r="W1882" s="124"/>
      <c r="X1882" s="124"/>
      <c r="Y1882" s="124"/>
    </row>
    <row r="1883" spans="2:25" x14ac:dyDescent="0.25">
      <c r="B1883" s="124"/>
      <c r="C1883" s="124"/>
      <c r="D1883" s="124"/>
      <c r="E1883" s="124"/>
      <c r="F1883" s="124"/>
      <c r="G1883" s="124"/>
      <c r="H1883" s="124"/>
      <c r="I1883" s="124"/>
      <c r="J1883" s="124"/>
      <c r="K1883" s="124"/>
      <c r="L1883" s="124"/>
      <c r="M1883" s="124"/>
      <c r="N1883" s="124"/>
      <c r="O1883" s="124"/>
      <c r="P1883" s="124"/>
      <c r="Q1883" s="124"/>
      <c r="R1883" s="124"/>
      <c r="S1883" s="124"/>
      <c r="T1883" s="124"/>
      <c r="U1883" s="124"/>
      <c r="V1883" s="124"/>
      <c r="W1883" s="124"/>
      <c r="X1883" s="124"/>
      <c r="Y1883" s="124"/>
    </row>
    <row r="1884" spans="2:25" x14ac:dyDescent="0.25">
      <c r="B1884" s="124"/>
      <c r="C1884" s="124"/>
      <c r="D1884" s="124"/>
      <c r="E1884" s="124"/>
      <c r="F1884" s="124"/>
      <c r="G1884" s="124"/>
      <c r="H1884" s="124"/>
      <c r="I1884" s="124"/>
      <c r="J1884" s="124"/>
      <c r="K1884" s="124"/>
      <c r="L1884" s="124"/>
      <c r="M1884" s="124"/>
      <c r="N1884" s="124"/>
      <c r="O1884" s="124"/>
      <c r="P1884" s="124"/>
      <c r="Q1884" s="124"/>
      <c r="R1884" s="124"/>
      <c r="S1884" s="124"/>
      <c r="T1884" s="124"/>
      <c r="U1884" s="124"/>
      <c r="V1884" s="124"/>
      <c r="W1884" s="124"/>
      <c r="X1884" s="124"/>
      <c r="Y1884" s="124"/>
    </row>
    <row r="1885" spans="2:25" x14ac:dyDescent="0.25">
      <c r="B1885" s="124"/>
      <c r="C1885" s="124"/>
      <c r="D1885" s="124"/>
      <c r="E1885" s="124"/>
      <c r="F1885" s="124"/>
      <c r="G1885" s="124"/>
      <c r="H1885" s="124"/>
      <c r="I1885" s="124"/>
      <c r="J1885" s="124"/>
      <c r="K1885" s="124"/>
      <c r="L1885" s="124"/>
      <c r="M1885" s="124"/>
      <c r="N1885" s="124"/>
      <c r="O1885" s="124"/>
      <c r="P1885" s="124"/>
      <c r="Q1885" s="124"/>
      <c r="R1885" s="124"/>
      <c r="S1885" s="124"/>
      <c r="T1885" s="124"/>
      <c r="U1885" s="124"/>
      <c r="V1885" s="124"/>
      <c r="W1885" s="124"/>
      <c r="X1885" s="124"/>
      <c r="Y1885" s="124"/>
    </row>
    <row r="1886" spans="2:25" x14ac:dyDescent="0.25">
      <c r="B1886" s="124"/>
      <c r="C1886" s="124"/>
      <c r="D1886" s="124"/>
      <c r="E1886" s="124"/>
      <c r="F1886" s="124"/>
      <c r="G1886" s="124"/>
      <c r="H1886" s="124"/>
      <c r="I1886" s="124"/>
      <c r="J1886" s="124"/>
      <c r="K1886" s="124"/>
      <c r="L1886" s="124"/>
      <c r="M1886" s="124"/>
      <c r="N1886" s="124"/>
      <c r="O1886" s="124"/>
      <c r="P1886" s="124"/>
      <c r="Q1886" s="124"/>
      <c r="R1886" s="124"/>
      <c r="S1886" s="124"/>
      <c r="T1886" s="124"/>
      <c r="U1886" s="124"/>
      <c r="V1886" s="124"/>
      <c r="W1886" s="124"/>
      <c r="X1886" s="124"/>
      <c r="Y1886" s="124"/>
    </row>
    <row r="1887" spans="2:25" x14ac:dyDescent="0.25">
      <c r="B1887" s="124"/>
      <c r="C1887" s="124"/>
      <c r="D1887" s="124"/>
      <c r="E1887" s="124"/>
      <c r="F1887" s="124"/>
      <c r="G1887" s="124"/>
      <c r="H1887" s="124"/>
      <c r="I1887" s="124"/>
      <c r="J1887" s="124"/>
      <c r="K1887" s="124"/>
      <c r="L1887" s="124"/>
      <c r="M1887" s="124"/>
      <c r="N1887" s="124"/>
      <c r="O1887" s="124"/>
      <c r="P1887" s="124"/>
      <c r="Q1887" s="124"/>
      <c r="R1887" s="124"/>
      <c r="S1887" s="124"/>
      <c r="T1887" s="124"/>
      <c r="U1887" s="124"/>
      <c r="V1887" s="124"/>
      <c r="W1887" s="124"/>
      <c r="X1887" s="124"/>
      <c r="Y1887" s="124"/>
    </row>
    <row r="1888" spans="2:25" x14ac:dyDescent="0.25">
      <c r="B1888" s="124"/>
      <c r="C1888" s="124"/>
      <c r="D1888" s="124"/>
      <c r="E1888" s="124"/>
      <c r="F1888" s="124"/>
      <c r="G1888" s="124"/>
      <c r="H1888" s="124"/>
      <c r="I1888" s="124"/>
      <c r="J1888" s="124"/>
      <c r="K1888" s="124"/>
      <c r="L1888" s="124"/>
      <c r="M1888" s="124"/>
      <c r="N1888" s="124"/>
      <c r="O1888" s="124"/>
      <c r="P1888" s="124"/>
      <c r="Q1888" s="124"/>
      <c r="R1888" s="124"/>
      <c r="S1888" s="124"/>
      <c r="T1888" s="124"/>
      <c r="U1888" s="124"/>
      <c r="V1888" s="124"/>
      <c r="W1888" s="124"/>
      <c r="X1888" s="124"/>
      <c r="Y1888" s="124"/>
    </row>
    <row r="1889" spans="2:25" x14ac:dyDescent="0.25">
      <c r="B1889" s="124"/>
      <c r="C1889" s="124"/>
      <c r="D1889" s="124"/>
      <c r="E1889" s="124"/>
      <c r="F1889" s="124"/>
      <c r="G1889" s="124"/>
      <c r="H1889" s="124"/>
      <c r="I1889" s="124"/>
      <c r="J1889" s="124"/>
      <c r="K1889" s="124"/>
      <c r="L1889" s="124"/>
      <c r="M1889" s="124"/>
      <c r="N1889" s="124"/>
      <c r="O1889" s="124"/>
      <c r="P1889" s="124"/>
      <c r="Q1889" s="124"/>
      <c r="R1889" s="124"/>
      <c r="S1889" s="124"/>
      <c r="T1889" s="124"/>
      <c r="U1889" s="124"/>
      <c r="V1889" s="124"/>
      <c r="W1889" s="124"/>
      <c r="X1889" s="124"/>
      <c r="Y1889" s="124"/>
    </row>
    <row r="1890" spans="2:25" x14ac:dyDescent="0.25">
      <c r="B1890" s="124"/>
      <c r="C1890" s="124"/>
      <c r="D1890" s="124"/>
      <c r="E1890" s="124"/>
      <c r="F1890" s="124"/>
      <c r="G1890" s="124"/>
      <c r="H1890" s="124"/>
      <c r="I1890" s="124"/>
      <c r="J1890" s="124"/>
      <c r="K1890" s="124"/>
      <c r="L1890" s="124"/>
      <c r="M1890" s="124"/>
      <c r="N1890" s="124"/>
      <c r="O1890" s="124"/>
      <c r="P1890" s="124"/>
      <c r="Q1890" s="124"/>
      <c r="R1890" s="124"/>
      <c r="S1890" s="124"/>
      <c r="T1890" s="124"/>
      <c r="U1890" s="124"/>
      <c r="V1890" s="124"/>
      <c r="W1890" s="124"/>
      <c r="X1890" s="124"/>
      <c r="Y1890" s="124"/>
    </row>
    <row r="1891" spans="2:25" x14ac:dyDescent="0.25">
      <c r="B1891" s="124"/>
      <c r="C1891" s="124"/>
      <c r="D1891" s="124"/>
      <c r="E1891" s="124"/>
      <c r="F1891" s="124"/>
      <c r="G1891" s="124"/>
      <c r="H1891" s="124"/>
      <c r="I1891" s="124"/>
      <c r="J1891" s="124"/>
      <c r="K1891" s="124"/>
      <c r="L1891" s="124"/>
      <c r="M1891" s="124"/>
      <c r="N1891" s="124"/>
      <c r="O1891" s="124"/>
      <c r="P1891" s="124"/>
      <c r="Q1891" s="124"/>
      <c r="R1891" s="124"/>
      <c r="S1891" s="124"/>
      <c r="T1891" s="124"/>
      <c r="U1891" s="124"/>
      <c r="V1891" s="124"/>
      <c r="W1891" s="124"/>
      <c r="X1891" s="124"/>
      <c r="Y1891" s="124"/>
    </row>
    <row r="1892" spans="2:25" x14ac:dyDescent="0.25">
      <c r="B1892" s="124"/>
      <c r="C1892" s="124"/>
      <c r="D1892" s="124"/>
      <c r="E1892" s="124"/>
      <c r="F1892" s="124"/>
      <c r="G1892" s="124"/>
      <c r="H1892" s="124"/>
      <c r="I1892" s="124"/>
      <c r="J1892" s="124"/>
      <c r="K1892" s="124"/>
      <c r="L1892" s="124"/>
      <c r="M1892" s="124"/>
      <c r="N1892" s="124"/>
      <c r="O1892" s="124"/>
      <c r="P1892" s="124"/>
      <c r="Q1892" s="124"/>
      <c r="R1892" s="124"/>
      <c r="S1892" s="124"/>
      <c r="T1892" s="124"/>
      <c r="U1892" s="124"/>
      <c r="V1892" s="124"/>
      <c r="W1892" s="124"/>
      <c r="X1892" s="124"/>
      <c r="Y1892" s="124"/>
    </row>
    <row r="1893" spans="2:25" x14ac:dyDescent="0.25">
      <c r="B1893" s="124"/>
      <c r="C1893" s="124"/>
      <c r="D1893" s="124"/>
      <c r="E1893" s="124"/>
      <c r="F1893" s="124"/>
      <c r="G1893" s="124"/>
      <c r="H1893" s="124"/>
      <c r="I1893" s="124"/>
      <c r="J1893" s="124"/>
      <c r="K1893" s="124"/>
      <c r="L1893" s="124"/>
      <c r="M1893" s="124"/>
      <c r="N1893" s="124"/>
      <c r="O1893" s="124"/>
      <c r="P1893" s="124"/>
      <c r="Q1893" s="124"/>
      <c r="R1893" s="124"/>
      <c r="S1893" s="124"/>
      <c r="T1893" s="124"/>
      <c r="U1893" s="124"/>
      <c r="V1893" s="124"/>
      <c r="W1893" s="124"/>
      <c r="X1893" s="124"/>
      <c r="Y1893" s="124"/>
    </row>
    <row r="1894" spans="2:25" x14ac:dyDescent="0.25">
      <c r="B1894" s="124"/>
      <c r="C1894" s="124"/>
      <c r="D1894" s="124"/>
      <c r="E1894" s="124"/>
      <c r="F1894" s="124"/>
      <c r="G1894" s="124"/>
      <c r="H1894" s="124"/>
      <c r="I1894" s="124"/>
      <c r="J1894" s="124"/>
      <c r="K1894" s="124"/>
      <c r="L1894" s="124"/>
      <c r="M1894" s="124"/>
      <c r="N1894" s="124"/>
      <c r="O1894" s="124"/>
      <c r="P1894" s="124"/>
      <c r="Q1894" s="124"/>
      <c r="R1894" s="124"/>
      <c r="S1894" s="124"/>
      <c r="T1894" s="124"/>
      <c r="U1894" s="124"/>
      <c r="V1894" s="124"/>
      <c r="W1894" s="124"/>
      <c r="X1894" s="124"/>
      <c r="Y1894" s="124"/>
    </row>
    <row r="1895" spans="2:25" x14ac:dyDescent="0.25">
      <c r="B1895" s="124"/>
      <c r="C1895" s="124"/>
      <c r="D1895" s="124"/>
      <c r="E1895" s="124"/>
      <c r="F1895" s="124"/>
      <c r="G1895" s="124"/>
      <c r="H1895" s="124"/>
      <c r="I1895" s="124"/>
      <c r="J1895" s="124"/>
      <c r="K1895" s="124"/>
      <c r="L1895" s="124"/>
      <c r="M1895" s="124"/>
      <c r="N1895" s="124"/>
      <c r="O1895" s="124"/>
      <c r="P1895" s="124"/>
      <c r="Q1895" s="124"/>
      <c r="R1895" s="124"/>
      <c r="S1895" s="124"/>
      <c r="T1895" s="124"/>
      <c r="U1895" s="124"/>
      <c r="V1895" s="124"/>
      <c r="W1895" s="124"/>
      <c r="X1895" s="124"/>
      <c r="Y1895" s="124"/>
    </row>
    <row r="1896" spans="2:25" x14ac:dyDescent="0.25">
      <c r="B1896" s="124"/>
      <c r="C1896" s="124"/>
      <c r="D1896" s="124"/>
      <c r="E1896" s="124"/>
      <c r="F1896" s="124"/>
      <c r="G1896" s="124"/>
      <c r="H1896" s="124"/>
      <c r="I1896" s="124"/>
      <c r="J1896" s="124"/>
      <c r="K1896" s="124"/>
      <c r="L1896" s="124"/>
      <c r="M1896" s="124"/>
      <c r="N1896" s="124"/>
      <c r="O1896" s="124"/>
      <c r="P1896" s="124"/>
      <c r="Q1896" s="124"/>
      <c r="R1896" s="124"/>
      <c r="S1896" s="124"/>
      <c r="T1896" s="124"/>
      <c r="U1896" s="124"/>
      <c r="V1896" s="124"/>
      <c r="W1896" s="124"/>
      <c r="X1896" s="124"/>
      <c r="Y1896" s="124"/>
    </row>
    <row r="1897" spans="2:25" x14ac:dyDescent="0.25">
      <c r="B1897" s="124"/>
      <c r="C1897" s="124"/>
      <c r="D1897" s="124"/>
      <c r="E1897" s="124"/>
      <c r="F1897" s="124"/>
      <c r="G1897" s="124"/>
      <c r="H1897" s="124"/>
      <c r="I1897" s="124"/>
      <c r="J1897" s="124"/>
      <c r="K1897" s="124"/>
      <c r="L1897" s="124"/>
      <c r="M1897" s="124"/>
      <c r="N1897" s="124"/>
      <c r="O1897" s="124"/>
      <c r="P1897" s="124"/>
      <c r="Q1897" s="124"/>
      <c r="R1897" s="124"/>
      <c r="S1897" s="124"/>
      <c r="T1897" s="124"/>
      <c r="U1897" s="124"/>
      <c r="V1897" s="124"/>
      <c r="W1897" s="124"/>
      <c r="X1897" s="124"/>
      <c r="Y1897" s="124"/>
    </row>
    <row r="1898" spans="2:25" x14ac:dyDescent="0.25">
      <c r="B1898" s="124"/>
      <c r="C1898" s="124"/>
      <c r="D1898" s="124"/>
      <c r="E1898" s="124"/>
      <c r="F1898" s="124"/>
      <c r="G1898" s="124"/>
      <c r="H1898" s="124"/>
      <c r="I1898" s="124"/>
      <c r="J1898" s="124"/>
      <c r="K1898" s="124"/>
      <c r="L1898" s="124"/>
      <c r="M1898" s="124"/>
      <c r="N1898" s="124"/>
      <c r="O1898" s="124"/>
      <c r="P1898" s="124"/>
      <c r="Q1898" s="124"/>
      <c r="R1898" s="124"/>
      <c r="S1898" s="124"/>
      <c r="T1898" s="124"/>
      <c r="U1898" s="124"/>
      <c r="V1898" s="124"/>
      <c r="W1898" s="124"/>
      <c r="X1898" s="124"/>
      <c r="Y1898" s="124"/>
    </row>
    <row r="1899" spans="2:25" x14ac:dyDescent="0.25">
      <c r="B1899" s="124"/>
      <c r="C1899" s="124"/>
      <c r="D1899" s="124"/>
      <c r="E1899" s="124"/>
      <c r="F1899" s="124"/>
      <c r="G1899" s="124"/>
      <c r="H1899" s="124"/>
      <c r="I1899" s="124"/>
      <c r="J1899" s="124"/>
      <c r="K1899" s="124"/>
      <c r="L1899" s="124"/>
      <c r="M1899" s="124"/>
      <c r="N1899" s="124"/>
      <c r="O1899" s="124"/>
      <c r="P1899" s="124"/>
      <c r="Q1899" s="124"/>
      <c r="R1899" s="124"/>
      <c r="S1899" s="124"/>
      <c r="T1899" s="124"/>
      <c r="U1899" s="124"/>
      <c r="V1899" s="124"/>
      <c r="W1899" s="124"/>
      <c r="X1899" s="124"/>
      <c r="Y1899" s="124"/>
    </row>
    <row r="1900" spans="2:25" x14ac:dyDescent="0.25">
      <c r="B1900" s="124"/>
      <c r="C1900" s="124"/>
      <c r="D1900" s="124"/>
      <c r="E1900" s="124"/>
      <c r="F1900" s="124"/>
      <c r="G1900" s="124"/>
      <c r="H1900" s="124"/>
      <c r="I1900" s="124"/>
      <c r="J1900" s="124"/>
      <c r="K1900" s="124"/>
      <c r="L1900" s="124"/>
      <c r="M1900" s="124"/>
      <c r="N1900" s="124"/>
      <c r="O1900" s="124"/>
      <c r="P1900" s="124"/>
      <c r="Q1900" s="124"/>
      <c r="R1900" s="124"/>
      <c r="S1900" s="124"/>
      <c r="T1900" s="124"/>
      <c r="U1900" s="124"/>
      <c r="V1900" s="124"/>
      <c r="W1900" s="124"/>
      <c r="X1900" s="124"/>
      <c r="Y1900" s="124"/>
    </row>
    <row r="1901" spans="2:25" x14ac:dyDescent="0.25">
      <c r="B1901" s="124"/>
      <c r="C1901" s="124"/>
      <c r="D1901" s="124"/>
      <c r="E1901" s="124"/>
      <c r="F1901" s="124"/>
      <c r="G1901" s="124"/>
      <c r="H1901" s="124"/>
      <c r="I1901" s="124"/>
      <c r="J1901" s="124"/>
      <c r="K1901" s="124"/>
      <c r="L1901" s="124"/>
      <c r="M1901" s="124"/>
      <c r="N1901" s="124"/>
      <c r="O1901" s="124"/>
      <c r="P1901" s="124"/>
      <c r="Q1901" s="124"/>
      <c r="R1901" s="124"/>
      <c r="S1901" s="124"/>
      <c r="T1901" s="124"/>
      <c r="U1901" s="124"/>
      <c r="V1901" s="124"/>
      <c r="W1901" s="124"/>
      <c r="X1901" s="124"/>
      <c r="Y1901" s="124"/>
    </row>
    <row r="1902" spans="2:25" x14ac:dyDescent="0.25">
      <c r="B1902" s="124"/>
      <c r="C1902" s="124"/>
      <c r="D1902" s="124"/>
      <c r="E1902" s="124"/>
      <c r="F1902" s="124"/>
      <c r="G1902" s="124"/>
      <c r="H1902" s="124"/>
      <c r="I1902" s="124"/>
      <c r="J1902" s="124"/>
      <c r="K1902" s="124"/>
      <c r="L1902" s="124"/>
      <c r="M1902" s="124"/>
      <c r="N1902" s="124"/>
      <c r="O1902" s="124"/>
      <c r="P1902" s="124"/>
      <c r="Q1902" s="124"/>
      <c r="R1902" s="124"/>
      <c r="S1902" s="124"/>
      <c r="T1902" s="124"/>
      <c r="U1902" s="124"/>
      <c r="V1902" s="124"/>
      <c r="W1902" s="124"/>
      <c r="X1902" s="124"/>
      <c r="Y1902" s="124"/>
    </row>
    <row r="1903" spans="2:25" x14ac:dyDescent="0.25">
      <c r="B1903" s="124"/>
      <c r="C1903" s="124"/>
      <c r="D1903" s="124"/>
      <c r="E1903" s="124"/>
      <c r="F1903" s="124"/>
      <c r="G1903" s="124"/>
      <c r="H1903" s="124"/>
      <c r="I1903" s="124"/>
      <c r="J1903" s="124"/>
      <c r="K1903" s="124"/>
      <c r="L1903" s="124"/>
      <c r="M1903" s="124"/>
      <c r="N1903" s="124"/>
      <c r="O1903" s="124"/>
      <c r="P1903" s="124"/>
      <c r="Q1903" s="124"/>
      <c r="R1903" s="124"/>
      <c r="S1903" s="124"/>
      <c r="T1903" s="124"/>
      <c r="U1903" s="124"/>
      <c r="V1903" s="124"/>
      <c r="W1903" s="124"/>
      <c r="X1903" s="124"/>
      <c r="Y1903" s="124"/>
    </row>
    <row r="1904" spans="2:25" x14ac:dyDescent="0.25">
      <c r="B1904" s="124"/>
      <c r="C1904" s="124"/>
      <c r="D1904" s="124"/>
      <c r="E1904" s="124"/>
      <c r="F1904" s="124"/>
      <c r="G1904" s="124"/>
      <c r="H1904" s="124"/>
      <c r="I1904" s="124"/>
      <c r="J1904" s="124"/>
      <c r="K1904" s="124"/>
      <c r="L1904" s="124"/>
      <c r="M1904" s="124"/>
      <c r="N1904" s="124"/>
      <c r="O1904" s="124"/>
      <c r="P1904" s="124"/>
      <c r="Q1904" s="124"/>
      <c r="R1904" s="124"/>
      <c r="S1904" s="124"/>
      <c r="T1904" s="124"/>
      <c r="U1904" s="124"/>
      <c r="V1904" s="124"/>
      <c r="W1904" s="124"/>
      <c r="X1904" s="124"/>
      <c r="Y1904" s="124"/>
    </row>
    <row r="1905" spans="2:25" x14ac:dyDescent="0.25">
      <c r="B1905" s="124"/>
      <c r="C1905" s="124"/>
      <c r="D1905" s="124"/>
      <c r="E1905" s="124"/>
      <c r="F1905" s="124"/>
      <c r="G1905" s="124"/>
      <c r="H1905" s="124"/>
      <c r="I1905" s="124"/>
      <c r="J1905" s="124"/>
      <c r="K1905" s="124"/>
      <c r="L1905" s="124"/>
      <c r="M1905" s="124"/>
      <c r="N1905" s="124"/>
      <c r="O1905" s="124"/>
      <c r="P1905" s="124"/>
      <c r="Q1905" s="124"/>
      <c r="R1905" s="124"/>
      <c r="S1905" s="124"/>
      <c r="T1905" s="124"/>
      <c r="U1905" s="124"/>
      <c r="V1905" s="124"/>
      <c r="W1905" s="124"/>
      <c r="X1905" s="124"/>
      <c r="Y1905" s="124"/>
    </row>
    <row r="1906" spans="2:25" x14ac:dyDescent="0.25">
      <c r="B1906" s="124"/>
      <c r="C1906" s="124"/>
      <c r="D1906" s="124"/>
      <c r="E1906" s="124"/>
      <c r="F1906" s="124"/>
      <c r="G1906" s="124"/>
      <c r="H1906" s="124"/>
      <c r="I1906" s="124"/>
      <c r="J1906" s="124"/>
      <c r="K1906" s="124"/>
      <c r="L1906" s="124"/>
      <c r="M1906" s="124"/>
      <c r="N1906" s="124"/>
      <c r="O1906" s="124"/>
      <c r="P1906" s="124"/>
      <c r="Q1906" s="124"/>
      <c r="R1906" s="124"/>
      <c r="S1906" s="124"/>
      <c r="T1906" s="124"/>
      <c r="U1906" s="124"/>
      <c r="V1906" s="124"/>
      <c r="W1906" s="124"/>
      <c r="X1906" s="124"/>
      <c r="Y1906" s="124"/>
    </row>
    <row r="1907" spans="2:25" x14ac:dyDescent="0.25">
      <c r="B1907" s="124"/>
      <c r="C1907" s="124"/>
      <c r="D1907" s="124"/>
      <c r="E1907" s="124"/>
      <c r="F1907" s="124"/>
      <c r="G1907" s="124"/>
      <c r="H1907" s="124"/>
      <c r="I1907" s="124"/>
      <c r="J1907" s="124"/>
      <c r="K1907" s="124"/>
      <c r="L1907" s="124"/>
      <c r="M1907" s="124"/>
      <c r="N1907" s="124"/>
      <c r="O1907" s="124"/>
      <c r="P1907" s="124"/>
      <c r="Q1907" s="124"/>
      <c r="R1907" s="124"/>
      <c r="S1907" s="124"/>
      <c r="T1907" s="124"/>
      <c r="U1907" s="124"/>
      <c r="V1907" s="124"/>
      <c r="W1907" s="124"/>
      <c r="X1907" s="124"/>
      <c r="Y1907" s="124"/>
    </row>
    <row r="1908" spans="2:25" x14ac:dyDescent="0.25">
      <c r="B1908" s="124"/>
      <c r="C1908" s="124"/>
      <c r="D1908" s="124"/>
      <c r="E1908" s="124"/>
      <c r="F1908" s="124"/>
      <c r="G1908" s="124"/>
      <c r="H1908" s="124"/>
      <c r="I1908" s="124"/>
      <c r="J1908" s="124"/>
      <c r="K1908" s="124"/>
      <c r="L1908" s="124"/>
      <c r="M1908" s="124"/>
      <c r="N1908" s="124"/>
      <c r="O1908" s="124"/>
      <c r="P1908" s="124"/>
      <c r="Q1908" s="124"/>
      <c r="R1908" s="124"/>
      <c r="S1908" s="124"/>
      <c r="T1908" s="124"/>
      <c r="U1908" s="124"/>
      <c r="V1908" s="124"/>
      <c r="W1908" s="124"/>
      <c r="X1908" s="124"/>
      <c r="Y1908" s="124"/>
    </row>
    <row r="1909" spans="2:25" x14ac:dyDescent="0.25">
      <c r="B1909" s="124"/>
      <c r="C1909" s="124"/>
      <c r="D1909" s="124"/>
      <c r="E1909" s="124"/>
      <c r="F1909" s="124"/>
      <c r="G1909" s="124"/>
      <c r="H1909" s="124"/>
      <c r="I1909" s="124"/>
      <c r="J1909" s="124"/>
      <c r="K1909" s="124"/>
      <c r="L1909" s="124"/>
      <c r="M1909" s="124"/>
      <c r="N1909" s="124"/>
      <c r="O1909" s="124"/>
      <c r="P1909" s="124"/>
      <c r="Q1909" s="124"/>
      <c r="R1909" s="124"/>
      <c r="S1909" s="124"/>
      <c r="T1909" s="124"/>
      <c r="U1909" s="124"/>
      <c r="V1909" s="124"/>
      <c r="W1909" s="124"/>
      <c r="X1909" s="124"/>
      <c r="Y1909" s="124"/>
    </row>
    <row r="1910" spans="2:25" x14ac:dyDescent="0.25">
      <c r="B1910" s="124"/>
      <c r="C1910" s="124"/>
      <c r="D1910" s="124"/>
      <c r="E1910" s="124"/>
      <c r="F1910" s="124"/>
      <c r="G1910" s="124"/>
      <c r="H1910" s="124"/>
      <c r="I1910" s="124"/>
      <c r="J1910" s="124"/>
      <c r="K1910" s="124"/>
      <c r="L1910" s="124"/>
      <c r="M1910" s="124"/>
      <c r="N1910" s="124"/>
      <c r="O1910" s="124"/>
      <c r="P1910" s="124"/>
      <c r="Q1910" s="124"/>
      <c r="R1910" s="124"/>
      <c r="S1910" s="124"/>
      <c r="T1910" s="124"/>
      <c r="U1910" s="124"/>
      <c r="V1910" s="124"/>
      <c r="W1910" s="124"/>
      <c r="X1910" s="124"/>
      <c r="Y1910" s="124"/>
    </row>
    <row r="1911" spans="2:25" x14ac:dyDescent="0.25">
      <c r="B1911" s="124"/>
      <c r="C1911" s="124"/>
      <c r="D1911" s="124"/>
      <c r="E1911" s="124"/>
      <c r="F1911" s="124"/>
      <c r="G1911" s="124"/>
      <c r="H1911" s="124"/>
      <c r="I1911" s="124"/>
      <c r="J1911" s="124"/>
      <c r="K1911" s="124"/>
      <c r="L1911" s="124"/>
      <c r="M1911" s="124"/>
      <c r="N1911" s="124"/>
      <c r="O1911" s="124"/>
      <c r="P1911" s="124"/>
      <c r="Q1911" s="124"/>
      <c r="R1911" s="124"/>
      <c r="S1911" s="124"/>
      <c r="T1911" s="124"/>
      <c r="U1911" s="124"/>
      <c r="V1911" s="124"/>
      <c r="W1911" s="124"/>
      <c r="X1911" s="124"/>
      <c r="Y1911" s="124"/>
    </row>
    <row r="1912" spans="2:25" x14ac:dyDescent="0.25">
      <c r="B1912" s="124"/>
      <c r="C1912" s="124"/>
      <c r="D1912" s="124"/>
      <c r="E1912" s="124"/>
      <c r="F1912" s="124"/>
      <c r="G1912" s="124"/>
      <c r="H1912" s="124"/>
      <c r="I1912" s="124"/>
      <c r="J1912" s="124"/>
      <c r="K1912" s="124"/>
      <c r="L1912" s="124"/>
      <c r="M1912" s="124"/>
      <c r="N1912" s="124"/>
      <c r="O1912" s="124"/>
      <c r="P1912" s="124"/>
      <c r="Q1912" s="124"/>
      <c r="R1912" s="124"/>
      <c r="S1912" s="124"/>
      <c r="T1912" s="124"/>
      <c r="U1912" s="124"/>
      <c r="V1912" s="124"/>
      <c r="W1912" s="124"/>
      <c r="X1912" s="124"/>
      <c r="Y1912" s="124"/>
    </row>
    <row r="1913" spans="2:25" x14ac:dyDescent="0.25">
      <c r="B1913" s="124"/>
      <c r="C1913" s="124"/>
      <c r="D1913" s="124"/>
      <c r="E1913" s="124"/>
      <c r="F1913" s="124"/>
      <c r="G1913" s="124"/>
      <c r="H1913" s="124"/>
      <c r="I1913" s="124"/>
      <c r="J1913" s="124"/>
      <c r="K1913" s="124"/>
      <c r="L1913" s="124"/>
      <c r="M1913" s="124"/>
      <c r="N1913" s="124"/>
      <c r="O1913" s="124"/>
      <c r="P1913" s="124"/>
      <c r="Q1913" s="124"/>
      <c r="R1913" s="124"/>
      <c r="S1913" s="124"/>
      <c r="T1913" s="124"/>
      <c r="U1913" s="124"/>
      <c r="V1913" s="124"/>
      <c r="W1913" s="124"/>
      <c r="X1913" s="124"/>
      <c r="Y1913" s="124"/>
    </row>
    <row r="1914" spans="2:25" x14ac:dyDescent="0.25">
      <c r="B1914" s="124"/>
      <c r="C1914" s="124"/>
      <c r="D1914" s="124"/>
      <c r="E1914" s="124"/>
      <c r="F1914" s="124"/>
      <c r="G1914" s="124"/>
      <c r="H1914" s="124"/>
      <c r="I1914" s="124"/>
      <c r="J1914" s="124"/>
      <c r="K1914" s="124"/>
      <c r="L1914" s="124"/>
      <c r="M1914" s="124"/>
      <c r="N1914" s="124"/>
      <c r="O1914" s="124"/>
      <c r="P1914" s="124"/>
      <c r="Q1914" s="124"/>
      <c r="R1914" s="124"/>
      <c r="S1914" s="124"/>
      <c r="T1914" s="124"/>
      <c r="U1914" s="124"/>
      <c r="V1914" s="124"/>
      <c r="W1914" s="124"/>
      <c r="X1914" s="124"/>
      <c r="Y1914" s="124"/>
    </row>
    <row r="1915" spans="2:25" x14ac:dyDescent="0.25">
      <c r="B1915" s="124"/>
      <c r="C1915" s="124"/>
      <c r="D1915" s="124"/>
      <c r="E1915" s="124"/>
      <c r="F1915" s="124"/>
      <c r="G1915" s="124"/>
      <c r="H1915" s="124"/>
      <c r="I1915" s="124"/>
      <c r="J1915" s="124"/>
      <c r="K1915" s="124"/>
      <c r="L1915" s="124"/>
      <c r="M1915" s="124"/>
      <c r="N1915" s="124"/>
      <c r="O1915" s="124"/>
      <c r="P1915" s="124"/>
      <c r="Q1915" s="124"/>
      <c r="R1915" s="124"/>
      <c r="S1915" s="124"/>
      <c r="T1915" s="124"/>
      <c r="U1915" s="124"/>
      <c r="V1915" s="124"/>
      <c r="W1915" s="124"/>
      <c r="X1915" s="124"/>
      <c r="Y1915" s="124"/>
    </row>
    <row r="1916" spans="2:25" x14ac:dyDescent="0.25">
      <c r="B1916" s="124"/>
      <c r="C1916" s="124"/>
      <c r="D1916" s="124"/>
      <c r="E1916" s="124"/>
      <c r="F1916" s="124"/>
      <c r="G1916" s="124"/>
      <c r="H1916" s="124"/>
      <c r="I1916" s="124"/>
      <c r="J1916" s="124"/>
      <c r="K1916" s="124"/>
      <c r="L1916" s="124"/>
      <c r="M1916" s="124"/>
      <c r="N1916" s="124"/>
      <c r="O1916" s="124"/>
      <c r="P1916" s="124"/>
      <c r="Q1916" s="124"/>
      <c r="R1916" s="124"/>
      <c r="S1916" s="124"/>
      <c r="T1916" s="124"/>
      <c r="U1916" s="124"/>
      <c r="V1916" s="124"/>
      <c r="W1916" s="124"/>
      <c r="X1916" s="124"/>
      <c r="Y1916" s="124"/>
    </row>
    <row r="1917" spans="2:25" x14ac:dyDescent="0.25">
      <c r="B1917" s="124"/>
      <c r="C1917" s="124"/>
      <c r="D1917" s="124"/>
      <c r="E1917" s="124"/>
      <c r="F1917" s="124"/>
      <c r="G1917" s="124"/>
      <c r="H1917" s="124"/>
      <c r="I1917" s="124"/>
      <c r="J1917" s="124"/>
      <c r="K1917" s="124"/>
      <c r="L1917" s="124"/>
      <c r="M1917" s="124"/>
      <c r="N1917" s="124"/>
      <c r="O1917" s="124"/>
      <c r="P1917" s="124"/>
      <c r="Q1917" s="124"/>
      <c r="R1917" s="124"/>
      <c r="S1917" s="124"/>
      <c r="T1917" s="124"/>
      <c r="U1917" s="124"/>
      <c r="V1917" s="124"/>
      <c r="W1917" s="124"/>
      <c r="X1917" s="124"/>
      <c r="Y1917" s="124"/>
    </row>
    <row r="1918" spans="2:25" x14ac:dyDescent="0.25">
      <c r="B1918" s="124"/>
      <c r="C1918" s="124"/>
      <c r="D1918" s="124"/>
      <c r="E1918" s="124"/>
      <c r="F1918" s="124"/>
      <c r="G1918" s="124"/>
      <c r="H1918" s="124"/>
      <c r="I1918" s="124"/>
      <c r="J1918" s="124"/>
      <c r="K1918" s="124"/>
      <c r="L1918" s="124"/>
      <c r="M1918" s="124"/>
      <c r="N1918" s="124"/>
      <c r="O1918" s="124"/>
      <c r="P1918" s="124"/>
      <c r="Q1918" s="124"/>
      <c r="R1918" s="124"/>
      <c r="S1918" s="124"/>
      <c r="T1918" s="124"/>
      <c r="U1918" s="124"/>
      <c r="V1918" s="124"/>
      <c r="W1918" s="124"/>
      <c r="X1918" s="124"/>
      <c r="Y1918" s="124"/>
    </row>
    <row r="1919" spans="2:25" x14ac:dyDescent="0.25">
      <c r="B1919" s="124"/>
      <c r="C1919" s="124"/>
      <c r="D1919" s="124"/>
      <c r="E1919" s="124"/>
      <c r="F1919" s="124"/>
      <c r="G1919" s="124"/>
      <c r="H1919" s="124"/>
      <c r="I1919" s="124"/>
      <c r="J1919" s="124"/>
      <c r="K1919" s="124"/>
      <c r="L1919" s="124"/>
      <c r="M1919" s="124"/>
      <c r="N1919" s="124"/>
      <c r="O1919" s="124"/>
      <c r="P1919" s="124"/>
      <c r="Q1919" s="124"/>
      <c r="R1919" s="124"/>
      <c r="S1919" s="124"/>
      <c r="T1919" s="124"/>
      <c r="U1919" s="124"/>
      <c r="V1919" s="124"/>
      <c r="W1919" s="124"/>
      <c r="X1919" s="124"/>
      <c r="Y1919" s="124"/>
    </row>
    <row r="1920" spans="2:25" x14ac:dyDescent="0.25">
      <c r="B1920" s="124"/>
      <c r="C1920" s="124"/>
      <c r="D1920" s="124"/>
      <c r="E1920" s="124"/>
      <c r="F1920" s="124"/>
      <c r="G1920" s="124"/>
      <c r="H1920" s="124"/>
      <c r="I1920" s="124"/>
      <c r="J1920" s="124"/>
      <c r="K1920" s="124"/>
      <c r="L1920" s="124"/>
      <c r="M1920" s="124"/>
      <c r="N1920" s="124"/>
      <c r="O1920" s="124"/>
      <c r="P1920" s="124"/>
      <c r="Q1920" s="124"/>
      <c r="R1920" s="124"/>
      <c r="S1920" s="124"/>
      <c r="T1920" s="124"/>
      <c r="U1920" s="124"/>
      <c r="V1920" s="124"/>
      <c r="W1920" s="124"/>
      <c r="X1920" s="124"/>
      <c r="Y1920" s="124"/>
    </row>
    <row r="1921" spans="2:25" x14ac:dyDescent="0.25">
      <c r="B1921" s="124"/>
      <c r="C1921" s="124"/>
      <c r="D1921" s="124"/>
      <c r="E1921" s="124"/>
      <c r="F1921" s="124"/>
      <c r="G1921" s="124"/>
      <c r="H1921" s="124"/>
      <c r="I1921" s="124"/>
      <c r="J1921" s="124"/>
      <c r="K1921" s="124"/>
      <c r="L1921" s="124"/>
      <c r="M1921" s="124"/>
      <c r="N1921" s="124"/>
      <c r="O1921" s="124"/>
      <c r="P1921" s="124"/>
      <c r="Q1921" s="124"/>
      <c r="R1921" s="124"/>
      <c r="S1921" s="124"/>
      <c r="T1921" s="124"/>
      <c r="U1921" s="124"/>
      <c r="V1921" s="124"/>
      <c r="W1921" s="124"/>
      <c r="X1921" s="124"/>
      <c r="Y1921" s="124"/>
    </row>
    <row r="1922" spans="2:25" x14ac:dyDescent="0.25">
      <c r="B1922" s="124"/>
      <c r="C1922" s="124"/>
      <c r="D1922" s="124"/>
      <c r="E1922" s="124"/>
      <c r="F1922" s="124"/>
      <c r="G1922" s="124"/>
      <c r="H1922" s="124"/>
      <c r="I1922" s="124"/>
      <c r="J1922" s="124"/>
      <c r="K1922" s="124"/>
      <c r="L1922" s="124"/>
      <c r="M1922" s="124"/>
      <c r="N1922" s="124"/>
      <c r="O1922" s="124"/>
      <c r="P1922" s="124"/>
      <c r="Q1922" s="124"/>
      <c r="R1922" s="124"/>
      <c r="S1922" s="124"/>
      <c r="T1922" s="124"/>
      <c r="U1922" s="124"/>
      <c r="V1922" s="124"/>
      <c r="W1922" s="124"/>
      <c r="X1922" s="124"/>
      <c r="Y1922" s="124"/>
    </row>
    <row r="1923" spans="2:25" x14ac:dyDescent="0.25">
      <c r="B1923" s="124"/>
      <c r="C1923" s="124"/>
      <c r="D1923" s="124"/>
      <c r="E1923" s="124"/>
      <c r="F1923" s="124"/>
      <c r="G1923" s="124"/>
      <c r="H1923" s="124"/>
      <c r="I1923" s="124"/>
      <c r="J1923" s="124"/>
      <c r="K1923" s="124"/>
      <c r="L1923" s="124"/>
      <c r="M1923" s="124"/>
      <c r="N1923" s="124"/>
      <c r="O1923" s="124"/>
      <c r="P1923" s="124"/>
      <c r="Q1923" s="124"/>
      <c r="R1923" s="124"/>
      <c r="S1923" s="124"/>
      <c r="T1923" s="124"/>
      <c r="U1923" s="124"/>
      <c r="V1923" s="124"/>
      <c r="W1923" s="124"/>
      <c r="X1923" s="124"/>
      <c r="Y1923" s="124"/>
    </row>
    <row r="1924" spans="2:25" x14ac:dyDescent="0.25">
      <c r="B1924" s="124"/>
      <c r="C1924" s="124"/>
      <c r="D1924" s="124"/>
      <c r="E1924" s="124"/>
      <c r="F1924" s="124"/>
      <c r="G1924" s="124"/>
      <c r="H1924" s="124"/>
      <c r="I1924" s="124"/>
      <c r="J1924" s="124"/>
      <c r="K1924" s="124"/>
      <c r="L1924" s="124"/>
      <c r="M1924" s="124"/>
      <c r="N1924" s="124"/>
      <c r="O1924" s="124"/>
      <c r="P1924" s="124"/>
      <c r="Q1924" s="124"/>
      <c r="R1924" s="124"/>
      <c r="S1924" s="124"/>
      <c r="T1924" s="124"/>
      <c r="U1924" s="124"/>
      <c r="V1924" s="124"/>
      <c r="W1924" s="124"/>
      <c r="X1924" s="124"/>
      <c r="Y1924" s="124"/>
    </row>
    <row r="1925" spans="2:25" x14ac:dyDescent="0.25">
      <c r="B1925" s="124"/>
      <c r="C1925" s="124"/>
      <c r="D1925" s="124"/>
      <c r="E1925" s="124"/>
      <c r="F1925" s="124"/>
      <c r="G1925" s="124"/>
      <c r="H1925" s="124"/>
      <c r="I1925" s="124"/>
      <c r="J1925" s="124"/>
      <c r="K1925" s="124"/>
      <c r="L1925" s="124"/>
      <c r="M1925" s="124"/>
      <c r="N1925" s="124"/>
      <c r="O1925" s="124"/>
      <c r="P1925" s="124"/>
      <c r="Q1925" s="124"/>
      <c r="R1925" s="124"/>
      <c r="S1925" s="124"/>
      <c r="T1925" s="124"/>
      <c r="U1925" s="124"/>
      <c r="V1925" s="124"/>
      <c r="W1925" s="124"/>
      <c r="X1925" s="124"/>
      <c r="Y1925" s="124"/>
    </row>
    <row r="1926" spans="2:25" x14ac:dyDescent="0.25">
      <c r="B1926" s="124"/>
      <c r="C1926" s="124"/>
      <c r="D1926" s="124"/>
      <c r="E1926" s="124"/>
      <c r="F1926" s="124"/>
      <c r="G1926" s="124"/>
      <c r="H1926" s="124"/>
      <c r="I1926" s="124"/>
      <c r="J1926" s="124"/>
      <c r="K1926" s="124"/>
      <c r="L1926" s="124"/>
      <c r="M1926" s="124"/>
      <c r="N1926" s="124"/>
      <c r="O1926" s="124"/>
      <c r="P1926" s="124"/>
      <c r="Q1926" s="124"/>
      <c r="R1926" s="124"/>
      <c r="S1926" s="124"/>
      <c r="T1926" s="124"/>
      <c r="U1926" s="124"/>
      <c r="V1926" s="124"/>
      <c r="W1926" s="124"/>
      <c r="X1926" s="124"/>
      <c r="Y1926" s="124"/>
    </row>
    <row r="1927" spans="2:25" x14ac:dyDescent="0.25">
      <c r="B1927" s="124"/>
      <c r="C1927" s="124"/>
      <c r="D1927" s="124"/>
      <c r="E1927" s="124"/>
      <c r="F1927" s="124"/>
      <c r="G1927" s="124"/>
      <c r="H1927" s="124"/>
      <c r="I1927" s="124"/>
      <c r="J1927" s="124"/>
      <c r="K1927" s="124"/>
      <c r="L1927" s="124"/>
      <c r="M1927" s="124"/>
      <c r="N1927" s="124"/>
      <c r="O1927" s="124"/>
      <c r="P1927" s="124"/>
      <c r="Q1927" s="124"/>
      <c r="R1927" s="124"/>
      <c r="S1927" s="124"/>
      <c r="T1927" s="124"/>
      <c r="U1927" s="124"/>
      <c r="V1927" s="124"/>
      <c r="W1927" s="124"/>
      <c r="X1927" s="124"/>
      <c r="Y1927" s="124"/>
    </row>
    <row r="1928" spans="2:25" x14ac:dyDescent="0.25">
      <c r="B1928" s="124"/>
      <c r="C1928" s="124"/>
      <c r="D1928" s="124"/>
      <c r="E1928" s="124"/>
      <c r="F1928" s="124"/>
      <c r="G1928" s="124"/>
      <c r="H1928" s="124"/>
      <c r="I1928" s="124"/>
      <c r="J1928" s="124"/>
      <c r="K1928" s="124"/>
      <c r="L1928" s="124"/>
      <c r="M1928" s="124"/>
      <c r="N1928" s="124"/>
      <c r="O1928" s="124"/>
      <c r="P1928" s="124"/>
      <c r="Q1928" s="124"/>
      <c r="R1928" s="124"/>
      <c r="S1928" s="124"/>
      <c r="T1928" s="124"/>
      <c r="U1928" s="124"/>
      <c r="V1928" s="124"/>
      <c r="W1928" s="124"/>
      <c r="X1928" s="124"/>
      <c r="Y1928" s="124"/>
    </row>
    <row r="1929" spans="2:25" x14ac:dyDescent="0.25">
      <c r="B1929" s="124"/>
      <c r="C1929" s="124"/>
      <c r="D1929" s="124"/>
      <c r="E1929" s="124"/>
      <c r="F1929" s="124"/>
      <c r="G1929" s="124"/>
      <c r="H1929" s="124"/>
      <c r="I1929" s="124"/>
      <c r="J1929" s="124"/>
      <c r="K1929" s="124"/>
      <c r="L1929" s="124"/>
      <c r="M1929" s="124"/>
      <c r="N1929" s="124"/>
      <c r="O1929" s="124"/>
      <c r="P1929" s="124"/>
      <c r="Q1929" s="124"/>
      <c r="R1929" s="124"/>
      <c r="S1929" s="124"/>
      <c r="T1929" s="124"/>
      <c r="U1929" s="124"/>
      <c r="V1929" s="124"/>
      <c r="W1929" s="124"/>
      <c r="X1929" s="124"/>
      <c r="Y1929" s="124"/>
    </row>
    <row r="1930" spans="2:25" x14ac:dyDescent="0.25">
      <c r="B1930" s="124"/>
      <c r="C1930" s="124"/>
      <c r="D1930" s="124"/>
      <c r="E1930" s="124"/>
      <c r="F1930" s="124"/>
      <c r="G1930" s="124"/>
      <c r="H1930" s="124"/>
      <c r="I1930" s="124"/>
      <c r="J1930" s="124"/>
      <c r="K1930" s="124"/>
      <c r="L1930" s="124"/>
      <c r="M1930" s="124"/>
      <c r="N1930" s="124"/>
      <c r="O1930" s="124"/>
      <c r="P1930" s="124"/>
      <c r="Q1930" s="124"/>
      <c r="R1930" s="124"/>
      <c r="S1930" s="124"/>
      <c r="T1930" s="124"/>
      <c r="U1930" s="124"/>
      <c r="V1930" s="124"/>
      <c r="W1930" s="124"/>
      <c r="X1930" s="124"/>
      <c r="Y1930" s="124"/>
    </row>
    <row r="1931" spans="2:25" x14ac:dyDescent="0.25">
      <c r="B1931" s="124"/>
      <c r="C1931" s="124"/>
      <c r="D1931" s="124"/>
      <c r="E1931" s="124"/>
      <c r="F1931" s="124"/>
      <c r="G1931" s="124"/>
      <c r="H1931" s="124"/>
      <c r="I1931" s="124"/>
      <c r="J1931" s="124"/>
      <c r="K1931" s="124"/>
      <c r="L1931" s="124"/>
      <c r="M1931" s="124"/>
      <c r="N1931" s="124"/>
      <c r="O1931" s="124"/>
      <c r="P1931" s="124"/>
      <c r="Q1931" s="124"/>
      <c r="R1931" s="124"/>
      <c r="S1931" s="124"/>
      <c r="T1931" s="124"/>
      <c r="U1931" s="124"/>
      <c r="V1931" s="124"/>
      <c r="W1931" s="124"/>
      <c r="X1931" s="124"/>
      <c r="Y1931" s="124"/>
    </row>
    <row r="1932" spans="2:25" x14ac:dyDescent="0.25">
      <c r="B1932" s="124"/>
      <c r="C1932" s="124"/>
      <c r="D1932" s="124"/>
      <c r="E1932" s="124"/>
      <c r="F1932" s="124"/>
      <c r="G1932" s="124"/>
      <c r="H1932" s="124"/>
      <c r="I1932" s="124"/>
      <c r="J1932" s="124"/>
      <c r="K1932" s="124"/>
      <c r="L1932" s="124"/>
      <c r="M1932" s="124"/>
      <c r="N1932" s="124"/>
      <c r="O1932" s="124"/>
      <c r="P1932" s="124"/>
      <c r="Q1932" s="124"/>
      <c r="R1932" s="124"/>
      <c r="S1932" s="124"/>
      <c r="T1932" s="124"/>
      <c r="U1932" s="124"/>
      <c r="V1932" s="124"/>
      <c r="W1932" s="124"/>
      <c r="X1932" s="124"/>
      <c r="Y1932" s="124"/>
    </row>
    <row r="1933" spans="2:25" x14ac:dyDescent="0.25">
      <c r="B1933" s="124"/>
      <c r="C1933" s="124"/>
      <c r="D1933" s="124"/>
      <c r="E1933" s="124"/>
      <c r="F1933" s="124"/>
      <c r="G1933" s="124"/>
      <c r="H1933" s="124"/>
      <c r="I1933" s="124"/>
      <c r="J1933" s="124"/>
      <c r="K1933" s="124"/>
      <c r="L1933" s="124"/>
      <c r="M1933" s="124"/>
      <c r="N1933" s="124"/>
      <c r="O1933" s="124"/>
      <c r="P1933" s="124"/>
      <c r="Q1933" s="124"/>
      <c r="R1933" s="124"/>
      <c r="S1933" s="124"/>
      <c r="T1933" s="124"/>
      <c r="U1933" s="124"/>
      <c r="V1933" s="124"/>
      <c r="W1933" s="124"/>
      <c r="X1933" s="124"/>
      <c r="Y1933" s="124"/>
    </row>
    <row r="1934" spans="2:25" x14ac:dyDescent="0.25">
      <c r="B1934" s="124"/>
      <c r="C1934" s="124"/>
      <c r="D1934" s="124"/>
      <c r="E1934" s="124"/>
      <c r="F1934" s="124"/>
      <c r="G1934" s="124"/>
      <c r="H1934" s="124"/>
      <c r="I1934" s="124"/>
      <c r="J1934" s="124"/>
      <c r="K1934" s="124"/>
      <c r="L1934" s="124"/>
      <c r="M1934" s="124"/>
      <c r="N1934" s="124"/>
      <c r="O1934" s="124"/>
      <c r="P1934" s="124"/>
      <c r="Q1934" s="124"/>
      <c r="R1934" s="124"/>
      <c r="S1934" s="124"/>
      <c r="T1934" s="124"/>
      <c r="U1934" s="124"/>
      <c r="V1934" s="124"/>
      <c r="W1934" s="124"/>
      <c r="X1934" s="124"/>
      <c r="Y1934" s="124"/>
    </row>
    <row r="1935" spans="2:25" x14ac:dyDescent="0.25">
      <c r="B1935" s="124"/>
      <c r="C1935" s="124"/>
      <c r="D1935" s="124"/>
      <c r="E1935" s="124"/>
      <c r="F1935" s="124"/>
      <c r="G1935" s="124"/>
      <c r="H1935" s="124"/>
      <c r="I1935" s="124"/>
      <c r="J1935" s="124"/>
      <c r="K1935" s="124"/>
      <c r="L1935" s="124"/>
      <c r="M1935" s="124"/>
      <c r="N1935" s="124"/>
      <c r="O1935" s="124"/>
      <c r="P1935" s="124"/>
      <c r="Q1935" s="124"/>
      <c r="R1935" s="124"/>
      <c r="S1935" s="124"/>
      <c r="T1935" s="124"/>
      <c r="U1935" s="124"/>
      <c r="V1935" s="124"/>
      <c r="W1935" s="124"/>
      <c r="X1935" s="124"/>
      <c r="Y1935" s="124"/>
    </row>
    <row r="1936" spans="2:25" x14ac:dyDescent="0.25">
      <c r="B1936" s="124"/>
      <c r="C1936" s="124"/>
      <c r="D1936" s="124"/>
      <c r="E1936" s="124"/>
      <c r="F1936" s="124"/>
      <c r="G1936" s="124"/>
      <c r="H1936" s="124"/>
      <c r="I1936" s="124"/>
      <c r="J1936" s="124"/>
      <c r="K1936" s="124"/>
      <c r="L1936" s="124"/>
      <c r="M1936" s="124"/>
      <c r="N1936" s="124"/>
      <c r="O1936" s="124"/>
      <c r="P1936" s="124"/>
      <c r="Q1936" s="124"/>
      <c r="R1936" s="124"/>
      <c r="S1936" s="124"/>
      <c r="T1936" s="124"/>
      <c r="U1936" s="124"/>
      <c r="V1936" s="124"/>
      <c r="W1936" s="124"/>
      <c r="X1936" s="124"/>
      <c r="Y1936" s="124"/>
    </row>
    <row r="1937" spans="2:25" x14ac:dyDescent="0.25">
      <c r="B1937" s="124"/>
      <c r="C1937" s="124"/>
      <c r="D1937" s="124"/>
      <c r="E1937" s="124"/>
      <c r="F1937" s="124"/>
      <c r="G1937" s="124"/>
      <c r="H1937" s="124"/>
      <c r="I1937" s="124"/>
      <c r="J1937" s="124"/>
      <c r="K1937" s="124"/>
      <c r="L1937" s="124"/>
      <c r="M1937" s="124"/>
      <c r="N1937" s="124"/>
      <c r="O1937" s="124"/>
      <c r="P1937" s="124"/>
      <c r="Q1937" s="124"/>
      <c r="R1937" s="124"/>
      <c r="S1937" s="124"/>
      <c r="T1937" s="124"/>
      <c r="U1937" s="124"/>
      <c r="V1937" s="124"/>
      <c r="W1937" s="124"/>
      <c r="X1937" s="124"/>
      <c r="Y1937" s="124"/>
    </row>
    <row r="1938" spans="2:25" x14ac:dyDescent="0.25">
      <c r="B1938" s="124"/>
      <c r="C1938" s="124"/>
      <c r="D1938" s="124"/>
      <c r="E1938" s="124"/>
      <c r="F1938" s="124"/>
      <c r="G1938" s="124"/>
      <c r="H1938" s="124"/>
      <c r="I1938" s="124"/>
      <c r="J1938" s="124"/>
      <c r="K1938" s="124"/>
      <c r="L1938" s="124"/>
      <c r="M1938" s="124"/>
      <c r="N1938" s="124"/>
      <c r="O1938" s="124"/>
      <c r="P1938" s="124"/>
      <c r="Q1938" s="124"/>
      <c r="R1938" s="124"/>
      <c r="S1938" s="124"/>
      <c r="T1938" s="124"/>
      <c r="U1938" s="124"/>
      <c r="V1938" s="124"/>
      <c r="W1938" s="124"/>
      <c r="X1938" s="124"/>
      <c r="Y1938" s="124"/>
    </row>
    <row r="1939" spans="2:25" x14ac:dyDescent="0.25">
      <c r="B1939" s="124"/>
      <c r="C1939" s="124"/>
      <c r="D1939" s="124"/>
      <c r="E1939" s="124"/>
      <c r="F1939" s="124"/>
      <c r="G1939" s="124"/>
      <c r="H1939" s="124"/>
      <c r="I1939" s="124"/>
      <c r="J1939" s="124"/>
      <c r="K1939" s="124"/>
      <c r="L1939" s="124"/>
      <c r="M1939" s="124"/>
      <c r="N1939" s="124"/>
      <c r="O1939" s="124"/>
      <c r="P1939" s="124"/>
      <c r="Q1939" s="124"/>
      <c r="R1939" s="124"/>
      <c r="S1939" s="124"/>
      <c r="T1939" s="124"/>
      <c r="U1939" s="124"/>
      <c r="V1939" s="124"/>
      <c r="W1939" s="124"/>
      <c r="X1939" s="124"/>
      <c r="Y1939" s="124"/>
    </row>
    <row r="1940" spans="2:25" x14ac:dyDescent="0.25">
      <c r="B1940" s="124"/>
      <c r="C1940" s="124"/>
      <c r="D1940" s="124"/>
      <c r="E1940" s="124"/>
      <c r="F1940" s="124"/>
      <c r="G1940" s="124"/>
      <c r="H1940" s="124"/>
      <c r="I1940" s="124"/>
      <c r="J1940" s="124"/>
      <c r="K1940" s="124"/>
      <c r="L1940" s="124"/>
      <c r="M1940" s="124"/>
      <c r="N1940" s="124"/>
      <c r="O1940" s="124"/>
      <c r="P1940" s="124"/>
      <c r="Q1940" s="124"/>
      <c r="R1940" s="124"/>
      <c r="S1940" s="124"/>
      <c r="T1940" s="124"/>
      <c r="U1940" s="124"/>
      <c r="V1940" s="124"/>
      <c r="W1940" s="124"/>
      <c r="X1940" s="124"/>
      <c r="Y1940" s="124"/>
    </row>
    <row r="1941" spans="2:25" x14ac:dyDescent="0.25">
      <c r="B1941" s="124"/>
      <c r="C1941" s="124"/>
      <c r="D1941" s="124"/>
      <c r="E1941" s="124"/>
      <c r="F1941" s="124"/>
      <c r="G1941" s="124"/>
      <c r="H1941" s="124"/>
      <c r="I1941" s="124"/>
      <c r="J1941" s="124"/>
      <c r="K1941" s="124"/>
      <c r="L1941" s="124"/>
      <c r="M1941" s="124"/>
      <c r="N1941" s="124"/>
      <c r="O1941" s="124"/>
      <c r="P1941" s="124"/>
      <c r="Q1941" s="124"/>
      <c r="R1941" s="124"/>
      <c r="S1941" s="124"/>
      <c r="T1941" s="124"/>
      <c r="U1941" s="124"/>
      <c r="V1941" s="124"/>
      <c r="W1941" s="124"/>
      <c r="X1941" s="124"/>
      <c r="Y1941" s="124"/>
    </row>
    <row r="1942" spans="2:25" x14ac:dyDescent="0.25">
      <c r="B1942" s="124"/>
      <c r="C1942" s="124"/>
      <c r="D1942" s="124"/>
      <c r="E1942" s="124"/>
      <c r="F1942" s="124"/>
      <c r="G1942" s="124"/>
      <c r="H1942" s="124"/>
      <c r="I1942" s="124"/>
      <c r="J1942" s="124"/>
      <c r="K1942" s="124"/>
      <c r="L1942" s="124"/>
      <c r="M1942" s="124"/>
      <c r="N1942" s="124"/>
      <c r="O1942" s="124"/>
      <c r="P1942" s="124"/>
      <c r="Q1942" s="124"/>
      <c r="R1942" s="124"/>
      <c r="S1942" s="124"/>
      <c r="T1942" s="124"/>
      <c r="U1942" s="124"/>
      <c r="V1942" s="124"/>
      <c r="W1942" s="124"/>
      <c r="X1942" s="124"/>
      <c r="Y1942" s="124"/>
    </row>
    <row r="1943" spans="2:25" x14ac:dyDescent="0.25">
      <c r="B1943" s="124"/>
      <c r="C1943" s="124"/>
      <c r="D1943" s="124"/>
      <c r="E1943" s="124"/>
      <c r="F1943" s="124"/>
      <c r="G1943" s="124"/>
      <c r="H1943" s="124"/>
      <c r="I1943" s="124"/>
      <c r="J1943" s="124"/>
      <c r="K1943" s="124"/>
      <c r="L1943" s="124"/>
      <c r="M1943" s="124"/>
      <c r="N1943" s="124"/>
      <c r="O1943" s="124"/>
      <c r="P1943" s="124"/>
      <c r="Q1943" s="124"/>
      <c r="R1943" s="124"/>
      <c r="S1943" s="124"/>
      <c r="T1943" s="124"/>
      <c r="U1943" s="124"/>
      <c r="V1943" s="124"/>
      <c r="W1943" s="124"/>
      <c r="X1943" s="124"/>
      <c r="Y1943" s="124"/>
    </row>
    <row r="1944" spans="2:25" x14ac:dyDescent="0.25">
      <c r="B1944" s="124"/>
      <c r="C1944" s="124"/>
      <c r="D1944" s="124"/>
      <c r="E1944" s="124"/>
      <c r="F1944" s="124"/>
      <c r="G1944" s="124"/>
      <c r="H1944" s="124"/>
      <c r="I1944" s="124"/>
      <c r="J1944" s="124"/>
      <c r="K1944" s="124"/>
      <c r="L1944" s="124"/>
      <c r="M1944" s="124"/>
      <c r="N1944" s="124"/>
      <c r="O1944" s="124"/>
      <c r="P1944" s="124"/>
      <c r="Q1944" s="124"/>
      <c r="R1944" s="124"/>
      <c r="S1944" s="124"/>
      <c r="T1944" s="124"/>
      <c r="U1944" s="124"/>
      <c r="V1944" s="124"/>
      <c r="W1944" s="124"/>
      <c r="X1944" s="124"/>
      <c r="Y1944" s="124"/>
    </row>
    <row r="1945" spans="2:25" x14ac:dyDescent="0.25">
      <c r="B1945" s="124"/>
      <c r="C1945" s="124"/>
      <c r="D1945" s="124"/>
      <c r="E1945" s="124"/>
      <c r="F1945" s="124"/>
      <c r="G1945" s="124"/>
      <c r="H1945" s="124"/>
      <c r="I1945" s="124"/>
      <c r="J1945" s="124"/>
      <c r="K1945" s="124"/>
      <c r="L1945" s="124"/>
      <c r="M1945" s="124"/>
      <c r="N1945" s="124"/>
      <c r="O1945" s="124"/>
      <c r="P1945" s="124"/>
      <c r="Q1945" s="124"/>
      <c r="R1945" s="124"/>
      <c r="S1945" s="124"/>
      <c r="T1945" s="124"/>
      <c r="U1945" s="124"/>
      <c r="V1945" s="124"/>
      <c r="W1945" s="124"/>
      <c r="X1945" s="124"/>
      <c r="Y1945" s="124"/>
    </row>
    <row r="1946" spans="2:25" x14ac:dyDescent="0.25">
      <c r="B1946" s="124"/>
      <c r="C1946" s="124"/>
      <c r="D1946" s="124"/>
      <c r="E1946" s="124"/>
      <c r="F1946" s="124"/>
      <c r="G1946" s="124"/>
      <c r="H1946" s="124"/>
      <c r="I1946" s="124"/>
      <c r="J1946" s="124"/>
      <c r="K1946" s="124"/>
      <c r="L1946" s="124"/>
      <c r="M1946" s="124"/>
      <c r="N1946" s="124"/>
      <c r="O1946" s="124"/>
      <c r="P1946" s="124"/>
      <c r="Q1946" s="124"/>
      <c r="R1946" s="124"/>
      <c r="S1946" s="124"/>
      <c r="T1946" s="124"/>
      <c r="U1946" s="124"/>
      <c r="V1946" s="124"/>
      <c r="W1946" s="124"/>
      <c r="X1946" s="124"/>
      <c r="Y1946" s="124"/>
    </row>
    <row r="1947" spans="2:25" x14ac:dyDescent="0.25">
      <c r="B1947" s="124"/>
      <c r="C1947" s="124"/>
      <c r="D1947" s="124"/>
      <c r="E1947" s="124"/>
      <c r="F1947" s="124"/>
      <c r="G1947" s="124"/>
      <c r="H1947" s="124"/>
      <c r="I1947" s="124"/>
      <c r="J1947" s="124"/>
      <c r="K1947" s="124"/>
      <c r="L1947" s="124"/>
      <c r="M1947" s="124"/>
      <c r="N1947" s="124"/>
      <c r="O1947" s="124"/>
      <c r="P1947" s="124"/>
      <c r="Q1947" s="124"/>
      <c r="R1947" s="124"/>
      <c r="S1947" s="124"/>
      <c r="T1947" s="124"/>
      <c r="U1947" s="124"/>
      <c r="V1947" s="124"/>
      <c r="W1947" s="124"/>
      <c r="X1947" s="124"/>
      <c r="Y1947" s="124"/>
    </row>
    <row r="1948" spans="2:25" x14ac:dyDescent="0.25">
      <c r="B1948" s="124"/>
      <c r="C1948" s="124"/>
      <c r="D1948" s="124"/>
      <c r="E1948" s="124"/>
      <c r="F1948" s="124"/>
      <c r="G1948" s="124"/>
      <c r="H1948" s="124"/>
      <c r="I1948" s="124"/>
      <c r="J1948" s="124"/>
      <c r="K1948" s="124"/>
      <c r="L1948" s="124"/>
      <c r="M1948" s="124"/>
      <c r="N1948" s="124"/>
      <c r="O1948" s="124"/>
      <c r="P1948" s="124"/>
      <c r="Q1948" s="124"/>
      <c r="R1948" s="124"/>
      <c r="S1948" s="124"/>
      <c r="T1948" s="124"/>
      <c r="U1948" s="124"/>
      <c r="V1948" s="124"/>
      <c r="W1948" s="124"/>
      <c r="X1948" s="124"/>
      <c r="Y1948" s="124"/>
    </row>
    <row r="1949" spans="2:25" x14ac:dyDescent="0.25">
      <c r="B1949" s="124"/>
      <c r="C1949" s="124"/>
      <c r="D1949" s="124"/>
      <c r="E1949" s="124"/>
      <c r="F1949" s="124"/>
      <c r="G1949" s="124"/>
      <c r="H1949" s="124"/>
      <c r="I1949" s="124"/>
      <c r="J1949" s="124"/>
      <c r="K1949" s="124"/>
      <c r="L1949" s="124"/>
      <c r="M1949" s="124"/>
      <c r="N1949" s="124"/>
      <c r="O1949" s="124"/>
      <c r="P1949" s="124"/>
      <c r="Q1949" s="124"/>
      <c r="R1949" s="124"/>
      <c r="S1949" s="124"/>
      <c r="T1949" s="124"/>
      <c r="U1949" s="124"/>
      <c r="V1949" s="124"/>
      <c r="W1949" s="124"/>
      <c r="X1949" s="124"/>
      <c r="Y1949" s="124"/>
    </row>
    <row r="1950" spans="2:25" x14ac:dyDescent="0.25">
      <c r="B1950" s="124"/>
      <c r="C1950" s="124"/>
      <c r="D1950" s="124"/>
      <c r="E1950" s="124"/>
      <c r="F1950" s="124"/>
      <c r="G1950" s="124"/>
      <c r="H1950" s="124"/>
      <c r="I1950" s="124"/>
      <c r="J1950" s="124"/>
      <c r="K1950" s="124"/>
      <c r="L1950" s="124"/>
      <c r="M1950" s="124"/>
      <c r="N1950" s="124"/>
      <c r="O1950" s="124"/>
      <c r="P1950" s="124"/>
      <c r="Q1950" s="124"/>
      <c r="R1950" s="124"/>
      <c r="S1950" s="124"/>
      <c r="T1950" s="124"/>
      <c r="U1950" s="124"/>
      <c r="V1950" s="124"/>
      <c r="W1950" s="124"/>
      <c r="X1950" s="124"/>
      <c r="Y1950" s="124"/>
    </row>
    <row r="1951" spans="2:25" x14ac:dyDescent="0.25">
      <c r="B1951" s="124"/>
      <c r="C1951" s="124"/>
      <c r="D1951" s="124"/>
      <c r="E1951" s="124"/>
      <c r="F1951" s="124"/>
      <c r="G1951" s="124"/>
      <c r="H1951" s="124"/>
      <c r="I1951" s="124"/>
      <c r="J1951" s="124"/>
      <c r="K1951" s="124"/>
      <c r="L1951" s="124"/>
      <c r="M1951" s="124"/>
      <c r="N1951" s="124"/>
      <c r="O1951" s="124"/>
      <c r="P1951" s="124"/>
      <c r="Q1951" s="124"/>
      <c r="R1951" s="124"/>
      <c r="S1951" s="124"/>
      <c r="T1951" s="124"/>
      <c r="U1951" s="124"/>
      <c r="V1951" s="124"/>
      <c r="W1951" s="124"/>
      <c r="X1951" s="124"/>
      <c r="Y1951" s="124"/>
    </row>
    <row r="1952" spans="2:25" x14ac:dyDescent="0.25">
      <c r="B1952" s="124"/>
      <c r="C1952" s="124"/>
      <c r="D1952" s="124"/>
      <c r="E1952" s="124"/>
      <c r="F1952" s="124"/>
      <c r="G1952" s="124"/>
      <c r="H1952" s="124"/>
      <c r="I1952" s="124"/>
      <c r="J1952" s="124"/>
      <c r="K1952" s="124"/>
      <c r="L1952" s="124"/>
      <c r="M1952" s="124"/>
      <c r="N1952" s="124"/>
      <c r="O1952" s="124"/>
      <c r="P1952" s="124"/>
      <c r="Q1952" s="124"/>
      <c r="R1952" s="124"/>
      <c r="S1952" s="124"/>
      <c r="T1952" s="124"/>
      <c r="U1952" s="124"/>
      <c r="V1952" s="124"/>
      <c r="W1952" s="124"/>
      <c r="X1952" s="124"/>
      <c r="Y1952" s="124"/>
    </row>
    <row r="1953" spans="2:25" x14ac:dyDescent="0.25">
      <c r="B1953" s="124"/>
      <c r="C1953" s="124"/>
      <c r="D1953" s="124"/>
      <c r="E1953" s="124"/>
      <c r="F1953" s="124"/>
      <c r="G1953" s="124"/>
      <c r="H1953" s="124"/>
      <c r="I1953" s="124"/>
      <c r="J1953" s="124"/>
      <c r="K1953" s="124"/>
      <c r="L1953" s="124"/>
      <c r="M1953" s="124"/>
      <c r="N1953" s="124"/>
      <c r="O1953" s="124"/>
      <c r="P1953" s="124"/>
      <c r="Q1953" s="124"/>
      <c r="R1953" s="124"/>
      <c r="S1953" s="124"/>
      <c r="T1953" s="124"/>
      <c r="U1953" s="124"/>
      <c r="V1953" s="124"/>
      <c r="W1953" s="124"/>
      <c r="X1953" s="124"/>
      <c r="Y1953" s="124"/>
    </row>
    <row r="1954" spans="2:25" x14ac:dyDescent="0.25">
      <c r="B1954" s="124"/>
      <c r="C1954" s="124"/>
      <c r="D1954" s="124"/>
      <c r="E1954" s="124"/>
      <c r="F1954" s="124"/>
      <c r="G1954" s="124"/>
      <c r="H1954" s="124"/>
      <c r="I1954" s="124"/>
      <c r="J1954" s="124"/>
      <c r="K1954" s="124"/>
      <c r="L1954" s="124"/>
      <c r="M1954" s="124"/>
      <c r="N1954" s="124"/>
      <c r="O1954" s="124"/>
      <c r="P1954" s="124"/>
      <c r="Q1954" s="124"/>
      <c r="R1954" s="124"/>
      <c r="S1954" s="124"/>
      <c r="T1954" s="124"/>
      <c r="U1954" s="124"/>
      <c r="V1954" s="124"/>
      <c r="W1954" s="124"/>
      <c r="X1954" s="124"/>
      <c r="Y1954" s="124"/>
    </row>
    <row r="1955" spans="2:25" x14ac:dyDescent="0.25">
      <c r="B1955" s="124"/>
      <c r="C1955" s="124"/>
      <c r="D1955" s="124"/>
      <c r="E1955" s="124"/>
      <c r="F1955" s="124"/>
      <c r="G1955" s="124"/>
      <c r="H1955" s="124"/>
      <c r="I1955" s="124"/>
      <c r="J1955" s="124"/>
      <c r="K1955" s="124"/>
      <c r="L1955" s="124"/>
      <c r="M1955" s="124"/>
      <c r="N1955" s="124"/>
      <c r="O1955" s="124"/>
      <c r="P1955" s="124"/>
      <c r="Q1955" s="124"/>
      <c r="R1955" s="124"/>
      <c r="S1955" s="124"/>
      <c r="T1955" s="124"/>
      <c r="U1955" s="124"/>
      <c r="V1955" s="124"/>
      <c r="W1955" s="124"/>
      <c r="X1955" s="124"/>
      <c r="Y1955" s="124"/>
    </row>
    <row r="1956" spans="2:25" x14ac:dyDescent="0.25">
      <c r="B1956" s="124"/>
      <c r="C1956" s="124"/>
      <c r="D1956" s="124"/>
      <c r="E1956" s="124"/>
      <c r="F1956" s="124"/>
      <c r="G1956" s="124"/>
      <c r="H1956" s="124"/>
      <c r="I1956" s="124"/>
      <c r="J1956" s="124"/>
      <c r="K1956" s="124"/>
      <c r="L1956" s="124"/>
      <c r="M1956" s="124"/>
      <c r="N1956" s="124"/>
      <c r="O1956" s="124"/>
      <c r="P1956" s="124"/>
      <c r="Q1956" s="124"/>
      <c r="R1956" s="124"/>
      <c r="S1956" s="124"/>
      <c r="T1956" s="124"/>
      <c r="U1956" s="124"/>
      <c r="V1956" s="124"/>
      <c r="W1956" s="124"/>
      <c r="X1956" s="124"/>
      <c r="Y1956" s="124"/>
    </row>
    <row r="1957" spans="2:25" x14ac:dyDescent="0.25">
      <c r="B1957" s="124"/>
      <c r="C1957" s="124"/>
      <c r="D1957" s="124"/>
      <c r="E1957" s="124"/>
      <c r="F1957" s="124"/>
      <c r="G1957" s="124"/>
      <c r="H1957" s="124"/>
      <c r="I1957" s="124"/>
      <c r="J1957" s="124"/>
      <c r="K1957" s="124"/>
      <c r="L1957" s="124"/>
      <c r="M1957" s="124"/>
      <c r="N1957" s="124"/>
      <c r="O1957" s="124"/>
      <c r="P1957" s="124"/>
      <c r="Q1957" s="124"/>
      <c r="R1957" s="124"/>
      <c r="S1957" s="124"/>
      <c r="T1957" s="124"/>
      <c r="U1957" s="124"/>
      <c r="V1957" s="124"/>
      <c r="W1957" s="124"/>
      <c r="X1957" s="124"/>
      <c r="Y1957" s="124"/>
    </row>
    <row r="1958" spans="2:25" x14ac:dyDescent="0.25">
      <c r="B1958" s="124"/>
      <c r="C1958" s="124"/>
      <c r="D1958" s="124"/>
      <c r="E1958" s="124"/>
      <c r="F1958" s="124"/>
      <c r="G1958" s="124"/>
      <c r="H1958" s="124"/>
      <c r="I1958" s="124"/>
      <c r="J1958" s="124"/>
      <c r="K1958" s="124"/>
      <c r="L1958" s="124"/>
      <c r="M1958" s="124"/>
      <c r="N1958" s="124"/>
      <c r="O1958" s="124"/>
      <c r="P1958" s="124"/>
      <c r="Q1958" s="124"/>
      <c r="R1958" s="124"/>
      <c r="S1958" s="124"/>
      <c r="T1958" s="124"/>
      <c r="U1958" s="124"/>
      <c r="V1958" s="124"/>
      <c r="W1958" s="124"/>
      <c r="X1958" s="124"/>
      <c r="Y1958" s="124"/>
    </row>
    <row r="1959" spans="2:25" x14ac:dyDescent="0.25">
      <c r="B1959" s="124"/>
      <c r="C1959" s="124"/>
      <c r="D1959" s="124"/>
      <c r="E1959" s="124"/>
      <c r="F1959" s="124"/>
      <c r="G1959" s="124"/>
      <c r="H1959" s="124"/>
      <c r="I1959" s="124"/>
      <c r="J1959" s="124"/>
      <c r="K1959" s="124"/>
      <c r="L1959" s="124"/>
      <c r="M1959" s="124"/>
      <c r="N1959" s="124"/>
      <c r="O1959" s="124"/>
      <c r="P1959" s="124"/>
      <c r="Q1959" s="124"/>
      <c r="R1959" s="124"/>
      <c r="S1959" s="124"/>
      <c r="T1959" s="124"/>
      <c r="U1959" s="124"/>
      <c r="V1959" s="124"/>
      <c r="W1959" s="124"/>
      <c r="X1959" s="124"/>
      <c r="Y1959" s="124"/>
    </row>
    <row r="1960" spans="2:25" x14ac:dyDescent="0.25">
      <c r="B1960" s="124"/>
      <c r="C1960" s="124"/>
      <c r="D1960" s="124"/>
      <c r="E1960" s="124"/>
      <c r="F1960" s="124"/>
      <c r="G1960" s="124"/>
      <c r="H1960" s="124"/>
      <c r="I1960" s="124"/>
      <c r="J1960" s="124"/>
      <c r="K1960" s="124"/>
      <c r="L1960" s="124"/>
      <c r="M1960" s="124"/>
      <c r="N1960" s="124"/>
      <c r="O1960" s="124"/>
      <c r="P1960" s="124"/>
      <c r="Q1960" s="124"/>
      <c r="R1960" s="124"/>
      <c r="S1960" s="124"/>
      <c r="T1960" s="124"/>
      <c r="U1960" s="124"/>
      <c r="V1960" s="124"/>
      <c r="W1960" s="124"/>
      <c r="X1960" s="124"/>
      <c r="Y1960" s="124"/>
    </row>
    <row r="1961" spans="2:25" x14ac:dyDescent="0.25">
      <c r="B1961" s="124"/>
      <c r="C1961" s="124"/>
      <c r="D1961" s="124"/>
      <c r="E1961" s="124"/>
      <c r="F1961" s="124"/>
      <c r="G1961" s="124"/>
      <c r="H1961" s="124"/>
      <c r="I1961" s="124"/>
      <c r="J1961" s="124"/>
      <c r="K1961" s="124"/>
      <c r="L1961" s="124"/>
      <c r="M1961" s="124"/>
      <c r="N1961" s="124"/>
      <c r="O1961" s="124"/>
      <c r="P1961" s="124"/>
      <c r="Q1961" s="124"/>
      <c r="R1961" s="124"/>
      <c r="S1961" s="124"/>
      <c r="T1961" s="124"/>
      <c r="U1961" s="124"/>
      <c r="V1961" s="124"/>
      <c r="W1961" s="124"/>
      <c r="X1961" s="124"/>
      <c r="Y1961" s="124"/>
    </row>
    <row r="1962" spans="2:25" x14ac:dyDescent="0.25">
      <c r="B1962" s="124"/>
      <c r="C1962" s="124"/>
      <c r="D1962" s="124"/>
      <c r="E1962" s="124"/>
      <c r="F1962" s="124"/>
      <c r="G1962" s="124"/>
      <c r="H1962" s="124"/>
      <c r="I1962" s="124"/>
      <c r="J1962" s="124"/>
      <c r="K1962" s="124"/>
      <c r="L1962" s="124"/>
      <c r="M1962" s="124"/>
      <c r="N1962" s="124"/>
      <c r="O1962" s="124"/>
      <c r="P1962" s="124"/>
      <c r="Q1962" s="124"/>
      <c r="R1962" s="124"/>
      <c r="S1962" s="124"/>
      <c r="T1962" s="124"/>
      <c r="U1962" s="124"/>
      <c r="V1962" s="124"/>
      <c r="W1962" s="124"/>
      <c r="X1962" s="124"/>
      <c r="Y1962" s="124"/>
    </row>
    <row r="1963" spans="2:25" x14ac:dyDescent="0.25">
      <c r="B1963" s="124"/>
      <c r="C1963" s="124"/>
      <c r="D1963" s="124"/>
      <c r="E1963" s="124"/>
      <c r="F1963" s="124"/>
      <c r="G1963" s="124"/>
      <c r="H1963" s="124"/>
      <c r="I1963" s="124"/>
      <c r="J1963" s="124"/>
      <c r="K1963" s="124"/>
      <c r="L1963" s="124"/>
      <c r="M1963" s="124"/>
      <c r="N1963" s="124"/>
      <c r="O1963" s="124"/>
      <c r="P1963" s="124"/>
      <c r="Q1963" s="124"/>
      <c r="R1963" s="124"/>
      <c r="S1963" s="124"/>
      <c r="T1963" s="124"/>
      <c r="U1963" s="124"/>
      <c r="V1963" s="124"/>
      <c r="W1963" s="124"/>
      <c r="X1963" s="124"/>
      <c r="Y1963" s="124"/>
    </row>
    <row r="1964" spans="2:25" x14ac:dyDescent="0.25">
      <c r="B1964" s="124"/>
      <c r="C1964" s="124"/>
      <c r="D1964" s="124"/>
      <c r="E1964" s="124"/>
      <c r="F1964" s="124"/>
      <c r="G1964" s="124"/>
      <c r="H1964" s="124"/>
      <c r="I1964" s="124"/>
      <c r="J1964" s="124"/>
      <c r="K1964" s="124"/>
      <c r="L1964" s="124"/>
      <c r="M1964" s="124"/>
      <c r="N1964" s="124"/>
      <c r="O1964" s="124"/>
      <c r="P1964" s="124"/>
      <c r="Q1964" s="124"/>
      <c r="R1964" s="124"/>
      <c r="S1964" s="124"/>
      <c r="T1964" s="124"/>
      <c r="U1964" s="124"/>
      <c r="V1964" s="124"/>
      <c r="W1964" s="124"/>
      <c r="X1964" s="124"/>
      <c r="Y1964" s="124"/>
    </row>
    <row r="1965" spans="2:25" x14ac:dyDescent="0.25">
      <c r="B1965" s="124"/>
      <c r="C1965" s="124"/>
      <c r="D1965" s="124"/>
      <c r="E1965" s="124"/>
      <c r="F1965" s="124"/>
      <c r="G1965" s="124"/>
      <c r="H1965" s="124"/>
      <c r="I1965" s="124"/>
      <c r="J1965" s="124"/>
      <c r="K1965" s="124"/>
      <c r="L1965" s="124"/>
      <c r="M1965" s="124"/>
      <c r="N1965" s="124"/>
      <c r="O1965" s="124"/>
      <c r="P1965" s="124"/>
      <c r="Q1965" s="124"/>
      <c r="R1965" s="124"/>
      <c r="S1965" s="124"/>
      <c r="T1965" s="124"/>
      <c r="U1965" s="124"/>
      <c r="V1965" s="124"/>
      <c r="W1965" s="124"/>
      <c r="X1965" s="124"/>
      <c r="Y1965" s="124"/>
    </row>
    <row r="1966" spans="2:25" x14ac:dyDescent="0.25">
      <c r="B1966" s="124"/>
      <c r="C1966" s="124"/>
      <c r="D1966" s="124"/>
      <c r="E1966" s="124"/>
      <c r="F1966" s="124"/>
      <c r="G1966" s="124"/>
      <c r="H1966" s="124"/>
      <c r="I1966" s="124"/>
      <c r="J1966" s="124"/>
      <c r="K1966" s="124"/>
      <c r="L1966" s="124"/>
      <c r="M1966" s="124"/>
      <c r="N1966" s="124"/>
      <c r="O1966" s="124"/>
      <c r="P1966" s="124"/>
      <c r="Q1966" s="124"/>
      <c r="R1966" s="124"/>
      <c r="S1966" s="124"/>
      <c r="T1966" s="124"/>
      <c r="U1966" s="124"/>
      <c r="V1966" s="124"/>
      <c r="W1966" s="124"/>
      <c r="X1966" s="124"/>
      <c r="Y1966" s="124"/>
    </row>
    <row r="1967" spans="2:25" x14ac:dyDescent="0.25">
      <c r="B1967" s="124"/>
      <c r="C1967" s="124"/>
      <c r="D1967" s="124"/>
      <c r="E1967" s="124"/>
      <c r="F1967" s="124"/>
      <c r="G1967" s="124"/>
      <c r="H1967" s="124"/>
      <c r="I1967" s="124"/>
      <c r="J1967" s="124"/>
      <c r="K1967" s="124"/>
      <c r="L1967" s="124"/>
      <c r="M1967" s="124"/>
      <c r="N1967" s="124"/>
      <c r="O1967" s="124"/>
      <c r="P1967" s="124"/>
      <c r="Q1967" s="124"/>
      <c r="R1967" s="124"/>
      <c r="S1967" s="124"/>
      <c r="T1967" s="124"/>
      <c r="U1967" s="124"/>
      <c r="V1967" s="124"/>
      <c r="W1967" s="124"/>
      <c r="X1967" s="124"/>
      <c r="Y1967" s="124"/>
    </row>
    <row r="1968" spans="2:25" x14ac:dyDescent="0.25">
      <c r="B1968" s="124"/>
      <c r="C1968" s="124"/>
      <c r="D1968" s="124"/>
      <c r="E1968" s="124"/>
      <c r="F1968" s="124"/>
      <c r="G1968" s="124"/>
      <c r="H1968" s="124"/>
      <c r="I1968" s="124"/>
      <c r="J1968" s="124"/>
      <c r="K1968" s="124"/>
      <c r="L1968" s="124"/>
      <c r="M1968" s="124"/>
      <c r="N1968" s="124"/>
      <c r="O1968" s="124"/>
      <c r="P1968" s="124"/>
      <c r="Q1968" s="124"/>
      <c r="R1968" s="124"/>
      <c r="S1968" s="124"/>
      <c r="T1968" s="124"/>
      <c r="U1968" s="124"/>
      <c r="V1968" s="124"/>
      <c r="W1968" s="124"/>
      <c r="X1968" s="124"/>
      <c r="Y1968" s="124"/>
    </row>
    <row r="1969" spans="2:25" x14ac:dyDescent="0.25">
      <c r="B1969" s="124"/>
      <c r="C1969" s="124"/>
      <c r="D1969" s="124"/>
      <c r="E1969" s="124"/>
      <c r="F1969" s="124"/>
      <c r="G1969" s="124"/>
      <c r="H1969" s="124"/>
      <c r="I1969" s="124"/>
      <c r="J1969" s="124"/>
      <c r="K1969" s="124"/>
      <c r="L1969" s="124"/>
      <c r="M1969" s="124"/>
      <c r="N1969" s="124"/>
      <c r="O1969" s="124"/>
      <c r="P1969" s="124"/>
      <c r="Q1969" s="124"/>
      <c r="R1969" s="124"/>
      <c r="S1969" s="124"/>
      <c r="T1969" s="124"/>
      <c r="U1969" s="124"/>
      <c r="V1969" s="124"/>
      <c r="W1969" s="124"/>
      <c r="X1969" s="124"/>
      <c r="Y1969" s="124"/>
    </row>
    <row r="1970" spans="2:25" x14ac:dyDescent="0.25">
      <c r="B1970" s="124"/>
      <c r="C1970" s="124"/>
      <c r="D1970" s="124"/>
      <c r="E1970" s="124"/>
      <c r="F1970" s="124"/>
      <c r="G1970" s="124"/>
      <c r="H1970" s="124"/>
      <c r="I1970" s="124"/>
      <c r="J1970" s="124"/>
      <c r="K1970" s="124"/>
      <c r="L1970" s="124"/>
      <c r="M1970" s="124"/>
      <c r="N1970" s="124"/>
      <c r="O1970" s="124"/>
      <c r="P1970" s="124"/>
      <c r="Q1970" s="124"/>
      <c r="R1970" s="124"/>
      <c r="S1970" s="124"/>
      <c r="T1970" s="124"/>
      <c r="U1970" s="124"/>
      <c r="V1970" s="124"/>
      <c r="W1970" s="124"/>
      <c r="X1970" s="124"/>
      <c r="Y1970" s="124"/>
    </row>
    <row r="1971" spans="2:25" x14ac:dyDescent="0.25">
      <c r="B1971" s="124"/>
      <c r="C1971" s="124"/>
      <c r="D1971" s="124"/>
      <c r="E1971" s="124"/>
      <c r="F1971" s="124"/>
      <c r="G1971" s="124"/>
      <c r="H1971" s="124"/>
      <c r="I1971" s="124"/>
      <c r="J1971" s="124"/>
      <c r="K1971" s="124"/>
      <c r="L1971" s="124"/>
      <c r="M1971" s="124"/>
      <c r="N1971" s="124"/>
      <c r="O1971" s="124"/>
      <c r="P1971" s="124"/>
      <c r="Q1971" s="124"/>
      <c r="R1971" s="124"/>
      <c r="S1971" s="124"/>
      <c r="T1971" s="124"/>
      <c r="U1971" s="124"/>
      <c r="V1971" s="124"/>
      <c r="W1971" s="124"/>
      <c r="X1971" s="124"/>
      <c r="Y1971" s="124"/>
    </row>
    <row r="1972" spans="2:25" x14ac:dyDescent="0.25">
      <c r="B1972" s="124"/>
      <c r="C1972" s="124"/>
      <c r="D1972" s="124"/>
      <c r="E1972" s="124"/>
      <c r="F1972" s="124"/>
      <c r="G1972" s="124"/>
      <c r="H1972" s="124"/>
      <c r="I1972" s="124"/>
      <c r="J1972" s="124"/>
      <c r="K1972" s="124"/>
      <c r="L1972" s="124"/>
      <c r="M1972" s="124"/>
      <c r="N1972" s="124"/>
      <c r="O1972" s="124"/>
      <c r="P1972" s="124"/>
      <c r="Q1972" s="124"/>
      <c r="R1972" s="124"/>
      <c r="S1972" s="124"/>
      <c r="T1972" s="124"/>
      <c r="U1972" s="124"/>
      <c r="V1972" s="124"/>
      <c r="W1972" s="124"/>
      <c r="X1972" s="124"/>
      <c r="Y1972" s="124"/>
    </row>
    <row r="1973" spans="2:25" x14ac:dyDescent="0.25">
      <c r="B1973" s="124"/>
      <c r="C1973" s="124"/>
      <c r="D1973" s="124"/>
      <c r="E1973" s="124"/>
      <c r="F1973" s="124"/>
      <c r="G1973" s="124"/>
      <c r="H1973" s="124"/>
      <c r="I1973" s="124"/>
      <c r="J1973" s="124"/>
      <c r="K1973" s="124"/>
      <c r="L1973" s="124"/>
      <c r="M1973" s="124"/>
      <c r="N1973" s="124"/>
      <c r="O1973" s="124"/>
      <c r="P1973" s="124"/>
      <c r="Q1973" s="124"/>
      <c r="R1973" s="124"/>
      <c r="S1973" s="124"/>
      <c r="T1973" s="124"/>
      <c r="U1973" s="124"/>
      <c r="V1973" s="124"/>
      <c r="W1973" s="124"/>
      <c r="X1973" s="124"/>
      <c r="Y1973" s="124"/>
    </row>
    <row r="1974" spans="2:25" x14ac:dyDescent="0.25">
      <c r="B1974" s="124"/>
      <c r="C1974" s="124"/>
      <c r="D1974" s="124"/>
      <c r="E1974" s="124"/>
      <c r="F1974" s="124"/>
      <c r="G1974" s="124"/>
      <c r="H1974" s="124"/>
      <c r="I1974" s="124"/>
      <c r="J1974" s="124"/>
      <c r="K1974" s="124"/>
      <c r="L1974" s="124"/>
      <c r="M1974" s="124"/>
      <c r="N1974" s="124"/>
      <c r="O1974" s="124"/>
      <c r="P1974" s="124"/>
      <c r="Q1974" s="124"/>
      <c r="R1974" s="124"/>
      <c r="S1974" s="124"/>
      <c r="T1974" s="124"/>
      <c r="U1974" s="124"/>
      <c r="V1974" s="124"/>
      <c r="W1974" s="124"/>
      <c r="X1974" s="124"/>
      <c r="Y1974" s="124"/>
    </row>
    <row r="1975" spans="2:25" x14ac:dyDescent="0.25">
      <c r="B1975" s="124"/>
      <c r="C1975" s="124"/>
      <c r="D1975" s="124"/>
      <c r="E1975" s="124"/>
      <c r="F1975" s="124"/>
      <c r="G1975" s="124"/>
      <c r="H1975" s="124"/>
      <c r="I1975" s="124"/>
      <c r="J1975" s="124"/>
      <c r="K1975" s="124"/>
      <c r="L1975" s="124"/>
      <c r="M1975" s="124"/>
      <c r="N1975" s="124"/>
      <c r="O1975" s="124"/>
      <c r="P1975" s="124"/>
      <c r="Q1975" s="124"/>
      <c r="R1975" s="124"/>
      <c r="S1975" s="124"/>
      <c r="T1975" s="124"/>
      <c r="U1975" s="124"/>
      <c r="V1975" s="124"/>
      <c r="W1975" s="124"/>
      <c r="X1975" s="124"/>
      <c r="Y1975" s="124"/>
    </row>
    <row r="1976" spans="2:25" x14ac:dyDescent="0.25">
      <c r="B1976" s="124"/>
      <c r="C1976" s="124"/>
      <c r="D1976" s="124"/>
      <c r="E1976" s="124"/>
      <c r="F1976" s="124"/>
      <c r="G1976" s="124"/>
      <c r="H1976" s="124"/>
      <c r="I1976" s="124"/>
      <c r="J1976" s="124"/>
      <c r="K1976" s="124"/>
      <c r="L1976" s="124"/>
      <c r="M1976" s="124"/>
      <c r="N1976" s="124"/>
      <c r="O1976" s="124"/>
      <c r="P1976" s="124"/>
      <c r="Q1976" s="124"/>
      <c r="R1976" s="124"/>
      <c r="S1976" s="124"/>
      <c r="T1976" s="124"/>
      <c r="U1976" s="124"/>
      <c r="V1976" s="124"/>
      <c r="W1976" s="124"/>
      <c r="X1976" s="124"/>
      <c r="Y1976" s="124"/>
    </row>
    <row r="1977" spans="2:25" x14ac:dyDescent="0.25">
      <c r="B1977" s="124"/>
      <c r="C1977" s="124"/>
      <c r="D1977" s="124"/>
      <c r="E1977" s="124"/>
      <c r="F1977" s="124"/>
      <c r="G1977" s="124"/>
      <c r="H1977" s="124"/>
      <c r="I1977" s="124"/>
      <c r="J1977" s="124"/>
      <c r="K1977" s="124"/>
      <c r="L1977" s="124"/>
      <c r="M1977" s="124"/>
      <c r="N1977" s="124"/>
      <c r="O1977" s="124"/>
      <c r="P1977" s="124"/>
      <c r="Q1977" s="124"/>
      <c r="R1977" s="124"/>
      <c r="S1977" s="124"/>
      <c r="T1977" s="124"/>
      <c r="U1977" s="124"/>
      <c r="V1977" s="124"/>
      <c r="W1977" s="124"/>
      <c r="X1977" s="124"/>
      <c r="Y1977" s="124"/>
    </row>
    <row r="1978" spans="2:25" x14ac:dyDescent="0.25">
      <c r="B1978" s="124"/>
      <c r="C1978" s="124"/>
      <c r="D1978" s="124"/>
      <c r="E1978" s="124"/>
      <c r="F1978" s="124"/>
      <c r="G1978" s="124"/>
      <c r="H1978" s="124"/>
      <c r="I1978" s="124"/>
      <c r="J1978" s="124"/>
      <c r="K1978" s="124"/>
      <c r="L1978" s="124"/>
      <c r="M1978" s="124"/>
      <c r="N1978" s="124"/>
      <c r="O1978" s="124"/>
      <c r="P1978" s="124"/>
      <c r="Q1978" s="124"/>
      <c r="R1978" s="124"/>
      <c r="S1978" s="124"/>
      <c r="T1978" s="124"/>
      <c r="U1978" s="124"/>
      <c r="V1978" s="124"/>
      <c r="W1978" s="124"/>
      <c r="X1978" s="124"/>
      <c r="Y1978" s="124"/>
    </row>
    <row r="1979" spans="2:25" x14ac:dyDescent="0.25">
      <c r="B1979" s="124"/>
      <c r="C1979" s="124"/>
      <c r="D1979" s="124"/>
      <c r="E1979" s="124"/>
      <c r="F1979" s="124"/>
      <c r="G1979" s="124"/>
      <c r="H1979" s="124"/>
      <c r="I1979" s="124"/>
      <c r="J1979" s="124"/>
      <c r="K1979" s="124"/>
      <c r="L1979" s="124"/>
      <c r="M1979" s="124"/>
      <c r="N1979" s="124"/>
      <c r="O1979" s="124"/>
      <c r="P1979" s="124"/>
      <c r="Q1979" s="124"/>
      <c r="R1979" s="124"/>
      <c r="S1979" s="124"/>
      <c r="T1979" s="124"/>
      <c r="U1979" s="124"/>
      <c r="V1979" s="124"/>
      <c r="W1979" s="124"/>
      <c r="X1979" s="124"/>
      <c r="Y1979" s="124"/>
    </row>
    <row r="1980" spans="2:25" x14ac:dyDescent="0.25">
      <c r="B1980" s="124"/>
      <c r="C1980" s="124"/>
      <c r="D1980" s="124"/>
      <c r="E1980" s="124"/>
      <c r="F1980" s="124"/>
      <c r="G1980" s="124"/>
      <c r="H1980" s="124"/>
      <c r="I1980" s="124"/>
      <c r="J1980" s="124"/>
      <c r="K1980" s="124"/>
      <c r="L1980" s="124"/>
      <c r="M1980" s="124"/>
      <c r="N1980" s="124"/>
      <c r="O1980" s="124"/>
      <c r="P1980" s="124"/>
      <c r="Q1980" s="124"/>
      <c r="R1980" s="124"/>
      <c r="S1980" s="124"/>
      <c r="T1980" s="124"/>
      <c r="U1980" s="124"/>
      <c r="V1980" s="124"/>
      <c r="W1980" s="124"/>
      <c r="X1980" s="124"/>
      <c r="Y1980" s="124"/>
    </row>
    <row r="1981" spans="2:25" x14ac:dyDescent="0.25">
      <c r="B1981" s="124"/>
      <c r="C1981" s="124"/>
      <c r="D1981" s="124"/>
      <c r="E1981" s="124"/>
      <c r="F1981" s="124"/>
      <c r="G1981" s="124"/>
      <c r="H1981" s="124"/>
      <c r="I1981" s="124"/>
      <c r="J1981" s="124"/>
      <c r="K1981" s="124"/>
      <c r="L1981" s="124"/>
      <c r="M1981" s="124"/>
      <c r="N1981" s="124"/>
      <c r="O1981" s="124"/>
      <c r="P1981" s="124"/>
      <c r="Q1981" s="124"/>
      <c r="R1981" s="124"/>
      <c r="S1981" s="124"/>
      <c r="T1981" s="124"/>
      <c r="U1981" s="124"/>
      <c r="V1981" s="124"/>
      <c r="W1981" s="124"/>
      <c r="X1981" s="124"/>
      <c r="Y1981" s="124"/>
    </row>
    <row r="1982" spans="2:25" x14ac:dyDescent="0.25">
      <c r="B1982" s="124"/>
      <c r="C1982" s="124"/>
      <c r="D1982" s="124"/>
      <c r="E1982" s="124"/>
      <c r="F1982" s="124"/>
      <c r="G1982" s="124"/>
      <c r="H1982" s="124"/>
      <c r="I1982" s="124"/>
      <c r="J1982" s="124"/>
      <c r="K1982" s="124"/>
      <c r="L1982" s="124"/>
      <c r="M1982" s="124"/>
      <c r="N1982" s="124"/>
      <c r="O1982" s="124"/>
      <c r="P1982" s="124"/>
      <c r="Q1982" s="124"/>
      <c r="R1982" s="124"/>
      <c r="S1982" s="124"/>
      <c r="T1982" s="124"/>
      <c r="U1982" s="124"/>
      <c r="V1982" s="124"/>
      <c r="W1982" s="124"/>
      <c r="X1982" s="124"/>
      <c r="Y1982" s="124"/>
    </row>
    <row r="1983" spans="2:25" x14ac:dyDescent="0.25">
      <c r="B1983" s="124"/>
      <c r="C1983" s="124"/>
      <c r="D1983" s="124"/>
      <c r="E1983" s="124"/>
      <c r="F1983" s="124"/>
      <c r="G1983" s="124"/>
      <c r="H1983" s="124"/>
      <c r="I1983" s="124"/>
      <c r="J1983" s="124"/>
      <c r="K1983" s="124"/>
      <c r="L1983" s="124"/>
      <c r="M1983" s="124"/>
      <c r="N1983" s="124"/>
      <c r="O1983" s="124"/>
      <c r="P1983" s="124"/>
      <c r="Q1983" s="124"/>
      <c r="R1983" s="124"/>
      <c r="S1983" s="124"/>
      <c r="T1983" s="124"/>
      <c r="U1983" s="124"/>
      <c r="V1983" s="124"/>
      <c r="W1983" s="124"/>
      <c r="X1983" s="124"/>
      <c r="Y1983" s="124"/>
    </row>
    <row r="1984" spans="2:25" x14ac:dyDescent="0.25">
      <c r="B1984" s="124"/>
      <c r="C1984" s="124"/>
      <c r="D1984" s="124"/>
      <c r="E1984" s="124"/>
      <c r="F1984" s="124"/>
      <c r="G1984" s="124"/>
      <c r="H1984" s="124"/>
      <c r="I1984" s="124"/>
      <c r="J1984" s="124"/>
      <c r="K1984" s="124"/>
      <c r="L1984" s="124"/>
      <c r="M1984" s="124"/>
      <c r="N1984" s="124"/>
      <c r="O1984" s="124"/>
      <c r="P1984" s="124"/>
      <c r="Q1984" s="124"/>
      <c r="R1984" s="124"/>
      <c r="S1984" s="124"/>
      <c r="T1984" s="124"/>
      <c r="U1984" s="124"/>
      <c r="V1984" s="124"/>
      <c r="W1984" s="124"/>
      <c r="X1984" s="124"/>
      <c r="Y1984" s="124"/>
    </row>
    <row r="1985" spans="2:25" x14ac:dyDescent="0.25">
      <c r="B1985" s="124"/>
      <c r="C1985" s="124"/>
      <c r="D1985" s="124"/>
      <c r="E1985" s="124"/>
      <c r="F1985" s="124"/>
      <c r="G1985" s="124"/>
      <c r="H1985" s="124"/>
      <c r="I1985" s="124"/>
      <c r="J1985" s="124"/>
      <c r="K1985" s="124"/>
      <c r="L1985" s="124"/>
      <c r="M1985" s="124"/>
      <c r="N1985" s="124"/>
      <c r="O1985" s="124"/>
      <c r="P1985" s="124"/>
      <c r="Q1985" s="124"/>
      <c r="R1985" s="124"/>
      <c r="S1985" s="124"/>
      <c r="T1985" s="124"/>
      <c r="U1985" s="124"/>
      <c r="V1985" s="124"/>
      <c r="W1985" s="124"/>
      <c r="X1985" s="124"/>
      <c r="Y1985" s="124"/>
    </row>
    <row r="1986" spans="2:25" x14ac:dyDescent="0.25">
      <c r="B1986" s="124"/>
      <c r="C1986" s="124"/>
      <c r="D1986" s="124"/>
      <c r="E1986" s="124"/>
      <c r="F1986" s="124"/>
      <c r="G1986" s="124"/>
      <c r="H1986" s="124"/>
      <c r="I1986" s="124"/>
      <c r="J1986" s="124"/>
      <c r="K1986" s="124"/>
      <c r="L1986" s="124"/>
      <c r="M1986" s="124"/>
      <c r="N1986" s="124"/>
      <c r="O1986" s="124"/>
      <c r="P1986" s="124"/>
      <c r="Q1986" s="124"/>
      <c r="R1986" s="124"/>
      <c r="S1986" s="124"/>
      <c r="T1986" s="124"/>
      <c r="U1986" s="124"/>
      <c r="V1986" s="124"/>
      <c r="W1986" s="124"/>
      <c r="X1986" s="124"/>
      <c r="Y1986" s="124"/>
    </row>
    <row r="1987" spans="2:25" x14ac:dyDescent="0.25">
      <c r="B1987" s="124"/>
      <c r="C1987" s="124"/>
      <c r="D1987" s="124"/>
      <c r="E1987" s="124"/>
      <c r="F1987" s="124"/>
      <c r="G1987" s="124"/>
      <c r="H1987" s="124"/>
      <c r="I1987" s="124"/>
      <c r="J1987" s="124"/>
      <c r="K1987" s="124"/>
      <c r="L1987" s="124"/>
      <c r="M1987" s="124"/>
      <c r="N1987" s="124"/>
      <c r="O1987" s="124"/>
      <c r="P1987" s="124"/>
      <c r="Q1987" s="124"/>
      <c r="R1987" s="124"/>
      <c r="S1987" s="124"/>
      <c r="T1987" s="124"/>
      <c r="U1987" s="124"/>
      <c r="V1987" s="124"/>
      <c r="W1987" s="124"/>
      <c r="X1987" s="124"/>
      <c r="Y1987" s="124"/>
    </row>
    <row r="1988" spans="2:25" x14ac:dyDescent="0.25">
      <c r="B1988" s="124"/>
      <c r="C1988" s="124"/>
      <c r="D1988" s="124"/>
      <c r="E1988" s="124"/>
      <c r="F1988" s="124"/>
      <c r="G1988" s="124"/>
      <c r="H1988" s="124"/>
      <c r="I1988" s="124"/>
      <c r="J1988" s="124"/>
      <c r="K1988" s="124"/>
      <c r="L1988" s="124"/>
      <c r="M1988" s="124"/>
      <c r="N1988" s="124"/>
      <c r="O1988" s="124"/>
      <c r="P1988" s="124"/>
      <c r="Q1988" s="124"/>
      <c r="R1988" s="124"/>
      <c r="S1988" s="124"/>
      <c r="T1988" s="124"/>
      <c r="U1988" s="124"/>
      <c r="V1988" s="124"/>
      <c r="W1988" s="124"/>
      <c r="X1988" s="124"/>
      <c r="Y1988" s="124"/>
    </row>
    <row r="1989" spans="2:25" x14ac:dyDescent="0.25">
      <c r="B1989" s="124"/>
      <c r="C1989" s="124"/>
      <c r="D1989" s="124"/>
      <c r="E1989" s="124"/>
      <c r="F1989" s="124"/>
      <c r="G1989" s="124"/>
      <c r="H1989" s="124"/>
      <c r="I1989" s="124"/>
      <c r="J1989" s="124"/>
      <c r="K1989" s="124"/>
      <c r="L1989" s="124"/>
      <c r="M1989" s="124"/>
      <c r="N1989" s="124"/>
      <c r="O1989" s="124"/>
      <c r="P1989" s="124"/>
      <c r="Q1989" s="124"/>
      <c r="R1989" s="124"/>
      <c r="S1989" s="124"/>
      <c r="T1989" s="124"/>
      <c r="U1989" s="124"/>
      <c r="V1989" s="124"/>
      <c r="W1989" s="124"/>
      <c r="X1989" s="124"/>
      <c r="Y1989" s="124"/>
    </row>
    <row r="1990" spans="2:25" x14ac:dyDescent="0.25">
      <c r="B1990" s="124"/>
      <c r="C1990" s="124"/>
      <c r="D1990" s="124"/>
      <c r="E1990" s="124"/>
      <c r="F1990" s="124"/>
      <c r="G1990" s="124"/>
      <c r="H1990" s="124"/>
      <c r="I1990" s="124"/>
      <c r="J1990" s="124"/>
      <c r="K1990" s="124"/>
      <c r="L1990" s="124"/>
      <c r="M1990" s="124"/>
      <c r="N1990" s="124"/>
      <c r="O1990" s="124"/>
      <c r="P1990" s="124"/>
      <c r="Q1990" s="124"/>
      <c r="R1990" s="124"/>
      <c r="S1990" s="124"/>
      <c r="T1990" s="124"/>
      <c r="U1990" s="124"/>
      <c r="V1990" s="124"/>
      <c r="W1990" s="124"/>
      <c r="X1990" s="124"/>
      <c r="Y1990" s="124"/>
    </row>
    <row r="1991" spans="2:25" x14ac:dyDescent="0.25">
      <c r="B1991" s="124"/>
      <c r="C1991" s="124"/>
      <c r="D1991" s="124"/>
      <c r="E1991" s="124"/>
      <c r="F1991" s="124"/>
      <c r="G1991" s="124"/>
      <c r="H1991" s="124"/>
      <c r="I1991" s="124"/>
      <c r="J1991" s="124"/>
      <c r="K1991" s="124"/>
      <c r="L1991" s="124"/>
      <c r="M1991" s="124"/>
      <c r="N1991" s="124"/>
      <c r="O1991" s="124"/>
      <c r="P1991" s="124"/>
      <c r="Q1991" s="124"/>
      <c r="R1991" s="124"/>
      <c r="S1991" s="124"/>
      <c r="T1991" s="124"/>
      <c r="U1991" s="124"/>
      <c r="V1991" s="124"/>
      <c r="W1991" s="124"/>
      <c r="X1991" s="124"/>
      <c r="Y1991" s="124"/>
    </row>
    <row r="1992" spans="2:25" x14ac:dyDescent="0.25">
      <c r="B1992" s="124"/>
      <c r="C1992" s="124"/>
      <c r="D1992" s="124"/>
      <c r="E1992" s="124"/>
      <c r="F1992" s="124"/>
      <c r="G1992" s="124"/>
      <c r="H1992" s="124"/>
      <c r="I1992" s="124"/>
      <c r="J1992" s="124"/>
      <c r="K1992" s="124"/>
      <c r="L1992" s="124"/>
      <c r="M1992" s="124"/>
      <c r="N1992" s="124"/>
      <c r="O1992" s="124"/>
      <c r="P1992" s="124"/>
      <c r="Q1992" s="124"/>
      <c r="R1992" s="124"/>
      <c r="S1992" s="124"/>
      <c r="T1992" s="124"/>
      <c r="U1992" s="124"/>
      <c r="V1992" s="124"/>
      <c r="W1992" s="124"/>
      <c r="X1992" s="124"/>
      <c r="Y1992" s="124"/>
    </row>
    <row r="1993" spans="2:25" x14ac:dyDescent="0.25">
      <c r="B1993" s="124"/>
      <c r="C1993" s="124"/>
      <c r="D1993" s="124"/>
      <c r="E1993" s="124"/>
      <c r="F1993" s="124"/>
      <c r="G1993" s="124"/>
      <c r="H1993" s="124"/>
      <c r="I1993" s="124"/>
      <c r="J1993" s="124"/>
      <c r="K1993" s="124"/>
      <c r="L1993" s="124"/>
      <c r="M1993" s="124"/>
      <c r="N1993" s="124"/>
      <c r="O1993" s="124"/>
      <c r="P1993" s="124"/>
      <c r="Q1993" s="124"/>
      <c r="R1993" s="124"/>
      <c r="S1993" s="124"/>
      <c r="T1993" s="124"/>
      <c r="U1993" s="124"/>
      <c r="V1993" s="124"/>
      <c r="W1993" s="124"/>
      <c r="X1993" s="124"/>
      <c r="Y1993" s="124"/>
    </row>
    <row r="1994" spans="2:25" x14ac:dyDescent="0.25">
      <c r="B1994" s="124"/>
      <c r="C1994" s="124"/>
      <c r="D1994" s="124"/>
      <c r="E1994" s="124"/>
      <c r="F1994" s="124"/>
      <c r="G1994" s="124"/>
      <c r="H1994" s="124"/>
      <c r="I1994" s="124"/>
      <c r="J1994" s="124"/>
      <c r="K1994" s="124"/>
      <c r="L1994" s="124"/>
      <c r="M1994" s="124"/>
      <c r="N1994" s="124"/>
      <c r="O1994" s="124"/>
      <c r="P1994" s="124"/>
      <c r="Q1994" s="124"/>
      <c r="R1994" s="124"/>
      <c r="S1994" s="124"/>
      <c r="T1994" s="124"/>
      <c r="U1994" s="124"/>
      <c r="V1994" s="124"/>
      <c r="W1994" s="124"/>
      <c r="X1994" s="124"/>
      <c r="Y1994" s="124"/>
    </row>
    <row r="1995" spans="2:25" x14ac:dyDescent="0.25">
      <c r="B1995" s="124"/>
      <c r="C1995" s="124"/>
      <c r="D1995" s="124"/>
      <c r="E1995" s="124"/>
      <c r="F1995" s="124"/>
      <c r="G1995" s="124"/>
      <c r="H1995" s="124"/>
      <c r="I1995" s="124"/>
      <c r="J1995" s="124"/>
      <c r="K1995" s="124"/>
      <c r="L1995" s="124"/>
      <c r="M1995" s="124"/>
      <c r="N1995" s="124"/>
      <c r="O1995" s="124"/>
      <c r="P1995" s="124"/>
      <c r="Q1995" s="124"/>
      <c r="R1995" s="124"/>
      <c r="S1995" s="124"/>
      <c r="T1995" s="124"/>
      <c r="U1995" s="124"/>
      <c r="V1995" s="124"/>
      <c r="W1995" s="124"/>
      <c r="X1995" s="124"/>
      <c r="Y1995" s="124"/>
    </row>
    <row r="1996" spans="2:25" x14ac:dyDescent="0.25">
      <c r="B1996" s="124"/>
      <c r="C1996" s="124"/>
      <c r="D1996" s="124"/>
      <c r="E1996" s="124"/>
      <c r="F1996" s="124"/>
      <c r="G1996" s="124"/>
      <c r="H1996" s="124"/>
      <c r="I1996" s="124"/>
      <c r="J1996" s="124"/>
      <c r="K1996" s="124"/>
      <c r="L1996" s="124"/>
      <c r="M1996" s="124"/>
      <c r="N1996" s="124"/>
      <c r="O1996" s="124"/>
      <c r="P1996" s="124"/>
      <c r="Q1996" s="124"/>
      <c r="R1996" s="124"/>
      <c r="S1996" s="124"/>
      <c r="T1996" s="124"/>
      <c r="U1996" s="124"/>
      <c r="V1996" s="124"/>
      <c r="W1996" s="124"/>
      <c r="X1996" s="124"/>
      <c r="Y1996" s="124"/>
    </row>
    <row r="1997" spans="2:25" x14ac:dyDescent="0.25">
      <c r="B1997" s="124"/>
      <c r="C1997" s="124"/>
      <c r="D1997" s="124"/>
      <c r="E1997" s="124"/>
      <c r="F1997" s="124"/>
      <c r="G1997" s="124"/>
      <c r="H1997" s="124"/>
      <c r="I1997" s="124"/>
      <c r="J1997" s="124"/>
      <c r="K1997" s="124"/>
      <c r="L1997" s="124"/>
      <c r="M1997" s="124"/>
      <c r="N1997" s="124"/>
      <c r="O1997" s="124"/>
      <c r="P1997" s="124"/>
      <c r="Q1997" s="124"/>
      <c r="R1997" s="124"/>
      <c r="S1997" s="124"/>
      <c r="T1997" s="124"/>
      <c r="U1997" s="124"/>
      <c r="V1997" s="124"/>
      <c r="W1997" s="124"/>
      <c r="X1997" s="124"/>
      <c r="Y1997" s="124"/>
    </row>
    <row r="1998" spans="2:25" x14ac:dyDescent="0.25">
      <c r="B1998" s="124"/>
      <c r="C1998" s="124"/>
      <c r="D1998" s="124"/>
      <c r="E1998" s="124"/>
      <c r="F1998" s="124"/>
      <c r="G1998" s="124"/>
      <c r="H1998" s="124"/>
      <c r="I1998" s="124"/>
      <c r="J1998" s="124"/>
      <c r="K1998" s="124"/>
      <c r="L1998" s="124"/>
      <c r="M1998" s="124"/>
      <c r="N1998" s="124"/>
      <c r="O1998" s="124"/>
      <c r="P1998" s="124"/>
      <c r="Q1998" s="124"/>
      <c r="R1998" s="124"/>
      <c r="S1998" s="124"/>
      <c r="T1998" s="124"/>
      <c r="U1998" s="124"/>
      <c r="V1998" s="124"/>
      <c r="W1998" s="124"/>
      <c r="X1998" s="124"/>
      <c r="Y1998" s="124"/>
    </row>
    <row r="1999" spans="2:25" x14ac:dyDescent="0.25">
      <c r="B1999" s="124"/>
      <c r="C1999" s="124"/>
      <c r="D1999" s="124"/>
      <c r="E1999" s="124"/>
      <c r="F1999" s="124"/>
      <c r="G1999" s="124"/>
      <c r="H1999" s="124"/>
      <c r="I1999" s="124"/>
      <c r="J1999" s="124"/>
      <c r="K1999" s="124"/>
      <c r="L1999" s="124"/>
      <c r="M1999" s="124"/>
      <c r="N1999" s="124"/>
      <c r="O1999" s="124"/>
      <c r="P1999" s="124"/>
      <c r="Q1999" s="124"/>
      <c r="R1999" s="124"/>
      <c r="S1999" s="124"/>
      <c r="T1999" s="124"/>
      <c r="U1999" s="124"/>
      <c r="V1999" s="124"/>
      <c r="W1999" s="124"/>
      <c r="X1999" s="124"/>
      <c r="Y1999" s="124"/>
    </row>
    <row r="2000" spans="2:25" x14ac:dyDescent="0.25">
      <c r="B2000" s="124"/>
      <c r="C2000" s="124"/>
      <c r="D2000" s="124"/>
      <c r="E2000" s="124"/>
      <c r="F2000" s="124"/>
      <c r="G2000" s="124"/>
      <c r="H2000" s="124"/>
      <c r="I2000" s="124"/>
      <c r="J2000" s="124"/>
      <c r="K2000" s="124"/>
      <c r="L2000" s="124"/>
      <c r="M2000" s="124"/>
      <c r="N2000" s="124"/>
      <c r="O2000" s="124"/>
      <c r="P2000" s="124"/>
      <c r="Q2000" s="124"/>
      <c r="R2000" s="124"/>
      <c r="S2000" s="124"/>
      <c r="T2000" s="124"/>
      <c r="U2000" s="124"/>
      <c r="V2000" s="124"/>
      <c r="W2000" s="124"/>
      <c r="X2000" s="124"/>
      <c r="Y2000" s="124"/>
    </row>
    <row r="2001" spans="2:25" x14ac:dyDescent="0.25">
      <c r="B2001" s="124"/>
      <c r="C2001" s="124"/>
      <c r="D2001" s="124"/>
      <c r="E2001" s="124"/>
      <c r="F2001" s="124"/>
      <c r="G2001" s="124"/>
      <c r="H2001" s="124"/>
      <c r="I2001" s="124"/>
      <c r="J2001" s="124"/>
      <c r="K2001" s="124"/>
      <c r="L2001" s="124"/>
      <c r="M2001" s="124"/>
      <c r="N2001" s="124"/>
      <c r="O2001" s="124"/>
      <c r="P2001" s="124"/>
      <c r="Q2001" s="124"/>
      <c r="R2001" s="124"/>
      <c r="S2001" s="124"/>
      <c r="T2001" s="124"/>
      <c r="U2001" s="124"/>
      <c r="V2001" s="124"/>
      <c r="W2001" s="124"/>
      <c r="X2001" s="124"/>
      <c r="Y2001" s="124"/>
    </row>
    <row r="2002" spans="2:25" x14ac:dyDescent="0.25">
      <c r="B2002" s="124"/>
      <c r="C2002" s="124"/>
      <c r="D2002" s="124"/>
      <c r="E2002" s="124"/>
      <c r="F2002" s="124"/>
      <c r="G2002" s="124"/>
      <c r="H2002" s="124"/>
      <c r="I2002" s="124"/>
      <c r="J2002" s="124"/>
      <c r="K2002" s="124"/>
      <c r="L2002" s="124"/>
      <c r="M2002" s="124"/>
      <c r="N2002" s="124"/>
      <c r="O2002" s="124"/>
      <c r="P2002" s="124"/>
      <c r="Q2002" s="124"/>
      <c r="R2002" s="124"/>
      <c r="S2002" s="124"/>
      <c r="T2002" s="124"/>
      <c r="U2002" s="124"/>
      <c r="V2002" s="124"/>
      <c r="W2002" s="124"/>
      <c r="X2002" s="124"/>
      <c r="Y2002" s="124"/>
    </row>
    <row r="2003" spans="2:25" x14ac:dyDescent="0.25">
      <c r="B2003" s="124"/>
      <c r="C2003" s="124"/>
      <c r="D2003" s="124"/>
      <c r="E2003" s="124"/>
      <c r="F2003" s="124"/>
      <c r="G2003" s="124"/>
      <c r="H2003" s="124"/>
      <c r="I2003" s="124"/>
      <c r="J2003" s="124"/>
      <c r="K2003" s="124"/>
      <c r="L2003" s="124"/>
      <c r="M2003" s="124"/>
      <c r="N2003" s="124"/>
      <c r="O2003" s="124"/>
      <c r="P2003" s="124"/>
      <c r="Q2003" s="124"/>
      <c r="R2003" s="124"/>
      <c r="S2003" s="124"/>
      <c r="T2003" s="124"/>
      <c r="U2003" s="124"/>
      <c r="V2003" s="124"/>
      <c r="W2003" s="124"/>
      <c r="X2003" s="124"/>
      <c r="Y2003" s="124"/>
    </row>
    <row r="2004" spans="2:25" x14ac:dyDescent="0.25">
      <c r="B2004" s="124"/>
      <c r="C2004" s="124"/>
      <c r="D2004" s="124"/>
      <c r="E2004" s="124"/>
      <c r="F2004" s="124"/>
      <c r="G2004" s="124"/>
      <c r="H2004" s="124"/>
      <c r="I2004" s="124"/>
      <c r="J2004" s="124"/>
      <c r="K2004" s="124"/>
      <c r="L2004" s="124"/>
      <c r="M2004" s="124"/>
      <c r="N2004" s="124"/>
      <c r="O2004" s="124"/>
      <c r="P2004" s="124"/>
      <c r="Q2004" s="124"/>
      <c r="R2004" s="124"/>
      <c r="S2004" s="124"/>
      <c r="T2004" s="124"/>
      <c r="U2004" s="124"/>
      <c r="V2004" s="124"/>
      <c r="W2004" s="124"/>
      <c r="X2004" s="124"/>
      <c r="Y2004" s="124"/>
    </row>
    <row r="2005" spans="2:25" x14ac:dyDescent="0.25">
      <c r="B2005" s="124"/>
      <c r="C2005" s="124"/>
      <c r="D2005" s="124"/>
      <c r="E2005" s="124"/>
      <c r="F2005" s="124"/>
      <c r="G2005" s="124"/>
      <c r="H2005" s="124"/>
      <c r="I2005" s="124"/>
      <c r="J2005" s="124"/>
      <c r="K2005" s="124"/>
      <c r="L2005" s="124"/>
      <c r="M2005" s="124"/>
      <c r="N2005" s="124"/>
      <c r="O2005" s="124"/>
      <c r="P2005" s="124"/>
      <c r="Q2005" s="124"/>
      <c r="R2005" s="124"/>
      <c r="S2005" s="124"/>
      <c r="T2005" s="124"/>
      <c r="U2005" s="124"/>
      <c r="V2005" s="124"/>
      <c r="W2005" s="124"/>
      <c r="X2005" s="124"/>
      <c r="Y2005" s="124"/>
    </row>
    <row r="2006" spans="2:25" x14ac:dyDescent="0.25">
      <c r="B2006" s="124"/>
      <c r="C2006" s="124"/>
      <c r="D2006" s="124"/>
      <c r="E2006" s="124"/>
      <c r="F2006" s="124"/>
      <c r="G2006" s="124"/>
      <c r="H2006" s="124"/>
      <c r="I2006" s="124"/>
      <c r="J2006" s="124"/>
      <c r="K2006" s="124"/>
      <c r="L2006" s="124"/>
      <c r="M2006" s="124"/>
      <c r="N2006" s="124"/>
      <c r="O2006" s="124"/>
      <c r="P2006" s="124"/>
      <c r="Q2006" s="124"/>
      <c r="R2006" s="124"/>
      <c r="S2006" s="124"/>
      <c r="T2006" s="124"/>
      <c r="U2006" s="124"/>
      <c r="V2006" s="124"/>
      <c r="W2006" s="124"/>
      <c r="X2006" s="124"/>
      <c r="Y2006" s="124"/>
    </row>
    <row r="2007" spans="2:25" x14ac:dyDescent="0.25">
      <c r="B2007" s="124"/>
      <c r="C2007" s="124"/>
      <c r="D2007" s="124"/>
      <c r="E2007" s="124"/>
      <c r="F2007" s="124"/>
      <c r="G2007" s="124"/>
      <c r="H2007" s="124"/>
      <c r="I2007" s="124"/>
      <c r="J2007" s="124"/>
      <c r="K2007" s="124"/>
      <c r="L2007" s="124"/>
      <c r="M2007" s="124"/>
      <c r="N2007" s="124"/>
      <c r="O2007" s="124"/>
      <c r="P2007" s="124"/>
      <c r="Q2007" s="124"/>
      <c r="R2007" s="124"/>
      <c r="S2007" s="124"/>
      <c r="T2007" s="124"/>
      <c r="U2007" s="124"/>
      <c r="V2007" s="124"/>
      <c r="W2007" s="124"/>
      <c r="X2007" s="124"/>
      <c r="Y2007" s="124"/>
    </row>
    <row r="2008" spans="2:25" x14ac:dyDescent="0.25">
      <c r="B2008" s="124"/>
      <c r="C2008" s="124"/>
      <c r="D2008" s="124"/>
      <c r="E2008" s="124"/>
      <c r="F2008" s="124"/>
      <c r="G2008" s="124"/>
      <c r="H2008" s="124"/>
      <c r="I2008" s="124"/>
      <c r="J2008" s="124"/>
      <c r="K2008" s="124"/>
      <c r="L2008" s="124"/>
      <c r="M2008" s="124"/>
      <c r="N2008" s="124"/>
      <c r="O2008" s="124"/>
      <c r="P2008" s="124"/>
      <c r="Q2008" s="124"/>
      <c r="R2008" s="124"/>
      <c r="S2008" s="124"/>
      <c r="T2008" s="124"/>
      <c r="U2008" s="124"/>
      <c r="V2008" s="124"/>
      <c r="W2008" s="124"/>
      <c r="X2008" s="124"/>
      <c r="Y2008" s="124"/>
    </row>
    <row r="2009" spans="2:25" x14ac:dyDescent="0.25">
      <c r="B2009" s="124"/>
      <c r="C2009" s="124"/>
      <c r="D2009" s="124"/>
      <c r="E2009" s="124"/>
      <c r="F2009" s="124"/>
      <c r="G2009" s="124"/>
      <c r="H2009" s="124"/>
      <c r="I2009" s="124"/>
      <c r="J2009" s="124"/>
      <c r="K2009" s="124"/>
      <c r="L2009" s="124"/>
      <c r="M2009" s="124"/>
      <c r="N2009" s="124"/>
      <c r="O2009" s="124"/>
      <c r="P2009" s="124"/>
      <c r="Q2009" s="124"/>
      <c r="R2009" s="124"/>
      <c r="S2009" s="124"/>
      <c r="T2009" s="124"/>
      <c r="U2009" s="124"/>
      <c r="V2009" s="124"/>
      <c r="W2009" s="124"/>
      <c r="X2009" s="124"/>
      <c r="Y2009" s="124"/>
    </row>
    <row r="2010" spans="2:25" x14ac:dyDescent="0.25">
      <c r="B2010" s="124"/>
      <c r="C2010" s="124"/>
      <c r="D2010" s="124"/>
      <c r="E2010" s="124"/>
      <c r="F2010" s="124"/>
      <c r="G2010" s="124"/>
      <c r="H2010" s="124"/>
      <c r="I2010" s="124"/>
      <c r="J2010" s="124"/>
      <c r="K2010" s="124"/>
      <c r="L2010" s="124"/>
      <c r="M2010" s="124"/>
      <c r="N2010" s="124"/>
      <c r="O2010" s="124"/>
      <c r="P2010" s="124"/>
      <c r="Q2010" s="124"/>
      <c r="R2010" s="124"/>
      <c r="S2010" s="124"/>
      <c r="T2010" s="124"/>
      <c r="U2010" s="124"/>
      <c r="V2010" s="124"/>
      <c r="W2010" s="124"/>
      <c r="X2010" s="124"/>
      <c r="Y2010" s="124"/>
    </row>
    <row r="2011" spans="2:25" x14ac:dyDescent="0.25">
      <c r="B2011" s="124"/>
      <c r="C2011" s="124"/>
      <c r="D2011" s="124"/>
      <c r="E2011" s="124"/>
      <c r="F2011" s="124"/>
      <c r="G2011" s="124"/>
      <c r="H2011" s="124"/>
      <c r="I2011" s="124"/>
      <c r="J2011" s="124"/>
      <c r="K2011" s="124"/>
      <c r="L2011" s="124"/>
      <c r="M2011" s="124"/>
      <c r="N2011" s="124"/>
      <c r="O2011" s="124"/>
      <c r="P2011" s="124"/>
      <c r="Q2011" s="124"/>
      <c r="R2011" s="124"/>
      <c r="S2011" s="124"/>
      <c r="T2011" s="124"/>
      <c r="U2011" s="124"/>
      <c r="V2011" s="124"/>
      <c r="W2011" s="124"/>
      <c r="X2011" s="124"/>
      <c r="Y2011" s="124"/>
    </row>
    <row r="2012" spans="2:25" x14ac:dyDescent="0.25">
      <c r="B2012" s="124"/>
      <c r="C2012" s="124"/>
      <c r="D2012" s="124"/>
      <c r="E2012" s="124"/>
      <c r="F2012" s="124"/>
      <c r="G2012" s="124"/>
      <c r="H2012" s="124"/>
      <c r="I2012" s="124"/>
      <c r="J2012" s="124"/>
      <c r="K2012" s="124"/>
      <c r="L2012" s="124"/>
      <c r="M2012" s="124"/>
      <c r="N2012" s="124"/>
      <c r="O2012" s="124"/>
      <c r="P2012" s="124"/>
      <c r="Q2012" s="124"/>
      <c r="R2012" s="124"/>
      <c r="S2012" s="124"/>
      <c r="T2012" s="124"/>
      <c r="U2012" s="124"/>
      <c r="V2012" s="124"/>
      <c r="W2012" s="124"/>
      <c r="X2012" s="124"/>
      <c r="Y2012" s="124"/>
    </row>
    <row r="2013" spans="2:25" x14ac:dyDescent="0.25">
      <c r="B2013" s="124"/>
      <c r="C2013" s="124"/>
      <c r="D2013" s="124"/>
      <c r="E2013" s="124"/>
      <c r="F2013" s="124"/>
      <c r="G2013" s="124"/>
      <c r="H2013" s="124"/>
      <c r="I2013" s="124"/>
      <c r="J2013" s="124"/>
      <c r="K2013" s="124"/>
      <c r="L2013" s="124"/>
      <c r="M2013" s="124"/>
      <c r="N2013" s="124"/>
      <c r="O2013" s="124"/>
      <c r="P2013" s="124"/>
      <c r="Q2013" s="124"/>
      <c r="R2013" s="124"/>
      <c r="S2013" s="124"/>
      <c r="T2013" s="124"/>
      <c r="U2013" s="124"/>
      <c r="V2013" s="124"/>
      <c r="W2013" s="124"/>
      <c r="X2013" s="124"/>
      <c r="Y2013" s="124"/>
    </row>
    <row r="2014" spans="2:25" x14ac:dyDescent="0.25">
      <c r="B2014" s="124"/>
      <c r="C2014" s="124"/>
      <c r="D2014" s="124"/>
      <c r="E2014" s="124"/>
      <c r="F2014" s="124"/>
      <c r="G2014" s="124"/>
      <c r="H2014" s="124"/>
      <c r="I2014" s="124"/>
      <c r="J2014" s="124"/>
      <c r="K2014" s="124"/>
      <c r="L2014" s="124"/>
      <c r="M2014" s="124"/>
      <c r="N2014" s="124"/>
      <c r="O2014" s="124"/>
      <c r="P2014" s="124"/>
      <c r="Q2014" s="124"/>
      <c r="R2014" s="124"/>
      <c r="S2014" s="124"/>
      <c r="T2014" s="124"/>
      <c r="U2014" s="124"/>
      <c r="V2014" s="124"/>
      <c r="W2014" s="124"/>
      <c r="X2014" s="124"/>
      <c r="Y2014" s="124"/>
    </row>
    <row r="2015" spans="2:25" x14ac:dyDescent="0.25">
      <c r="B2015" s="124"/>
      <c r="C2015" s="124"/>
      <c r="D2015" s="124"/>
      <c r="E2015" s="124"/>
      <c r="F2015" s="124"/>
      <c r="G2015" s="124"/>
      <c r="H2015" s="124"/>
      <c r="I2015" s="124"/>
      <c r="J2015" s="124"/>
      <c r="K2015" s="124"/>
      <c r="L2015" s="124"/>
      <c r="M2015" s="124"/>
      <c r="N2015" s="124"/>
      <c r="O2015" s="124"/>
      <c r="P2015" s="124"/>
      <c r="Q2015" s="124"/>
      <c r="R2015" s="124"/>
      <c r="S2015" s="124"/>
      <c r="T2015" s="124"/>
      <c r="U2015" s="124"/>
      <c r="V2015" s="124"/>
      <c r="W2015" s="124"/>
      <c r="X2015" s="124"/>
      <c r="Y2015" s="124"/>
    </row>
    <row r="2016" spans="2:25" x14ac:dyDescent="0.25">
      <c r="B2016" s="124"/>
      <c r="C2016" s="124"/>
      <c r="D2016" s="124"/>
      <c r="E2016" s="124"/>
      <c r="F2016" s="124"/>
      <c r="G2016" s="124"/>
      <c r="H2016" s="124"/>
      <c r="I2016" s="124"/>
      <c r="J2016" s="124"/>
      <c r="K2016" s="124"/>
      <c r="L2016" s="124"/>
      <c r="M2016" s="124"/>
      <c r="N2016" s="124"/>
      <c r="O2016" s="124"/>
      <c r="P2016" s="124"/>
      <c r="Q2016" s="124"/>
      <c r="R2016" s="124"/>
      <c r="S2016" s="124"/>
      <c r="T2016" s="124"/>
      <c r="U2016" s="124"/>
      <c r="V2016" s="124"/>
      <c r="W2016" s="124"/>
      <c r="X2016" s="124"/>
      <c r="Y2016" s="124"/>
    </row>
    <row r="2017" spans="2:25" x14ac:dyDescent="0.25">
      <c r="B2017" s="124"/>
      <c r="C2017" s="124"/>
      <c r="D2017" s="124"/>
      <c r="E2017" s="124"/>
      <c r="F2017" s="124"/>
      <c r="G2017" s="124"/>
      <c r="H2017" s="124"/>
      <c r="I2017" s="124"/>
      <c r="J2017" s="124"/>
      <c r="K2017" s="124"/>
      <c r="L2017" s="124"/>
      <c r="M2017" s="124"/>
      <c r="N2017" s="124"/>
      <c r="O2017" s="124"/>
      <c r="P2017" s="124"/>
      <c r="Q2017" s="124"/>
      <c r="R2017" s="124"/>
      <c r="S2017" s="124"/>
      <c r="T2017" s="124"/>
      <c r="U2017" s="124"/>
      <c r="V2017" s="124"/>
      <c r="W2017" s="124"/>
      <c r="X2017" s="124"/>
      <c r="Y2017" s="124"/>
    </row>
    <row r="2018" spans="2:25" x14ac:dyDescent="0.25">
      <c r="B2018" s="124"/>
      <c r="C2018" s="124"/>
      <c r="D2018" s="124"/>
      <c r="E2018" s="124"/>
      <c r="F2018" s="124"/>
      <c r="G2018" s="124"/>
      <c r="H2018" s="124"/>
      <c r="I2018" s="124"/>
      <c r="J2018" s="124"/>
      <c r="K2018" s="124"/>
      <c r="L2018" s="124"/>
      <c r="M2018" s="124"/>
      <c r="N2018" s="124"/>
      <c r="O2018" s="124"/>
      <c r="P2018" s="124"/>
      <c r="Q2018" s="124"/>
      <c r="R2018" s="124"/>
      <c r="S2018" s="124"/>
      <c r="T2018" s="124"/>
      <c r="U2018" s="124"/>
      <c r="V2018" s="124"/>
      <c r="W2018" s="124"/>
      <c r="X2018" s="124"/>
      <c r="Y2018" s="124"/>
    </row>
    <row r="2019" spans="2:25" x14ac:dyDescent="0.25">
      <c r="B2019" s="124"/>
      <c r="C2019" s="124"/>
      <c r="D2019" s="124"/>
      <c r="E2019" s="124"/>
      <c r="F2019" s="124"/>
      <c r="G2019" s="124"/>
      <c r="H2019" s="124"/>
      <c r="I2019" s="124"/>
      <c r="J2019" s="124"/>
      <c r="K2019" s="124"/>
      <c r="L2019" s="124"/>
      <c r="M2019" s="124"/>
      <c r="N2019" s="124"/>
      <c r="O2019" s="124"/>
      <c r="P2019" s="124"/>
      <c r="Q2019" s="124"/>
      <c r="R2019" s="124"/>
      <c r="S2019" s="124"/>
      <c r="T2019" s="124"/>
      <c r="U2019" s="124"/>
      <c r="V2019" s="124"/>
      <c r="W2019" s="124"/>
      <c r="X2019" s="124"/>
      <c r="Y2019" s="124"/>
    </row>
    <row r="2020" spans="2:25" x14ac:dyDescent="0.25">
      <c r="B2020" s="124"/>
      <c r="C2020" s="124"/>
      <c r="D2020" s="124"/>
      <c r="E2020" s="124"/>
      <c r="F2020" s="124"/>
      <c r="G2020" s="124"/>
      <c r="H2020" s="124"/>
      <c r="I2020" s="124"/>
      <c r="J2020" s="124"/>
      <c r="K2020" s="124"/>
      <c r="L2020" s="124"/>
      <c r="M2020" s="124"/>
      <c r="N2020" s="124"/>
      <c r="O2020" s="124"/>
      <c r="P2020" s="124"/>
      <c r="Q2020" s="124"/>
      <c r="R2020" s="124"/>
      <c r="S2020" s="124"/>
      <c r="T2020" s="124"/>
      <c r="U2020" s="124"/>
      <c r="V2020" s="124"/>
      <c r="W2020" s="124"/>
      <c r="X2020" s="124"/>
      <c r="Y2020" s="124"/>
    </row>
    <row r="2021" spans="2:25" x14ac:dyDescent="0.25">
      <c r="B2021" s="124"/>
      <c r="C2021" s="124"/>
      <c r="D2021" s="124"/>
      <c r="E2021" s="124"/>
      <c r="F2021" s="124"/>
      <c r="G2021" s="124"/>
      <c r="H2021" s="124"/>
      <c r="I2021" s="124"/>
      <c r="J2021" s="124"/>
      <c r="K2021" s="124"/>
      <c r="L2021" s="124"/>
      <c r="M2021" s="124"/>
      <c r="N2021" s="124"/>
      <c r="O2021" s="124"/>
      <c r="P2021" s="124"/>
      <c r="Q2021" s="124"/>
      <c r="R2021" s="124"/>
      <c r="S2021" s="124"/>
      <c r="T2021" s="124"/>
      <c r="U2021" s="124"/>
      <c r="V2021" s="124"/>
      <c r="W2021" s="124"/>
      <c r="X2021" s="124"/>
      <c r="Y2021" s="124"/>
    </row>
    <row r="2022" spans="2:25" x14ac:dyDescent="0.25">
      <c r="B2022" s="124"/>
      <c r="C2022" s="124"/>
      <c r="D2022" s="124"/>
      <c r="E2022" s="124"/>
      <c r="F2022" s="124"/>
      <c r="G2022" s="124"/>
      <c r="H2022" s="124"/>
      <c r="I2022" s="124"/>
      <c r="J2022" s="124"/>
      <c r="K2022" s="124"/>
      <c r="L2022" s="124"/>
      <c r="M2022" s="124"/>
      <c r="N2022" s="124"/>
      <c r="O2022" s="124"/>
      <c r="P2022" s="124"/>
      <c r="Q2022" s="124"/>
      <c r="R2022" s="124"/>
      <c r="S2022" s="124"/>
      <c r="T2022" s="124"/>
      <c r="U2022" s="124"/>
      <c r="V2022" s="124"/>
      <c r="W2022" s="124"/>
      <c r="X2022" s="124"/>
      <c r="Y2022" s="124"/>
    </row>
    <row r="2023" spans="2:25" x14ac:dyDescent="0.25">
      <c r="B2023" s="124"/>
      <c r="C2023" s="124"/>
      <c r="D2023" s="124"/>
      <c r="E2023" s="124"/>
      <c r="F2023" s="124"/>
      <c r="G2023" s="124"/>
      <c r="H2023" s="124"/>
      <c r="I2023" s="124"/>
      <c r="J2023" s="124"/>
      <c r="K2023" s="124"/>
      <c r="L2023" s="124"/>
      <c r="M2023" s="124"/>
      <c r="N2023" s="124"/>
      <c r="O2023" s="124"/>
      <c r="P2023" s="124"/>
      <c r="Q2023" s="124"/>
      <c r="R2023" s="124"/>
      <c r="S2023" s="124"/>
      <c r="T2023" s="124"/>
      <c r="U2023" s="124"/>
      <c r="V2023" s="124"/>
      <c r="W2023" s="124"/>
      <c r="X2023" s="124"/>
      <c r="Y2023" s="124"/>
    </row>
    <row r="2024" spans="2:25" x14ac:dyDescent="0.25">
      <c r="B2024" s="124"/>
      <c r="C2024" s="124"/>
      <c r="D2024" s="124"/>
      <c r="E2024" s="124"/>
      <c r="F2024" s="124"/>
      <c r="G2024" s="124"/>
      <c r="H2024" s="124"/>
      <c r="I2024" s="124"/>
      <c r="J2024" s="124"/>
      <c r="K2024" s="124"/>
      <c r="L2024" s="124"/>
      <c r="M2024" s="124"/>
      <c r="N2024" s="124"/>
      <c r="O2024" s="124"/>
      <c r="P2024" s="124"/>
      <c r="Q2024" s="124"/>
      <c r="R2024" s="124"/>
      <c r="S2024" s="124"/>
      <c r="T2024" s="124"/>
      <c r="U2024" s="124"/>
      <c r="V2024" s="124"/>
      <c r="W2024" s="124"/>
      <c r="X2024" s="124"/>
      <c r="Y2024" s="124"/>
    </row>
    <row r="2025" spans="2:25" x14ac:dyDescent="0.25">
      <c r="B2025" s="124"/>
      <c r="C2025" s="124"/>
      <c r="D2025" s="124"/>
      <c r="E2025" s="124"/>
      <c r="F2025" s="124"/>
      <c r="G2025" s="124"/>
      <c r="H2025" s="124"/>
      <c r="I2025" s="124"/>
      <c r="J2025" s="124"/>
      <c r="K2025" s="124"/>
      <c r="L2025" s="124"/>
      <c r="M2025" s="124"/>
      <c r="N2025" s="124"/>
      <c r="O2025" s="124"/>
      <c r="P2025" s="124"/>
      <c r="Q2025" s="124"/>
      <c r="R2025" s="124"/>
      <c r="S2025" s="124"/>
      <c r="T2025" s="124"/>
      <c r="U2025" s="124"/>
      <c r="V2025" s="124"/>
      <c r="W2025" s="124"/>
      <c r="X2025" s="124"/>
      <c r="Y2025" s="124"/>
    </row>
    <row r="2026" spans="2:25" x14ac:dyDescent="0.25">
      <c r="B2026" s="124"/>
      <c r="C2026" s="124"/>
      <c r="D2026" s="124"/>
      <c r="E2026" s="124"/>
      <c r="F2026" s="124"/>
      <c r="G2026" s="124"/>
      <c r="H2026" s="124"/>
      <c r="I2026" s="124"/>
      <c r="J2026" s="124"/>
      <c r="K2026" s="124"/>
      <c r="L2026" s="124"/>
      <c r="M2026" s="124"/>
      <c r="N2026" s="124"/>
      <c r="O2026" s="124"/>
      <c r="P2026" s="124"/>
      <c r="Q2026" s="124"/>
      <c r="R2026" s="124"/>
      <c r="S2026" s="124"/>
      <c r="T2026" s="124"/>
      <c r="U2026" s="124"/>
      <c r="V2026" s="124"/>
      <c r="W2026" s="124"/>
      <c r="X2026" s="124"/>
      <c r="Y2026" s="124"/>
    </row>
    <row r="2027" spans="2:25" x14ac:dyDescent="0.25">
      <c r="B2027" s="124"/>
      <c r="C2027" s="124"/>
      <c r="D2027" s="124"/>
      <c r="E2027" s="124"/>
      <c r="F2027" s="124"/>
      <c r="G2027" s="124"/>
      <c r="H2027" s="124"/>
      <c r="I2027" s="124"/>
      <c r="J2027" s="124"/>
      <c r="K2027" s="124"/>
      <c r="L2027" s="124"/>
      <c r="M2027" s="124"/>
      <c r="N2027" s="124"/>
      <c r="O2027" s="124"/>
      <c r="P2027" s="124"/>
      <c r="Q2027" s="124"/>
      <c r="R2027" s="124"/>
      <c r="S2027" s="124"/>
      <c r="T2027" s="124"/>
      <c r="U2027" s="124"/>
      <c r="V2027" s="124"/>
      <c r="W2027" s="124"/>
      <c r="X2027" s="124"/>
      <c r="Y2027" s="124"/>
    </row>
    <row r="2028" spans="2:25" x14ac:dyDescent="0.25">
      <c r="B2028" s="124"/>
      <c r="C2028" s="124"/>
      <c r="D2028" s="124"/>
      <c r="E2028" s="124"/>
      <c r="F2028" s="124"/>
      <c r="G2028" s="124"/>
      <c r="H2028" s="124"/>
      <c r="I2028" s="124"/>
      <c r="J2028" s="124"/>
      <c r="K2028" s="124"/>
      <c r="L2028" s="124"/>
      <c r="M2028" s="124"/>
      <c r="N2028" s="124"/>
      <c r="O2028" s="124"/>
      <c r="P2028" s="124"/>
      <c r="Q2028" s="124"/>
      <c r="R2028" s="124"/>
      <c r="S2028" s="124"/>
      <c r="T2028" s="124"/>
      <c r="U2028" s="124"/>
      <c r="V2028" s="124"/>
      <c r="W2028" s="124"/>
      <c r="X2028" s="124"/>
      <c r="Y2028" s="124"/>
    </row>
    <row r="2029" spans="2:25" x14ac:dyDescent="0.25">
      <c r="B2029" s="124"/>
      <c r="C2029" s="124"/>
      <c r="D2029" s="124"/>
      <c r="E2029" s="124"/>
      <c r="F2029" s="124"/>
      <c r="G2029" s="124"/>
      <c r="H2029" s="124"/>
      <c r="I2029" s="124"/>
      <c r="J2029" s="124"/>
      <c r="K2029" s="124"/>
      <c r="L2029" s="124"/>
      <c r="M2029" s="124"/>
      <c r="N2029" s="124"/>
      <c r="O2029" s="124"/>
      <c r="P2029" s="124"/>
      <c r="Q2029" s="124"/>
      <c r="R2029" s="124"/>
      <c r="S2029" s="124"/>
      <c r="T2029" s="124"/>
      <c r="U2029" s="124"/>
      <c r="V2029" s="124"/>
      <c r="W2029" s="124"/>
      <c r="X2029" s="124"/>
      <c r="Y2029" s="124"/>
    </row>
    <row r="2030" spans="2:25" x14ac:dyDescent="0.25">
      <c r="B2030" s="124"/>
      <c r="C2030" s="124"/>
      <c r="D2030" s="124"/>
      <c r="E2030" s="124"/>
      <c r="F2030" s="124"/>
      <c r="G2030" s="124"/>
      <c r="H2030" s="124"/>
      <c r="I2030" s="124"/>
      <c r="J2030" s="124"/>
      <c r="K2030" s="124"/>
      <c r="L2030" s="124"/>
      <c r="M2030" s="124"/>
      <c r="N2030" s="124"/>
      <c r="O2030" s="124"/>
      <c r="P2030" s="124"/>
      <c r="Q2030" s="124"/>
      <c r="R2030" s="124"/>
      <c r="S2030" s="124"/>
      <c r="T2030" s="124"/>
      <c r="U2030" s="124"/>
      <c r="V2030" s="124"/>
      <c r="W2030" s="124"/>
      <c r="X2030" s="124"/>
      <c r="Y2030" s="124"/>
    </row>
    <row r="2031" spans="2:25" x14ac:dyDescent="0.25">
      <c r="B2031" s="124"/>
      <c r="C2031" s="124"/>
      <c r="D2031" s="124"/>
      <c r="E2031" s="124"/>
      <c r="F2031" s="124"/>
      <c r="G2031" s="124"/>
      <c r="H2031" s="124"/>
      <c r="I2031" s="124"/>
      <c r="J2031" s="124"/>
      <c r="K2031" s="124"/>
      <c r="L2031" s="124"/>
      <c r="M2031" s="124"/>
      <c r="N2031" s="124"/>
      <c r="O2031" s="124"/>
      <c r="P2031" s="124"/>
      <c r="Q2031" s="124"/>
      <c r="R2031" s="124"/>
      <c r="S2031" s="124"/>
      <c r="T2031" s="124"/>
      <c r="U2031" s="124"/>
      <c r="V2031" s="124"/>
      <c r="W2031" s="124"/>
      <c r="X2031" s="124"/>
      <c r="Y2031" s="124"/>
    </row>
    <row r="2032" spans="2:25" x14ac:dyDescent="0.25">
      <c r="B2032" s="124"/>
      <c r="C2032" s="124"/>
      <c r="D2032" s="124"/>
      <c r="E2032" s="124"/>
      <c r="F2032" s="124"/>
      <c r="G2032" s="124"/>
      <c r="H2032" s="124"/>
      <c r="I2032" s="124"/>
      <c r="J2032" s="124"/>
      <c r="K2032" s="124"/>
      <c r="L2032" s="124"/>
      <c r="M2032" s="124"/>
      <c r="N2032" s="124"/>
      <c r="O2032" s="124"/>
      <c r="P2032" s="124"/>
      <c r="Q2032" s="124"/>
      <c r="R2032" s="124"/>
      <c r="S2032" s="124"/>
      <c r="T2032" s="124"/>
      <c r="U2032" s="124"/>
      <c r="V2032" s="124"/>
      <c r="W2032" s="124"/>
      <c r="X2032" s="124"/>
      <c r="Y2032" s="124"/>
    </row>
    <row r="2033" spans="2:25" x14ac:dyDescent="0.25">
      <c r="B2033" s="124"/>
      <c r="C2033" s="124"/>
      <c r="D2033" s="124"/>
      <c r="E2033" s="124"/>
      <c r="F2033" s="124"/>
      <c r="G2033" s="124"/>
      <c r="H2033" s="124"/>
      <c r="I2033" s="124"/>
      <c r="J2033" s="124"/>
      <c r="K2033" s="124"/>
      <c r="L2033" s="124"/>
      <c r="M2033" s="124"/>
      <c r="N2033" s="124"/>
      <c r="O2033" s="124"/>
      <c r="P2033" s="124"/>
      <c r="Q2033" s="124"/>
      <c r="R2033" s="124"/>
      <c r="S2033" s="124"/>
      <c r="T2033" s="124"/>
      <c r="U2033" s="124"/>
      <c r="V2033" s="124"/>
      <c r="W2033" s="124"/>
      <c r="X2033" s="124"/>
      <c r="Y2033" s="124"/>
    </row>
    <row r="2034" spans="2:25" x14ac:dyDescent="0.25">
      <c r="B2034" s="124"/>
      <c r="C2034" s="124"/>
      <c r="D2034" s="124"/>
      <c r="E2034" s="124"/>
      <c r="F2034" s="124"/>
      <c r="G2034" s="124"/>
      <c r="H2034" s="124"/>
      <c r="I2034" s="124"/>
      <c r="J2034" s="124"/>
      <c r="K2034" s="124"/>
      <c r="L2034" s="124"/>
      <c r="M2034" s="124"/>
      <c r="N2034" s="124"/>
      <c r="O2034" s="124"/>
      <c r="P2034" s="124"/>
      <c r="Q2034" s="124"/>
      <c r="R2034" s="124"/>
      <c r="S2034" s="124"/>
      <c r="T2034" s="124"/>
      <c r="U2034" s="124"/>
      <c r="V2034" s="124"/>
      <c r="W2034" s="124"/>
      <c r="X2034" s="124"/>
      <c r="Y2034" s="124"/>
    </row>
    <row r="2035" spans="2:25" x14ac:dyDescent="0.25">
      <c r="B2035" s="124"/>
      <c r="C2035" s="124"/>
      <c r="D2035" s="124"/>
      <c r="E2035" s="124"/>
      <c r="F2035" s="124"/>
      <c r="G2035" s="124"/>
      <c r="H2035" s="124"/>
      <c r="I2035" s="124"/>
      <c r="J2035" s="124"/>
      <c r="K2035" s="124"/>
      <c r="L2035" s="124"/>
      <c r="M2035" s="124"/>
      <c r="N2035" s="124"/>
      <c r="O2035" s="124"/>
      <c r="P2035" s="124"/>
      <c r="Q2035" s="124"/>
      <c r="R2035" s="124"/>
      <c r="S2035" s="124"/>
      <c r="T2035" s="124"/>
      <c r="U2035" s="124"/>
      <c r="V2035" s="124"/>
      <c r="W2035" s="124"/>
      <c r="X2035" s="124"/>
      <c r="Y2035" s="124"/>
    </row>
    <row r="2036" spans="2:25" x14ac:dyDescent="0.25">
      <c r="B2036" s="124"/>
      <c r="C2036" s="124"/>
      <c r="D2036" s="124"/>
      <c r="E2036" s="124"/>
      <c r="F2036" s="124"/>
      <c r="G2036" s="124"/>
      <c r="H2036" s="124"/>
      <c r="I2036" s="124"/>
      <c r="J2036" s="124"/>
      <c r="K2036" s="124"/>
      <c r="L2036" s="124"/>
      <c r="M2036" s="124"/>
      <c r="N2036" s="124"/>
      <c r="O2036" s="124"/>
      <c r="P2036" s="124"/>
      <c r="Q2036" s="124"/>
      <c r="R2036" s="124"/>
      <c r="S2036" s="124"/>
      <c r="T2036" s="124"/>
      <c r="U2036" s="124"/>
      <c r="V2036" s="124"/>
      <c r="W2036" s="124"/>
      <c r="X2036" s="124"/>
      <c r="Y2036" s="124"/>
    </row>
    <row r="2037" spans="2:25" x14ac:dyDescent="0.25">
      <c r="B2037" s="124"/>
      <c r="C2037" s="124"/>
      <c r="D2037" s="124"/>
      <c r="E2037" s="124"/>
      <c r="F2037" s="124"/>
      <c r="G2037" s="124"/>
      <c r="H2037" s="124"/>
      <c r="I2037" s="124"/>
      <c r="J2037" s="124"/>
      <c r="K2037" s="124"/>
      <c r="L2037" s="124"/>
      <c r="M2037" s="124"/>
      <c r="N2037" s="124"/>
      <c r="O2037" s="124"/>
      <c r="P2037" s="124"/>
      <c r="Q2037" s="124"/>
      <c r="R2037" s="124"/>
      <c r="S2037" s="124"/>
      <c r="T2037" s="124"/>
      <c r="U2037" s="124"/>
      <c r="V2037" s="124"/>
      <c r="W2037" s="124"/>
      <c r="X2037" s="124"/>
      <c r="Y2037" s="124"/>
    </row>
    <row r="2038" spans="2:25" x14ac:dyDescent="0.25">
      <c r="B2038" s="124"/>
      <c r="C2038" s="124"/>
      <c r="D2038" s="124"/>
      <c r="E2038" s="124"/>
      <c r="F2038" s="124"/>
      <c r="G2038" s="124"/>
      <c r="H2038" s="124"/>
      <c r="I2038" s="124"/>
      <c r="J2038" s="124"/>
      <c r="K2038" s="124"/>
      <c r="L2038" s="124"/>
      <c r="M2038" s="124"/>
      <c r="N2038" s="124"/>
      <c r="O2038" s="124"/>
      <c r="P2038" s="124"/>
      <c r="Q2038" s="124"/>
      <c r="R2038" s="124"/>
      <c r="S2038" s="124"/>
      <c r="T2038" s="124"/>
      <c r="U2038" s="124"/>
      <c r="V2038" s="124"/>
      <c r="W2038" s="124"/>
      <c r="X2038" s="124"/>
      <c r="Y2038" s="124"/>
    </row>
    <row r="2039" spans="2:25" x14ac:dyDescent="0.25">
      <c r="B2039" s="124"/>
      <c r="C2039" s="124"/>
      <c r="D2039" s="124"/>
      <c r="E2039" s="124"/>
      <c r="F2039" s="124"/>
      <c r="G2039" s="124"/>
      <c r="H2039" s="124"/>
      <c r="I2039" s="124"/>
      <c r="J2039" s="124"/>
      <c r="K2039" s="124"/>
      <c r="L2039" s="124"/>
      <c r="M2039" s="124"/>
      <c r="N2039" s="124"/>
      <c r="O2039" s="124"/>
      <c r="P2039" s="124"/>
      <c r="Q2039" s="124"/>
      <c r="R2039" s="124"/>
      <c r="S2039" s="124"/>
      <c r="T2039" s="124"/>
      <c r="U2039" s="124"/>
      <c r="V2039" s="124"/>
      <c r="W2039" s="124"/>
      <c r="X2039" s="124"/>
      <c r="Y2039" s="124"/>
    </row>
    <row r="2040" spans="2:25" x14ac:dyDescent="0.25">
      <c r="B2040" s="124"/>
      <c r="C2040" s="124"/>
      <c r="D2040" s="124"/>
      <c r="E2040" s="124"/>
      <c r="F2040" s="124"/>
      <c r="G2040" s="124"/>
      <c r="H2040" s="124"/>
      <c r="I2040" s="124"/>
      <c r="J2040" s="124"/>
      <c r="K2040" s="124"/>
      <c r="L2040" s="124"/>
      <c r="M2040" s="124"/>
      <c r="N2040" s="124"/>
      <c r="O2040" s="124"/>
      <c r="P2040" s="124"/>
      <c r="Q2040" s="124"/>
      <c r="R2040" s="124"/>
      <c r="S2040" s="124"/>
      <c r="T2040" s="124"/>
      <c r="U2040" s="124"/>
      <c r="V2040" s="124"/>
      <c r="W2040" s="124"/>
      <c r="X2040" s="124"/>
      <c r="Y2040" s="124"/>
    </row>
    <row r="2041" spans="2:25" x14ac:dyDescent="0.25">
      <c r="B2041" s="124"/>
      <c r="C2041" s="124"/>
      <c r="D2041" s="124"/>
      <c r="E2041" s="124"/>
      <c r="F2041" s="124"/>
      <c r="G2041" s="124"/>
      <c r="H2041" s="124"/>
      <c r="I2041" s="124"/>
      <c r="J2041" s="124"/>
      <c r="K2041" s="124"/>
      <c r="L2041" s="124"/>
      <c r="M2041" s="124"/>
      <c r="N2041" s="124"/>
      <c r="O2041" s="124"/>
      <c r="P2041" s="124"/>
      <c r="Q2041" s="124"/>
      <c r="R2041" s="124"/>
      <c r="S2041" s="124"/>
      <c r="T2041" s="124"/>
      <c r="U2041" s="124"/>
      <c r="V2041" s="124"/>
      <c r="W2041" s="124"/>
      <c r="X2041" s="124"/>
      <c r="Y2041" s="124"/>
    </row>
    <row r="2042" spans="2:25" x14ac:dyDescent="0.25">
      <c r="B2042" s="124"/>
      <c r="C2042" s="124"/>
      <c r="D2042" s="124"/>
      <c r="E2042" s="124"/>
      <c r="F2042" s="124"/>
      <c r="G2042" s="124"/>
      <c r="H2042" s="124"/>
      <c r="I2042" s="124"/>
      <c r="J2042" s="124"/>
      <c r="K2042" s="124"/>
      <c r="L2042" s="124"/>
      <c r="M2042" s="124"/>
      <c r="N2042" s="124"/>
      <c r="O2042" s="124"/>
      <c r="P2042" s="124"/>
      <c r="Q2042" s="124"/>
      <c r="R2042" s="124"/>
      <c r="S2042" s="124"/>
      <c r="T2042" s="124"/>
      <c r="U2042" s="124"/>
      <c r="V2042" s="124"/>
      <c r="W2042" s="124"/>
      <c r="X2042" s="124"/>
      <c r="Y2042" s="124"/>
    </row>
    <row r="2043" spans="2:25" x14ac:dyDescent="0.25">
      <c r="B2043" s="124"/>
      <c r="C2043" s="124"/>
      <c r="D2043" s="124"/>
      <c r="E2043" s="124"/>
      <c r="F2043" s="124"/>
      <c r="G2043" s="124"/>
      <c r="H2043" s="124"/>
      <c r="I2043" s="124"/>
      <c r="J2043" s="124"/>
      <c r="K2043" s="124"/>
      <c r="L2043" s="124"/>
      <c r="M2043" s="124"/>
      <c r="N2043" s="124"/>
      <c r="O2043" s="124"/>
      <c r="P2043" s="124"/>
      <c r="Q2043" s="124"/>
      <c r="R2043" s="124"/>
      <c r="S2043" s="124"/>
      <c r="T2043" s="124"/>
      <c r="U2043" s="124"/>
      <c r="V2043" s="124"/>
      <c r="W2043" s="124"/>
      <c r="X2043" s="124"/>
      <c r="Y2043" s="124"/>
    </row>
    <row r="2044" spans="2:25" x14ac:dyDescent="0.25">
      <c r="B2044" s="124"/>
      <c r="C2044" s="124"/>
      <c r="D2044" s="124"/>
      <c r="E2044" s="124"/>
      <c r="F2044" s="124"/>
      <c r="G2044" s="124"/>
      <c r="H2044" s="124"/>
      <c r="I2044" s="124"/>
      <c r="J2044" s="124"/>
      <c r="K2044" s="124"/>
      <c r="L2044" s="124"/>
      <c r="M2044" s="124"/>
      <c r="N2044" s="124"/>
      <c r="O2044" s="124"/>
      <c r="P2044" s="124"/>
      <c r="Q2044" s="124"/>
      <c r="R2044" s="124"/>
      <c r="S2044" s="124"/>
      <c r="T2044" s="124"/>
      <c r="U2044" s="124"/>
      <c r="V2044" s="124"/>
      <c r="W2044" s="124"/>
      <c r="X2044" s="124"/>
      <c r="Y2044" s="124"/>
    </row>
    <row r="2045" spans="2:25" x14ac:dyDescent="0.25">
      <c r="B2045" s="124"/>
      <c r="C2045" s="124"/>
      <c r="D2045" s="124"/>
      <c r="E2045" s="124"/>
      <c r="F2045" s="124"/>
      <c r="G2045" s="124"/>
      <c r="H2045" s="124"/>
      <c r="I2045" s="124"/>
      <c r="J2045" s="124"/>
      <c r="K2045" s="124"/>
      <c r="L2045" s="124"/>
      <c r="M2045" s="124"/>
      <c r="N2045" s="124"/>
      <c r="O2045" s="124"/>
      <c r="P2045" s="124"/>
      <c r="Q2045" s="124"/>
      <c r="R2045" s="124"/>
      <c r="S2045" s="124"/>
      <c r="T2045" s="124"/>
      <c r="U2045" s="124"/>
      <c r="V2045" s="124"/>
      <c r="W2045" s="124"/>
      <c r="X2045" s="124"/>
      <c r="Y2045" s="124"/>
    </row>
    <row r="2046" spans="2:25" x14ac:dyDescent="0.25">
      <c r="B2046" s="124"/>
      <c r="C2046" s="124"/>
      <c r="D2046" s="124"/>
      <c r="E2046" s="124"/>
      <c r="F2046" s="124"/>
      <c r="G2046" s="124"/>
      <c r="H2046" s="124"/>
      <c r="I2046" s="124"/>
      <c r="J2046" s="124"/>
      <c r="K2046" s="124"/>
      <c r="L2046" s="124"/>
      <c r="M2046" s="124"/>
      <c r="N2046" s="124"/>
      <c r="O2046" s="124"/>
      <c r="P2046" s="124"/>
      <c r="Q2046" s="124"/>
      <c r="R2046" s="124"/>
      <c r="S2046" s="124"/>
      <c r="T2046" s="124"/>
      <c r="U2046" s="124"/>
      <c r="V2046" s="124"/>
      <c r="W2046" s="124"/>
      <c r="X2046" s="124"/>
      <c r="Y2046" s="124"/>
    </row>
    <row r="2047" spans="2:25" x14ac:dyDescent="0.25">
      <c r="B2047" s="124"/>
      <c r="C2047" s="124"/>
      <c r="D2047" s="124"/>
      <c r="E2047" s="124"/>
      <c r="F2047" s="124"/>
      <c r="G2047" s="124"/>
      <c r="H2047" s="124"/>
      <c r="I2047" s="124"/>
      <c r="J2047" s="124"/>
      <c r="K2047" s="124"/>
      <c r="L2047" s="124"/>
      <c r="M2047" s="124"/>
      <c r="N2047" s="124"/>
      <c r="O2047" s="124"/>
      <c r="P2047" s="124"/>
      <c r="Q2047" s="124"/>
      <c r="R2047" s="124"/>
      <c r="S2047" s="124"/>
      <c r="T2047" s="124"/>
      <c r="U2047" s="124"/>
      <c r="V2047" s="124"/>
      <c r="W2047" s="124"/>
      <c r="X2047" s="124"/>
      <c r="Y2047" s="124"/>
    </row>
    <row r="2048" spans="2:25" x14ac:dyDescent="0.25">
      <c r="B2048" s="124"/>
      <c r="C2048" s="124"/>
      <c r="D2048" s="124"/>
      <c r="E2048" s="124"/>
      <c r="F2048" s="124"/>
      <c r="G2048" s="124"/>
      <c r="H2048" s="124"/>
      <c r="I2048" s="124"/>
      <c r="J2048" s="124"/>
      <c r="K2048" s="124"/>
      <c r="L2048" s="124"/>
      <c r="M2048" s="124"/>
      <c r="N2048" s="124"/>
      <c r="O2048" s="124"/>
      <c r="P2048" s="124"/>
      <c r="Q2048" s="124"/>
      <c r="R2048" s="124"/>
      <c r="S2048" s="124"/>
      <c r="T2048" s="124"/>
      <c r="U2048" s="124"/>
      <c r="V2048" s="124"/>
      <c r="W2048" s="124"/>
      <c r="X2048" s="124"/>
      <c r="Y2048" s="124"/>
    </row>
    <row r="2049" spans="2:25" x14ac:dyDescent="0.25">
      <c r="B2049" s="124"/>
      <c r="C2049" s="124"/>
      <c r="D2049" s="124"/>
      <c r="E2049" s="124"/>
      <c r="F2049" s="124"/>
      <c r="G2049" s="124"/>
      <c r="H2049" s="124"/>
      <c r="I2049" s="124"/>
      <c r="J2049" s="124"/>
      <c r="K2049" s="124"/>
      <c r="L2049" s="124"/>
      <c r="M2049" s="124"/>
      <c r="N2049" s="124"/>
      <c r="O2049" s="124"/>
      <c r="P2049" s="124"/>
      <c r="Q2049" s="124"/>
      <c r="R2049" s="124"/>
      <c r="S2049" s="124"/>
      <c r="T2049" s="124"/>
      <c r="U2049" s="124"/>
      <c r="V2049" s="124"/>
      <c r="W2049" s="124"/>
      <c r="X2049" s="124"/>
      <c r="Y2049" s="124"/>
    </row>
    <row r="2050" spans="2:25" x14ac:dyDescent="0.25">
      <c r="B2050" s="124"/>
      <c r="C2050" s="124"/>
      <c r="D2050" s="124"/>
      <c r="E2050" s="124"/>
      <c r="F2050" s="124"/>
      <c r="G2050" s="124"/>
      <c r="H2050" s="124"/>
      <c r="I2050" s="124"/>
      <c r="J2050" s="124"/>
      <c r="K2050" s="124"/>
      <c r="L2050" s="124"/>
      <c r="M2050" s="124"/>
      <c r="N2050" s="124"/>
      <c r="O2050" s="124"/>
      <c r="P2050" s="124"/>
      <c r="Q2050" s="124"/>
      <c r="R2050" s="124"/>
      <c r="S2050" s="124"/>
      <c r="T2050" s="124"/>
      <c r="U2050" s="124"/>
      <c r="V2050" s="124"/>
      <c r="W2050" s="124"/>
      <c r="X2050" s="124"/>
      <c r="Y2050" s="124"/>
    </row>
    <row r="2051" spans="2:25" x14ac:dyDescent="0.25">
      <c r="B2051" s="124"/>
      <c r="C2051" s="124"/>
      <c r="D2051" s="124"/>
      <c r="E2051" s="124"/>
      <c r="F2051" s="124"/>
      <c r="G2051" s="124"/>
      <c r="H2051" s="124"/>
      <c r="I2051" s="124"/>
      <c r="J2051" s="124"/>
      <c r="K2051" s="124"/>
      <c r="L2051" s="124"/>
      <c r="M2051" s="124"/>
      <c r="N2051" s="124"/>
      <c r="O2051" s="124"/>
      <c r="P2051" s="124"/>
      <c r="Q2051" s="124"/>
      <c r="R2051" s="124"/>
      <c r="S2051" s="124"/>
      <c r="T2051" s="124"/>
      <c r="U2051" s="124"/>
      <c r="V2051" s="124"/>
      <c r="W2051" s="124"/>
      <c r="X2051" s="124"/>
      <c r="Y2051" s="124"/>
    </row>
    <row r="2052" spans="2:25" x14ac:dyDescent="0.25">
      <c r="B2052" s="124"/>
      <c r="C2052" s="124"/>
      <c r="D2052" s="124"/>
      <c r="E2052" s="124"/>
      <c r="F2052" s="124"/>
      <c r="G2052" s="124"/>
      <c r="H2052" s="124"/>
      <c r="I2052" s="124"/>
      <c r="J2052" s="124"/>
      <c r="K2052" s="124"/>
      <c r="L2052" s="124"/>
      <c r="M2052" s="124"/>
      <c r="N2052" s="124"/>
      <c r="O2052" s="124"/>
      <c r="P2052" s="124"/>
      <c r="Q2052" s="124"/>
      <c r="R2052" s="124"/>
      <c r="S2052" s="124"/>
      <c r="T2052" s="124"/>
      <c r="U2052" s="124"/>
      <c r="V2052" s="124"/>
      <c r="W2052" s="124"/>
      <c r="X2052" s="124"/>
      <c r="Y2052" s="124"/>
    </row>
    <row r="2053" spans="2:25" x14ac:dyDescent="0.25">
      <c r="B2053" s="124"/>
      <c r="C2053" s="124"/>
      <c r="D2053" s="124"/>
      <c r="E2053" s="124"/>
      <c r="F2053" s="124"/>
      <c r="G2053" s="124"/>
      <c r="H2053" s="124"/>
      <c r="I2053" s="124"/>
      <c r="J2053" s="124"/>
      <c r="K2053" s="124"/>
      <c r="L2053" s="124"/>
      <c r="M2053" s="124"/>
      <c r="N2053" s="124"/>
      <c r="O2053" s="124"/>
      <c r="P2053" s="124"/>
      <c r="Q2053" s="124"/>
      <c r="R2053" s="124"/>
      <c r="S2053" s="124"/>
      <c r="T2053" s="124"/>
      <c r="U2053" s="124"/>
      <c r="V2053" s="124"/>
      <c r="W2053" s="124"/>
      <c r="X2053" s="124"/>
      <c r="Y2053" s="124"/>
    </row>
    <row r="2054" spans="2:25" x14ac:dyDescent="0.25">
      <c r="B2054" s="124"/>
      <c r="C2054" s="124"/>
      <c r="D2054" s="124"/>
      <c r="E2054" s="124"/>
      <c r="F2054" s="124"/>
      <c r="G2054" s="124"/>
      <c r="H2054" s="124"/>
      <c r="I2054" s="124"/>
      <c r="J2054" s="124"/>
      <c r="K2054" s="124"/>
      <c r="L2054" s="124"/>
      <c r="M2054" s="124"/>
      <c r="N2054" s="124"/>
      <c r="O2054" s="124"/>
      <c r="P2054" s="124"/>
      <c r="Q2054" s="124"/>
      <c r="R2054" s="124"/>
      <c r="S2054" s="124"/>
      <c r="T2054" s="124"/>
      <c r="U2054" s="124"/>
      <c r="V2054" s="124"/>
      <c r="W2054" s="124"/>
      <c r="X2054" s="124"/>
      <c r="Y2054" s="124"/>
    </row>
    <row r="2055" spans="2:25" x14ac:dyDescent="0.25">
      <c r="B2055" s="124"/>
      <c r="C2055" s="124"/>
      <c r="D2055" s="124"/>
      <c r="E2055" s="124"/>
      <c r="F2055" s="124"/>
      <c r="G2055" s="124"/>
      <c r="H2055" s="124"/>
      <c r="I2055" s="124"/>
      <c r="J2055" s="124"/>
      <c r="K2055" s="124"/>
      <c r="L2055" s="124"/>
      <c r="M2055" s="124"/>
      <c r="N2055" s="124"/>
      <c r="O2055" s="124"/>
      <c r="P2055" s="124"/>
      <c r="Q2055" s="124"/>
      <c r="R2055" s="124"/>
      <c r="S2055" s="124"/>
      <c r="T2055" s="124"/>
      <c r="U2055" s="124"/>
      <c r="V2055" s="124"/>
      <c r="W2055" s="124"/>
      <c r="X2055" s="124"/>
      <c r="Y2055" s="124"/>
    </row>
    <row r="2056" spans="2:25" x14ac:dyDescent="0.25">
      <c r="B2056" s="124"/>
      <c r="C2056" s="124"/>
      <c r="D2056" s="124"/>
      <c r="E2056" s="124"/>
      <c r="F2056" s="124"/>
      <c r="G2056" s="124"/>
      <c r="H2056" s="124"/>
      <c r="I2056" s="124"/>
      <c r="J2056" s="124"/>
      <c r="K2056" s="124"/>
      <c r="L2056" s="124"/>
      <c r="M2056" s="124"/>
      <c r="N2056" s="124"/>
      <c r="O2056" s="124"/>
      <c r="P2056" s="124"/>
      <c r="Q2056" s="124"/>
      <c r="R2056" s="124"/>
      <c r="S2056" s="124"/>
      <c r="T2056" s="124"/>
      <c r="U2056" s="124"/>
      <c r="V2056" s="124"/>
      <c r="W2056" s="124"/>
      <c r="X2056" s="124"/>
      <c r="Y2056" s="124"/>
    </row>
    <row r="2057" spans="2:25" x14ac:dyDescent="0.25">
      <c r="B2057" s="124"/>
      <c r="C2057" s="124"/>
      <c r="D2057" s="124"/>
      <c r="E2057" s="124"/>
      <c r="F2057" s="124"/>
      <c r="G2057" s="124"/>
      <c r="H2057" s="124"/>
      <c r="I2057" s="124"/>
      <c r="J2057" s="124"/>
      <c r="K2057" s="124"/>
      <c r="L2057" s="124"/>
      <c r="M2057" s="124"/>
      <c r="N2057" s="124"/>
      <c r="O2057" s="124"/>
      <c r="P2057" s="124"/>
      <c r="Q2057" s="124"/>
      <c r="R2057" s="124"/>
      <c r="S2057" s="124"/>
      <c r="T2057" s="124"/>
      <c r="U2057" s="124"/>
      <c r="V2057" s="124"/>
      <c r="W2057" s="124"/>
      <c r="X2057" s="124"/>
      <c r="Y2057" s="124"/>
    </row>
    <row r="2058" spans="2:25" x14ac:dyDescent="0.25">
      <c r="B2058" s="124"/>
      <c r="C2058" s="124"/>
      <c r="D2058" s="124"/>
      <c r="E2058" s="124"/>
      <c r="F2058" s="124"/>
      <c r="G2058" s="124"/>
      <c r="H2058" s="124"/>
      <c r="I2058" s="124"/>
      <c r="J2058" s="124"/>
      <c r="K2058" s="124"/>
      <c r="L2058" s="124"/>
      <c r="M2058" s="124"/>
      <c r="N2058" s="124"/>
      <c r="O2058" s="124"/>
      <c r="P2058" s="124"/>
      <c r="Q2058" s="124"/>
      <c r="R2058" s="124"/>
      <c r="S2058" s="124"/>
      <c r="T2058" s="124"/>
      <c r="U2058" s="124"/>
      <c r="V2058" s="124"/>
      <c r="W2058" s="124"/>
      <c r="X2058" s="124"/>
      <c r="Y2058" s="124"/>
    </row>
    <row r="2059" spans="2:25" x14ac:dyDescent="0.25">
      <c r="B2059" s="124"/>
      <c r="C2059" s="124"/>
      <c r="D2059" s="124"/>
      <c r="E2059" s="124"/>
      <c r="F2059" s="124"/>
      <c r="G2059" s="124"/>
      <c r="H2059" s="124"/>
      <c r="I2059" s="124"/>
      <c r="J2059" s="124"/>
      <c r="K2059" s="124"/>
      <c r="L2059" s="124"/>
      <c r="M2059" s="124"/>
      <c r="N2059" s="124"/>
      <c r="O2059" s="124"/>
      <c r="P2059" s="124"/>
      <c r="Q2059" s="124"/>
      <c r="R2059" s="124"/>
      <c r="S2059" s="124"/>
      <c r="T2059" s="124"/>
      <c r="U2059" s="124"/>
      <c r="V2059" s="124"/>
      <c r="W2059" s="124"/>
      <c r="X2059" s="124"/>
      <c r="Y2059" s="124"/>
    </row>
    <row r="2060" spans="2:25" x14ac:dyDescent="0.25">
      <c r="B2060" s="124"/>
      <c r="C2060" s="124"/>
      <c r="D2060" s="124"/>
      <c r="E2060" s="124"/>
      <c r="F2060" s="124"/>
      <c r="G2060" s="124"/>
      <c r="H2060" s="124"/>
      <c r="I2060" s="124"/>
      <c r="J2060" s="124"/>
      <c r="K2060" s="124"/>
      <c r="L2060" s="124"/>
      <c r="M2060" s="124"/>
      <c r="N2060" s="124"/>
      <c r="O2060" s="124"/>
      <c r="P2060" s="124"/>
      <c r="Q2060" s="124"/>
      <c r="R2060" s="124"/>
      <c r="S2060" s="124"/>
      <c r="T2060" s="124"/>
      <c r="U2060" s="124"/>
      <c r="V2060" s="124"/>
      <c r="W2060" s="124"/>
      <c r="X2060" s="124"/>
      <c r="Y2060" s="124"/>
    </row>
    <row r="2061" spans="2:25" x14ac:dyDescent="0.25">
      <c r="B2061" s="124"/>
      <c r="C2061" s="124"/>
      <c r="D2061" s="124"/>
      <c r="E2061" s="124"/>
      <c r="F2061" s="124"/>
      <c r="G2061" s="124"/>
      <c r="H2061" s="124"/>
      <c r="I2061" s="124"/>
      <c r="J2061" s="124"/>
      <c r="K2061" s="124"/>
      <c r="L2061" s="124"/>
      <c r="M2061" s="124"/>
      <c r="N2061" s="124"/>
      <c r="O2061" s="124"/>
      <c r="P2061" s="124"/>
      <c r="Q2061" s="124"/>
      <c r="R2061" s="124"/>
      <c r="S2061" s="124"/>
      <c r="T2061" s="124"/>
      <c r="U2061" s="124"/>
      <c r="V2061" s="124"/>
      <c r="W2061" s="124"/>
      <c r="X2061" s="124"/>
      <c r="Y2061" s="124"/>
    </row>
    <row r="2062" spans="2:25" x14ac:dyDescent="0.25">
      <c r="B2062" s="124"/>
      <c r="C2062" s="124"/>
      <c r="D2062" s="124"/>
      <c r="E2062" s="124"/>
      <c r="F2062" s="124"/>
      <c r="G2062" s="124"/>
      <c r="H2062" s="124"/>
      <c r="I2062" s="124"/>
      <c r="J2062" s="124"/>
      <c r="K2062" s="124"/>
      <c r="L2062" s="124"/>
      <c r="M2062" s="124"/>
      <c r="N2062" s="124"/>
      <c r="O2062" s="124"/>
      <c r="P2062" s="124"/>
      <c r="Q2062" s="124"/>
      <c r="R2062" s="124"/>
      <c r="S2062" s="124"/>
      <c r="T2062" s="124"/>
      <c r="U2062" s="124"/>
      <c r="V2062" s="124"/>
      <c r="W2062" s="124"/>
      <c r="X2062" s="124"/>
      <c r="Y2062" s="124"/>
    </row>
    <row r="2063" spans="2:25" x14ac:dyDescent="0.25">
      <c r="B2063" s="124"/>
      <c r="C2063" s="124"/>
      <c r="D2063" s="124"/>
      <c r="E2063" s="124"/>
      <c r="F2063" s="124"/>
      <c r="G2063" s="124"/>
      <c r="H2063" s="124"/>
      <c r="I2063" s="124"/>
      <c r="J2063" s="124"/>
      <c r="K2063" s="124"/>
      <c r="L2063" s="124"/>
      <c r="M2063" s="124"/>
      <c r="N2063" s="124"/>
      <c r="O2063" s="124"/>
      <c r="P2063" s="124"/>
      <c r="Q2063" s="124"/>
      <c r="R2063" s="124"/>
      <c r="S2063" s="124"/>
      <c r="T2063" s="124"/>
      <c r="U2063" s="124"/>
      <c r="V2063" s="124"/>
      <c r="W2063" s="124"/>
      <c r="X2063" s="124"/>
      <c r="Y2063" s="124"/>
    </row>
    <row r="2064" spans="2:25" x14ac:dyDescent="0.25">
      <c r="B2064" s="124"/>
      <c r="C2064" s="124"/>
      <c r="D2064" s="124"/>
      <c r="E2064" s="124"/>
      <c r="F2064" s="124"/>
      <c r="G2064" s="124"/>
      <c r="H2064" s="124"/>
      <c r="I2064" s="124"/>
      <c r="J2064" s="124"/>
      <c r="K2064" s="124"/>
      <c r="L2064" s="124"/>
      <c r="M2064" s="124"/>
      <c r="N2064" s="124"/>
      <c r="O2064" s="124"/>
      <c r="P2064" s="124"/>
      <c r="Q2064" s="124"/>
      <c r="R2064" s="124"/>
      <c r="S2064" s="124"/>
      <c r="T2064" s="124"/>
      <c r="U2064" s="124"/>
      <c r="V2064" s="124"/>
      <c r="W2064" s="124"/>
      <c r="X2064" s="124"/>
      <c r="Y2064" s="124"/>
    </row>
    <row r="2065" spans="2:25" x14ac:dyDescent="0.25">
      <c r="B2065" s="124"/>
      <c r="C2065" s="124"/>
      <c r="D2065" s="124"/>
      <c r="E2065" s="124"/>
      <c r="F2065" s="124"/>
      <c r="G2065" s="124"/>
      <c r="H2065" s="124"/>
      <c r="I2065" s="124"/>
      <c r="J2065" s="124"/>
      <c r="K2065" s="124"/>
      <c r="L2065" s="124"/>
      <c r="M2065" s="124"/>
      <c r="N2065" s="124"/>
      <c r="O2065" s="124"/>
      <c r="P2065" s="124"/>
      <c r="Q2065" s="124"/>
      <c r="R2065" s="124"/>
      <c r="S2065" s="124"/>
      <c r="T2065" s="124"/>
      <c r="U2065" s="124"/>
      <c r="V2065" s="124"/>
      <c r="W2065" s="124"/>
      <c r="X2065" s="124"/>
      <c r="Y2065" s="124"/>
    </row>
    <row r="2066" spans="2:25" x14ac:dyDescent="0.25">
      <c r="B2066" s="124"/>
      <c r="C2066" s="124"/>
      <c r="D2066" s="124"/>
      <c r="E2066" s="124"/>
      <c r="F2066" s="124"/>
      <c r="G2066" s="124"/>
      <c r="H2066" s="124"/>
      <c r="I2066" s="124"/>
      <c r="J2066" s="124"/>
      <c r="K2066" s="124"/>
      <c r="L2066" s="124"/>
      <c r="M2066" s="124"/>
      <c r="N2066" s="124"/>
      <c r="O2066" s="124"/>
      <c r="P2066" s="124"/>
      <c r="Q2066" s="124"/>
      <c r="R2066" s="124"/>
      <c r="S2066" s="124"/>
      <c r="T2066" s="124"/>
      <c r="U2066" s="124"/>
      <c r="V2066" s="124"/>
      <c r="W2066" s="124"/>
      <c r="X2066" s="124"/>
      <c r="Y2066" s="124"/>
    </row>
    <row r="2067" spans="2:25" x14ac:dyDescent="0.25">
      <c r="B2067" s="124"/>
      <c r="C2067" s="124"/>
      <c r="D2067" s="124"/>
      <c r="E2067" s="124"/>
      <c r="F2067" s="124"/>
      <c r="G2067" s="124"/>
      <c r="H2067" s="124"/>
      <c r="I2067" s="124"/>
      <c r="J2067" s="124"/>
      <c r="K2067" s="124"/>
      <c r="L2067" s="124"/>
      <c r="M2067" s="124"/>
      <c r="N2067" s="124"/>
      <c r="O2067" s="124"/>
      <c r="P2067" s="124"/>
      <c r="Q2067" s="124"/>
      <c r="R2067" s="124"/>
      <c r="S2067" s="124"/>
      <c r="T2067" s="124"/>
      <c r="U2067" s="124"/>
      <c r="V2067" s="124"/>
      <c r="W2067" s="124"/>
      <c r="X2067" s="124"/>
      <c r="Y2067" s="124"/>
    </row>
    <row r="2068" spans="2:25" x14ac:dyDescent="0.25">
      <c r="B2068" s="124"/>
      <c r="C2068" s="124"/>
      <c r="D2068" s="124"/>
      <c r="E2068" s="124"/>
      <c r="F2068" s="124"/>
      <c r="G2068" s="124"/>
      <c r="H2068" s="124"/>
      <c r="I2068" s="124"/>
      <c r="J2068" s="124"/>
      <c r="K2068" s="124"/>
      <c r="L2068" s="124"/>
      <c r="M2068" s="124"/>
      <c r="N2068" s="124"/>
      <c r="O2068" s="124"/>
      <c r="P2068" s="124"/>
      <c r="Q2068" s="124"/>
      <c r="R2068" s="124"/>
      <c r="S2068" s="124"/>
      <c r="T2068" s="124"/>
      <c r="U2068" s="124"/>
      <c r="V2068" s="124"/>
      <c r="W2068" s="124"/>
      <c r="X2068" s="124"/>
      <c r="Y2068" s="124"/>
    </row>
    <row r="2069" spans="2:25" x14ac:dyDescent="0.25">
      <c r="B2069" s="124"/>
      <c r="C2069" s="124"/>
      <c r="D2069" s="124"/>
      <c r="E2069" s="124"/>
      <c r="F2069" s="124"/>
      <c r="G2069" s="124"/>
      <c r="H2069" s="124"/>
      <c r="I2069" s="124"/>
      <c r="J2069" s="124"/>
      <c r="K2069" s="124"/>
      <c r="L2069" s="124"/>
      <c r="M2069" s="124"/>
      <c r="N2069" s="124"/>
      <c r="O2069" s="124"/>
      <c r="P2069" s="124"/>
      <c r="Q2069" s="124"/>
      <c r="R2069" s="124"/>
      <c r="S2069" s="124"/>
      <c r="T2069" s="124"/>
      <c r="U2069" s="124"/>
      <c r="V2069" s="124"/>
      <c r="W2069" s="124"/>
      <c r="X2069" s="124"/>
      <c r="Y2069" s="124"/>
    </row>
    <row r="2070" spans="2:25" x14ac:dyDescent="0.25">
      <c r="B2070" s="124"/>
      <c r="C2070" s="124"/>
      <c r="D2070" s="124"/>
      <c r="E2070" s="124"/>
      <c r="F2070" s="124"/>
      <c r="G2070" s="124"/>
      <c r="H2070" s="124"/>
      <c r="I2070" s="124"/>
      <c r="J2070" s="124"/>
      <c r="K2070" s="124"/>
      <c r="L2070" s="124"/>
      <c r="M2070" s="124"/>
      <c r="N2070" s="124"/>
      <c r="O2070" s="124"/>
      <c r="P2070" s="124"/>
      <c r="Q2070" s="124"/>
      <c r="R2070" s="124"/>
      <c r="S2070" s="124"/>
      <c r="T2070" s="124"/>
      <c r="U2070" s="124"/>
      <c r="V2070" s="124"/>
      <c r="W2070" s="124"/>
      <c r="X2070" s="124"/>
      <c r="Y2070" s="124"/>
    </row>
    <row r="2071" spans="2:25" x14ac:dyDescent="0.25">
      <c r="B2071" s="124"/>
      <c r="C2071" s="124"/>
      <c r="D2071" s="124"/>
      <c r="E2071" s="124"/>
      <c r="F2071" s="124"/>
      <c r="G2071" s="124"/>
      <c r="H2071" s="124"/>
      <c r="I2071" s="124"/>
      <c r="J2071" s="124"/>
      <c r="K2071" s="124"/>
      <c r="L2071" s="124"/>
      <c r="M2071" s="124"/>
      <c r="N2071" s="124"/>
      <c r="O2071" s="124"/>
      <c r="P2071" s="124"/>
      <c r="Q2071" s="124"/>
      <c r="R2071" s="124"/>
      <c r="S2071" s="124"/>
      <c r="T2071" s="124"/>
      <c r="U2071" s="124"/>
      <c r="V2071" s="124"/>
      <c r="W2071" s="124"/>
      <c r="X2071" s="124"/>
      <c r="Y2071" s="124"/>
    </row>
    <row r="2072" spans="2:25" x14ac:dyDescent="0.25">
      <c r="B2072" s="124"/>
      <c r="C2072" s="124"/>
      <c r="D2072" s="124"/>
      <c r="E2072" s="124"/>
      <c r="F2072" s="124"/>
      <c r="G2072" s="124"/>
      <c r="H2072" s="124"/>
      <c r="I2072" s="124"/>
      <c r="J2072" s="124"/>
      <c r="K2072" s="124"/>
      <c r="L2072" s="124"/>
      <c r="M2072" s="124"/>
      <c r="N2072" s="124"/>
      <c r="O2072" s="124"/>
      <c r="P2072" s="124"/>
      <c r="Q2072" s="124"/>
      <c r="R2072" s="124"/>
      <c r="S2072" s="124"/>
      <c r="T2072" s="124"/>
      <c r="U2072" s="124"/>
      <c r="V2072" s="124"/>
      <c r="W2072" s="124"/>
      <c r="X2072" s="124"/>
      <c r="Y2072" s="124"/>
    </row>
    <row r="2073" spans="2:25" x14ac:dyDescent="0.25">
      <c r="B2073" s="124"/>
      <c r="C2073" s="124"/>
      <c r="D2073" s="124"/>
      <c r="E2073" s="124"/>
      <c r="F2073" s="124"/>
      <c r="G2073" s="124"/>
      <c r="H2073" s="124"/>
      <c r="I2073" s="124"/>
      <c r="J2073" s="124"/>
      <c r="K2073" s="124"/>
      <c r="L2073" s="124"/>
      <c r="M2073" s="124"/>
      <c r="N2073" s="124"/>
      <c r="O2073" s="124"/>
      <c r="P2073" s="124"/>
      <c r="Q2073" s="124"/>
      <c r="R2073" s="124"/>
      <c r="S2073" s="124"/>
      <c r="T2073" s="124"/>
      <c r="U2073" s="124"/>
      <c r="V2073" s="124"/>
      <c r="W2073" s="124"/>
      <c r="X2073" s="124"/>
      <c r="Y2073" s="124"/>
    </row>
    <row r="2074" spans="2:25" x14ac:dyDescent="0.25">
      <c r="B2074" s="124"/>
      <c r="C2074" s="124"/>
      <c r="D2074" s="124"/>
      <c r="E2074" s="124"/>
      <c r="F2074" s="124"/>
      <c r="G2074" s="124"/>
      <c r="H2074" s="124"/>
      <c r="I2074" s="124"/>
      <c r="J2074" s="124"/>
      <c r="K2074" s="124"/>
      <c r="L2074" s="124"/>
      <c r="M2074" s="124"/>
      <c r="N2074" s="124"/>
      <c r="O2074" s="124"/>
      <c r="P2074" s="124"/>
      <c r="Q2074" s="124"/>
      <c r="R2074" s="124"/>
      <c r="S2074" s="124"/>
      <c r="T2074" s="124"/>
      <c r="U2074" s="124"/>
      <c r="V2074" s="124"/>
      <c r="W2074" s="124"/>
      <c r="X2074" s="124"/>
      <c r="Y2074" s="124"/>
    </row>
    <row r="2075" spans="2:25" x14ac:dyDescent="0.25">
      <c r="B2075" s="124"/>
      <c r="C2075" s="124"/>
      <c r="D2075" s="124"/>
      <c r="E2075" s="124"/>
      <c r="F2075" s="124"/>
      <c r="G2075" s="124"/>
      <c r="H2075" s="124"/>
      <c r="I2075" s="124"/>
      <c r="J2075" s="124"/>
      <c r="K2075" s="124"/>
      <c r="L2075" s="124"/>
      <c r="M2075" s="124"/>
      <c r="N2075" s="124"/>
      <c r="O2075" s="124"/>
      <c r="P2075" s="124"/>
      <c r="Q2075" s="124"/>
      <c r="R2075" s="124"/>
      <c r="S2075" s="124"/>
      <c r="T2075" s="124"/>
      <c r="U2075" s="124"/>
      <c r="V2075" s="124"/>
      <c r="W2075" s="124"/>
      <c r="X2075" s="124"/>
      <c r="Y2075" s="124"/>
    </row>
    <row r="2076" spans="2:25" x14ac:dyDescent="0.25">
      <c r="B2076" s="124"/>
      <c r="C2076" s="124"/>
      <c r="D2076" s="124"/>
      <c r="E2076" s="124"/>
      <c r="F2076" s="124"/>
      <c r="G2076" s="124"/>
      <c r="H2076" s="124"/>
      <c r="I2076" s="124"/>
      <c r="J2076" s="124"/>
      <c r="K2076" s="124"/>
      <c r="L2076" s="124"/>
      <c r="M2076" s="124"/>
      <c r="N2076" s="124"/>
      <c r="O2076" s="124"/>
      <c r="P2076" s="124"/>
      <c r="Q2076" s="124"/>
      <c r="R2076" s="124"/>
      <c r="S2076" s="124"/>
      <c r="T2076" s="124"/>
      <c r="U2076" s="124"/>
      <c r="V2076" s="124"/>
      <c r="W2076" s="124"/>
      <c r="X2076" s="124"/>
      <c r="Y2076" s="124"/>
    </row>
    <row r="2077" spans="2:25" x14ac:dyDescent="0.25">
      <c r="B2077" s="124"/>
      <c r="C2077" s="124"/>
      <c r="D2077" s="124"/>
      <c r="E2077" s="124"/>
      <c r="F2077" s="124"/>
      <c r="G2077" s="124"/>
      <c r="H2077" s="124"/>
      <c r="I2077" s="124"/>
      <c r="J2077" s="124"/>
      <c r="K2077" s="124"/>
      <c r="L2077" s="124"/>
      <c r="M2077" s="124"/>
      <c r="N2077" s="124"/>
      <c r="O2077" s="124"/>
      <c r="P2077" s="124"/>
      <c r="Q2077" s="124"/>
      <c r="R2077" s="124"/>
      <c r="S2077" s="124"/>
      <c r="T2077" s="124"/>
      <c r="U2077" s="124"/>
      <c r="V2077" s="124"/>
      <c r="W2077" s="124"/>
      <c r="X2077" s="124"/>
      <c r="Y2077" s="124"/>
    </row>
    <row r="2078" spans="2:25" x14ac:dyDescent="0.25">
      <c r="B2078" s="124"/>
      <c r="C2078" s="124"/>
      <c r="D2078" s="124"/>
      <c r="E2078" s="124"/>
      <c r="F2078" s="124"/>
      <c r="G2078" s="124"/>
      <c r="H2078" s="124"/>
      <c r="I2078" s="124"/>
      <c r="J2078" s="124"/>
      <c r="K2078" s="124"/>
      <c r="L2078" s="124"/>
      <c r="M2078" s="124"/>
      <c r="N2078" s="124"/>
      <c r="O2078" s="124"/>
      <c r="P2078" s="124"/>
      <c r="Q2078" s="124"/>
      <c r="R2078" s="124"/>
      <c r="S2078" s="124"/>
      <c r="T2078" s="124"/>
      <c r="U2078" s="124"/>
      <c r="V2078" s="124"/>
      <c r="W2078" s="124"/>
      <c r="X2078" s="124"/>
      <c r="Y2078" s="124"/>
    </row>
    <row r="2079" spans="2:25" x14ac:dyDescent="0.25">
      <c r="B2079" s="124"/>
      <c r="C2079" s="124"/>
      <c r="D2079" s="124"/>
      <c r="E2079" s="124"/>
      <c r="F2079" s="124"/>
      <c r="G2079" s="124"/>
      <c r="H2079" s="124"/>
      <c r="I2079" s="124"/>
      <c r="J2079" s="124"/>
      <c r="K2079" s="124"/>
      <c r="L2079" s="124"/>
      <c r="M2079" s="124"/>
      <c r="N2079" s="124"/>
      <c r="O2079" s="124"/>
      <c r="P2079" s="124"/>
      <c r="Q2079" s="124"/>
      <c r="R2079" s="124"/>
      <c r="S2079" s="124"/>
      <c r="T2079" s="124"/>
      <c r="U2079" s="124"/>
      <c r="V2079" s="124"/>
      <c r="W2079" s="124"/>
      <c r="X2079" s="124"/>
      <c r="Y2079" s="124"/>
    </row>
    <row r="2080" spans="2:25" x14ac:dyDescent="0.25">
      <c r="B2080" s="124"/>
      <c r="C2080" s="124"/>
      <c r="D2080" s="124"/>
      <c r="E2080" s="124"/>
      <c r="F2080" s="124"/>
      <c r="G2080" s="124"/>
      <c r="H2080" s="124"/>
      <c r="I2080" s="124"/>
      <c r="J2080" s="124"/>
      <c r="K2080" s="124"/>
      <c r="L2080" s="124"/>
      <c r="M2080" s="124"/>
      <c r="N2080" s="124"/>
      <c r="O2080" s="124"/>
      <c r="P2080" s="124"/>
      <c r="Q2080" s="124"/>
      <c r="R2080" s="124"/>
      <c r="S2080" s="124"/>
      <c r="T2080" s="124"/>
      <c r="U2080" s="124"/>
      <c r="V2080" s="124"/>
      <c r="W2080" s="124"/>
      <c r="X2080" s="124"/>
      <c r="Y2080" s="124"/>
    </row>
    <row r="2081" spans="2:25" x14ac:dyDescent="0.25">
      <c r="B2081" s="124"/>
      <c r="C2081" s="124"/>
      <c r="D2081" s="124"/>
      <c r="E2081" s="124"/>
      <c r="F2081" s="124"/>
      <c r="G2081" s="124"/>
      <c r="H2081" s="124"/>
      <c r="I2081" s="124"/>
      <c r="J2081" s="124"/>
      <c r="K2081" s="124"/>
      <c r="L2081" s="124"/>
      <c r="M2081" s="124"/>
      <c r="N2081" s="124"/>
      <c r="O2081" s="124"/>
      <c r="P2081" s="124"/>
      <c r="Q2081" s="124"/>
      <c r="R2081" s="124"/>
      <c r="S2081" s="124"/>
      <c r="T2081" s="124"/>
      <c r="U2081" s="124"/>
      <c r="V2081" s="124"/>
      <c r="W2081" s="124"/>
      <c r="X2081" s="124"/>
      <c r="Y2081" s="124"/>
    </row>
    <row r="2082" spans="2:25" x14ac:dyDescent="0.25">
      <c r="B2082" s="124"/>
      <c r="C2082" s="124"/>
      <c r="D2082" s="124"/>
      <c r="E2082" s="124"/>
      <c r="F2082" s="124"/>
      <c r="G2082" s="124"/>
      <c r="H2082" s="124"/>
      <c r="I2082" s="124"/>
      <c r="J2082" s="124"/>
      <c r="K2082" s="124"/>
      <c r="L2082" s="124"/>
      <c r="M2082" s="124"/>
      <c r="N2082" s="124"/>
      <c r="O2082" s="124"/>
      <c r="P2082" s="124"/>
      <c r="Q2082" s="124"/>
      <c r="R2082" s="124"/>
      <c r="S2082" s="124"/>
      <c r="T2082" s="124"/>
      <c r="U2082" s="124"/>
      <c r="V2082" s="124"/>
      <c r="W2082" s="124"/>
      <c r="X2082" s="124"/>
      <c r="Y2082" s="124"/>
    </row>
    <row r="2083" spans="2:25" x14ac:dyDescent="0.25">
      <c r="B2083" s="124"/>
      <c r="C2083" s="124"/>
      <c r="D2083" s="124"/>
      <c r="E2083" s="124"/>
      <c r="F2083" s="124"/>
      <c r="G2083" s="124"/>
      <c r="H2083" s="124"/>
      <c r="I2083" s="124"/>
      <c r="J2083" s="124"/>
      <c r="K2083" s="124"/>
      <c r="L2083" s="124"/>
      <c r="M2083" s="124"/>
      <c r="N2083" s="124"/>
      <c r="O2083" s="124"/>
      <c r="P2083" s="124"/>
      <c r="Q2083" s="124"/>
      <c r="R2083" s="124"/>
      <c r="S2083" s="124"/>
      <c r="T2083" s="124"/>
      <c r="U2083" s="124"/>
      <c r="V2083" s="124"/>
      <c r="W2083" s="124"/>
      <c r="X2083" s="124"/>
      <c r="Y2083" s="124"/>
    </row>
    <row r="2084" spans="2:25" x14ac:dyDescent="0.25">
      <c r="B2084" s="124"/>
      <c r="C2084" s="124"/>
      <c r="D2084" s="124"/>
      <c r="E2084" s="124"/>
      <c r="F2084" s="124"/>
      <c r="G2084" s="124"/>
      <c r="H2084" s="124"/>
      <c r="I2084" s="124"/>
      <c r="J2084" s="124"/>
      <c r="K2084" s="124"/>
      <c r="L2084" s="124"/>
      <c r="M2084" s="124"/>
      <c r="N2084" s="124"/>
      <c r="O2084" s="124"/>
      <c r="P2084" s="124"/>
      <c r="Q2084" s="124"/>
      <c r="R2084" s="124"/>
      <c r="S2084" s="124"/>
      <c r="T2084" s="124"/>
      <c r="U2084" s="124"/>
      <c r="V2084" s="124"/>
      <c r="W2084" s="124"/>
      <c r="X2084" s="124"/>
      <c r="Y2084" s="124"/>
    </row>
    <row r="2085" spans="2:25" x14ac:dyDescent="0.25">
      <c r="B2085" s="124"/>
      <c r="C2085" s="124"/>
      <c r="D2085" s="124"/>
      <c r="E2085" s="124"/>
      <c r="F2085" s="124"/>
      <c r="G2085" s="124"/>
      <c r="H2085" s="124"/>
      <c r="I2085" s="124"/>
      <c r="J2085" s="124"/>
      <c r="K2085" s="124"/>
      <c r="L2085" s="124"/>
      <c r="M2085" s="124"/>
      <c r="N2085" s="124"/>
      <c r="O2085" s="124"/>
      <c r="P2085" s="124"/>
      <c r="Q2085" s="124"/>
      <c r="R2085" s="124"/>
      <c r="S2085" s="124"/>
      <c r="T2085" s="124"/>
      <c r="U2085" s="124"/>
      <c r="V2085" s="124"/>
      <c r="W2085" s="124"/>
      <c r="X2085" s="124"/>
      <c r="Y2085" s="124"/>
    </row>
    <row r="2086" spans="2:25" x14ac:dyDescent="0.25">
      <c r="B2086" s="124"/>
      <c r="C2086" s="124"/>
      <c r="D2086" s="124"/>
      <c r="E2086" s="124"/>
      <c r="F2086" s="124"/>
      <c r="G2086" s="124"/>
      <c r="H2086" s="124"/>
      <c r="I2086" s="124"/>
      <c r="J2086" s="124"/>
      <c r="K2086" s="124"/>
      <c r="L2086" s="124"/>
      <c r="M2086" s="124"/>
      <c r="N2086" s="124"/>
      <c r="O2086" s="124"/>
      <c r="P2086" s="124"/>
      <c r="Q2086" s="124"/>
      <c r="R2086" s="124"/>
      <c r="S2086" s="124"/>
      <c r="T2086" s="124"/>
      <c r="U2086" s="124"/>
      <c r="V2086" s="124"/>
      <c r="W2086" s="124"/>
      <c r="X2086" s="124"/>
      <c r="Y2086" s="124"/>
    </row>
    <row r="2087" spans="2:25" x14ac:dyDescent="0.25">
      <c r="B2087" s="124"/>
      <c r="C2087" s="124"/>
      <c r="D2087" s="124"/>
      <c r="E2087" s="124"/>
      <c r="F2087" s="124"/>
      <c r="G2087" s="124"/>
      <c r="H2087" s="124"/>
      <c r="I2087" s="124"/>
      <c r="J2087" s="124"/>
      <c r="K2087" s="124"/>
      <c r="L2087" s="124"/>
      <c r="M2087" s="124"/>
      <c r="N2087" s="124"/>
      <c r="O2087" s="124"/>
      <c r="P2087" s="124"/>
      <c r="Q2087" s="124"/>
      <c r="R2087" s="124"/>
      <c r="S2087" s="124"/>
      <c r="T2087" s="124"/>
      <c r="U2087" s="124"/>
      <c r="V2087" s="124"/>
      <c r="W2087" s="124"/>
      <c r="X2087" s="124"/>
      <c r="Y2087" s="124"/>
    </row>
    <row r="2088" spans="2:25" x14ac:dyDescent="0.25">
      <c r="B2088" s="124"/>
      <c r="C2088" s="124"/>
      <c r="D2088" s="124"/>
      <c r="E2088" s="124"/>
      <c r="F2088" s="124"/>
      <c r="G2088" s="124"/>
      <c r="H2088" s="124"/>
      <c r="I2088" s="124"/>
      <c r="J2088" s="124"/>
      <c r="K2088" s="124"/>
      <c r="L2088" s="124"/>
      <c r="M2088" s="124"/>
      <c r="N2088" s="124"/>
      <c r="O2088" s="124"/>
      <c r="P2088" s="124"/>
      <c r="Q2088" s="124"/>
      <c r="R2088" s="124"/>
      <c r="S2088" s="124"/>
      <c r="T2088" s="124"/>
      <c r="U2088" s="124"/>
      <c r="V2088" s="124"/>
      <c r="W2088" s="124"/>
      <c r="X2088" s="124"/>
      <c r="Y2088" s="124"/>
    </row>
    <row r="2089" spans="2:25" x14ac:dyDescent="0.25">
      <c r="B2089" s="124"/>
      <c r="C2089" s="124"/>
      <c r="D2089" s="124"/>
      <c r="E2089" s="124"/>
      <c r="F2089" s="124"/>
      <c r="G2089" s="124"/>
      <c r="H2089" s="124"/>
      <c r="I2089" s="124"/>
      <c r="J2089" s="124"/>
      <c r="K2089" s="124"/>
      <c r="L2089" s="124"/>
      <c r="M2089" s="124"/>
      <c r="N2089" s="124"/>
      <c r="O2089" s="124"/>
      <c r="P2089" s="124"/>
      <c r="Q2089" s="124"/>
      <c r="R2089" s="124"/>
      <c r="S2089" s="124"/>
      <c r="T2089" s="124"/>
      <c r="U2089" s="124"/>
      <c r="V2089" s="124"/>
      <c r="W2089" s="124"/>
      <c r="X2089" s="124"/>
      <c r="Y2089" s="124"/>
    </row>
    <row r="2090" spans="2:25" x14ac:dyDescent="0.25">
      <c r="B2090" s="124"/>
      <c r="C2090" s="124"/>
      <c r="D2090" s="124"/>
      <c r="E2090" s="124"/>
      <c r="F2090" s="124"/>
      <c r="G2090" s="124"/>
      <c r="H2090" s="124"/>
      <c r="I2090" s="124"/>
      <c r="J2090" s="124"/>
      <c r="K2090" s="124"/>
      <c r="L2090" s="124"/>
      <c r="M2090" s="124"/>
      <c r="N2090" s="124"/>
      <c r="O2090" s="124"/>
      <c r="P2090" s="124"/>
      <c r="Q2090" s="124"/>
      <c r="R2090" s="124"/>
      <c r="S2090" s="124"/>
      <c r="T2090" s="124"/>
      <c r="U2090" s="124"/>
      <c r="V2090" s="124"/>
      <c r="W2090" s="124"/>
      <c r="X2090" s="124"/>
      <c r="Y2090" s="124"/>
    </row>
    <row r="2091" spans="2:25" x14ac:dyDescent="0.25">
      <c r="B2091" s="124"/>
      <c r="C2091" s="124"/>
      <c r="D2091" s="124"/>
      <c r="E2091" s="124"/>
      <c r="F2091" s="124"/>
      <c r="G2091" s="124"/>
      <c r="H2091" s="124"/>
      <c r="I2091" s="124"/>
      <c r="J2091" s="124"/>
      <c r="K2091" s="124"/>
      <c r="L2091" s="124"/>
      <c r="M2091" s="124"/>
      <c r="N2091" s="124"/>
      <c r="O2091" s="124"/>
      <c r="P2091" s="124"/>
      <c r="Q2091" s="124"/>
      <c r="R2091" s="124"/>
      <c r="S2091" s="124"/>
      <c r="T2091" s="124"/>
      <c r="U2091" s="124"/>
      <c r="V2091" s="124"/>
      <c r="W2091" s="124"/>
      <c r="X2091" s="124"/>
      <c r="Y2091" s="124"/>
    </row>
    <row r="2092" spans="2:25" x14ac:dyDescent="0.25">
      <c r="B2092" s="124"/>
      <c r="C2092" s="124"/>
      <c r="D2092" s="124"/>
      <c r="E2092" s="124"/>
      <c r="F2092" s="124"/>
      <c r="G2092" s="124"/>
      <c r="H2092" s="124"/>
      <c r="I2092" s="124"/>
      <c r="J2092" s="124"/>
      <c r="K2092" s="124"/>
      <c r="L2092" s="124"/>
      <c r="M2092" s="124"/>
      <c r="N2092" s="124"/>
      <c r="O2092" s="124"/>
      <c r="P2092" s="124"/>
      <c r="Q2092" s="124"/>
      <c r="R2092" s="124"/>
      <c r="S2092" s="124"/>
      <c r="T2092" s="124"/>
      <c r="U2092" s="124"/>
      <c r="V2092" s="124"/>
      <c r="W2092" s="124"/>
      <c r="X2092" s="124"/>
      <c r="Y2092" s="124"/>
    </row>
    <row r="2093" spans="2:25" x14ac:dyDescent="0.25">
      <c r="B2093" s="124"/>
      <c r="C2093" s="124"/>
      <c r="D2093" s="124"/>
      <c r="E2093" s="124"/>
      <c r="F2093" s="124"/>
      <c r="G2093" s="124"/>
      <c r="H2093" s="124"/>
      <c r="I2093" s="124"/>
      <c r="J2093" s="124"/>
      <c r="K2093" s="124"/>
      <c r="L2093" s="124"/>
      <c r="M2093" s="124"/>
      <c r="N2093" s="124"/>
      <c r="O2093" s="124"/>
      <c r="P2093" s="124"/>
      <c r="Q2093" s="124"/>
      <c r="R2093" s="124"/>
      <c r="S2093" s="124"/>
      <c r="T2093" s="124"/>
      <c r="U2093" s="124"/>
      <c r="V2093" s="124"/>
      <c r="W2093" s="124"/>
      <c r="X2093" s="124"/>
      <c r="Y2093" s="124"/>
    </row>
    <row r="2094" spans="2:25" x14ac:dyDescent="0.25">
      <c r="B2094" s="124"/>
      <c r="C2094" s="124"/>
      <c r="D2094" s="124"/>
      <c r="E2094" s="124"/>
      <c r="F2094" s="124"/>
      <c r="G2094" s="124"/>
      <c r="H2094" s="124"/>
      <c r="I2094" s="124"/>
      <c r="J2094" s="124"/>
      <c r="K2094" s="124"/>
      <c r="L2094" s="124"/>
      <c r="M2094" s="124"/>
      <c r="N2094" s="124"/>
      <c r="O2094" s="124"/>
      <c r="P2094" s="124"/>
      <c r="Q2094" s="124"/>
      <c r="R2094" s="124"/>
      <c r="S2094" s="124"/>
      <c r="T2094" s="124"/>
      <c r="U2094" s="124"/>
      <c r="V2094" s="124"/>
      <c r="W2094" s="124"/>
      <c r="X2094" s="124"/>
      <c r="Y2094" s="124"/>
    </row>
    <row r="2095" spans="2:25" x14ac:dyDescent="0.25">
      <c r="B2095" s="124"/>
      <c r="C2095" s="124"/>
      <c r="D2095" s="124"/>
      <c r="E2095" s="124"/>
      <c r="F2095" s="124"/>
      <c r="G2095" s="124"/>
      <c r="H2095" s="124"/>
      <c r="I2095" s="124"/>
      <c r="J2095" s="124"/>
      <c r="K2095" s="124"/>
      <c r="L2095" s="124"/>
      <c r="M2095" s="124"/>
      <c r="N2095" s="124"/>
      <c r="O2095" s="124"/>
      <c r="P2095" s="124"/>
      <c r="Q2095" s="124"/>
      <c r="R2095" s="124"/>
      <c r="S2095" s="124"/>
      <c r="T2095" s="124"/>
      <c r="U2095" s="124"/>
      <c r="V2095" s="124"/>
      <c r="W2095" s="124"/>
      <c r="X2095" s="124"/>
      <c r="Y2095" s="124"/>
    </row>
    <row r="2096" spans="2:25" x14ac:dyDescent="0.25">
      <c r="B2096" s="124"/>
      <c r="C2096" s="124"/>
      <c r="D2096" s="124"/>
      <c r="E2096" s="124"/>
      <c r="F2096" s="124"/>
      <c r="G2096" s="124"/>
      <c r="H2096" s="124"/>
      <c r="I2096" s="124"/>
      <c r="J2096" s="124"/>
      <c r="K2096" s="124"/>
      <c r="L2096" s="124"/>
      <c r="M2096" s="124"/>
      <c r="N2096" s="124"/>
      <c r="O2096" s="124"/>
      <c r="P2096" s="124"/>
      <c r="Q2096" s="124"/>
      <c r="R2096" s="124"/>
      <c r="S2096" s="124"/>
      <c r="T2096" s="124"/>
      <c r="U2096" s="124"/>
      <c r="V2096" s="124"/>
      <c r="W2096" s="124"/>
      <c r="X2096" s="124"/>
      <c r="Y2096" s="124"/>
    </row>
    <row r="2097" spans="2:25" x14ac:dyDescent="0.25">
      <c r="B2097" s="124"/>
      <c r="C2097" s="124"/>
      <c r="D2097" s="124"/>
      <c r="E2097" s="124"/>
      <c r="F2097" s="124"/>
      <c r="G2097" s="124"/>
      <c r="H2097" s="124"/>
      <c r="I2097" s="124"/>
      <c r="J2097" s="124"/>
      <c r="K2097" s="124"/>
      <c r="L2097" s="124"/>
      <c r="M2097" s="124"/>
      <c r="N2097" s="124"/>
      <c r="O2097" s="124"/>
      <c r="P2097" s="124"/>
      <c r="Q2097" s="124"/>
      <c r="R2097" s="124"/>
      <c r="S2097" s="124"/>
      <c r="T2097" s="124"/>
      <c r="U2097" s="124"/>
      <c r="V2097" s="124"/>
      <c r="W2097" s="124"/>
      <c r="X2097" s="124"/>
      <c r="Y2097" s="124"/>
    </row>
    <row r="2098" spans="2:25" x14ac:dyDescent="0.25">
      <c r="B2098" s="124"/>
      <c r="C2098" s="124"/>
      <c r="D2098" s="124"/>
      <c r="E2098" s="124"/>
      <c r="F2098" s="124"/>
      <c r="G2098" s="124"/>
      <c r="H2098" s="124"/>
      <c r="I2098" s="124"/>
      <c r="J2098" s="124"/>
      <c r="K2098" s="124"/>
      <c r="L2098" s="124"/>
      <c r="M2098" s="124"/>
      <c r="N2098" s="124"/>
      <c r="O2098" s="124"/>
      <c r="P2098" s="124"/>
      <c r="Q2098" s="124"/>
      <c r="R2098" s="124"/>
      <c r="S2098" s="124"/>
      <c r="T2098" s="124"/>
      <c r="U2098" s="124"/>
      <c r="V2098" s="124"/>
      <c r="W2098" s="124"/>
      <c r="X2098" s="124"/>
      <c r="Y2098" s="124"/>
    </row>
    <row r="2099" spans="2:25" x14ac:dyDescent="0.25">
      <c r="B2099" s="124"/>
      <c r="C2099" s="124"/>
      <c r="D2099" s="124"/>
      <c r="E2099" s="124"/>
      <c r="F2099" s="124"/>
      <c r="G2099" s="124"/>
      <c r="H2099" s="124"/>
      <c r="I2099" s="124"/>
      <c r="J2099" s="124"/>
      <c r="K2099" s="124"/>
      <c r="L2099" s="124"/>
      <c r="M2099" s="124"/>
      <c r="N2099" s="124"/>
      <c r="O2099" s="124"/>
      <c r="P2099" s="124"/>
      <c r="Q2099" s="124"/>
      <c r="R2099" s="124"/>
      <c r="S2099" s="124"/>
      <c r="T2099" s="124"/>
      <c r="U2099" s="124"/>
      <c r="V2099" s="124"/>
      <c r="W2099" s="124"/>
      <c r="X2099" s="124"/>
      <c r="Y2099" s="124"/>
    </row>
    <row r="2100" spans="2:25" x14ac:dyDescent="0.25">
      <c r="B2100" s="124"/>
      <c r="C2100" s="124"/>
      <c r="D2100" s="124"/>
      <c r="E2100" s="124"/>
      <c r="F2100" s="124"/>
      <c r="G2100" s="124"/>
      <c r="H2100" s="124"/>
      <c r="I2100" s="124"/>
      <c r="J2100" s="124"/>
      <c r="K2100" s="124"/>
      <c r="L2100" s="124"/>
      <c r="M2100" s="124"/>
      <c r="N2100" s="124"/>
      <c r="O2100" s="124"/>
      <c r="P2100" s="124"/>
      <c r="Q2100" s="124"/>
      <c r="R2100" s="124"/>
      <c r="S2100" s="124"/>
      <c r="T2100" s="124"/>
      <c r="U2100" s="124"/>
      <c r="V2100" s="124"/>
      <c r="W2100" s="124"/>
      <c r="X2100" s="124"/>
      <c r="Y2100" s="124"/>
    </row>
    <row r="2101" spans="2:25" x14ac:dyDescent="0.25">
      <c r="B2101" s="124"/>
      <c r="C2101" s="124"/>
      <c r="D2101" s="124"/>
      <c r="E2101" s="124"/>
      <c r="F2101" s="124"/>
      <c r="G2101" s="124"/>
      <c r="H2101" s="124"/>
      <c r="I2101" s="124"/>
      <c r="J2101" s="124"/>
      <c r="K2101" s="124"/>
      <c r="L2101" s="124"/>
      <c r="M2101" s="124"/>
      <c r="N2101" s="124"/>
      <c r="O2101" s="124"/>
      <c r="P2101" s="124"/>
      <c r="Q2101" s="124"/>
      <c r="R2101" s="124"/>
      <c r="S2101" s="124"/>
      <c r="T2101" s="124"/>
      <c r="U2101" s="124"/>
      <c r="V2101" s="124"/>
      <c r="W2101" s="124"/>
      <c r="X2101" s="124"/>
      <c r="Y2101" s="124"/>
    </row>
    <row r="2102" spans="2:25" x14ac:dyDescent="0.25">
      <c r="B2102" s="124"/>
      <c r="C2102" s="124"/>
      <c r="D2102" s="124"/>
      <c r="E2102" s="124"/>
      <c r="F2102" s="124"/>
      <c r="G2102" s="124"/>
      <c r="H2102" s="124"/>
      <c r="I2102" s="124"/>
      <c r="J2102" s="124"/>
      <c r="K2102" s="124"/>
      <c r="L2102" s="124"/>
      <c r="M2102" s="124"/>
      <c r="N2102" s="124"/>
      <c r="O2102" s="124"/>
      <c r="P2102" s="124"/>
      <c r="Q2102" s="124"/>
      <c r="R2102" s="124"/>
      <c r="S2102" s="124"/>
      <c r="T2102" s="124"/>
      <c r="U2102" s="124"/>
      <c r="V2102" s="124"/>
      <c r="W2102" s="124"/>
      <c r="X2102" s="124"/>
      <c r="Y2102" s="124"/>
    </row>
    <row r="2103" spans="2:25" x14ac:dyDescent="0.25">
      <c r="B2103" s="124"/>
      <c r="C2103" s="124"/>
      <c r="D2103" s="124"/>
      <c r="E2103" s="124"/>
      <c r="F2103" s="124"/>
      <c r="G2103" s="124"/>
      <c r="H2103" s="124"/>
      <c r="I2103" s="124"/>
      <c r="J2103" s="124"/>
      <c r="K2103" s="124"/>
      <c r="L2103" s="124"/>
      <c r="M2103" s="124"/>
      <c r="N2103" s="124"/>
      <c r="O2103" s="124"/>
      <c r="P2103" s="124"/>
      <c r="Q2103" s="124"/>
      <c r="R2103" s="124"/>
      <c r="S2103" s="124"/>
      <c r="T2103" s="124"/>
      <c r="U2103" s="124"/>
      <c r="V2103" s="124"/>
      <c r="W2103" s="124"/>
      <c r="X2103" s="124"/>
      <c r="Y2103" s="124"/>
    </row>
    <row r="2104" spans="2:25" x14ac:dyDescent="0.25">
      <c r="B2104" s="124"/>
      <c r="C2104" s="124"/>
      <c r="D2104" s="124"/>
      <c r="E2104" s="124"/>
      <c r="F2104" s="124"/>
      <c r="G2104" s="124"/>
      <c r="H2104" s="124"/>
      <c r="I2104" s="124"/>
      <c r="J2104" s="124"/>
      <c r="K2104" s="124"/>
      <c r="L2104" s="124"/>
      <c r="M2104" s="124"/>
      <c r="N2104" s="124"/>
      <c r="O2104" s="124"/>
      <c r="P2104" s="124"/>
      <c r="Q2104" s="124"/>
      <c r="R2104" s="124"/>
      <c r="S2104" s="124"/>
      <c r="T2104" s="124"/>
      <c r="U2104" s="124"/>
      <c r="V2104" s="124"/>
      <c r="W2104" s="124"/>
      <c r="X2104" s="124"/>
      <c r="Y2104" s="124"/>
    </row>
    <row r="2105" spans="2:25" x14ac:dyDescent="0.25">
      <c r="B2105" s="124"/>
      <c r="C2105" s="124"/>
      <c r="D2105" s="124"/>
      <c r="E2105" s="124"/>
      <c r="F2105" s="124"/>
      <c r="G2105" s="124"/>
      <c r="H2105" s="124"/>
      <c r="I2105" s="124"/>
      <c r="J2105" s="124"/>
      <c r="K2105" s="124"/>
      <c r="L2105" s="124"/>
      <c r="M2105" s="124"/>
      <c r="N2105" s="124"/>
      <c r="O2105" s="124"/>
      <c r="P2105" s="124"/>
      <c r="Q2105" s="124"/>
      <c r="R2105" s="124"/>
      <c r="S2105" s="124"/>
      <c r="T2105" s="124"/>
      <c r="U2105" s="124"/>
      <c r="V2105" s="124"/>
      <c r="W2105" s="124"/>
      <c r="X2105" s="124"/>
      <c r="Y2105" s="124"/>
    </row>
    <row r="2106" spans="2:25" x14ac:dyDescent="0.25">
      <c r="B2106" s="124"/>
      <c r="C2106" s="124"/>
      <c r="D2106" s="124"/>
      <c r="E2106" s="124"/>
      <c r="F2106" s="124"/>
      <c r="G2106" s="124"/>
      <c r="H2106" s="124"/>
      <c r="I2106" s="124"/>
      <c r="J2106" s="124"/>
      <c r="K2106" s="124"/>
      <c r="L2106" s="124"/>
      <c r="M2106" s="124"/>
      <c r="N2106" s="124"/>
      <c r="O2106" s="124"/>
      <c r="P2106" s="124"/>
      <c r="Q2106" s="124"/>
      <c r="R2106" s="124"/>
      <c r="S2106" s="124"/>
      <c r="T2106" s="124"/>
      <c r="U2106" s="124"/>
      <c r="V2106" s="124"/>
      <c r="W2106" s="124"/>
      <c r="X2106" s="124"/>
      <c r="Y2106" s="124"/>
    </row>
    <row r="2107" spans="2:25" x14ac:dyDescent="0.25">
      <c r="B2107" s="124"/>
      <c r="C2107" s="124"/>
      <c r="D2107" s="124"/>
      <c r="E2107" s="124"/>
      <c r="F2107" s="124"/>
      <c r="G2107" s="124"/>
      <c r="H2107" s="124"/>
      <c r="I2107" s="124"/>
      <c r="J2107" s="124"/>
      <c r="K2107" s="124"/>
      <c r="L2107" s="124"/>
      <c r="M2107" s="124"/>
      <c r="N2107" s="124"/>
      <c r="O2107" s="124"/>
      <c r="P2107" s="124"/>
      <c r="Q2107" s="124"/>
      <c r="R2107" s="124"/>
      <c r="S2107" s="124"/>
      <c r="T2107" s="124"/>
      <c r="U2107" s="124"/>
      <c r="V2107" s="124"/>
      <c r="W2107" s="124"/>
      <c r="X2107" s="124"/>
      <c r="Y2107" s="124"/>
    </row>
    <row r="2108" spans="2:25" x14ac:dyDescent="0.25">
      <c r="B2108" s="124"/>
      <c r="C2108" s="124"/>
      <c r="D2108" s="124"/>
      <c r="E2108" s="124"/>
      <c r="F2108" s="124"/>
      <c r="G2108" s="124"/>
      <c r="H2108" s="124"/>
      <c r="I2108" s="124"/>
      <c r="J2108" s="124"/>
      <c r="K2108" s="124"/>
      <c r="L2108" s="124"/>
      <c r="M2108" s="124"/>
      <c r="N2108" s="124"/>
      <c r="O2108" s="124"/>
      <c r="P2108" s="124"/>
      <c r="Q2108" s="124"/>
      <c r="R2108" s="124"/>
      <c r="S2108" s="124"/>
      <c r="T2108" s="124"/>
      <c r="U2108" s="124"/>
      <c r="V2108" s="124"/>
      <c r="W2108" s="124"/>
      <c r="X2108" s="124"/>
      <c r="Y2108" s="124"/>
    </row>
    <row r="2109" spans="2:25" x14ac:dyDescent="0.25">
      <c r="B2109" s="124"/>
      <c r="C2109" s="124"/>
      <c r="D2109" s="124"/>
      <c r="E2109" s="124"/>
      <c r="F2109" s="124"/>
      <c r="G2109" s="124"/>
      <c r="H2109" s="124"/>
      <c r="I2109" s="124"/>
      <c r="J2109" s="124"/>
      <c r="K2109" s="124"/>
      <c r="L2109" s="124"/>
      <c r="M2109" s="124"/>
      <c r="N2109" s="124"/>
      <c r="O2109" s="124"/>
      <c r="P2109" s="124"/>
      <c r="Q2109" s="124"/>
      <c r="R2109" s="124"/>
      <c r="S2109" s="124"/>
      <c r="T2109" s="124"/>
      <c r="U2109" s="124"/>
      <c r="V2109" s="124"/>
      <c r="W2109" s="124"/>
      <c r="X2109" s="124"/>
      <c r="Y2109" s="124"/>
    </row>
    <row r="2110" spans="2:25" x14ac:dyDescent="0.25">
      <c r="B2110" s="124"/>
      <c r="C2110" s="124"/>
      <c r="D2110" s="124"/>
      <c r="E2110" s="124"/>
      <c r="F2110" s="124"/>
      <c r="G2110" s="124"/>
      <c r="H2110" s="124"/>
      <c r="I2110" s="124"/>
      <c r="J2110" s="124"/>
      <c r="K2110" s="124"/>
      <c r="L2110" s="124"/>
      <c r="M2110" s="124"/>
      <c r="N2110" s="124"/>
      <c r="O2110" s="124"/>
      <c r="P2110" s="124"/>
      <c r="Q2110" s="124"/>
      <c r="R2110" s="124"/>
      <c r="S2110" s="124"/>
      <c r="T2110" s="124"/>
      <c r="U2110" s="124"/>
      <c r="V2110" s="124"/>
      <c r="W2110" s="124"/>
      <c r="X2110" s="124"/>
      <c r="Y2110" s="124"/>
    </row>
    <row r="2111" spans="2:25" x14ac:dyDescent="0.25">
      <c r="B2111" s="124"/>
      <c r="C2111" s="124"/>
      <c r="D2111" s="124"/>
      <c r="E2111" s="124"/>
      <c r="F2111" s="124"/>
      <c r="G2111" s="124"/>
      <c r="H2111" s="124"/>
      <c r="I2111" s="124"/>
      <c r="J2111" s="124"/>
      <c r="K2111" s="124"/>
      <c r="L2111" s="124"/>
      <c r="M2111" s="124"/>
      <c r="N2111" s="124"/>
      <c r="O2111" s="124"/>
      <c r="P2111" s="124"/>
      <c r="Q2111" s="124"/>
      <c r="R2111" s="124"/>
      <c r="S2111" s="124"/>
      <c r="T2111" s="124"/>
      <c r="U2111" s="124"/>
      <c r="V2111" s="124"/>
      <c r="W2111" s="124"/>
      <c r="X2111" s="124"/>
      <c r="Y2111" s="124"/>
    </row>
    <row r="2112" spans="2:25" x14ac:dyDescent="0.25">
      <c r="B2112" s="124"/>
      <c r="C2112" s="124"/>
      <c r="D2112" s="124"/>
      <c r="E2112" s="124"/>
      <c r="F2112" s="124"/>
      <c r="G2112" s="124"/>
      <c r="H2112" s="124"/>
      <c r="I2112" s="124"/>
      <c r="J2112" s="124"/>
      <c r="K2112" s="124"/>
      <c r="L2112" s="124"/>
      <c r="M2112" s="124"/>
      <c r="N2112" s="124"/>
      <c r="O2112" s="124"/>
      <c r="P2112" s="124"/>
      <c r="Q2112" s="124"/>
      <c r="R2112" s="124"/>
      <c r="S2112" s="124"/>
      <c r="T2112" s="124"/>
      <c r="U2112" s="124"/>
      <c r="V2112" s="124"/>
      <c r="W2112" s="124"/>
      <c r="X2112" s="124"/>
      <c r="Y2112" s="124"/>
    </row>
    <row r="2113" spans="2:25" x14ac:dyDescent="0.25">
      <c r="B2113" s="124"/>
      <c r="C2113" s="124"/>
      <c r="D2113" s="124"/>
      <c r="E2113" s="124"/>
      <c r="F2113" s="124"/>
      <c r="G2113" s="124"/>
      <c r="H2113" s="124"/>
      <c r="I2113" s="124"/>
      <c r="J2113" s="124"/>
      <c r="K2113" s="124"/>
      <c r="L2113" s="124"/>
      <c r="M2113" s="124"/>
      <c r="N2113" s="124"/>
      <c r="O2113" s="124"/>
      <c r="P2113" s="124"/>
      <c r="Q2113" s="124"/>
      <c r="R2113" s="124"/>
      <c r="S2113" s="124"/>
      <c r="T2113" s="124"/>
      <c r="U2113" s="124"/>
      <c r="V2113" s="124"/>
      <c r="W2113" s="124"/>
      <c r="X2113" s="124"/>
      <c r="Y2113" s="124"/>
    </row>
    <row r="2114" spans="2:25" x14ac:dyDescent="0.25">
      <c r="B2114" s="124"/>
      <c r="C2114" s="124"/>
      <c r="D2114" s="124"/>
      <c r="E2114" s="124"/>
      <c r="F2114" s="124"/>
      <c r="G2114" s="124"/>
      <c r="H2114" s="124"/>
      <c r="I2114" s="124"/>
      <c r="J2114" s="124"/>
      <c r="K2114" s="124"/>
      <c r="L2114" s="124"/>
      <c r="M2114" s="124"/>
      <c r="N2114" s="124"/>
      <c r="O2114" s="124"/>
      <c r="P2114" s="124"/>
      <c r="Q2114" s="124"/>
      <c r="R2114" s="124"/>
      <c r="S2114" s="124"/>
      <c r="T2114" s="124"/>
      <c r="U2114" s="124"/>
      <c r="V2114" s="124"/>
      <c r="W2114" s="124"/>
      <c r="X2114" s="124"/>
      <c r="Y2114" s="124"/>
    </row>
    <row r="2115" spans="2:25" x14ac:dyDescent="0.25">
      <c r="B2115" s="124"/>
      <c r="C2115" s="124"/>
      <c r="D2115" s="124"/>
      <c r="E2115" s="124"/>
      <c r="F2115" s="124"/>
      <c r="G2115" s="124"/>
      <c r="H2115" s="124"/>
      <c r="I2115" s="124"/>
      <c r="J2115" s="124"/>
      <c r="K2115" s="124"/>
      <c r="L2115" s="124"/>
      <c r="M2115" s="124"/>
      <c r="N2115" s="124"/>
      <c r="O2115" s="124"/>
      <c r="P2115" s="124"/>
      <c r="Q2115" s="124"/>
      <c r="R2115" s="124"/>
      <c r="S2115" s="124"/>
      <c r="T2115" s="124"/>
      <c r="U2115" s="124"/>
      <c r="V2115" s="124"/>
      <c r="W2115" s="124"/>
      <c r="X2115" s="124"/>
      <c r="Y2115" s="124"/>
    </row>
    <row r="2116" spans="2:25" x14ac:dyDescent="0.25">
      <c r="B2116" s="124"/>
      <c r="C2116" s="124"/>
      <c r="D2116" s="124"/>
      <c r="E2116" s="124"/>
      <c r="F2116" s="124"/>
      <c r="G2116" s="124"/>
      <c r="H2116" s="124"/>
      <c r="I2116" s="124"/>
      <c r="J2116" s="124"/>
      <c r="K2116" s="124"/>
      <c r="L2116" s="124"/>
      <c r="M2116" s="124"/>
      <c r="N2116" s="124"/>
      <c r="O2116" s="124"/>
      <c r="P2116" s="124"/>
      <c r="Q2116" s="124"/>
      <c r="R2116" s="124"/>
      <c r="S2116" s="124"/>
      <c r="T2116" s="124"/>
      <c r="U2116" s="124"/>
      <c r="V2116" s="124"/>
      <c r="W2116" s="124"/>
      <c r="X2116" s="124"/>
      <c r="Y2116" s="124"/>
    </row>
    <row r="2117" spans="2:25" x14ac:dyDescent="0.25">
      <c r="B2117" s="124"/>
      <c r="C2117" s="124"/>
      <c r="D2117" s="124"/>
      <c r="E2117" s="124"/>
      <c r="F2117" s="124"/>
      <c r="G2117" s="124"/>
      <c r="H2117" s="124"/>
      <c r="I2117" s="124"/>
      <c r="J2117" s="124"/>
      <c r="K2117" s="124"/>
      <c r="L2117" s="124"/>
      <c r="M2117" s="124"/>
      <c r="N2117" s="124"/>
      <c r="O2117" s="124"/>
      <c r="P2117" s="124"/>
      <c r="Q2117" s="124"/>
      <c r="R2117" s="124"/>
      <c r="S2117" s="124"/>
      <c r="T2117" s="124"/>
      <c r="U2117" s="124"/>
      <c r="V2117" s="124"/>
      <c r="W2117" s="124"/>
      <c r="X2117" s="124"/>
      <c r="Y2117" s="124"/>
    </row>
    <row r="2118" spans="2:25" x14ac:dyDescent="0.25">
      <c r="B2118" s="124"/>
      <c r="C2118" s="124"/>
      <c r="D2118" s="124"/>
      <c r="E2118" s="124"/>
      <c r="F2118" s="124"/>
      <c r="G2118" s="124"/>
      <c r="H2118" s="124"/>
      <c r="I2118" s="124"/>
      <c r="J2118" s="124"/>
      <c r="K2118" s="124"/>
      <c r="L2118" s="124"/>
      <c r="M2118" s="124"/>
      <c r="N2118" s="124"/>
      <c r="O2118" s="124"/>
      <c r="P2118" s="124"/>
      <c r="Q2118" s="124"/>
      <c r="R2118" s="124"/>
      <c r="S2118" s="124"/>
      <c r="T2118" s="124"/>
      <c r="U2118" s="124"/>
      <c r="V2118" s="124"/>
      <c r="W2118" s="124"/>
      <c r="X2118" s="124"/>
      <c r="Y2118" s="124"/>
    </row>
    <row r="2119" spans="2:25" x14ac:dyDescent="0.25">
      <c r="B2119" s="124"/>
      <c r="C2119" s="124"/>
      <c r="D2119" s="124"/>
      <c r="E2119" s="124"/>
      <c r="F2119" s="124"/>
      <c r="G2119" s="124"/>
      <c r="H2119" s="124"/>
      <c r="I2119" s="124"/>
      <c r="J2119" s="124"/>
      <c r="K2119" s="124"/>
      <c r="L2119" s="124"/>
      <c r="M2119" s="124"/>
      <c r="N2119" s="124"/>
      <c r="O2119" s="124"/>
      <c r="P2119" s="124"/>
      <c r="Q2119" s="124"/>
      <c r="R2119" s="124"/>
      <c r="S2119" s="124"/>
      <c r="T2119" s="124"/>
      <c r="U2119" s="124"/>
      <c r="V2119" s="124"/>
      <c r="W2119" s="124"/>
      <c r="X2119" s="124"/>
      <c r="Y2119" s="124"/>
    </row>
    <row r="2120" spans="2:25" x14ac:dyDescent="0.25">
      <c r="B2120" s="124"/>
      <c r="C2120" s="124"/>
      <c r="D2120" s="124"/>
      <c r="E2120" s="124"/>
      <c r="F2120" s="124"/>
      <c r="G2120" s="124"/>
      <c r="H2120" s="124"/>
      <c r="I2120" s="124"/>
      <c r="J2120" s="124"/>
      <c r="K2120" s="124"/>
      <c r="L2120" s="124"/>
      <c r="M2120" s="124"/>
      <c r="N2120" s="124"/>
      <c r="O2120" s="124"/>
      <c r="P2120" s="124"/>
      <c r="Q2120" s="124"/>
      <c r="R2120" s="124"/>
      <c r="S2120" s="124"/>
      <c r="T2120" s="124"/>
      <c r="U2120" s="124"/>
      <c r="V2120" s="124"/>
      <c r="W2120" s="124"/>
      <c r="X2120" s="124"/>
      <c r="Y2120" s="124"/>
    </row>
    <row r="2121" spans="2:25" x14ac:dyDescent="0.25">
      <c r="B2121" s="124"/>
      <c r="C2121" s="124"/>
      <c r="D2121" s="124"/>
      <c r="E2121" s="124"/>
      <c r="F2121" s="124"/>
      <c r="G2121" s="124"/>
      <c r="H2121" s="124"/>
      <c r="I2121" s="124"/>
      <c r="J2121" s="124"/>
      <c r="K2121" s="124"/>
      <c r="L2121" s="124"/>
      <c r="M2121" s="124"/>
      <c r="N2121" s="124"/>
      <c r="O2121" s="124"/>
      <c r="P2121" s="124"/>
      <c r="Q2121" s="124"/>
      <c r="R2121" s="124"/>
      <c r="S2121" s="124"/>
      <c r="T2121" s="124"/>
      <c r="U2121" s="124"/>
      <c r="V2121" s="124"/>
      <c r="W2121" s="124"/>
      <c r="X2121" s="124"/>
      <c r="Y2121" s="124"/>
    </row>
    <row r="2122" spans="2:25" x14ac:dyDescent="0.25">
      <c r="B2122" s="124"/>
      <c r="C2122" s="124"/>
      <c r="D2122" s="124"/>
      <c r="E2122" s="124"/>
      <c r="F2122" s="124"/>
      <c r="G2122" s="124"/>
      <c r="H2122" s="124"/>
      <c r="I2122" s="124"/>
      <c r="J2122" s="124"/>
      <c r="K2122" s="124"/>
      <c r="L2122" s="124"/>
      <c r="M2122" s="124"/>
      <c r="N2122" s="124"/>
      <c r="O2122" s="124"/>
      <c r="P2122" s="124"/>
      <c r="Q2122" s="124"/>
      <c r="R2122" s="124"/>
      <c r="S2122" s="124"/>
      <c r="T2122" s="124"/>
      <c r="U2122" s="124"/>
      <c r="V2122" s="124"/>
      <c r="W2122" s="124"/>
      <c r="X2122" s="124"/>
      <c r="Y2122" s="124"/>
    </row>
    <row r="2123" spans="2:25" x14ac:dyDescent="0.25">
      <c r="B2123" s="124"/>
      <c r="C2123" s="124"/>
      <c r="D2123" s="124"/>
      <c r="E2123" s="124"/>
      <c r="F2123" s="124"/>
      <c r="G2123" s="124"/>
      <c r="H2123" s="124"/>
      <c r="I2123" s="124"/>
      <c r="J2123" s="124"/>
      <c r="K2123" s="124"/>
      <c r="L2123" s="124"/>
      <c r="M2123" s="124"/>
      <c r="N2123" s="124"/>
      <c r="O2123" s="124"/>
      <c r="P2123" s="124"/>
      <c r="Q2123" s="124"/>
      <c r="R2123" s="124"/>
      <c r="S2123" s="124"/>
      <c r="T2123" s="124"/>
      <c r="U2123" s="124"/>
      <c r="V2123" s="124"/>
      <c r="W2123" s="124"/>
      <c r="X2123" s="124"/>
      <c r="Y2123" s="124"/>
    </row>
    <row r="2124" spans="2:25" x14ac:dyDescent="0.25">
      <c r="B2124" s="124"/>
      <c r="C2124" s="124"/>
      <c r="D2124" s="124"/>
      <c r="E2124" s="124"/>
      <c r="F2124" s="124"/>
      <c r="G2124" s="124"/>
      <c r="H2124" s="124"/>
      <c r="I2124" s="124"/>
      <c r="J2124" s="124"/>
      <c r="K2124" s="124"/>
      <c r="L2124" s="124"/>
      <c r="M2124" s="124"/>
      <c r="N2124" s="124"/>
      <c r="O2124" s="124"/>
      <c r="P2124" s="124"/>
      <c r="Q2124" s="124"/>
      <c r="R2124" s="124"/>
      <c r="S2124" s="124"/>
      <c r="T2124" s="124"/>
      <c r="U2124" s="124"/>
      <c r="V2124" s="124"/>
      <c r="W2124" s="124"/>
      <c r="X2124" s="124"/>
      <c r="Y2124" s="124"/>
    </row>
    <row r="2125" spans="2:25" x14ac:dyDescent="0.25">
      <c r="B2125" s="124"/>
      <c r="C2125" s="124"/>
      <c r="D2125" s="124"/>
      <c r="E2125" s="124"/>
      <c r="F2125" s="124"/>
      <c r="G2125" s="124"/>
      <c r="H2125" s="124"/>
      <c r="I2125" s="124"/>
      <c r="J2125" s="124"/>
      <c r="K2125" s="124"/>
      <c r="L2125" s="124"/>
      <c r="M2125" s="124"/>
      <c r="N2125" s="124"/>
      <c r="O2125" s="124"/>
      <c r="P2125" s="124"/>
      <c r="Q2125" s="124"/>
      <c r="R2125" s="124"/>
      <c r="S2125" s="124"/>
      <c r="T2125" s="124"/>
      <c r="U2125" s="124"/>
      <c r="V2125" s="124"/>
      <c r="W2125" s="124"/>
      <c r="X2125" s="124"/>
      <c r="Y2125" s="124"/>
    </row>
    <row r="2126" spans="2:25" x14ac:dyDescent="0.25">
      <c r="B2126" s="124"/>
      <c r="C2126" s="124"/>
      <c r="D2126" s="124"/>
      <c r="E2126" s="124"/>
      <c r="F2126" s="124"/>
      <c r="G2126" s="124"/>
      <c r="H2126" s="124"/>
      <c r="I2126" s="124"/>
      <c r="J2126" s="124"/>
      <c r="K2126" s="124"/>
      <c r="L2126" s="124"/>
      <c r="M2126" s="124"/>
      <c r="N2126" s="124"/>
      <c r="O2126" s="124"/>
      <c r="P2126" s="124"/>
      <c r="Q2126" s="124"/>
      <c r="R2126" s="124"/>
      <c r="S2126" s="124"/>
      <c r="T2126" s="124"/>
      <c r="U2126" s="124"/>
      <c r="V2126" s="124"/>
      <c r="W2126" s="124"/>
      <c r="X2126" s="124"/>
      <c r="Y2126" s="124"/>
    </row>
    <row r="2127" spans="2:25" x14ac:dyDescent="0.25">
      <c r="B2127" s="124"/>
      <c r="C2127" s="124"/>
      <c r="D2127" s="124"/>
      <c r="E2127" s="124"/>
      <c r="F2127" s="124"/>
      <c r="G2127" s="124"/>
      <c r="H2127" s="124"/>
      <c r="I2127" s="124"/>
      <c r="J2127" s="124"/>
      <c r="K2127" s="124"/>
      <c r="L2127" s="124"/>
      <c r="M2127" s="124"/>
      <c r="N2127" s="124"/>
      <c r="O2127" s="124"/>
      <c r="P2127" s="124"/>
      <c r="Q2127" s="124"/>
      <c r="R2127" s="124"/>
      <c r="S2127" s="124"/>
      <c r="T2127" s="124"/>
      <c r="U2127" s="124"/>
      <c r="V2127" s="124"/>
      <c r="W2127" s="124"/>
      <c r="X2127" s="124"/>
      <c r="Y2127" s="124"/>
    </row>
    <row r="2128" spans="2:25" x14ac:dyDescent="0.25">
      <c r="B2128" s="124"/>
      <c r="C2128" s="124"/>
      <c r="D2128" s="124"/>
      <c r="E2128" s="124"/>
      <c r="F2128" s="124"/>
      <c r="G2128" s="124"/>
      <c r="H2128" s="124"/>
      <c r="I2128" s="124"/>
      <c r="J2128" s="124"/>
      <c r="K2128" s="124"/>
      <c r="L2128" s="124"/>
      <c r="M2128" s="124"/>
      <c r="N2128" s="124"/>
      <c r="O2128" s="124"/>
      <c r="P2128" s="124"/>
      <c r="Q2128" s="124"/>
      <c r="R2128" s="124"/>
      <c r="S2128" s="124"/>
      <c r="T2128" s="124"/>
      <c r="U2128" s="124"/>
      <c r="V2128" s="124"/>
      <c r="W2128" s="124"/>
      <c r="X2128" s="124"/>
      <c r="Y2128" s="124"/>
    </row>
    <row r="2129" spans="2:25" x14ac:dyDescent="0.25">
      <c r="B2129" s="124"/>
      <c r="C2129" s="124"/>
      <c r="D2129" s="124"/>
      <c r="E2129" s="124"/>
      <c r="F2129" s="124"/>
      <c r="G2129" s="124"/>
      <c r="H2129" s="124"/>
      <c r="I2129" s="124"/>
      <c r="J2129" s="124"/>
      <c r="K2129" s="124"/>
      <c r="L2129" s="124"/>
      <c r="M2129" s="124"/>
      <c r="N2129" s="124"/>
      <c r="O2129" s="124"/>
      <c r="P2129" s="124"/>
      <c r="Q2129" s="124"/>
      <c r="R2129" s="124"/>
      <c r="S2129" s="124"/>
      <c r="T2129" s="124"/>
      <c r="U2129" s="124"/>
      <c r="V2129" s="124"/>
      <c r="W2129" s="124"/>
      <c r="X2129" s="124"/>
      <c r="Y2129" s="124"/>
    </row>
    <row r="2130" spans="2:25" x14ac:dyDescent="0.25">
      <c r="B2130" s="124"/>
      <c r="C2130" s="124"/>
      <c r="D2130" s="124"/>
      <c r="E2130" s="124"/>
      <c r="F2130" s="124"/>
      <c r="G2130" s="124"/>
      <c r="H2130" s="124"/>
      <c r="I2130" s="124"/>
      <c r="J2130" s="124"/>
      <c r="K2130" s="124"/>
      <c r="L2130" s="124"/>
      <c r="M2130" s="124"/>
      <c r="N2130" s="124"/>
      <c r="O2130" s="124"/>
      <c r="P2130" s="124"/>
      <c r="Q2130" s="124"/>
      <c r="R2130" s="124"/>
      <c r="S2130" s="124"/>
      <c r="T2130" s="124"/>
      <c r="U2130" s="124"/>
      <c r="V2130" s="124"/>
      <c r="W2130" s="124"/>
      <c r="X2130" s="124"/>
      <c r="Y2130" s="124"/>
    </row>
    <row r="2131" spans="2:25" x14ac:dyDescent="0.25">
      <c r="B2131" s="124"/>
      <c r="C2131" s="124"/>
      <c r="D2131" s="124"/>
      <c r="E2131" s="124"/>
      <c r="F2131" s="124"/>
      <c r="G2131" s="124"/>
      <c r="H2131" s="124"/>
      <c r="I2131" s="124"/>
      <c r="J2131" s="124"/>
      <c r="K2131" s="124"/>
      <c r="L2131" s="124"/>
      <c r="M2131" s="124"/>
      <c r="N2131" s="124"/>
      <c r="O2131" s="124"/>
      <c r="P2131" s="124"/>
      <c r="Q2131" s="124"/>
      <c r="R2131" s="124"/>
      <c r="S2131" s="124"/>
      <c r="T2131" s="124"/>
      <c r="U2131" s="124"/>
      <c r="V2131" s="124"/>
      <c r="W2131" s="124"/>
      <c r="X2131" s="124"/>
      <c r="Y2131" s="124"/>
    </row>
    <row r="2132" spans="2:25" x14ac:dyDescent="0.25">
      <c r="B2132" s="124"/>
      <c r="C2132" s="124"/>
      <c r="D2132" s="124"/>
      <c r="E2132" s="124"/>
      <c r="F2132" s="124"/>
      <c r="G2132" s="124"/>
      <c r="H2132" s="124"/>
      <c r="I2132" s="124"/>
      <c r="J2132" s="124"/>
      <c r="K2132" s="124"/>
      <c r="L2132" s="124"/>
      <c r="M2132" s="124"/>
      <c r="N2132" s="124"/>
      <c r="O2132" s="124"/>
      <c r="P2132" s="124"/>
      <c r="Q2132" s="124"/>
      <c r="R2132" s="124"/>
      <c r="S2132" s="124"/>
      <c r="T2132" s="124"/>
      <c r="U2132" s="124"/>
      <c r="V2132" s="124"/>
      <c r="W2132" s="124"/>
      <c r="X2132" s="124"/>
      <c r="Y2132" s="124"/>
    </row>
    <row r="2133" spans="2:25" x14ac:dyDescent="0.25">
      <c r="B2133" s="124"/>
      <c r="C2133" s="124"/>
      <c r="D2133" s="124"/>
      <c r="E2133" s="124"/>
      <c r="F2133" s="124"/>
      <c r="G2133" s="124"/>
      <c r="H2133" s="124"/>
      <c r="I2133" s="124"/>
      <c r="J2133" s="124"/>
      <c r="K2133" s="124"/>
      <c r="L2133" s="124"/>
      <c r="M2133" s="124"/>
      <c r="N2133" s="124"/>
      <c r="O2133" s="124"/>
      <c r="P2133" s="124"/>
      <c r="Q2133" s="124"/>
      <c r="R2133" s="124"/>
      <c r="S2133" s="124"/>
      <c r="T2133" s="124"/>
      <c r="U2133" s="124"/>
      <c r="V2133" s="124"/>
      <c r="W2133" s="124"/>
      <c r="X2133" s="124"/>
      <c r="Y2133" s="124"/>
    </row>
    <row r="2134" spans="2:25" x14ac:dyDescent="0.25">
      <c r="B2134" s="124"/>
      <c r="C2134" s="124"/>
      <c r="D2134" s="124"/>
      <c r="E2134" s="124"/>
      <c r="F2134" s="124"/>
      <c r="G2134" s="124"/>
      <c r="H2134" s="124"/>
      <c r="I2134" s="124"/>
      <c r="J2134" s="124"/>
      <c r="K2134" s="124"/>
      <c r="L2134" s="124"/>
      <c r="M2134" s="124"/>
      <c r="N2134" s="124"/>
      <c r="O2134" s="124"/>
      <c r="P2134" s="124"/>
      <c r="Q2134" s="124"/>
      <c r="R2134" s="124"/>
      <c r="S2134" s="124"/>
      <c r="T2134" s="124"/>
      <c r="U2134" s="124"/>
      <c r="V2134" s="124"/>
      <c r="W2134" s="124"/>
      <c r="X2134" s="124"/>
      <c r="Y2134" s="124"/>
    </row>
    <row r="2135" spans="2:25" x14ac:dyDescent="0.25">
      <c r="B2135" s="124"/>
      <c r="C2135" s="124"/>
      <c r="D2135" s="124"/>
      <c r="E2135" s="124"/>
      <c r="F2135" s="124"/>
      <c r="G2135" s="124"/>
      <c r="H2135" s="124"/>
      <c r="I2135" s="124"/>
      <c r="J2135" s="124"/>
      <c r="K2135" s="124"/>
      <c r="L2135" s="124"/>
      <c r="M2135" s="124"/>
      <c r="N2135" s="124"/>
      <c r="O2135" s="124"/>
      <c r="P2135" s="124"/>
      <c r="Q2135" s="124"/>
      <c r="R2135" s="124"/>
      <c r="S2135" s="124"/>
      <c r="T2135" s="124"/>
      <c r="U2135" s="124"/>
      <c r="V2135" s="124"/>
      <c r="W2135" s="124"/>
      <c r="X2135" s="124"/>
      <c r="Y2135" s="124"/>
    </row>
    <row r="2136" spans="2:25" x14ac:dyDescent="0.25">
      <c r="B2136" s="124"/>
      <c r="C2136" s="124"/>
      <c r="D2136" s="124"/>
      <c r="E2136" s="124"/>
      <c r="F2136" s="124"/>
      <c r="G2136" s="124"/>
      <c r="H2136" s="124"/>
      <c r="I2136" s="124"/>
      <c r="J2136" s="124"/>
      <c r="K2136" s="124"/>
      <c r="L2136" s="124"/>
      <c r="M2136" s="124"/>
      <c r="N2136" s="124"/>
      <c r="O2136" s="124"/>
      <c r="P2136" s="124"/>
      <c r="Q2136" s="124"/>
      <c r="R2136" s="124"/>
      <c r="S2136" s="124"/>
      <c r="T2136" s="124"/>
      <c r="U2136" s="124"/>
      <c r="V2136" s="124"/>
      <c r="W2136" s="124"/>
      <c r="X2136" s="124"/>
      <c r="Y2136" s="124"/>
    </row>
    <row r="2137" spans="2:25" x14ac:dyDescent="0.25">
      <c r="B2137" s="124"/>
      <c r="C2137" s="124"/>
      <c r="D2137" s="124"/>
      <c r="E2137" s="124"/>
      <c r="F2137" s="124"/>
      <c r="G2137" s="124"/>
      <c r="H2137" s="124"/>
      <c r="I2137" s="124"/>
      <c r="J2137" s="124"/>
      <c r="K2137" s="124"/>
      <c r="L2137" s="124"/>
      <c r="M2137" s="124"/>
      <c r="N2137" s="124"/>
      <c r="O2137" s="124"/>
      <c r="P2137" s="124"/>
      <c r="Q2137" s="124"/>
      <c r="R2137" s="124"/>
      <c r="S2137" s="124"/>
      <c r="T2137" s="124"/>
      <c r="U2137" s="124"/>
      <c r="V2137" s="124"/>
      <c r="W2137" s="124"/>
      <c r="X2137" s="124"/>
      <c r="Y2137" s="124"/>
    </row>
    <row r="2138" spans="2:25" x14ac:dyDescent="0.25">
      <c r="B2138" s="124"/>
      <c r="C2138" s="124"/>
      <c r="D2138" s="124"/>
      <c r="E2138" s="124"/>
      <c r="F2138" s="124"/>
      <c r="G2138" s="124"/>
      <c r="H2138" s="124"/>
      <c r="I2138" s="124"/>
      <c r="J2138" s="124"/>
      <c r="K2138" s="124"/>
      <c r="L2138" s="124"/>
      <c r="M2138" s="124"/>
      <c r="N2138" s="124"/>
      <c r="O2138" s="124"/>
      <c r="P2138" s="124"/>
      <c r="Q2138" s="124"/>
      <c r="R2138" s="124"/>
      <c r="S2138" s="124"/>
      <c r="T2138" s="124"/>
      <c r="U2138" s="124"/>
      <c r="V2138" s="124"/>
      <c r="W2138" s="124"/>
      <c r="X2138" s="124"/>
      <c r="Y2138" s="124"/>
    </row>
    <row r="2139" spans="2:25" x14ac:dyDescent="0.25">
      <c r="B2139" s="124"/>
      <c r="C2139" s="124"/>
      <c r="D2139" s="124"/>
      <c r="E2139" s="124"/>
      <c r="F2139" s="124"/>
      <c r="G2139" s="124"/>
      <c r="H2139" s="124"/>
      <c r="I2139" s="124"/>
      <c r="J2139" s="124"/>
      <c r="K2139" s="124"/>
      <c r="L2139" s="124"/>
      <c r="M2139" s="124"/>
      <c r="N2139" s="124"/>
      <c r="O2139" s="124"/>
      <c r="P2139" s="124"/>
      <c r="Q2139" s="124"/>
      <c r="R2139" s="124"/>
      <c r="S2139" s="124"/>
      <c r="T2139" s="124"/>
      <c r="U2139" s="124"/>
      <c r="V2139" s="124"/>
      <c r="W2139" s="124"/>
      <c r="X2139" s="124"/>
      <c r="Y2139" s="124"/>
    </row>
    <row r="2140" spans="2:25" x14ac:dyDescent="0.25">
      <c r="B2140" s="124"/>
      <c r="C2140" s="124"/>
      <c r="D2140" s="124"/>
      <c r="E2140" s="124"/>
      <c r="F2140" s="124"/>
      <c r="G2140" s="124"/>
      <c r="H2140" s="124"/>
      <c r="I2140" s="124"/>
      <c r="J2140" s="124"/>
      <c r="K2140" s="124"/>
      <c r="L2140" s="124"/>
      <c r="M2140" s="124"/>
      <c r="N2140" s="124"/>
      <c r="O2140" s="124"/>
      <c r="P2140" s="124"/>
      <c r="Q2140" s="124"/>
      <c r="R2140" s="124"/>
      <c r="S2140" s="124"/>
      <c r="T2140" s="124"/>
      <c r="U2140" s="124"/>
      <c r="V2140" s="124"/>
      <c r="W2140" s="124"/>
      <c r="X2140" s="124"/>
      <c r="Y2140" s="124"/>
    </row>
    <row r="2141" spans="2:25" x14ac:dyDescent="0.25">
      <c r="B2141" s="124"/>
      <c r="C2141" s="124"/>
      <c r="D2141" s="124"/>
      <c r="E2141" s="124"/>
      <c r="F2141" s="124"/>
      <c r="G2141" s="124"/>
      <c r="H2141" s="124"/>
      <c r="I2141" s="124"/>
      <c r="J2141" s="124"/>
      <c r="K2141" s="124"/>
      <c r="L2141" s="124"/>
      <c r="M2141" s="124"/>
      <c r="N2141" s="124"/>
      <c r="O2141" s="124"/>
      <c r="P2141" s="124"/>
      <c r="Q2141" s="124"/>
      <c r="R2141" s="124"/>
      <c r="S2141" s="124"/>
      <c r="T2141" s="124"/>
      <c r="U2141" s="124"/>
      <c r="V2141" s="124"/>
      <c r="W2141" s="124"/>
      <c r="X2141" s="124"/>
      <c r="Y2141" s="124"/>
    </row>
    <row r="2142" spans="2:25" x14ac:dyDescent="0.25">
      <c r="B2142" s="124"/>
      <c r="C2142" s="124"/>
      <c r="D2142" s="124"/>
      <c r="E2142" s="124"/>
      <c r="F2142" s="124"/>
      <c r="G2142" s="124"/>
      <c r="H2142" s="124"/>
      <c r="I2142" s="124"/>
      <c r="J2142" s="124"/>
      <c r="K2142" s="124"/>
      <c r="L2142" s="124"/>
      <c r="M2142" s="124"/>
      <c r="N2142" s="124"/>
      <c r="O2142" s="124"/>
      <c r="P2142" s="124"/>
      <c r="Q2142" s="124"/>
      <c r="R2142" s="124"/>
      <c r="S2142" s="124"/>
      <c r="T2142" s="124"/>
      <c r="U2142" s="124"/>
      <c r="V2142" s="124"/>
      <c r="W2142" s="124"/>
      <c r="X2142" s="124"/>
      <c r="Y2142" s="124"/>
    </row>
    <row r="2143" spans="2:25" x14ac:dyDescent="0.25">
      <c r="B2143" s="124"/>
      <c r="C2143" s="124"/>
      <c r="D2143" s="124"/>
      <c r="E2143" s="124"/>
      <c r="F2143" s="124"/>
      <c r="G2143" s="124"/>
      <c r="H2143" s="124"/>
      <c r="I2143" s="124"/>
      <c r="J2143" s="124"/>
      <c r="K2143" s="124"/>
      <c r="L2143" s="124"/>
      <c r="M2143" s="124"/>
      <c r="N2143" s="124"/>
      <c r="O2143" s="124"/>
      <c r="P2143" s="124"/>
      <c r="Q2143" s="124"/>
      <c r="R2143" s="124"/>
      <c r="S2143" s="124"/>
      <c r="T2143" s="124"/>
      <c r="U2143" s="124"/>
      <c r="V2143" s="124"/>
      <c r="W2143" s="124"/>
      <c r="X2143" s="124"/>
      <c r="Y2143" s="124"/>
    </row>
    <row r="2144" spans="2:25" x14ac:dyDescent="0.25">
      <c r="B2144" s="124"/>
      <c r="C2144" s="124"/>
      <c r="D2144" s="124"/>
      <c r="E2144" s="124"/>
      <c r="F2144" s="124"/>
      <c r="G2144" s="124"/>
      <c r="H2144" s="124"/>
      <c r="I2144" s="124"/>
      <c r="J2144" s="124"/>
      <c r="K2144" s="124"/>
      <c r="L2144" s="124"/>
      <c r="M2144" s="124"/>
      <c r="N2144" s="124"/>
      <c r="O2144" s="124"/>
      <c r="P2144" s="124"/>
      <c r="Q2144" s="124"/>
      <c r="R2144" s="124"/>
      <c r="S2144" s="124"/>
      <c r="T2144" s="124"/>
      <c r="U2144" s="124"/>
      <c r="V2144" s="124"/>
      <c r="W2144" s="124"/>
      <c r="X2144" s="124"/>
      <c r="Y2144" s="124"/>
    </row>
    <row r="2145" spans="2:25" x14ac:dyDescent="0.25">
      <c r="B2145" s="124"/>
      <c r="C2145" s="124"/>
      <c r="D2145" s="124"/>
      <c r="E2145" s="124"/>
      <c r="F2145" s="124"/>
      <c r="G2145" s="124"/>
      <c r="H2145" s="124"/>
      <c r="I2145" s="124"/>
      <c r="J2145" s="124"/>
      <c r="K2145" s="124"/>
      <c r="L2145" s="124"/>
      <c r="M2145" s="124"/>
      <c r="N2145" s="124"/>
      <c r="O2145" s="124"/>
      <c r="P2145" s="124"/>
      <c r="Q2145" s="124"/>
      <c r="R2145" s="124"/>
      <c r="S2145" s="124"/>
      <c r="T2145" s="124"/>
      <c r="U2145" s="124"/>
      <c r="V2145" s="124"/>
      <c r="W2145" s="124"/>
      <c r="X2145" s="124"/>
      <c r="Y2145" s="124"/>
    </row>
    <row r="2146" spans="2:25" x14ac:dyDescent="0.25">
      <c r="B2146" s="124"/>
      <c r="C2146" s="124"/>
      <c r="D2146" s="124"/>
      <c r="E2146" s="124"/>
      <c r="F2146" s="124"/>
      <c r="G2146" s="124"/>
      <c r="H2146" s="124"/>
      <c r="I2146" s="124"/>
      <c r="J2146" s="124"/>
      <c r="K2146" s="124"/>
      <c r="L2146" s="124"/>
      <c r="M2146" s="124"/>
      <c r="N2146" s="124"/>
      <c r="O2146" s="124"/>
      <c r="P2146" s="124"/>
      <c r="Q2146" s="124"/>
      <c r="R2146" s="124"/>
      <c r="S2146" s="124"/>
      <c r="T2146" s="124"/>
      <c r="U2146" s="124"/>
      <c r="V2146" s="124"/>
      <c r="W2146" s="124"/>
      <c r="X2146" s="124"/>
      <c r="Y2146" s="124"/>
    </row>
    <row r="2147" spans="2:25" x14ac:dyDescent="0.25">
      <c r="B2147" s="124"/>
      <c r="C2147" s="124"/>
      <c r="D2147" s="124"/>
      <c r="E2147" s="124"/>
      <c r="F2147" s="124"/>
      <c r="G2147" s="124"/>
      <c r="H2147" s="124"/>
      <c r="I2147" s="124"/>
      <c r="J2147" s="124"/>
      <c r="K2147" s="124"/>
      <c r="L2147" s="124"/>
      <c r="M2147" s="124"/>
      <c r="N2147" s="124"/>
      <c r="O2147" s="124"/>
      <c r="P2147" s="124"/>
      <c r="Q2147" s="124"/>
      <c r="R2147" s="124"/>
      <c r="S2147" s="124"/>
      <c r="T2147" s="124"/>
      <c r="U2147" s="124"/>
      <c r="V2147" s="124"/>
      <c r="W2147" s="124"/>
      <c r="X2147" s="124"/>
      <c r="Y2147" s="124"/>
    </row>
    <row r="2148" spans="2:25" x14ac:dyDescent="0.25">
      <c r="B2148" s="124"/>
      <c r="C2148" s="124"/>
      <c r="D2148" s="124"/>
      <c r="E2148" s="124"/>
      <c r="F2148" s="124"/>
      <c r="G2148" s="124"/>
      <c r="H2148" s="124"/>
      <c r="I2148" s="124"/>
      <c r="J2148" s="124"/>
      <c r="K2148" s="124"/>
      <c r="L2148" s="124"/>
      <c r="M2148" s="124"/>
      <c r="N2148" s="124"/>
      <c r="O2148" s="124"/>
      <c r="P2148" s="124"/>
      <c r="Q2148" s="124"/>
      <c r="R2148" s="124"/>
      <c r="S2148" s="124"/>
      <c r="T2148" s="124"/>
      <c r="U2148" s="124"/>
      <c r="V2148" s="124"/>
      <c r="W2148" s="124"/>
      <c r="X2148" s="124"/>
      <c r="Y2148" s="124"/>
    </row>
    <row r="2149" spans="2:25" x14ac:dyDescent="0.25">
      <c r="B2149" s="124"/>
      <c r="C2149" s="124"/>
      <c r="D2149" s="124"/>
      <c r="E2149" s="124"/>
      <c r="F2149" s="124"/>
      <c r="G2149" s="124"/>
      <c r="H2149" s="124"/>
      <c r="I2149" s="124"/>
      <c r="J2149" s="124"/>
      <c r="K2149" s="124"/>
      <c r="L2149" s="124"/>
      <c r="M2149" s="124"/>
      <c r="N2149" s="124"/>
      <c r="O2149" s="124"/>
      <c r="P2149" s="124"/>
      <c r="Q2149" s="124"/>
      <c r="R2149" s="124"/>
      <c r="S2149" s="124"/>
      <c r="T2149" s="124"/>
      <c r="U2149" s="124"/>
      <c r="V2149" s="124"/>
      <c r="W2149" s="124"/>
      <c r="X2149" s="124"/>
      <c r="Y2149" s="124"/>
    </row>
    <row r="2150" spans="2:25" x14ac:dyDescent="0.25">
      <c r="B2150" s="124"/>
      <c r="C2150" s="124"/>
      <c r="D2150" s="124"/>
      <c r="E2150" s="124"/>
      <c r="F2150" s="124"/>
      <c r="G2150" s="124"/>
      <c r="H2150" s="124"/>
      <c r="I2150" s="124"/>
      <c r="J2150" s="124"/>
      <c r="K2150" s="124"/>
      <c r="L2150" s="124"/>
      <c r="M2150" s="124"/>
      <c r="N2150" s="124"/>
      <c r="O2150" s="124"/>
      <c r="P2150" s="124"/>
      <c r="Q2150" s="124"/>
      <c r="R2150" s="124"/>
      <c r="S2150" s="124"/>
      <c r="T2150" s="124"/>
      <c r="U2150" s="124"/>
      <c r="V2150" s="124"/>
      <c r="W2150" s="124"/>
      <c r="X2150" s="124"/>
      <c r="Y2150" s="124"/>
    </row>
    <row r="2151" spans="2:25" x14ac:dyDescent="0.25">
      <c r="B2151" s="124"/>
      <c r="C2151" s="124"/>
      <c r="D2151" s="124"/>
      <c r="E2151" s="124"/>
      <c r="F2151" s="124"/>
      <c r="G2151" s="124"/>
      <c r="H2151" s="124"/>
      <c r="I2151" s="124"/>
      <c r="J2151" s="124"/>
      <c r="K2151" s="124"/>
      <c r="L2151" s="124"/>
      <c r="M2151" s="124"/>
      <c r="N2151" s="124"/>
      <c r="O2151" s="124"/>
      <c r="P2151" s="124"/>
      <c r="Q2151" s="124"/>
      <c r="R2151" s="124"/>
      <c r="S2151" s="124"/>
      <c r="T2151" s="124"/>
      <c r="U2151" s="124"/>
      <c r="V2151" s="124"/>
      <c r="W2151" s="124"/>
      <c r="X2151" s="124"/>
      <c r="Y2151" s="124"/>
    </row>
    <row r="2152" spans="2:25" x14ac:dyDescent="0.25">
      <c r="B2152" s="124"/>
      <c r="C2152" s="124"/>
      <c r="D2152" s="124"/>
      <c r="E2152" s="124"/>
      <c r="F2152" s="124"/>
      <c r="G2152" s="124"/>
      <c r="H2152" s="124"/>
      <c r="I2152" s="124"/>
      <c r="J2152" s="124"/>
      <c r="K2152" s="124"/>
      <c r="L2152" s="124"/>
      <c r="M2152" s="124"/>
      <c r="N2152" s="124"/>
      <c r="O2152" s="124"/>
      <c r="P2152" s="124"/>
      <c r="Q2152" s="124"/>
      <c r="R2152" s="124"/>
      <c r="S2152" s="124"/>
      <c r="T2152" s="124"/>
      <c r="U2152" s="124"/>
      <c r="V2152" s="124"/>
      <c r="W2152" s="124"/>
      <c r="X2152" s="124"/>
      <c r="Y2152" s="124"/>
    </row>
    <row r="2153" spans="2:25" x14ac:dyDescent="0.25">
      <c r="B2153" s="124"/>
      <c r="C2153" s="124"/>
      <c r="D2153" s="124"/>
      <c r="E2153" s="124"/>
      <c r="F2153" s="124"/>
      <c r="G2153" s="124"/>
      <c r="H2153" s="124"/>
      <c r="I2153" s="124"/>
      <c r="J2153" s="124"/>
      <c r="K2153" s="124"/>
      <c r="L2153" s="124"/>
      <c r="M2153" s="124"/>
      <c r="N2153" s="124"/>
      <c r="O2153" s="124"/>
      <c r="P2153" s="124"/>
      <c r="Q2153" s="124"/>
      <c r="R2153" s="124"/>
      <c r="S2153" s="124"/>
      <c r="T2153" s="124"/>
      <c r="U2153" s="124"/>
      <c r="V2153" s="124"/>
      <c r="W2153" s="124"/>
      <c r="X2153" s="124"/>
      <c r="Y2153" s="124"/>
    </row>
    <row r="2154" spans="2:25" x14ac:dyDescent="0.25">
      <c r="B2154" s="124"/>
      <c r="C2154" s="124"/>
      <c r="D2154" s="124"/>
      <c r="E2154" s="124"/>
      <c r="F2154" s="124"/>
      <c r="G2154" s="124"/>
      <c r="H2154" s="124"/>
      <c r="I2154" s="124"/>
      <c r="J2154" s="124"/>
      <c r="K2154" s="124"/>
      <c r="L2154" s="124"/>
      <c r="M2154" s="124"/>
      <c r="N2154" s="124"/>
      <c r="O2154" s="124"/>
      <c r="P2154" s="124"/>
      <c r="Q2154" s="124"/>
      <c r="R2154" s="124"/>
      <c r="S2154" s="124"/>
      <c r="T2154" s="124"/>
      <c r="U2154" s="124"/>
      <c r="V2154" s="124"/>
      <c r="W2154" s="124"/>
      <c r="X2154" s="124"/>
      <c r="Y2154" s="124"/>
    </row>
    <row r="2155" spans="2:25" x14ac:dyDescent="0.25">
      <c r="B2155" s="124"/>
      <c r="C2155" s="124"/>
      <c r="D2155" s="124"/>
      <c r="E2155" s="124"/>
      <c r="F2155" s="124"/>
      <c r="G2155" s="124"/>
      <c r="H2155" s="124"/>
      <c r="I2155" s="124"/>
      <c r="J2155" s="124"/>
      <c r="K2155" s="124"/>
      <c r="L2155" s="124"/>
      <c r="M2155" s="124"/>
      <c r="N2155" s="124"/>
      <c r="O2155" s="124"/>
      <c r="P2155" s="124"/>
      <c r="Q2155" s="124"/>
      <c r="R2155" s="124"/>
      <c r="S2155" s="124"/>
      <c r="T2155" s="124"/>
      <c r="U2155" s="124"/>
      <c r="V2155" s="124"/>
      <c r="W2155" s="124"/>
      <c r="X2155" s="124"/>
      <c r="Y2155" s="124"/>
    </row>
    <row r="2156" spans="2:25" x14ac:dyDescent="0.25">
      <c r="B2156" s="124"/>
      <c r="C2156" s="124"/>
      <c r="D2156" s="124"/>
      <c r="E2156" s="124"/>
      <c r="F2156" s="124"/>
      <c r="G2156" s="124"/>
      <c r="H2156" s="124"/>
      <c r="I2156" s="124"/>
      <c r="J2156" s="124"/>
      <c r="K2156" s="124"/>
      <c r="L2156" s="124"/>
      <c r="M2156" s="124"/>
      <c r="N2156" s="124"/>
      <c r="O2156" s="124"/>
      <c r="P2156" s="124"/>
      <c r="Q2156" s="124"/>
      <c r="R2156" s="124"/>
      <c r="S2156" s="124"/>
      <c r="T2156" s="124"/>
      <c r="U2156" s="124"/>
      <c r="V2156" s="124"/>
      <c r="W2156" s="124"/>
      <c r="X2156" s="124"/>
      <c r="Y2156" s="124"/>
    </row>
    <row r="2157" spans="2:25" x14ac:dyDescent="0.25">
      <c r="B2157" s="124"/>
      <c r="C2157" s="124"/>
      <c r="D2157" s="124"/>
      <c r="E2157" s="124"/>
      <c r="F2157" s="124"/>
      <c r="G2157" s="124"/>
      <c r="H2157" s="124"/>
      <c r="I2157" s="124"/>
      <c r="J2157" s="124"/>
      <c r="K2157" s="124"/>
      <c r="L2157" s="124"/>
      <c r="M2157" s="124"/>
      <c r="N2157" s="124"/>
      <c r="O2157" s="124"/>
      <c r="P2157" s="124"/>
      <c r="Q2157" s="124"/>
      <c r="R2157" s="124"/>
      <c r="S2157" s="124"/>
      <c r="T2157" s="124"/>
      <c r="U2157" s="124"/>
      <c r="V2157" s="124"/>
      <c r="W2157" s="124"/>
      <c r="X2157" s="124"/>
      <c r="Y2157" s="124"/>
    </row>
    <row r="2158" spans="2:25" x14ac:dyDescent="0.25">
      <c r="B2158" s="124"/>
      <c r="C2158" s="124"/>
      <c r="D2158" s="124"/>
      <c r="E2158" s="124"/>
      <c r="F2158" s="124"/>
      <c r="G2158" s="124"/>
      <c r="H2158" s="124"/>
      <c r="I2158" s="124"/>
      <c r="J2158" s="124"/>
      <c r="K2158" s="124"/>
      <c r="L2158" s="124"/>
      <c r="M2158" s="124"/>
      <c r="N2158" s="124"/>
      <c r="O2158" s="124"/>
      <c r="P2158" s="124"/>
      <c r="Q2158" s="124"/>
      <c r="R2158" s="124"/>
      <c r="S2158" s="124"/>
      <c r="T2158" s="124"/>
      <c r="U2158" s="124"/>
      <c r="V2158" s="124"/>
      <c r="W2158" s="124"/>
      <c r="X2158" s="124"/>
      <c r="Y2158" s="124"/>
    </row>
    <row r="2159" spans="2:25" x14ac:dyDescent="0.25">
      <c r="B2159" s="124"/>
      <c r="C2159" s="124"/>
      <c r="D2159" s="124"/>
      <c r="E2159" s="124"/>
      <c r="F2159" s="124"/>
      <c r="G2159" s="124"/>
      <c r="H2159" s="124"/>
      <c r="I2159" s="124"/>
      <c r="J2159" s="124"/>
      <c r="K2159" s="124"/>
      <c r="L2159" s="124"/>
      <c r="M2159" s="124"/>
      <c r="N2159" s="124"/>
      <c r="O2159" s="124"/>
      <c r="P2159" s="124"/>
      <c r="Q2159" s="124"/>
      <c r="R2159" s="124"/>
      <c r="S2159" s="124"/>
      <c r="T2159" s="124"/>
      <c r="U2159" s="124"/>
      <c r="V2159" s="124"/>
      <c r="W2159" s="124"/>
      <c r="X2159" s="124"/>
      <c r="Y2159" s="124"/>
    </row>
    <row r="2160" spans="2:25" x14ac:dyDescent="0.25">
      <c r="B2160" s="124"/>
      <c r="C2160" s="124"/>
      <c r="D2160" s="124"/>
      <c r="E2160" s="124"/>
      <c r="F2160" s="124"/>
      <c r="G2160" s="124"/>
      <c r="H2160" s="124"/>
      <c r="I2160" s="124"/>
      <c r="J2160" s="124"/>
      <c r="K2160" s="124"/>
      <c r="L2160" s="124"/>
      <c r="M2160" s="124"/>
      <c r="N2160" s="124"/>
      <c r="O2160" s="124"/>
      <c r="P2160" s="124"/>
      <c r="Q2160" s="124"/>
      <c r="R2160" s="124"/>
      <c r="S2160" s="124"/>
      <c r="T2160" s="124"/>
      <c r="U2160" s="124"/>
      <c r="V2160" s="124"/>
      <c r="W2160" s="124"/>
      <c r="X2160" s="124"/>
      <c r="Y2160" s="124"/>
    </row>
    <row r="2161" spans="2:25" x14ac:dyDescent="0.25">
      <c r="B2161" s="124"/>
      <c r="C2161" s="124"/>
      <c r="D2161" s="124"/>
      <c r="E2161" s="124"/>
      <c r="F2161" s="124"/>
      <c r="G2161" s="124"/>
      <c r="H2161" s="124"/>
      <c r="I2161" s="124"/>
      <c r="J2161" s="124"/>
      <c r="K2161" s="124"/>
      <c r="L2161" s="124"/>
      <c r="M2161" s="124"/>
      <c r="N2161" s="124"/>
      <c r="O2161" s="124"/>
      <c r="P2161" s="124"/>
      <c r="Q2161" s="124"/>
      <c r="R2161" s="124"/>
      <c r="S2161" s="124"/>
      <c r="T2161" s="124"/>
      <c r="U2161" s="124"/>
      <c r="V2161" s="124"/>
      <c r="W2161" s="124"/>
      <c r="X2161" s="124"/>
      <c r="Y2161" s="124"/>
    </row>
    <row r="2162" spans="2:25" x14ac:dyDescent="0.25">
      <c r="B2162" s="124"/>
      <c r="C2162" s="124"/>
      <c r="D2162" s="124"/>
      <c r="E2162" s="124"/>
      <c r="F2162" s="124"/>
      <c r="G2162" s="124"/>
      <c r="H2162" s="124"/>
      <c r="I2162" s="124"/>
      <c r="J2162" s="124"/>
      <c r="K2162" s="124"/>
      <c r="L2162" s="124"/>
      <c r="M2162" s="124"/>
      <c r="N2162" s="124"/>
      <c r="O2162" s="124"/>
      <c r="P2162" s="124"/>
      <c r="Q2162" s="124"/>
      <c r="R2162" s="124"/>
      <c r="S2162" s="124"/>
      <c r="T2162" s="124"/>
      <c r="U2162" s="124"/>
      <c r="V2162" s="124"/>
      <c r="W2162" s="124"/>
      <c r="X2162" s="124"/>
      <c r="Y2162" s="124"/>
    </row>
    <row r="2163" spans="2:25" x14ac:dyDescent="0.25">
      <c r="B2163" s="124"/>
      <c r="C2163" s="124"/>
      <c r="D2163" s="124"/>
      <c r="E2163" s="124"/>
      <c r="F2163" s="124"/>
      <c r="G2163" s="124"/>
      <c r="H2163" s="124"/>
      <c r="I2163" s="124"/>
      <c r="J2163" s="124"/>
      <c r="K2163" s="124"/>
      <c r="L2163" s="124"/>
      <c r="M2163" s="124"/>
      <c r="N2163" s="124"/>
      <c r="O2163" s="124"/>
      <c r="P2163" s="124"/>
      <c r="Q2163" s="124"/>
      <c r="R2163" s="124"/>
      <c r="S2163" s="124"/>
      <c r="T2163" s="124"/>
      <c r="U2163" s="124"/>
      <c r="V2163" s="124"/>
      <c r="W2163" s="124"/>
      <c r="X2163" s="124"/>
      <c r="Y2163" s="124"/>
    </row>
    <row r="2164" spans="2:25" x14ac:dyDescent="0.25">
      <c r="B2164" s="124"/>
      <c r="C2164" s="124"/>
      <c r="D2164" s="124"/>
      <c r="E2164" s="124"/>
      <c r="F2164" s="124"/>
      <c r="G2164" s="124"/>
      <c r="H2164" s="124"/>
      <c r="I2164" s="124"/>
      <c r="J2164" s="124"/>
      <c r="K2164" s="124"/>
      <c r="L2164" s="124"/>
      <c r="M2164" s="124"/>
      <c r="N2164" s="124"/>
      <c r="O2164" s="124"/>
      <c r="P2164" s="124"/>
      <c r="Q2164" s="124"/>
      <c r="R2164" s="124"/>
      <c r="S2164" s="124"/>
      <c r="T2164" s="124"/>
      <c r="U2164" s="124"/>
      <c r="V2164" s="124"/>
      <c r="W2164" s="124"/>
      <c r="X2164" s="124"/>
      <c r="Y2164" s="124"/>
    </row>
    <row r="2165" spans="2:25" x14ac:dyDescent="0.25">
      <c r="B2165" s="124"/>
      <c r="C2165" s="124"/>
      <c r="D2165" s="124"/>
      <c r="E2165" s="124"/>
      <c r="F2165" s="124"/>
      <c r="G2165" s="124"/>
      <c r="H2165" s="124"/>
      <c r="I2165" s="124"/>
      <c r="J2165" s="124"/>
      <c r="K2165" s="124"/>
      <c r="L2165" s="124"/>
      <c r="M2165" s="124"/>
      <c r="N2165" s="124"/>
      <c r="O2165" s="124"/>
      <c r="P2165" s="124"/>
      <c r="Q2165" s="124"/>
      <c r="R2165" s="124"/>
      <c r="S2165" s="124"/>
      <c r="T2165" s="124"/>
      <c r="U2165" s="124"/>
      <c r="V2165" s="124"/>
      <c r="W2165" s="124"/>
      <c r="X2165" s="124"/>
      <c r="Y2165" s="124"/>
    </row>
    <row r="2166" spans="2:25" x14ac:dyDescent="0.25">
      <c r="B2166" s="124"/>
      <c r="C2166" s="124"/>
      <c r="D2166" s="124"/>
      <c r="E2166" s="124"/>
      <c r="F2166" s="124"/>
      <c r="G2166" s="124"/>
      <c r="H2166" s="124"/>
      <c r="I2166" s="124"/>
      <c r="J2166" s="124"/>
      <c r="K2166" s="124"/>
      <c r="L2166" s="124"/>
      <c r="M2166" s="124"/>
      <c r="N2166" s="124"/>
      <c r="O2166" s="124"/>
      <c r="P2166" s="124"/>
      <c r="Q2166" s="124"/>
      <c r="R2166" s="124"/>
      <c r="S2166" s="124"/>
      <c r="T2166" s="124"/>
      <c r="U2166" s="124"/>
      <c r="V2166" s="124"/>
      <c r="W2166" s="124"/>
      <c r="X2166" s="124"/>
      <c r="Y2166" s="124"/>
    </row>
    <row r="2167" spans="2:25" x14ac:dyDescent="0.25">
      <c r="B2167" s="124"/>
      <c r="C2167" s="124"/>
      <c r="D2167" s="124"/>
      <c r="E2167" s="124"/>
      <c r="F2167" s="124"/>
      <c r="G2167" s="124"/>
      <c r="H2167" s="124"/>
      <c r="I2167" s="124"/>
      <c r="J2167" s="124"/>
      <c r="K2167" s="124"/>
      <c r="L2167" s="124"/>
      <c r="M2167" s="124"/>
      <c r="N2167" s="124"/>
      <c r="O2167" s="124"/>
      <c r="P2167" s="124"/>
      <c r="Q2167" s="124"/>
      <c r="R2167" s="124"/>
      <c r="S2167" s="124"/>
      <c r="T2167" s="124"/>
      <c r="U2167" s="124"/>
      <c r="V2167" s="124"/>
      <c r="W2167" s="124"/>
      <c r="X2167" s="124"/>
      <c r="Y2167" s="124"/>
    </row>
    <row r="2168" spans="2:25" x14ac:dyDescent="0.25">
      <c r="B2168" s="124"/>
      <c r="C2168" s="124"/>
      <c r="D2168" s="124"/>
      <c r="E2168" s="124"/>
      <c r="F2168" s="124"/>
      <c r="G2168" s="124"/>
      <c r="H2168" s="124"/>
      <c r="I2168" s="124"/>
      <c r="J2168" s="124"/>
      <c r="K2168" s="124"/>
      <c r="L2168" s="124"/>
      <c r="M2168" s="124"/>
      <c r="N2168" s="124"/>
      <c r="O2168" s="124"/>
      <c r="P2168" s="124"/>
      <c r="Q2168" s="124"/>
      <c r="R2168" s="124"/>
      <c r="S2168" s="124"/>
      <c r="T2168" s="124"/>
      <c r="U2168" s="124"/>
      <c r="V2168" s="124"/>
      <c r="W2168" s="124"/>
      <c r="X2168" s="124"/>
      <c r="Y2168" s="124"/>
    </row>
    <row r="2169" spans="2:25" x14ac:dyDescent="0.25">
      <c r="B2169" s="124"/>
      <c r="C2169" s="124"/>
      <c r="D2169" s="124"/>
      <c r="E2169" s="124"/>
      <c r="F2169" s="124"/>
      <c r="G2169" s="124"/>
      <c r="H2169" s="124"/>
      <c r="I2169" s="124"/>
      <c r="J2169" s="124"/>
      <c r="K2169" s="124"/>
      <c r="L2169" s="124"/>
      <c r="M2169" s="124"/>
      <c r="N2169" s="124"/>
      <c r="O2169" s="124"/>
      <c r="P2169" s="124"/>
      <c r="Q2169" s="124"/>
      <c r="R2169" s="124"/>
      <c r="S2169" s="124"/>
      <c r="T2169" s="124"/>
      <c r="U2169" s="124"/>
      <c r="V2169" s="124"/>
      <c r="W2169" s="124"/>
      <c r="X2169" s="124"/>
      <c r="Y2169" s="124"/>
    </row>
    <row r="2170" spans="2:25" x14ac:dyDescent="0.25">
      <c r="B2170" s="124"/>
      <c r="C2170" s="124"/>
      <c r="D2170" s="124"/>
      <c r="E2170" s="124"/>
      <c r="F2170" s="124"/>
      <c r="G2170" s="124"/>
      <c r="H2170" s="124"/>
      <c r="I2170" s="124"/>
      <c r="J2170" s="124"/>
      <c r="K2170" s="124"/>
      <c r="L2170" s="124"/>
      <c r="M2170" s="124"/>
      <c r="N2170" s="124"/>
      <c r="O2170" s="124"/>
      <c r="P2170" s="124"/>
      <c r="Q2170" s="124"/>
      <c r="R2170" s="124"/>
      <c r="S2170" s="124"/>
      <c r="T2170" s="124"/>
      <c r="U2170" s="124"/>
      <c r="V2170" s="124"/>
      <c r="W2170" s="124"/>
      <c r="X2170" s="124"/>
      <c r="Y2170" s="124"/>
    </row>
    <row r="2171" spans="2:25" x14ac:dyDescent="0.25">
      <c r="B2171" s="124"/>
      <c r="C2171" s="124"/>
      <c r="D2171" s="124"/>
      <c r="E2171" s="124"/>
      <c r="F2171" s="124"/>
      <c r="G2171" s="124"/>
      <c r="H2171" s="124"/>
      <c r="I2171" s="124"/>
      <c r="J2171" s="124"/>
      <c r="K2171" s="124"/>
      <c r="L2171" s="124"/>
      <c r="M2171" s="124"/>
      <c r="N2171" s="124"/>
      <c r="O2171" s="124"/>
      <c r="P2171" s="124"/>
      <c r="Q2171" s="124"/>
      <c r="R2171" s="124"/>
      <c r="S2171" s="124"/>
      <c r="T2171" s="124"/>
      <c r="U2171" s="124"/>
      <c r="V2171" s="124"/>
      <c r="W2171" s="124"/>
      <c r="X2171" s="124"/>
      <c r="Y2171" s="124"/>
    </row>
    <row r="2172" spans="2:25" x14ac:dyDescent="0.25">
      <c r="B2172" s="124"/>
      <c r="C2172" s="124"/>
      <c r="D2172" s="124"/>
      <c r="E2172" s="124"/>
      <c r="F2172" s="124"/>
      <c r="G2172" s="124"/>
      <c r="H2172" s="124"/>
      <c r="I2172" s="124"/>
      <c r="J2172" s="124"/>
      <c r="K2172" s="124"/>
      <c r="L2172" s="124"/>
      <c r="M2172" s="124"/>
      <c r="N2172" s="124"/>
      <c r="O2172" s="124"/>
      <c r="P2172" s="124"/>
      <c r="Q2172" s="124"/>
      <c r="R2172" s="124"/>
      <c r="S2172" s="124"/>
      <c r="T2172" s="124"/>
      <c r="U2172" s="124"/>
      <c r="V2172" s="124"/>
      <c r="W2172" s="124"/>
      <c r="X2172" s="124"/>
      <c r="Y2172" s="124"/>
    </row>
    <row r="2173" spans="2:25" x14ac:dyDescent="0.25">
      <c r="B2173" s="124"/>
      <c r="C2173" s="124"/>
      <c r="D2173" s="124"/>
      <c r="E2173" s="124"/>
      <c r="F2173" s="124"/>
      <c r="G2173" s="124"/>
      <c r="H2173" s="124"/>
      <c r="I2173" s="124"/>
      <c r="J2173" s="124"/>
      <c r="K2173" s="124"/>
      <c r="L2173" s="124"/>
      <c r="M2173" s="124"/>
      <c r="N2173" s="124"/>
      <c r="O2173" s="124"/>
      <c r="P2173" s="124"/>
      <c r="Q2173" s="124"/>
      <c r="R2173" s="124"/>
      <c r="S2173" s="124"/>
      <c r="T2173" s="124"/>
      <c r="U2173" s="124"/>
      <c r="V2173" s="124"/>
      <c r="W2173" s="124"/>
      <c r="X2173" s="124"/>
      <c r="Y2173" s="124"/>
    </row>
    <row r="2174" spans="2:25" x14ac:dyDescent="0.25">
      <c r="B2174" s="124"/>
      <c r="C2174" s="124"/>
      <c r="D2174" s="124"/>
      <c r="E2174" s="124"/>
      <c r="F2174" s="124"/>
      <c r="G2174" s="124"/>
      <c r="H2174" s="124"/>
      <c r="I2174" s="124"/>
      <c r="J2174" s="124"/>
      <c r="K2174" s="124"/>
      <c r="L2174" s="124"/>
      <c r="M2174" s="124"/>
      <c r="N2174" s="124"/>
      <c r="O2174" s="124"/>
      <c r="P2174" s="124"/>
      <c r="Q2174" s="124"/>
      <c r="R2174" s="124"/>
      <c r="S2174" s="124"/>
      <c r="T2174" s="124"/>
      <c r="U2174" s="124"/>
      <c r="V2174" s="124"/>
      <c r="W2174" s="124"/>
      <c r="X2174" s="124"/>
      <c r="Y2174" s="124"/>
    </row>
    <row r="2175" spans="2:25" x14ac:dyDescent="0.25">
      <c r="B2175" s="124"/>
      <c r="C2175" s="124"/>
      <c r="D2175" s="124"/>
      <c r="E2175" s="124"/>
      <c r="F2175" s="124"/>
      <c r="G2175" s="124"/>
      <c r="H2175" s="124"/>
      <c r="I2175" s="124"/>
      <c r="J2175" s="124"/>
      <c r="K2175" s="124"/>
      <c r="L2175" s="124"/>
      <c r="M2175" s="124"/>
      <c r="N2175" s="124"/>
      <c r="O2175" s="124"/>
      <c r="P2175" s="124"/>
      <c r="Q2175" s="124"/>
      <c r="R2175" s="124"/>
      <c r="S2175" s="124"/>
      <c r="T2175" s="124"/>
      <c r="U2175" s="124"/>
      <c r="V2175" s="124"/>
      <c r="W2175" s="124"/>
      <c r="X2175" s="124"/>
      <c r="Y2175" s="124"/>
    </row>
    <row r="2176" spans="2:25" x14ac:dyDescent="0.25">
      <c r="B2176" s="124"/>
      <c r="C2176" s="124"/>
      <c r="D2176" s="124"/>
      <c r="E2176" s="124"/>
      <c r="F2176" s="124"/>
      <c r="G2176" s="124"/>
      <c r="H2176" s="124"/>
      <c r="I2176" s="124"/>
      <c r="J2176" s="124"/>
      <c r="K2176" s="124"/>
      <c r="L2176" s="124"/>
      <c r="M2176" s="124"/>
      <c r="N2176" s="124"/>
      <c r="O2176" s="124"/>
      <c r="P2176" s="124"/>
      <c r="Q2176" s="124"/>
      <c r="R2176" s="124"/>
      <c r="S2176" s="124"/>
      <c r="T2176" s="124"/>
      <c r="U2176" s="124"/>
      <c r="V2176" s="124"/>
      <c r="W2176" s="124"/>
      <c r="X2176" s="124"/>
      <c r="Y2176" s="124"/>
    </row>
    <row r="2177" spans="2:25" x14ac:dyDescent="0.25">
      <c r="B2177" s="124"/>
      <c r="C2177" s="124"/>
      <c r="D2177" s="124"/>
      <c r="E2177" s="124"/>
      <c r="F2177" s="124"/>
      <c r="G2177" s="124"/>
      <c r="H2177" s="124"/>
      <c r="I2177" s="124"/>
      <c r="J2177" s="124"/>
      <c r="K2177" s="124"/>
      <c r="L2177" s="124"/>
      <c r="M2177" s="124"/>
      <c r="N2177" s="124"/>
      <c r="O2177" s="124"/>
      <c r="P2177" s="124"/>
      <c r="Q2177" s="124"/>
      <c r="R2177" s="124"/>
      <c r="S2177" s="124"/>
      <c r="T2177" s="124"/>
      <c r="U2177" s="124"/>
      <c r="V2177" s="124"/>
      <c r="W2177" s="124"/>
      <c r="X2177" s="124"/>
      <c r="Y2177" s="124"/>
    </row>
    <row r="2178" spans="2:25" x14ac:dyDescent="0.25">
      <c r="B2178" s="124"/>
      <c r="C2178" s="124"/>
      <c r="D2178" s="124"/>
      <c r="E2178" s="124"/>
      <c r="F2178" s="124"/>
      <c r="G2178" s="124"/>
      <c r="H2178" s="124"/>
      <c r="I2178" s="124"/>
      <c r="J2178" s="124"/>
      <c r="K2178" s="124"/>
      <c r="L2178" s="124"/>
      <c r="M2178" s="124"/>
      <c r="N2178" s="124"/>
      <c r="O2178" s="124"/>
      <c r="P2178" s="124"/>
      <c r="Q2178" s="124"/>
      <c r="R2178" s="124"/>
      <c r="S2178" s="124"/>
      <c r="T2178" s="124"/>
      <c r="U2178" s="124"/>
      <c r="V2178" s="124"/>
      <c r="W2178" s="124"/>
      <c r="X2178" s="124"/>
      <c r="Y2178" s="124"/>
    </row>
    <row r="2179" spans="2:25" x14ac:dyDescent="0.25">
      <c r="B2179" s="124"/>
      <c r="C2179" s="124"/>
      <c r="D2179" s="124"/>
      <c r="E2179" s="124"/>
      <c r="F2179" s="124"/>
      <c r="G2179" s="124"/>
      <c r="H2179" s="124"/>
      <c r="I2179" s="124"/>
      <c r="J2179" s="124"/>
      <c r="K2179" s="124"/>
      <c r="L2179" s="124"/>
      <c r="M2179" s="124"/>
      <c r="N2179" s="124"/>
      <c r="O2179" s="124"/>
      <c r="P2179" s="124"/>
      <c r="Q2179" s="124"/>
      <c r="R2179" s="124"/>
      <c r="S2179" s="124"/>
      <c r="T2179" s="124"/>
      <c r="U2179" s="124"/>
      <c r="V2179" s="124"/>
      <c r="W2179" s="124"/>
      <c r="X2179" s="124"/>
      <c r="Y2179" s="124"/>
    </row>
    <row r="2180" spans="2:25" x14ac:dyDescent="0.25">
      <c r="B2180" s="124"/>
      <c r="C2180" s="124"/>
      <c r="D2180" s="124"/>
      <c r="E2180" s="124"/>
      <c r="F2180" s="124"/>
      <c r="G2180" s="124"/>
      <c r="H2180" s="124"/>
      <c r="I2180" s="124"/>
      <c r="J2180" s="124"/>
      <c r="K2180" s="124"/>
      <c r="L2180" s="124"/>
      <c r="M2180" s="124"/>
      <c r="N2180" s="124"/>
      <c r="O2180" s="124"/>
      <c r="P2180" s="124"/>
      <c r="Q2180" s="124"/>
      <c r="R2180" s="124"/>
      <c r="S2180" s="124"/>
      <c r="T2180" s="124"/>
      <c r="U2180" s="124"/>
      <c r="V2180" s="124"/>
      <c r="W2180" s="124"/>
      <c r="X2180" s="124"/>
      <c r="Y2180" s="124"/>
    </row>
    <row r="2181" spans="2:25" x14ac:dyDescent="0.25">
      <c r="B2181" s="124"/>
      <c r="C2181" s="124"/>
      <c r="D2181" s="124"/>
      <c r="E2181" s="124"/>
      <c r="F2181" s="124"/>
      <c r="G2181" s="124"/>
      <c r="H2181" s="124"/>
      <c r="I2181" s="124"/>
      <c r="J2181" s="124"/>
      <c r="K2181" s="124"/>
      <c r="L2181" s="124"/>
      <c r="M2181" s="124"/>
      <c r="N2181" s="124"/>
      <c r="O2181" s="124"/>
      <c r="P2181" s="124"/>
      <c r="Q2181" s="124"/>
      <c r="R2181" s="124"/>
      <c r="S2181" s="124"/>
      <c r="T2181" s="124"/>
      <c r="U2181" s="124"/>
      <c r="V2181" s="124"/>
      <c r="W2181" s="124"/>
      <c r="X2181" s="124"/>
      <c r="Y2181" s="124"/>
    </row>
    <row r="2182" spans="2:25" x14ac:dyDescent="0.25">
      <c r="B2182" s="124"/>
      <c r="C2182" s="124"/>
      <c r="D2182" s="124"/>
      <c r="E2182" s="124"/>
      <c r="F2182" s="124"/>
      <c r="G2182" s="124"/>
      <c r="H2182" s="124"/>
      <c r="I2182" s="124"/>
      <c r="J2182" s="124"/>
      <c r="K2182" s="124"/>
      <c r="L2182" s="124"/>
      <c r="M2182" s="124"/>
      <c r="N2182" s="124"/>
      <c r="O2182" s="124"/>
      <c r="P2182" s="124"/>
      <c r="Q2182" s="124"/>
      <c r="R2182" s="124"/>
      <c r="S2182" s="124"/>
      <c r="T2182" s="124"/>
      <c r="U2182" s="124"/>
      <c r="V2182" s="124"/>
      <c r="W2182" s="124"/>
      <c r="X2182" s="124"/>
      <c r="Y2182" s="124"/>
    </row>
    <row r="2183" spans="2:25" x14ac:dyDescent="0.25">
      <c r="B2183" s="124"/>
      <c r="C2183" s="124"/>
      <c r="D2183" s="124"/>
      <c r="E2183" s="124"/>
      <c r="F2183" s="124"/>
      <c r="G2183" s="124"/>
      <c r="H2183" s="124"/>
      <c r="I2183" s="124"/>
      <c r="J2183" s="124"/>
      <c r="K2183" s="124"/>
      <c r="L2183" s="124"/>
      <c r="M2183" s="124"/>
      <c r="N2183" s="124"/>
      <c r="O2183" s="124"/>
      <c r="P2183" s="124"/>
      <c r="Q2183" s="124"/>
      <c r="R2183" s="124"/>
      <c r="S2183" s="124"/>
      <c r="T2183" s="124"/>
      <c r="U2183" s="124"/>
      <c r="V2183" s="124"/>
      <c r="W2183" s="124"/>
      <c r="X2183" s="124"/>
      <c r="Y2183" s="124"/>
    </row>
    <row r="2184" spans="2:25" x14ac:dyDescent="0.25">
      <c r="B2184" s="124"/>
      <c r="C2184" s="124"/>
      <c r="D2184" s="124"/>
      <c r="E2184" s="124"/>
      <c r="F2184" s="124"/>
      <c r="G2184" s="124"/>
      <c r="H2184" s="124"/>
      <c r="I2184" s="124"/>
      <c r="J2184" s="124"/>
      <c r="K2184" s="124"/>
      <c r="L2184" s="124"/>
      <c r="M2184" s="124"/>
      <c r="N2184" s="124"/>
      <c r="O2184" s="124"/>
      <c r="P2184" s="124"/>
      <c r="Q2184" s="124"/>
      <c r="R2184" s="124"/>
      <c r="S2184" s="124"/>
      <c r="T2184" s="124"/>
      <c r="U2184" s="124"/>
      <c r="V2184" s="124"/>
      <c r="W2184" s="124"/>
      <c r="X2184" s="124"/>
      <c r="Y2184" s="124"/>
    </row>
    <row r="2185" spans="2:25" x14ac:dyDescent="0.25">
      <c r="B2185" s="124"/>
      <c r="C2185" s="124"/>
      <c r="D2185" s="124"/>
      <c r="E2185" s="124"/>
      <c r="F2185" s="124"/>
      <c r="G2185" s="124"/>
      <c r="H2185" s="124"/>
      <c r="I2185" s="124"/>
      <c r="J2185" s="124"/>
      <c r="K2185" s="124"/>
      <c r="L2185" s="124"/>
      <c r="M2185" s="124"/>
      <c r="N2185" s="124"/>
      <c r="O2185" s="124"/>
      <c r="P2185" s="124"/>
      <c r="Q2185" s="124"/>
      <c r="R2185" s="124"/>
      <c r="S2185" s="124"/>
      <c r="T2185" s="124"/>
      <c r="U2185" s="124"/>
      <c r="V2185" s="124"/>
      <c r="W2185" s="124"/>
      <c r="X2185" s="124"/>
      <c r="Y2185" s="124"/>
    </row>
    <row r="2186" spans="2:25" x14ac:dyDescent="0.25">
      <c r="B2186" s="124"/>
      <c r="C2186" s="124"/>
      <c r="D2186" s="124"/>
      <c r="E2186" s="124"/>
      <c r="F2186" s="124"/>
      <c r="G2186" s="124"/>
      <c r="H2186" s="124"/>
      <c r="I2186" s="124"/>
      <c r="J2186" s="124"/>
      <c r="K2186" s="124"/>
      <c r="L2186" s="124"/>
      <c r="M2186" s="124"/>
      <c r="N2186" s="124"/>
      <c r="O2186" s="124"/>
      <c r="P2186" s="124"/>
      <c r="Q2186" s="124"/>
      <c r="R2186" s="124"/>
      <c r="S2186" s="124"/>
      <c r="T2186" s="124"/>
      <c r="U2186" s="124"/>
      <c r="V2186" s="124"/>
      <c r="W2186" s="124"/>
      <c r="X2186" s="124"/>
      <c r="Y2186" s="124"/>
    </row>
    <row r="2187" spans="2:25" x14ac:dyDescent="0.25">
      <c r="B2187" s="124"/>
      <c r="C2187" s="124"/>
      <c r="D2187" s="124"/>
      <c r="E2187" s="124"/>
      <c r="F2187" s="124"/>
      <c r="G2187" s="124"/>
      <c r="H2187" s="124"/>
      <c r="I2187" s="124"/>
      <c r="J2187" s="124"/>
      <c r="K2187" s="124"/>
      <c r="L2187" s="124"/>
      <c r="M2187" s="124"/>
      <c r="N2187" s="124"/>
      <c r="O2187" s="124"/>
      <c r="P2187" s="124"/>
      <c r="Q2187" s="124"/>
      <c r="R2187" s="124"/>
      <c r="S2187" s="124"/>
      <c r="T2187" s="124"/>
      <c r="U2187" s="124"/>
      <c r="V2187" s="124"/>
      <c r="W2187" s="124"/>
      <c r="X2187" s="124"/>
      <c r="Y2187" s="124"/>
    </row>
    <row r="2188" spans="2:25" x14ac:dyDescent="0.25">
      <c r="B2188" s="124"/>
      <c r="C2188" s="124"/>
      <c r="D2188" s="124"/>
      <c r="E2188" s="124"/>
      <c r="F2188" s="124"/>
      <c r="G2188" s="124"/>
      <c r="H2188" s="124"/>
      <c r="I2188" s="124"/>
      <c r="J2188" s="124"/>
      <c r="K2188" s="124"/>
      <c r="L2188" s="124"/>
      <c r="M2188" s="124"/>
      <c r="N2188" s="124"/>
      <c r="O2188" s="124"/>
      <c r="P2188" s="124"/>
      <c r="Q2188" s="124"/>
      <c r="R2188" s="124"/>
      <c r="S2188" s="124"/>
      <c r="T2188" s="124"/>
      <c r="U2188" s="124"/>
      <c r="V2188" s="124"/>
      <c r="W2188" s="124"/>
      <c r="X2188" s="124"/>
      <c r="Y2188" s="124"/>
    </row>
    <row r="2189" spans="2:25" x14ac:dyDescent="0.25">
      <c r="B2189" s="124"/>
      <c r="C2189" s="124"/>
      <c r="D2189" s="124"/>
      <c r="E2189" s="124"/>
      <c r="F2189" s="124"/>
      <c r="G2189" s="124"/>
      <c r="H2189" s="124"/>
      <c r="I2189" s="124"/>
      <c r="J2189" s="124"/>
      <c r="K2189" s="124"/>
      <c r="L2189" s="124"/>
      <c r="M2189" s="124"/>
      <c r="N2189" s="124"/>
      <c r="O2189" s="124"/>
      <c r="P2189" s="124"/>
      <c r="Q2189" s="124"/>
      <c r="R2189" s="124"/>
      <c r="S2189" s="124"/>
      <c r="T2189" s="124"/>
      <c r="U2189" s="124"/>
      <c r="V2189" s="124"/>
      <c r="W2189" s="124"/>
      <c r="X2189" s="124"/>
      <c r="Y2189" s="124"/>
    </row>
    <row r="2190" spans="2:25" x14ac:dyDescent="0.25">
      <c r="B2190" s="124"/>
      <c r="C2190" s="124"/>
      <c r="D2190" s="124"/>
      <c r="E2190" s="124"/>
      <c r="F2190" s="124"/>
      <c r="G2190" s="124"/>
      <c r="H2190" s="124"/>
      <c r="I2190" s="124"/>
      <c r="J2190" s="124"/>
      <c r="K2190" s="124"/>
      <c r="L2190" s="124"/>
      <c r="M2190" s="124"/>
      <c r="N2190" s="124"/>
      <c r="O2190" s="124"/>
      <c r="P2190" s="124"/>
      <c r="Q2190" s="124"/>
      <c r="R2190" s="124"/>
      <c r="S2190" s="124"/>
      <c r="T2190" s="124"/>
      <c r="U2190" s="124"/>
      <c r="V2190" s="124"/>
      <c r="W2190" s="124"/>
      <c r="X2190" s="124"/>
      <c r="Y2190" s="124"/>
    </row>
    <row r="2191" spans="2:25" x14ac:dyDescent="0.25">
      <c r="B2191" s="124"/>
      <c r="C2191" s="124"/>
      <c r="D2191" s="124"/>
      <c r="E2191" s="124"/>
      <c r="F2191" s="124"/>
      <c r="G2191" s="124"/>
      <c r="H2191" s="124"/>
      <c r="I2191" s="124"/>
      <c r="J2191" s="124"/>
      <c r="K2191" s="124"/>
      <c r="L2191" s="124"/>
      <c r="M2191" s="124"/>
      <c r="N2191" s="124"/>
      <c r="O2191" s="124"/>
      <c r="P2191" s="124"/>
      <c r="Q2191" s="124"/>
      <c r="R2191" s="124"/>
      <c r="S2191" s="124"/>
      <c r="T2191" s="124"/>
      <c r="U2191" s="124"/>
      <c r="V2191" s="124"/>
      <c r="W2191" s="124"/>
      <c r="X2191" s="124"/>
      <c r="Y2191" s="124"/>
    </row>
    <row r="2192" spans="2:25" x14ac:dyDescent="0.25">
      <c r="B2192" s="124"/>
      <c r="C2192" s="124"/>
      <c r="D2192" s="124"/>
      <c r="E2192" s="124"/>
      <c r="F2192" s="124"/>
      <c r="G2192" s="124"/>
      <c r="H2192" s="124"/>
      <c r="I2192" s="124"/>
      <c r="J2192" s="124"/>
      <c r="K2192" s="124"/>
      <c r="L2192" s="124"/>
      <c r="M2192" s="124"/>
      <c r="N2192" s="124"/>
      <c r="O2192" s="124"/>
      <c r="P2192" s="124"/>
      <c r="Q2192" s="124"/>
      <c r="R2192" s="124"/>
      <c r="S2192" s="124"/>
      <c r="T2192" s="124"/>
      <c r="U2192" s="124"/>
      <c r="V2192" s="124"/>
      <c r="W2192" s="124"/>
      <c r="X2192" s="124"/>
      <c r="Y2192" s="124"/>
    </row>
    <row r="2193" spans="2:25" x14ac:dyDescent="0.25">
      <c r="B2193" s="124"/>
      <c r="C2193" s="124"/>
      <c r="D2193" s="124"/>
      <c r="E2193" s="124"/>
      <c r="F2193" s="124"/>
      <c r="G2193" s="124"/>
      <c r="H2193" s="124"/>
      <c r="I2193" s="124"/>
      <c r="J2193" s="124"/>
      <c r="K2193" s="124"/>
      <c r="L2193" s="124"/>
      <c r="M2193" s="124"/>
      <c r="N2193" s="124"/>
      <c r="O2193" s="124"/>
      <c r="P2193" s="124"/>
      <c r="Q2193" s="124"/>
      <c r="R2193" s="124"/>
      <c r="S2193" s="124"/>
      <c r="T2193" s="124"/>
      <c r="U2193" s="124"/>
      <c r="V2193" s="124"/>
      <c r="W2193" s="124"/>
      <c r="X2193" s="124"/>
      <c r="Y2193" s="124"/>
    </row>
    <row r="2194" spans="2:25" x14ac:dyDescent="0.25">
      <c r="B2194" s="124"/>
      <c r="C2194" s="124"/>
      <c r="D2194" s="124"/>
      <c r="E2194" s="124"/>
      <c r="F2194" s="124"/>
      <c r="G2194" s="124"/>
      <c r="H2194" s="124"/>
      <c r="I2194" s="124"/>
      <c r="J2194" s="124"/>
      <c r="K2194" s="124"/>
      <c r="L2194" s="124"/>
      <c r="M2194" s="124"/>
      <c r="N2194" s="124"/>
      <c r="O2194" s="124"/>
      <c r="P2194" s="124"/>
      <c r="Q2194" s="124"/>
      <c r="R2194" s="124"/>
      <c r="S2194" s="124"/>
      <c r="T2194" s="124"/>
      <c r="U2194" s="124"/>
      <c r="V2194" s="124"/>
      <c r="W2194" s="124"/>
      <c r="X2194" s="124"/>
      <c r="Y2194" s="124"/>
    </row>
    <row r="2195" spans="2:25" x14ac:dyDescent="0.25">
      <c r="B2195" s="124"/>
      <c r="C2195" s="124"/>
      <c r="D2195" s="124"/>
      <c r="E2195" s="124"/>
      <c r="F2195" s="124"/>
      <c r="G2195" s="124"/>
      <c r="H2195" s="124"/>
      <c r="I2195" s="124"/>
      <c r="J2195" s="124"/>
      <c r="K2195" s="124"/>
      <c r="L2195" s="124"/>
      <c r="M2195" s="124"/>
      <c r="N2195" s="124"/>
      <c r="O2195" s="124"/>
      <c r="P2195" s="124"/>
      <c r="Q2195" s="124"/>
      <c r="R2195" s="124"/>
      <c r="S2195" s="124"/>
      <c r="T2195" s="124"/>
      <c r="U2195" s="124"/>
      <c r="V2195" s="124"/>
      <c r="W2195" s="124"/>
      <c r="X2195" s="124"/>
      <c r="Y2195" s="124"/>
    </row>
    <row r="2196" spans="2:25" x14ac:dyDescent="0.25">
      <c r="B2196" s="124"/>
      <c r="C2196" s="124"/>
      <c r="D2196" s="124"/>
      <c r="E2196" s="124"/>
      <c r="F2196" s="124"/>
      <c r="G2196" s="124"/>
      <c r="H2196" s="124"/>
      <c r="I2196" s="124"/>
      <c r="J2196" s="124"/>
      <c r="K2196" s="124"/>
      <c r="L2196" s="124"/>
      <c r="M2196" s="124"/>
      <c r="N2196" s="124"/>
      <c r="O2196" s="124"/>
      <c r="P2196" s="124"/>
      <c r="Q2196" s="124"/>
      <c r="R2196" s="124"/>
      <c r="S2196" s="124"/>
      <c r="T2196" s="124"/>
      <c r="U2196" s="124"/>
      <c r="V2196" s="124"/>
      <c r="W2196" s="124"/>
      <c r="X2196" s="124"/>
      <c r="Y2196" s="124"/>
    </row>
    <row r="2197" spans="2:25" x14ac:dyDescent="0.25">
      <c r="B2197" s="124"/>
      <c r="C2197" s="124"/>
      <c r="D2197" s="124"/>
      <c r="E2197" s="124"/>
      <c r="F2197" s="124"/>
      <c r="G2197" s="124"/>
      <c r="H2197" s="124"/>
      <c r="I2197" s="124"/>
      <c r="J2197" s="124"/>
      <c r="K2197" s="124"/>
      <c r="L2197" s="124"/>
      <c r="M2197" s="124"/>
      <c r="N2197" s="124"/>
      <c r="O2197" s="124"/>
      <c r="P2197" s="124"/>
      <c r="Q2197" s="124"/>
      <c r="R2197" s="124"/>
      <c r="S2197" s="124"/>
      <c r="T2197" s="124"/>
      <c r="U2197" s="124"/>
      <c r="V2197" s="124"/>
      <c r="W2197" s="124"/>
      <c r="X2197" s="124"/>
      <c r="Y2197" s="124"/>
    </row>
    <row r="2198" spans="2:25" x14ac:dyDescent="0.25">
      <c r="B2198" s="124"/>
      <c r="C2198" s="124"/>
      <c r="D2198" s="124"/>
      <c r="E2198" s="124"/>
      <c r="F2198" s="124"/>
      <c r="G2198" s="124"/>
      <c r="H2198" s="124"/>
      <c r="I2198" s="124"/>
      <c r="J2198" s="124"/>
      <c r="K2198" s="124"/>
      <c r="L2198" s="124"/>
      <c r="M2198" s="124"/>
      <c r="N2198" s="124"/>
      <c r="O2198" s="124"/>
      <c r="P2198" s="124"/>
      <c r="Q2198" s="124"/>
      <c r="R2198" s="124"/>
      <c r="S2198" s="124"/>
      <c r="T2198" s="124"/>
      <c r="U2198" s="124"/>
      <c r="V2198" s="124"/>
      <c r="W2198" s="124"/>
      <c r="X2198" s="124"/>
      <c r="Y2198" s="124"/>
    </row>
    <row r="2199" spans="2:25" x14ac:dyDescent="0.25">
      <c r="B2199" s="124"/>
      <c r="C2199" s="124"/>
      <c r="D2199" s="124"/>
      <c r="E2199" s="124"/>
      <c r="F2199" s="124"/>
      <c r="G2199" s="124"/>
      <c r="H2199" s="124"/>
      <c r="I2199" s="124"/>
      <c r="J2199" s="124"/>
      <c r="K2199" s="124"/>
      <c r="L2199" s="124"/>
      <c r="M2199" s="124"/>
      <c r="N2199" s="124"/>
      <c r="O2199" s="124"/>
      <c r="P2199" s="124"/>
      <c r="Q2199" s="124"/>
      <c r="R2199" s="124"/>
      <c r="S2199" s="124"/>
      <c r="T2199" s="124"/>
      <c r="U2199" s="124"/>
      <c r="V2199" s="124"/>
      <c r="W2199" s="124"/>
      <c r="X2199" s="124"/>
      <c r="Y2199" s="124"/>
    </row>
    <row r="2200" spans="2:25" x14ac:dyDescent="0.25">
      <c r="B2200" s="124"/>
      <c r="C2200" s="124"/>
      <c r="D2200" s="124"/>
      <c r="E2200" s="124"/>
      <c r="F2200" s="124"/>
      <c r="G2200" s="124"/>
      <c r="H2200" s="124"/>
      <c r="I2200" s="124"/>
      <c r="J2200" s="124"/>
      <c r="K2200" s="124"/>
      <c r="L2200" s="124"/>
      <c r="M2200" s="124"/>
      <c r="N2200" s="124"/>
      <c r="O2200" s="124"/>
      <c r="P2200" s="124"/>
      <c r="Q2200" s="124"/>
      <c r="R2200" s="124"/>
      <c r="S2200" s="124"/>
      <c r="T2200" s="124"/>
      <c r="U2200" s="124"/>
      <c r="V2200" s="124"/>
      <c r="W2200" s="124"/>
      <c r="X2200" s="124"/>
      <c r="Y2200" s="124"/>
    </row>
    <row r="2201" spans="2:25" x14ac:dyDescent="0.25">
      <c r="B2201" s="124"/>
      <c r="C2201" s="124"/>
      <c r="D2201" s="124"/>
      <c r="E2201" s="124"/>
      <c r="F2201" s="124"/>
      <c r="G2201" s="124"/>
      <c r="H2201" s="124"/>
      <c r="I2201" s="124"/>
      <c r="J2201" s="124"/>
      <c r="K2201" s="124"/>
      <c r="L2201" s="124"/>
      <c r="M2201" s="124"/>
      <c r="N2201" s="124"/>
      <c r="O2201" s="124"/>
      <c r="P2201" s="124"/>
      <c r="Q2201" s="124"/>
      <c r="R2201" s="124"/>
      <c r="S2201" s="124"/>
      <c r="T2201" s="124"/>
      <c r="U2201" s="124"/>
      <c r="V2201" s="124"/>
      <c r="W2201" s="124"/>
      <c r="X2201" s="124"/>
      <c r="Y2201" s="124"/>
    </row>
    <row r="2202" spans="2:25" x14ac:dyDescent="0.25">
      <c r="B2202" s="124"/>
      <c r="C2202" s="124"/>
      <c r="D2202" s="124"/>
      <c r="E2202" s="124"/>
      <c r="F2202" s="124"/>
      <c r="G2202" s="124"/>
      <c r="H2202" s="124"/>
      <c r="I2202" s="124"/>
      <c r="J2202" s="124"/>
      <c r="K2202" s="124"/>
      <c r="L2202" s="124"/>
      <c r="M2202" s="124"/>
      <c r="N2202" s="124"/>
      <c r="O2202" s="124"/>
      <c r="P2202" s="124"/>
      <c r="Q2202" s="124"/>
      <c r="R2202" s="124"/>
      <c r="S2202" s="124"/>
      <c r="T2202" s="124"/>
      <c r="U2202" s="124"/>
      <c r="V2202" s="124"/>
      <c r="W2202" s="124"/>
      <c r="X2202" s="124"/>
      <c r="Y2202" s="124"/>
    </row>
    <row r="2203" spans="2:25" x14ac:dyDescent="0.25">
      <c r="B2203" s="124"/>
      <c r="C2203" s="124"/>
      <c r="D2203" s="124"/>
      <c r="E2203" s="124"/>
      <c r="F2203" s="124"/>
      <c r="G2203" s="124"/>
      <c r="H2203" s="124"/>
      <c r="I2203" s="124"/>
      <c r="J2203" s="124"/>
      <c r="K2203" s="124"/>
      <c r="L2203" s="124"/>
      <c r="M2203" s="124"/>
      <c r="N2203" s="124"/>
      <c r="O2203" s="124"/>
      <c r="P2203" s="124"/>
      <c r="Q2203" s="124"/>
      <c r="R2203" s="124"/>
      <c r="S2203" s="124"/>
      <c r="T2203" s="124"/>
      <c r="U2203" s="124"/>
      <c r="V2203" s="124"/>
      <c r="W2203" s="124"/>
      <c r="X2203" s="124"/>
      <c r="Y2203" s="124"/>
    </row>
    <row r="2204" spans="2:25" x14ac:dyDescent="0.25">
      <c r="B2204" s="124"/>
      <c r="C2204" s="124"/>
      <c r="D2204" s="124"/>
      <c r="E2204" s="124"/>
      <c r="F2204" s="124"/>
      <c r="G2204" s="124"/>
      <c r="H2204" s="124"/>
      <c r="I2204" s="124"/>
      <c r="J2204" s="124"/>
      <c r="K2204" s="124"/>
      <c r="L2204" s="124"/>
      <c r="M2204" s="124"/>
      <c r="N2204" s="124"/>
      <c r="O2204" s="124"/>
      <c r="P2204" s="124"/>
      <c r="Q2204" s="124"/>
      <c r="R2204" s="124"/>
      <c r="S2204" s="124"/>
      <c r="T2204" s="124"/>
      <c r="U2204" s="124"/>
      <c r="V2204" s="124"/>
      <c r="W2204" s="124"/>
      <c r="X2204" s="124"/>
      <c r="Y2204" s="124"/>
    </row>
    <row r="2205" spans="2:25" x14ac:dyDescent="0.25">
      <c r="B2205" s="124"/>
      <c r="C2205" s="124"/>
      <c r="D2205" s="124"/>
      <c r="E2205" s="124"/>
      <c r="F2205" s="124"/>
      <c r="G2205" s="124"/>
      <c r="H2205" s="124"/>
      <c r="I2205" s="124"/>
      <c r="J2205" s="124"/>
      <c r="K2205" s="124"/>
      <c r="L2205" s="124"/>
      <c r="M2205" s="124"/>
      <c r="N2205" s="124"/>
      <c r="O2205" s="124"/>
      <c r="P2205" s="124"/>
      <c r="Q2205" s="124"/>
      <c r="R2205" s="124"/>
      <c r="S2205" s="124"/>
      <c r="T2205" s="124"/>
      <c r="U2205" s="124"/>
      <c r="V2205" s="124"/>
      <c r="W2205" s="124"/>
      <c r="X2205" s="124"/>
      <c r="Y2205" s="124"/>
    </row>
    <row r="2206" spans="2:25" x14ac:dyDescent="0.25">
      <c r="B2206" s="124"/>
      <c r="C2206" s="124"/>
      <c r="D2206" s="124"/>
      <c r="E2206" s="124"/>
      <c r="F2206" s="124"/>
      <c r="G2206" s="124"/>
      <c r="H2206" s="124"/>
      <c r="I2206" s="124"/>
      <c r="J2206" s="124"/>
      <c r="K2206" s="124"/>
      <c r="L2206" s="124"/>
      <c r="M2206" s="124"/>
      <c r="N2206" s="124"/>
      <c r="O2206" s="124"/>
      <c r="P2206" s="124"/>
      <c r="Q2206" s="124"/>
      <c r="R2206" s="124"/>
      <c r="S2206" s="124"/>
      <c r="T2206" s="124"/>
      <c r="U2206" s="124"/>
      <c r="V2206" s="124"/>
      <c r="W2206" s="124"/>
      <c r="X2206" s="124"/>
      <c r="Y2206" s="124"/>
    </row>
    <row r="2207" spans="2:25" x14ac:dyDescent="0.25">
      <c r="B2207" s="124"/>
      <c r="C2207" s="124"/>
      <c r="D2207" s="124"/>
      <c r="E2207" s="124"/>
      <c r="F2207" s="124"/>
      <c r="G2207" s="124"/>
      <c r="H2207" s="124"/>
      <c r="I2207" s="124"/>
      <c r="J2207" s="124"/>
      <c r="K2207" s="124"/>
      <c r="L2207" s="124"/>
      <c r="M2207" s="124"/>
      <c r="N2207" s="124"/>
      <c r="O2207" s="124"/>
      <c r="P2207" s="124"/>
      <c r="Q2207" s="124"/>
      <c r="R2207" s="124"/>
      <c r="S2207" s="124"/>
      <c r="T2207" s="124"/>
      <c r="U2207" s="124"/>
      <c r="V2207" s="124"/>
      <c r="W2207" s="124"/>
      <c r="X2207" s="124"/>
      <c r="Y2207" s="124"/>
    </row>
    <row r="2208" spans="2:25" x14ac:dyDescent="0.25">
      <c r="B2208" s="124"/>
      <c r="C2208" s="124"/>
      <c r="D2208" s="124"/>
      <c r="E2208" s="124"/>
      <c r="F2208" s="124"/>
      <c r="G2208" s="124"/>
      <c r="H2208" s="124"/>
      <c r="I2208" s="124"/>
      <c r="J2208" s="124"/>
      <c r="K2208" s="124"/>
      <c r="L2208" s="124"/>
      <c r="M2208" s="124"/>
      <c r="N2208" s="124"/>
      <c r="O2208" s="124"/>
      <c r="P2208" s="124"/>
      <c r="Q2208" s="124"/>
      <c r="R2208" s="124"/>
      <c r="S2208" s="124"/>
      <c r="T2208" s="124"/>
      <c r="U2208" s="124"/>
      <c r="V2208" s="124"/>
      <c r="W2208" s="124"/>
      <c r="X2208" s="124"/>
      <c r="Y2208" s="124"/>
    </row>
    <row r="2209" spans="2:25" x14ac:dyDescent="0.25">
      <c r="B2209" s="124"/>
      <c r="C2209" s="124"/>
      <c r="D2209" s="124"/>
      <c r="E2209" s="124"/>
      <c r="F2209" s="124"/>
      <c r="G2209" s="124"/>
      <c r="H2209" s="124"/>
      <c r="I2209" s="124"/>
      <c r="J2209" s="124"/>
      <c r="K2209" s="124"/>
      <c r="L2209" s="124"/>
      <c r="M2209" s="124"/>
      <c r="N2209" s="124"/>
      <c r="O2209" s="124"/>
      <c r="P2209" s="124"/>
      <c r="Q2209" s="124"/>
      <c r="R2209" s="124"/>
      <c r="S2209" s="124"/>
      <c r="T2209" s="124"/>
      <c r="U2209" s="124"/>
      <c r="V2209" s="124"/>
      <c r="W2209" s="124"/>
      <c r="X2209" s="124"/>
      <c r="Y2209" s="124"/>
    </row>
    <row r="2210" spans="2:25" x14ac:dyDescent="0.25">
      <c r="B2210" s="124"/>
      <c r="C2210" s="124"/>
      <c r="D2210" s="124"/>
      <c r="E2210" s="124"/>
      <c r="F2210" s="124"/>
      <c r="G2210" s="124"/>
      <c r="H2210" s="124"/>
      <c r="I2210" s="124"/>
      <c r="J2210" s="124"/>
      <c r="K2210" s="124"/>
      <c r="L2210" s="124"/>
      <c r="M2210" s="124"/>
      <c r="N2210" s="124"/>
      <c r="O2210" s="124"/>
      <c r="P2210" s="124"/>
      <c r="Q2210" s="124"/>
      <c r="R2210" s="124"/>
      <c r="S2210" s="124"/>
      <c r="T2210" s="124"/>
      <c r="U2210" s="124"/>
      <c r="V2210" s="124"/>
      <c r="W2210" s="124"/>
      <c r="X2210" s="124"/>
      <c r="Y2210" s="124"/>
    </row>
    <row r="2211" spans="2:25" x14ac:dyDescent="0.25">
      <c r="B2211" s="124"/>
      <c r="C2211" s="124"/>
      <c r="D2211" s="124"/>
      <c r="E2211" s="124"/>
      <c r="F2211" s="124"/>
      <c r="G2211" s="124"/>
      <c r="H2211" s="124"/>
      <c r="I2211" s="124"/>
      <c r="J2211" s="124"/>
      <c r="K2211" s="124"/>
      <c r="L2211" s="124"/>
      <c r="M2211" s="124"/>
      <c r="N2211" s="124"/>
      <c r="O2211" s="124"/>
      <c r="P2211" s="124"/>
      <c r="Q2211" s="124"/>
      <c r="R2211" s="124"/>
      <c r="S2211" s="124"/>
      <c r="T2211" s="124"/>
      <c r="U2211" s="124"/>
      <c r="V2211" s="124"/>
      <c r="W2211" s="124"/>
      <c r="X2211" s="124"/>
      <c r="Y2211" s="124"/>
    </row>
    <row r="2212" spans="2:25" x14ac:dyDescent="0.25">
      <c r="B2212" s="124"/>
      <c r="C2212" s="124"/>
      <c r="D2212" s="124"/>
      <c r="E2212" s="124"/>
      <c r="F2212" s="124"/>
      <c r="G2212" s="124"/>
      <c r="H2212" s="124"/>
      <c r="I2212" s="124"/>
      <c r="J2212" s="124"/>
      <c r="K2212" s="124"/>
      <c r="L2212" s="124"/>
      <c r="M2212" s="124"/>
      <c r="N2212" s="124"/>
      <c r="O2212" s="124"/>
      <c r="P2212" s="124"/>
      <c r="Q2212" s="124"/>
      <c r="R2212" s="124"/>
      <c r="S2212" s="124"/>
      <c r="T2212" s="124"/>
      <c r="U2212" s="124"/>
      <c r="V2212" s="124"/>
      <c r="W2212" s="124"/>
      <c r="X2212" s="124"/>
      <c r="Y2212" s="124"/>
    </row>
    <row r="2213" spans="2:25" x14ac:dyDescent="0.25">
      <c r="B2213" s="124"/>
      <c r="C2213" s="124"/>
      <c r="D2213" s="124"/>
      <c r="E2213" s="124"/>
      <c r="F2213" s="124"/>
      <c r="G2213" s="124"/>
      <c r="H2213" s="124"/>
      <c r="I2213" s="124"/>
      <c r="J2213" s="124"/>
      <c r="K2213" s="124"/>
      <c r="L2213" s="124"/>
      <c r="M2213" s="124"/>
      <c r="N2213" s="124"/>
      <c r="O2213" s="124"/>
      <c r="P2213" s="124"/>
      <c r="Q2213" s="124"/>
      <c r="R2213" s="124"/>
      <c r="S2213" s="124"/>
      <c r="T2213" s="124"/>
      <c r="U2213" s="124"/>
      <c r="V2213" s="124"/>
      <c r="W2213" s="124"/>
      <c r="X2213" s="124"/>
      <c r="Y2213" s="124"/>
    </row>
    <row r="2214" spans="2:25" x14ac:dyDescent="0.25">
      <c r="B2214" s="124"/>
      <c r="C2214" s="124"/>
      <c r="D2214" s="124"/>
      <c r="E2214" s="124"/>
      <c r="F2214" s="124"/>
      <c r="G2214" s="124"/>
      <c r="H2214" s="124"/>
      <c r="I2214" s="124"/>
      <c r="J2214" s="124"/>
      <c r="K2214" s="124"/>
      <c r="L2214" s="124"/>
      <c r="M2214" s="124"/>
      <c r="N2214" s="124"/>
      <c r="O2214" s="124"/>
      <c r="P2214" s="124"/>
      <c r="Q2214" s="124"/>
      <c r="R2214" s="124"/>
      <c r="S2214" s="124"/>
      <c r="T2214" s="124"/>
      <c r="U2214" s="124"/>
      <c r="V2214" s="124"/>
      <c r="W2214" s="124"/>
      <c r="X2214" s="124"/>
      <c r="Y2214" s="124"/>
    </row>
    <row r="2215" spans="2:25" x14ac:dyDescent="0.25">
      <c r="B2215" s="124"/>
      <c r="C2215" s="124"/>
      <c r="D2215" s="124"/>
      <c r="E2215" s="124"/>
      <c r="F2215" s="124"/>
      <c r="G2215" s="124"/>
      <c r="H2215" s="124"/>
      <c r="I2215" s="124"/>
      <c r="J2215" s="124"/>
      <c r="K2215" s="124"/>
      <c r="L2215" s="124"/>
      <c r="M2215" s="124"/>
      <c r="N2215" s="124"/>
      <c r="O2215" s="124"/>
      <c r="P2215" s="124"/>
      <c r="Q2215" s="124"/>
      <c r="R2215" s="124"/>
      <c r="S2215" s="124"/>
      <c r="T2215" s="124"/>
      <c r="U2215" s="124"/>
      <c r="V2215" s="124"/>
      <c r="W2215" s="124"/>
      <c r="X2215" s="124"/>
      <c r="Y2215" s="124"/>
    </row>
    <row r="2216" spans="2:25" x14ac:dyDescent="0.25">
      <c r="B2216" s="124"/>
      <c r="C2216" s="124"/>
      <c r="D2216" s="124"/>
      <c r="E2216" s="124"/>
      <c r="F2216" s="124"/>
      <c r="G2216" s="124"/>
      <c r="H2216" s="124"/>
      <c r="I2216" s="124"/>
      <c r="J2216" s="124"/>
      <c r="K2216" s="124"/>
      <c r="L2216" s="124"/>
      <c r="M2216" s="124"/>
      <c r="N2216" s="124"/>
      <c r="O2216" s="124"/>
      <c r="P2216" s="124"/>
      <c r="Q2216" s="124"/>
      <c r="R2216" s="124"/>
      <c r="S2216" s="124"/>
      <c r="T2216" s="124"/>
      <c r="U2216" s="124"/>
      <c r="V2216" s="124"/>
      <c r="W2216" s="124"/>
      <c r="X2216" s="124"/>
      <c r="Y2216" s="124"/>
    </row>
    <row r="2217" spans="2:25" x14ac:dyDescent="0.25">
      <c r="B2217" s="124"/>
      <c r="C2217" s="124"/>
      <c r="D2217" s="124"/>
      <c r="E2217" s="124"/>
      <c r="F2217" s="124"/>
      <c r="G2217" s="124"/>
      <c r="H2217" s="124"/>
      <c r="I2217" s="124"/>
      <c r="J2217" s="124"/>
      <c r="K2217" s="124"/>
      <c r="L2217" s="124"/>
      <c r="M2217" s="124"/>
      <c r="N2217" s="124"/>
      <c r="O2217" s="124"/>
      <c r="P2217" s="124"/>
      <c r="Q2217" s="124"/>
      <c r="R2217" s="124"/>
      <c r="S2217" s="124"/>
      <c r="T2217" s="124"/>
      <c r="U2217" s="124"/>
      <c r="V2217" s="124"/>
      <c r="W2217" s="124"/>
      <c r="X2217" s="124"/>
      <c r="Y2217" s="124"/>
    </row>
    <row r="2218" spans="2:25" x14ac:dyDescent="0.25">
      <c r="B2218" s="124"/>
      <c r="C2218" s="124"/>
      <c r="D2218" s="124"/>
      <c r="E2218" s="124"/>
      <c r="F2218" s="124"/>
      <c r="G2218" s="124"/>
      <c r="H2218" s="124"/>
      <c r="I2218" s="124"/>
      <c r="J2218" s="124"/>
      <c r="K2218" s="124"/>
      <c r="L2218" s="124"/>
      <c r="M2218" s="124"/>
      <c r="N2218" s="124"/>
      <c r="O2218" s="124"/>
      <c r="P2218" s="124"/>
      <c r="Q2218" s="124"/>
      <c r="R2218" s="124"/>
      <c r="S2218" s="124"/>
      <c r="T2218" s="124"/>
      <c r="U2218" s="124"/>
      <c r="V2218" s="124"/>
      <c r="W2218" s="124"/>
      <c r="X2218" s="124"/>
      <c r="Y2218" s="124"/>
    </row>
    <row r="2219" spans="2:25" x14ac:dyDescent="0.25">
      <c r="B2219" s="124"/>
      <c r="C2219" s="124"/>
      <c r="D2219" s="124"/>
      <c r="E2219" s="124"/>
      <c r="F2219" s="124"/>
      <c r="G2219" s="124"/>
      <c r="H2219" s="124"/>
      <c r="I2219" s="124"/>
      <c r="J2219" s="124"/>
      <c r="K2219" s="124"/>
      <c r="L2219" s="124"/>
      <c r="M2219" s="124"/>
      <c r="N2219" s="124"/>
      <c r="O2219" s="124"/>
      <c r="P2219" s="124"/>
      <c r="Q2219" s="124"/>
      <c r="R2219" s="124"/>
      <c r="S2219" s="124"/>
      <c r="T2219" s="124"/>
      <c r="U2219" s="124"/>
      <c r="V2219" s="124"/>
      <c r="W2219" s="124"/>
      <c r="X2219" s="124"/>
      <c r="Y2219" s="124"/>
    </row>
    <row r="2220" spans="2:25" x14ac:dyDescent="0.25">
      <c r="B2220" s="124"/>
      <c r="C2220" s="124"/>
      <c r="D2220" s="124"/>
      <c r="E2220" s="124"/>
      <c r="F2220" s="124"/>
      <c r="G2220" s="124"/>
      <c r="H2220" s="124"/>
      <c r="I2220" s="124"/>
      <c r="J2220" s="124"/>
      <c r="K2220" s="124"/>
      <c r="L2220" s="124"/>
      <c r="M2220" s="124"/>
      <c r="N2220" s="124"/>
      <c r="O2220" s="124"/>
      <c r="P2220" s="124"/>
      <c r="Q2220" s="124"/>
      <c r="R2220" s="124"/>
      <c r="S2220" s="124"/>
      <c r="T2220" s="124"/>
      <c r="U2220" s="124"/>
      <c r="V2220" s="124"/>
      <c r="W2220" s="124"/>
      <c r="X2220" s="124"/>
      <c r="Y2220" s="124"/>
    </row>
    <row r="2221" spans="2:25" x14ac:dyDescent="0.25">
      <c r="B2221" s="124"/>
      <c r="C2221" s="124"/>
      <c r="D2221" s="124"/>
      <c r="E2221" s="124"/>
      <c r="F2221" s="124"/>
      <c r="G2221" s="124"/>
      <c r="H2221" s="124"/>
      <c r="I2221" s="124"/>
      <c r="J2221" s="124"/>
      <c r="K2221" s="124"/>
      <c r="L2221" s="124"/>
      <c r="M2221" s="124"/>
      <c r="N2221" s="124"/>
      <c r="O2221" s="124"/>
      <c r="P2221" s="124"/>
      <c r="Q2221" s="124"/>
      <c r="R2221" s="124"/>
      <c r="S2221" s="124"/>
      <c r="T2221" s="124"/>
      <c r="U2221" s="124"/>
      <c r="V2221" s="124"/>
      <c r="W2221" s="124"/>
      <c r="X2221" s="124"/>
      <c r="Y2221" s="124"/>
    </row>
    <row r="2222" spans="2:25" x14ac:dyDescent="0.25">
      <c r="B2222" s="124"/>
      <c r="C2222" s="124"/>
      <c r="D2222" s="124"/>
      <c r="E2222" s="124"/>
      <c r="F2222" s="124"/>
      <c r="G2222" s="124"/>
      <c r="H2222" s="124"/>
      <c r="I2222" s="124"/>
      <c r="J2222" s="124"/>
      <c r="K2222" s="124"/>
      <c r="L2222" s="124"/>
      <c r="M2222" s="124"/>
      <c r="N2222" s="124"/>
      <c r="O2222" s="124"/>
      <c r="P2222" s="124"/>
      <c r="Q2222" s="124"/>
      <c r="R2222" s="124"/>
      <c r="S2222" s="124"/>
      <c r="T2222" s="124"/>
      <c r="U2222" s="124"/>
      <c r="V2222" s="124"/>
      <c r="W2222" s="124"/>
      <c r="X2222" s="124"/>
      <c r="Y2222" s="124"/>
    </row>
    <row r="2223" spans="2:25" x14ac:dyDescent="0.25">
      <c r="B2223" s="124"/>
      <c r="C2223" s="124"/>
      <c r="D2223" s="124"/>
      <c r="E2223" s="124"/>
      <c r="F2223" s="124"/>
      <c r="G2223" s="124"/>
      <c r="H2223" s="124"/>
      <c r="I2223" s="124"/>
      <c r="J2223" s="124"/>
      <c r="K2223" s="124"/>
      <c r="L2223" s="124"/>
      <c r="M2223" s="124"/>
      <c r="N2223" s="124"/>
      <c r="O2223" s="124"/>
      <c r="P2223" s="124"/>
      <c r="Q2223" s="124"/>
      <c r="R2223" s="124"/>
      <c r="S2223" s="124"/>
      <c r="T2223" s="124"/>
      <c r="U2223" s="124"/>
      <c r="V2223" s="124"/>
      <c r="W2223" s="124"/>
      <c r="X2223" s="124"/>
      <c r="Y2223" s="124"/>
    </row>
    <row r="2224" spans="2:25" x14ac:dyDescent="0.25">
      <c r="B2224" s="124"/>
      <c r="C2224" s="124"/>
      <c r="D2224" s="124"/>
      <c r="E2224" s="124"/>
      <c r="F2224" s="124"/>
      <c r="G2224" s="124"/>
      <c r="H2224" s="124"/>
      <c r="I2224" s="124"/>
      <c r="J2224" s="124"/>
      <c r="K2224" s="124"/>
      <c r="L2224" s="124"/>
      <c r="M2224" s="124"/>
      <c r="N2224" s="124"/>
      <c r="O2224" s="124"/>
      <c r="P2224" s="124"/>
      <c r="Q2224" s="124"/>
      <c r="R2224" s="124"/>
      <c r="S2224" s="124"/>
      <c r="T2224" s="124"/>
      <c r="U2224" s="124"/>
      <c r="V2224" s="124"/>
      <c r="W2224" s="124"/>
      <c r="X2224" s="124"/>
      <c r="Y2224" s="124"/>
    </row>
    <row r="2225" spans="2:25" x14ac:dyDescent="0.25">
      <c r="B2225" s="124"/>
      <c r="C2225" s="124"/>
      <c r="D2225" s="124"/>
      <c r="E2225" s="124"/>
      <c r="F2225" s="124"/>
      <c r="G2225" s="124"/>
      <c r="H2225" s="124"/>
      <c r="I2225" s="124"/>
      <c r="J2225" s="124"/>
      <c r="K2225" s="124"/>
      <c r="L2225" s="124"/>
      <c r="M2225" s="124"/>
      <c r="N2225" s="124"/>
      <c r="O2225" s="124"/>
      <c r="P2225" s="124"/>
      <c r="Q2225" s="124"/>
      <c r="R2225" s="124"/>
      <c r="S2225" s="124"/>
      <c r="T2225" s="124"/>
      <c r="U2225" s="124"/>
      <c r="V2225" s="124"/>
      <c r="W2225" s="124"/>
      <c r="X2225" s="124"/>
      <c r="Y2225" s="124"/>
    </row>
    <row r="2226" spans="2:25" x14ac:dyDescent="0.25">
      <c r="B2226" s="124"/>
      <c r="C2226" s="124"/>
      <c r="D2226" s="124"/>
      <c r="E2226" s="124"/>
      <c r="F2226" s="124"/>
      <c r="G2226" s="124"/>
      <c r="H2226" s="124"/>
      <c r="I2226" s="124"/>
      <c r="J2226" s="124"/>
      <c r="K2226" s="124"/>
      <c r="L2226" s="124"/>
      <c r="M2226" s="124"/>
      <c r="N2226" s="124"/>
      <c r="O2226" s="124"/>
      <c r="P2226" s="124"/>
      <c r="Q2226" s="124"/>
      <c r="R2226" s="124"/>
      <c r="S2226" s="124"/>
      <c r="T2226" s="124"/>
      <c r="U2226" s="124"/>
      <c r="V2226" s="124"/>
      <c r="W2226" s="124"/>
      <c r="X2226" s="124"/>
      <c r="Y2226" s="124"/>
    </row>
    <row r="2227" spans="2:25" x14ac:dyDescent="0.25">
      <c r="B2227" s="124"/>
      <c r="C2227" s="124"/>
      <c r="D2227" s="124"/>
      <c r="E2227" s="124"/>
      <c r="F2227" s="124"/>
      <c r="G2227" s="124"/>
      <c r="H2227" s="124"/>
      <c r="I2227" s="124"/>
      <c r="J2227" s="124"/>
      <c r="K2227" s="124"/>
      <c r="L2227" s="124"/>
      <c r="M2227" s="124"/>
      <c r="N2227" s="124"/>
      <c r="O2227" s="124"/>
      <c r="P2227" s="124"/>
      <c r="Q2227" s="124"/>
      <c r="R2227" s="124"/>
      <c r="S2227" s="124"/>
      <c r="T2227" s="124"/>
      <c r="U2227" s="124"/>
      <c r="V2227" s="124"/>
      <c r="W2227" s="124"/>
      <c r="X2227" s="124"/>
      <c r="Y2227" s="124"/>
    </row>
    <row r="2228" spans="2:25" x14ac:dyDescent="0.25">
      <c r="B2228" s="124"/>
      <c r="C2228" s="124"/>
      <c r="D2228" s="124"/>
      <c r="E2228" s="124"/>
      <c r="F2228" s="124"/>
      <c r="G2228" s="124"/>
      <c r="H2228" s="124"/>
      <c r="I2228" s="124"/>
      <c r="J2228" s="124"/>
      <c r="K2228" s="124"/>
      <c r="L2228" s="124"/>
      <c r="M2228" s="124"/>
      <c r="N2228" s="124"/>
      <c r="O2228" s="124"/>
      <c r="P2228" s="124"/>
      <c r="Q2228" s="124"/>
      <c r="R2228" s="124"/>
      <c r="S2228" s="124"/>
      <c r="T2228" s="124"/>
      <c r="U2228" s="124"/>
      <c r="V2228" s="124"/>
      <c r="W2228" s="124"/>
      <c r="X2228" s="124"/>
      <c r="Y2228" s="124"/>
    </row>
    <row r="2229" spans="2:25" x14ac:dyDescent="0.25">
      <c r="B2229" s="124"/>
      <c r="C2229" s="124"/>
      <c r="D2229" s="124"/>
      <c r="E2229" s="124"/>
      <c r="F2229" s="124"/>
      <c r="G2229" s="124"/>
      <c r="H2229" s="124"/>
      <c r="I2229" s="124"/>
      <c r="J2229" s="124"/>
      <c r="K2229" s="124"/>
      <c r="L2229" s="124"/>
      <c r="M2229" s="124"/>
      <c r="N2229" s="124"/>
      <c r="O2229" s="124"/>
      <c r="P2229" s="124"/>
      <c r="Q2229" s="124"/>
      <c r="R2229" s="124"/>
      <c r="S2229" s="124"/>
      <c r="T2229" s="124"/>
      <c r="U2229" s="124"/>
      <c r="V2229" s="124"/>
      <c r="W2229" s="124"/>
      <c r="X2229" s="124"/>
      <c r="Y2229" s="124"/>
    </row>
    <row r="2230" spans="2:25" x14ac:dyDescent="0.25">
      <c r="B2230" s="124"/>
      <c r="C2230" s="124"/>
      <c r="D2230" s="124"/>
      <c r="E2230" s="124"/>
      <c r="F2230" s="124"/>
      <c r="G2230" s="124"/>
      <c r="H2230" s="124"/>
      <c r="I2230" s="124"/>
      <c r="J2230" s="124"/>
      <c r="K2230" s="124"/>
      <c r="L2230" s="124"/>
      <c r="M2230" s="124"/>
      <c r="N2230" s="124"/>
      <c r="O2230" s="124"/>
      <c r="P2230" s="124"/>
      <c r="Q2230" s="124"/>
      <c r="R2230" s="124"/>
      <c r="S2230" s="124"/>
      <c r="T2230" s="124"/>
      <c r="U2230" s="124"/>
      <c r="V2230" s="124"/>
      <c r="W2230" s="124"/>
      <c r="X2230" s="124"/>
      <c r="Y2230" s="124"/>
    </row>
    <row r="2231" spans="2:25" x14ac:dyDescent="0.25">
      <c r="B2231" s="124"/>
      <c r="C2231" s="124"/>
      <c r="D2231" s="124"/>
      <c r="E2231" s="124"/>
      <c r="F2231" s="124"/>
      <c r="G2231" s="124"/>
      <c r="H2231" s="124"/>
      <c r="I2231" s="124"/>
      <c r="J2231" s="124"/>
      <c r="K2231" s="124"/>
      <c r="L2231" s="124"/>
      <c r="M2231" s="124"/>
      <c r="N2231" s="124"/>
      <c r="O2231" s="124"/>
      <c r="P2231" s="124"/>
      <c r="Q2231" s="124"/>
      <c r="R2231" s="124"/>
      <c r="S2231" s="124"/>
      <c r="T2231" s="124"/>
      <c r="U2231" s="124"/>
      <c r="V2231" s="124"/>
      <c r="W2231" s="124"/>
      <c r="X2231" s="124"/>
      <c r="Y2231" s="124"/>
    </row>
    <row r="2232" spans="2:25" x14ac:dyDescent="0.25">
      <c r="B2232" s="124"/>
      <c r="C2232" s="124"/>
      <c r="D2232" s="124"/>
      <c r="E2232" s="124"/>
      <c r="F2232" s="124"/>
      <c r="G2232" s="124"/>
      <c r="H2232" s="124"/>
      <c r="I2232" s="124"/>
      <c r="J2232" s="124"/>
      <c r="K2232" s="124"/>
      <c r="L2232" s="124"/>
      <c r="M2232" s="124"/>
      <c r="N2232" s="124"/>
      <c r="O2232" s="124"/>
      <c r="P2232" s="124"/>
      <c r="Q2232" s="124"/>
      <c r="R2232" s="124"/>
      <c r="S2232" s="124"/>
      <c r="T2232" s="124"/>
      <c r="U2232" s="124"/>
      <c r="V2232" s="124"/>
      <c r="W2232" s="124"/>
      <c r="X2232" s="124"/>
      <c r="Y2232" s="124"/>
    </row>
    <row r="2233" spans="2:25" x14ac:dyDescent="0.25">
      <c r="B2233" s="124"/>
      <c r="C2233" s="124"/>
      <c r="D2233" s="124"/>
      <c r="E2233" s="124"/>
      <c r="F2233" s="124"/>
      <c r="G2233" s="124"/>
      <c r="H2233" s="124"/>
      <c r="I2233" s="124"/>
      <c r="J2233" s="124"/>
      <c r="K2233" s="124"/>
      <c r="L2233" s="124"/>
      <c r="M2233" s="124"/>
      <c r="N2233" s="124"/>
      <c r="O2233" s="124"/>
      <c r="P2233" s="124"/>
      <c r="Q2233" s="124"/>
      <c r="R2233" s="124"/>
      <c r="S2233" s="124"/>
      <c r="T2233" s="124"/>
      <c r="U2233" s="124"/>
      <c r="V2233" s="124"/>
      <c r="W2233" s="124"/>
      <c r="X2233" s="124"/>
      <c r="Y2233" s="124"/>
    </row>
    <row r="2234" spans="2:25" x14ac:dyDescent="0.25">
      <c r="B2234" s="124"/>
      <c r="C2234" s="124"/>
      <c r="D2234" s="124"/>
      <c r="E2234" s="124"/>
      <c r="F2234" s="124"/>
      <c r="G2234" s="124"/>
      <c r="H2234" s="124"/>
      <c r="I2234" s="124"/>
      <c r="J2234" s="124"/>
      <c r="K2234" s="124"/>
      <c r="L2234" s="124"/>
      <c r="M2234" s="124"/>
      <c r="N2234" s="124"/>
      <c r="O2234" s="124"/>
      <c r="P2234" s="124"/>
      <c r="Q2234" s="124"/>
      <c r="R2234" s="124"/>
      <c r="S2234" s="124"/>
      <c r="T2234" s="124"/>
      <c r="U2234" s="124"/>
      <c r="V2234" s="124"/>
      <c r="W2234" s="124"/>
      <c r="X2234" s="124"/>
      <c r="Y2234" s="124"/>
    </row>
    <row r="2235" spans="2:25" x14ac:dyDescent="0.25">
      <c r="B2235" s="124"/>
      <c r="C2235" s="124"/>
      <c r="D2235" s="124"/>
      <c r="E2235" s="124"/>
      <c r="F2235" s="124"/>
      <c r="G2235" s="124"/>
      <c r="H2235" s="124"/>
      <c r="I2235" s="124"/>
      <c r="J2235" s="124"/>
      <c r="K2235" s="124"/>
      <c r="L2235" s="124"/>
      <c r="M2235" s="124"/>
      <c r="N2235" s="124"/>
      <c r="O2235" s="124"/>
      <c r="P2235" s="124"/>
      <c r="Q2235" s="124"/>
      <c r="R2235" s="124"/>
      <c r="S2235" s="124"/>
      <c r="T2235" s="124"/>
      <c r="U2235" s="124"/>
      <c r="V2235" s="124"/>
      <c r="W2235" s="124"/>
      <c r="X2235" s="124"/>
      <c r="Y2235" s="124"/>
    </row>
    <row r="2236" spans="2:25" x14ac:dyDescent="0.25">
      <c r="B2236" s="124"/>
      <c r="C2236" s="124"/>
      <c r="D2236" s="124"/>
      <c r="E2236" s="124"/>
      <c r="F2236" s="124"/>
      <c r="G2236" s="124"/>
      <c r="H2236" s="124"/>
      <c r="I2236" s="124"/>
      <c r="J2236" s="124"/>
      <c r="K2236" s="124"/>
      <c r="L2236" s="124"/>
      <c r="M2236" s="124"/>
      <c r="N2236" s="124"/>
      <c r="O2236" s="124"/>
      <c r="P2236" s="124"/>
      <c r="Q2236" s="124"/>
      <c r="R2236" s="124"/>
      <c r="S2236" s="124"/>
      <c r="T2236" s="124"/>
      <c r="U2236" s="124"/>
      <c r="V2236" s="124"/>
      <c r="W2236" s="124"/>
      <c r="X2236" s="124"/>
      <c r="Y2236" s="124"/>
    </row>
    <row r="2237" spans="2:25" x14ac:dyDescent="0.25">
      <c r="B2237" s="124"/>
      <c r="C2237" s="124"/>
      <c r="D2237" s="124"/>
      <c r="E2237" s="124"/>
      <c r="F2237" s="124"/>
      <c r="G2237" s="124"/>
      <c r="H2237" s="124"/>
      <c r="I2237" s="124"/>
      <c r="J2237" s="124"/>
      <c r="K2237" s="124"/>
      <c r="L2237" s="124"/>
      <c r="M2237" s="124"/>
      <c r="N2237" s="124"/>
      <c r="O2237" s="124"/>
      <c r="P2237" s="124"/>
      <c r="Q2237" s="124"/>
      <c r="R2237" s="124"/>
      <c r="S2237" s="124"/>
      <c r="T2237" s="124"/>
      <c r="U2237" s="124"/>
      <c r="V2237" s="124"/>
      <c r="W2237" s="124"/>
      <c r="X2237" s="124"/>
      <c r="Y2237" s="124"/>
    </row>
    <row r="2238" spans="2:25" x14ac:dyDescent="0.25">
      <c r="B2238" s="124"/>
      <c r="C2238" s="124"/>
      <c r="D2238" s="124"/>
      <c r="E2238" s="124"/>
      <c r="F2238" s="124"/>
      <c r="G2238" s="124"/>
      <c r="H2238" s="124"/>
      <c r="I2238" s="124"/>
      <c r="J2238" s="124"/>
      <c r="K2238" s="124"/>
      <c r="L2238" s="124"/>
      <c r="M2238" s="124"/>
      <c r="N2238" s="124"/>
      <c r="O2238" s="124"/>
      <c r="P2238" s="124"/>
      <c r="Q2238" s="124"/>
      <c r="R2238" s="124"/>
      <c r="S2238" s="124"/>
      <c r="T2238" s="124"/>
      <c r="U2238" s="124"/>
      <c r="V2238" s="124"/>
      <c r="W2238" s="124"/>
      <c r="X2238" s="124"/>
      <c r="Y2238" s="124"/>
    </row>
    <row r="2239" spans="2:25" x14ac:dyDescent="0.25">
      <c r="B2239" s="124"/>
      <c r="C2239" s="124"/>
      <c r="D2239" s="124"/>
      <c r="E2239" s="124"/>
      <c r="F2239" s="124"/>
      <c r="G2239" s="124"/>
      <c r="H2239" s="124"/>
      <c r="I2239" s="124"/>
      <c r="J2239" s="124"/>
      <c r="K2239" s="124"/>
      <c r="L2239" s="124"/>
      <c r="M2239" s="124"/>
      <c r="N2239" s="124"/>
      <c r="O2239" s="124"/>
      <c r="P2239" s="124"/>
      <c r="Q2239" s="124"/>
      <c r="R2239" s="124"/>
      <c r="S2239" s="124"/>
      <c r="T2239" s="124"/>
      <c r="U2239" s="124"/>
      <c r="V2239" s="124"/>
      <c r="W2239" s="124"/>
      <c r="X2239" s="124"/>
      <c r="Y2239" s="124"/>
    </row>
    <row r="2240" spans="2:25" x14ac:dyDescent="0.25">
      <c r="B2240" s="124"/>
      <c r="C2240" s="124"/>
      <c r="D2240" s="124"/>
      <c r="E2240" s="124"/>
      <c r="F2240" s="124"/>
      <c r="G2240" s="124"/>
      <c r="H2240" s="124"/>
      <c r="I2240" s="124"/>
      <c r="J2240" s="124"/>
      <c r="K2240" s="124"/>
      <c r="L2240" s="124"/>
      <c r="M2240" s="124"/>
      <c r="N2240" s="124"/>
      <c r="O2240" s="124"/>
      <c r="P2240" s="124"/>
      <c r="Q2240" s="124"/>
      <c r="R2240" s="124"/>
      <c r="S2240" s="124"/>
      <c r="T2240" s="124"/>
      <c r="U2240" s="124"/>
      <c r="V2240" s="124"/>
      <c r="W2240" s="124"/>
      <c r="X2240" s="124"/>
      <c r="Y2240" s="124"/>
    </row>
    <row r="2241" spans="2:25" x14ac:dyDescent="0.25">
      <c r="B2241" s="124"/>
      <c r="C2241" s="124"/>
      <c r="D2241" s="124"/>
      <c r="E2241" s="124"/>
      <c r="F2241" s="124"/>
      <c r="G2241" s="124"/>
      <c r="H2241" s="124"/>
      <c r="I2241" s="124"/>
      <c r="J2241" s="124"/>
      <c r="K2241" s="124"/>
      <c r="L2241" s="124"/>
      <c r="M2241" s="124"/>
      <c r="N2241" s="124"/>
      <c r="O2241" s="124"/>
      <c r="P2241" s="124"/>
      <c r="Q2241" s="124"/>
      <c r="R2241" s="124"/>
      <c r="S2241" s="124"/>
      <c r="T2241" s="124"/>
      <c r="U2241" s="124"/>
      <c r="V2241" s="124"/>
      <c r="W2241" s="124"/>
      <c r="X2241" s="124"/>
      <c r="Y2241" s="124"/>
    </row>
    <row r="2242" spans="2:25" x14ac:dyDescent="0.25">
      <c r="B2242" s="124"/>
      <c r="C2242" s="124"/>
      <c r="D2242" s="124"/>
      <c r="E2242" s="124"/>
      <c r="F2242" s="124"/>
      <c r="G2242" s="124"/>
      <c r="H2242" s="124"/>
      <c r="I2242" s="124"/>
      <c r="J2242" s="124"/>
      <c r="K2242" s="124"/>
      <c r="L2242" s="124"/>
      <c r="M2242" s="124"/>
      <c r="N2242" s="124"/>
      <c r="O2242" s="124"/>
      <c r="P2242" s="124"/>
      <c r="Q2242" s="124"/>
      <c r="R2242" s="124"/>
      <c r="S2242" s="124"/>
      <c r="T2242" s="124"/>
      <c r="U2242" s="124"/>
      <c r="V2242" s="124"/>
      <c r="W2242" s="124"/>
      <c r="X2242" s="124"/>
      <c r="Y2242" s="124"/>
    </row>
    <row r="2243" spans="2:25" x14ac:dyDescent="0.25">
      <c r="B2243" s="124"/>
      <c r="C2243" s="124"/>
      <c r="D2243" s="124"/>
      <c r="E2243" s="124"/>
      <c r="F2243" s="124"/>
      <c r="G2243" s="124"/>
      <c r="H2243" s="124"/>
      <c r="I2243" s="124"/>
      <c r="J2243" s="124"/>
      <c r="K2243" s="124"/>
      <c r="L2243" s="124"/>
      <c r="M2243" s="124"/>
      <c r="N2243" s="124"/>
      <c r="O2243" s="124"/>
      <c r="P2243" s="124"/>
      <c r="Q2243" s="124"/>
      <c r="R2243" s="124"/>
      <c r="S2243" s="124"/>
      <c r="T2243" s="124"/>
      <c r="U2243" s="124"/>
      <c r="V2243" s="124"/>
      <c r="W2243" s="124"/>
      <c r="X2243" s="124"/>
      <c r="Y2243" s="124"/>
    </row>
    <row r="2244" spans="2:25" x14ac:dyDescent="0.25">
      <c r="B2244" s="124"/>
      <c r="C2244" s="124"/>
      <c r="D2244" s="124"/>
      <c r="E2244" s="124"/>
      <c r="F2244" s="124"/>
      <c r="G2244" s="124"/>
      <c r="H2244" s="124"/>
      <c r="I2244" s="124"/>
      <c r="J2244" s="124"/>
      <c r="K2244" s="124"/>
      <c r="L2244" s="124"/>
      <c r="M2244" s="124"/>
      <c r="N2244" s="124"/>
      <c r="O2244" s="124"/>
      <c r="P2244" s="124"/>
      <c r="Q2244" s="124"/>
      <c r="R2244" s="124"/>
      <c r="S2244" s="124"/>
      <c r="T2244" s="124"/>
      <c r="U2244" s="124"/>
      <c r="V2244" s="124"/>
      <c r="W2244" s="124"/>
      <c r="X2244" s="124"/>
      <c r="Y2244" s="124"/>
    </row>
    <row r="2245" spans="2:25" x14ac:dyDescent="0.25">
      <c r="B2245" s="124"/>
      <c r="C2245" s="124"/>
      <c r="D2245" s="124"/>
      <c r="E2245" s="124"/>
      <c r="F2245" s="124"/>
      <c r="G2245" s="124"/>
      <c r="H2245" s="124"/>
      <c r="I2245" s="124"/>
      <c r="J2245" s="124"/>
      <c r="K2245" s="124"/>
      <c r="L2245" s="124"/>
      <c r="M2245" s="124"/>
      <c r="N2245" s="124"/>
      <c r="O2245" s="124"/>
      <c r="P2245" s="124"/>
      <c r="Q2245" s="124"/>
      <c r="R2245" s="124"/>
      <c r="S2245" s="124"/>
      <c r="T2245" s="124"/>
      <c r="U2245" s="124"/>
      <c r="V2245" s="124"/>
      <c r="W2245" s="124"/>
      <c r="X2245" s="124"/>
      <c r="Y2245" s="124"/>
    </row>
    <row r="2246" spans="2:25" x14ac:dyDescent="0.25">
      <c r="B2246" s="124"/>
      <c r="C2246" s="124"/>
      <c r="D2246" s="124"/>
      <c r="E2246" s="124"/>
      <c r="F2246" s="124"/>
      <c r="G2246" s="124"/>
      <c r="H2246" s="124"/>
      <c r="I2246" s="124"/>
      <c r="J2246" s="124"/>
      <c r="K2246" s="124"/>
      <c r="L2246" s="124"/>
      <c r="M2246" s="124"/>
      <c r="N2246" s="124"/>
      <c r="O2246" s="124"/>
      <c r="P2246" s="124"/>
      <c r="Q2246" s="124"/>
      <c r="R2246" s="124"/>
      <c r="S2246" s="124"/>
      <c r="T2246" s="124"/>
      <c r="U2246" s="124"/>
      <c r="V2246" s="124"/>
      <c r="W2246" s="124"/>
      <c r="X2246" s="124"/>
      <c r="Y2246" s="124"/>
    </row>
    <row r="2247" spans="2:25" x14ac:dyDescent="0.25">
      <c r="B2247" s="124"/>
      <c r="C2247" s="124"/>
      <c r="D2247" s="124"/>
      <c r="E2247" s="124"/>
      <c r="F2247" s="124"/>
      <c r="G2247" s="124"/>
      <c r="H2247" s="124"/>
      <c r="I2247" s="124"/>
      <c r="J2247" s="124"/>
      <c r="K2247" s="124"/>
      <c r="L2247" s="124"/>
      <c r="M2247" s="124"/>
      <c r="N2247" s="124"/>
      <c r="O2247" s="124"/>
      <c r="P2247" s="124"/>
      <c r="Q2247" s="124"/>
      <c r="R2247" s="124"/>
      <c r="S2247" s="124"/>
      <c r="T2247" s="124"/>
      <c r="U2247" s="124"/>
      <c r="V2247" s="124"/>
      <c r="W2247" s="124"/>
      <c r="X2247" s="124"/>
      <c r="Y2247" s="124"/>
    </row>
    <row r="2248" spans="2:25" x14ac:dyDescent="0.25">
      <c r="B2248" s="124"/>
      <c r="C2248" s="124"/>
      <c r="D2248" s="124"/>
      <c r="E2248" s="124"/>
      <c r="F2248" s="124"/>
      <c r="G2248" s="124"/>
      <c r="H2248" s="124"/>
      <c r="I2248" s="124"/>
      <c r="J2248" s="124"/>
      <c r="K2248" s="124"/>
      <c r="L2248" s="124"/>
      <c r="M2248" s="124"/>
      <c r="N2248" s="124"/>
      <c r="O2248" s="124"/>
      <c r="P2248" s="124"/>
      <c r="Q2248" s="124"/>
      <c r="R2248" s="124"/>
      <c r="S2248" s="124"/>
      <c r="T2248" s="124"/>
      <c r="U2248" s="124"/>
      <c r="V2248" s="124"/>
      <c r="W2248" s="124"/>
      <c r="X2248" s="124"/>
      <c r="Y2248" s="124"/>
    </row>
    <row r="2249" spans="2:25" x14ac:dyDescent="0.25">
      <c r="B2249" s="124"/>
      <c r="C2249" s="124"/>
      <c r="D2249" s="124"/>
      <c r="E2249" s="124"/>
      <c r="F2249" s="124"/>
      <c r="G2249" s="124"/>
      <c r="H2249" s="124"/>
      <c r="I2249" s="124"/>
      <c r="J2249" s="124"/>
      <c r="K2249" s="124"/>
      <c r="L2249" s="124"/>
      <c r="M2249" s="124"/>
      <c r="N2249" s="124"/>
      <c r="O2249" s="124"/>
      <c r="P2249" s="124"/>
      <c r="Q2249" s="124"/>
      <c r="R2249" s="124"/>
      <c r="S2249" s="124"/>
      <c r="T2249" s="124"/>
      <c r="U2249" s="124"/>
      <c r="V2249" s="124"/>
      <c r="W2249" s="124"/>
      <c r="X2249" s="124"/>
      <c r="Y2249" s="124"/>
    </row>
    <row r="2250" spans="2:25" x14ac:dyDescent="0.25">
      <c r="B2250" s="124"/>
      <c r="C2250" s="124"/>
      <c r="D2250" s="124"/>
      <c r="E2250" s="124"/>
      <c r="F2250" s="124"/>
      <c r="G2250" s="124"/>
      <c r="H2250" s="124"/>
      <c r="I2250" s="124"/>
      <c r="J2250" s="124"/>
      <c r="K2250" s="124"/>
      <c r="L2250" s="124"/>
      <c r="M2250" s="124"/>
      <c r="N2250" s="124"/>
      <c r="O2250" s="124"/>
      <c r="P2250" s="124"/>
      <c r="Q2250" s="124"/>
      <c r="R2250" s="124"/>
      <c r="S2250" s="124"/>
      <c r="T2250" s="124"/>
      <c r="U2250" s="124"/>
      <c r="V2250" s="124"/>
      <c r="W2250" s="124"/>
      <c r="X2250" s="124"/>
      <c r="Y2250" s="124"/>
    </row>
    <row r="2251" spans="2:25" x14ac:dyDescent="0.25">
      <c r="B2251" s="124"/>
      <c r="C2251" s="124"/>
      <c r="D2251" s="124"/>
      <c r="E2251" s="124"/>
      <c r="F2251" s="124"/>
      <c r="G2251" s="124"/>
      <c r="H2251" s="124"/>
      <c r="I2251" s="124"/>
      <c r="J2251" s="124"/>
      <c r="K2251" s="124"/>
      <c r="L2251" s="124"/>
      <c r="M2251" s="124"/>
      <c r="N2251" s="124"/>
      <c r="O2251" s="124"/>
      <c r="P2251" s="124"/>
      <c r="Q2251" s="124"/>
      <c r="R2251" s="124"/>
      <c r="S2251" s="124"/>
      <c r="T2251" s="124"/>
      <c r="U2251" s="124"/>
      <c r="V2251" s="124"/>
      <c r="W2251" s="124"/>
      <c r="X2251" s="124"/>
      <c r="Y2251" s="124"/>
    </row>
    <row r="2252" spans="2:25" x14ac:dyDescent="0.25">
      <c r="B2252" s="124"/>
      <c r="C2252" s="124"/>
      <c r="D2252" s="124"/>
      <c r="E2252" s="124"/>
      <c r="F2252" s="124"/>
      <c r="G2252" s="124"/>
      <c r="H2252" s="124"/>
      <c r="I2252" s="124"/>
      <c r="J2252" s="124"/>
      <c r="K2252" s="124"/>
      <c r="L2252" s="124"/>
      <c r="M2252" s="124"/>
      <c r="N2252" s="124"/>
      <c r="O2252" s="124"/>
      <c r="P2252" s="124"/>
      <c r="Q2252" s="124"/>
      <c r="R2252" s="124"/>
      <c r="S2252" s="124"/>
      <c r="T2252" s="124"/>
      <c r="U2252" s="124"/>
      <c r="V2252" s="124"/>
      <c r="W2252" s="124"/>
      <c r="X2252" s="124"/>
      <c r="Y2252" s="124"/>
    </row>
    <row r="2253" spans="2:25" x14ac:dyDescent="0.25">
      <c r="B2253" s="124"/>
      <c r="C2253" s="124"/>
      <c r="D2253" s="124"/>
      <c r="E2253" s="124"/>
      <c r="F2253" s="124"/>
      <c r="G2253" s="124"/>
      <c r="H2253" s="124"/>
      <c r="I2253" s="124"/>
      <c r="J2253" s="124"/>
      <c r="K2253" s="124"/>
      <c r="L2253" s="124"/>
      <c r="M2253" s="124"/>
      <c r="N2253" s="124"/>
      <c r="O2253" s="124"/>
      <c r="P2253" s="124"/>
      <c r="Q2253" s="124"/>
      <c r="R2253" s="124"/>
      <c r="S2253" s="124"/>
      <c r="T2253" s="124"/>
      <c r="U2253" s="124"/>
      <c r="V2253" s="124"/>
      <c r="W2253" s="124"/>
      <c r="X2253" s="124"/>
      <c r="Y2253" s="124"/>
    </row>
    <row r="2254" spans="2:25" x14ac:dyDescent="0.25">
      <c r="B2254" s="124"/>
      <c r="C2254" s="124"/>
      <c r="D2254" s="124"/>
      <c r="E2254" s="124"/>
      <c r="F2254" s="124"/>
      <c r="G2254" s="124"/>
      <c r="H2254" s="124"/>
      <c r="I2254" s="124"/>
      <c r="J2254" s="124"/>
      <c r="K2254" s="124"/>
      <c r="L2254" s="124"/>
      <c r="M2254" s="124"/>
      <c r="N2254" s="124"/>
      <c r="O2254" s="124"/>
      <c r="P2254" s="124"/>
      <c r="Q2254" s="124"/>
      <c r="R2254" s="124"/>
      <c r="S2254" s="124"/>
      <c r="T2254" s="124"/>
      <c r="U2254" s="124"/>
      <c r="V2254" s="124"/>
      <c r="W2254" s="124"/>
      <c r="X2254" s="124"/>
      <c r="Y2254" s="124"/>
    </row>
    <row r="2255" spans="2:25" x14ac:dyDescent="0.25">
      <c r="B2255" s="124"/>
      <c r="C2255" s="124"/>
      <c r="D2255" s="124"/>
      <c r="E2255" s="124"/>
      <c r="F2255" s="124"/>
      <c r="G2255" s="124"/>
      <c r="H2255" s="124"/>
      <c r="I2255" s="124"/>
      <c r="J2255" s="124"/>
      <c r="K2255" s="124"/>
      <c r="L2255" s="124"/>
      <c r="M2255" s="124"/>
      <c r="N2255" s="124"/>
      <c r="O2255" s="124"/>
      <c r="P2255" s="124"/>
      <c r="Q2255" s="124"/>
      <c r="R2255" s="124"/>
      <c r="S2255" s="124"/>
      <c r="T2255" s="124"/>
      <c r="U2255" s="124"/>
      <c r="V2255" s="124"/>
      <c r="W2255" s="124"/>
      <c r="X2255" s="124"/>
      <c r="Y2255" s="124"/>
    </row>
    <row r="2256" spans="2:25" x14ac:dyDescent="0.25">
      <c r="B2256" s="124"/>
      <c r="C2256" s="124"/>
      <c r="D2256" s="124"/>
      <c r="E2256" s="124"/>
      <c r="F2256" s="124"/>
      <c r="G2256" s="124"/>
      <c r="H2256" s="124"/>
      <c r="I2256" s="124"/>
      <c r="J2256" s="124"/>
      <c r="K2256" s="124"/>
      <c r="L2256" s="124"/>
      <c r="M2256" s="124"/>
      <c r="N2256" s="124"/>
      <c r="O2256" s="124"/>
      <c r="P2256" s="124"/>
      <c r="Q2256" s="124"/>
      <c r="R2256" s="124"/>
      <c r="S2256" s="124"/>
      <c r="T2256" s="124"/>
      <c r="U2256" s="124"/>
      <c r="V2256" s="124"/>
      <c r="W2256" s="124"/>
      <c r="X2256" s="124"/>
      <c r="Y2256" s="124"/>
    </row>
    <row r="2257" spans="2:25" x14ac:dyDescent="0.25">
      <c r="B2257" s="124"/>
      <c r="C2257" s="124"/>
      <c r="D2257" s="124"/>
      <c r="E2257" s="124"/>
      <c r="F2257" s="124"/>
      <c r="G2257" s="124"/>
      <c r="H2257" s="124"/>
      <c r="I2257" s="124"/>
      <c r="J2257" s="124"/>
      <c r="K2257" s="124"/>
      <c r="L2257" s="124"/>
      <c r="M2257" s="124"/>
      <c r="N2257" s="124"/>
      <c r="O2257" s="124"/>
      <c r="P2257" s="124"/>
      <c r="Q2257" s="124"/>
      <c r="R2257" s="124"/>
      <c r="S2257" s="124"/>
      <c r="T2257" s="124"/>
      <c r="U2257" s="124"/>
      <c r="V2257" s="124"/>
      <c r="W2257" s="124"/>
      <c r="X2257" s="124"/>
      <c r="Y2257" s="124"/>
    </row>
    <row r="2258" spans="2:25" x14ac:dyDescent="0.25">
      <c r="B2258" s="124"/>
      <c r="C2258" s="124"/>
      <c r="D2258" s="124"/>
      <c r="E2258" s="124"/>
      <c r="F2258" s="124"/>
      <c r="G2258" s="124"/>
      <c r="H2258" s="124"/>
      <c r="I2258" s="124"/>
      <c r="J2258" s="124"/>
      <c r="K2258" s="124"/>
      <c r="L2258" s="124"/>
      <c r="M2258" s="124"/>
      <c r="N2258" s="124"/>
      <c r="O2258" s="124"/>
      <c r="P2258" s="124"/>
      <c r="Q2258" s="124"/>
      <c r="R2258" s="124"/>
      <c r="S2258" s="124"/>
      <c r="T2258" s="124"/>
      <c r="U2258" s="124"/>
      <c r="V2258" s="124"/>
      <c r="W2258" s="124"/>
      <c r="X2258" s="124"/>
      <c r="Y2258" s="124"/>
    </row>
    <row r="2259" spans="2:25" x14ac:dyDescent="0.25">
      <c r="B2259" s="124"/>
      <c r="C2259" s="124"/>
      <c r="D2259" s="124"/>
      <c r="E2259" s="124"/>
      <c r="F2259" s="124"/>
      <c r="G2259" s="124"/>
      <c r="H2259" s="124"/>
      <c r="I2259" s="124"/>
      <c r="J2259" s="124"/>
      <c r="K2259" s="124"/>
      <c r="L2259" s="124"/>
      <c r="M2259" s="124"/>
      <c r="N2259" s="124"/>
      <c r="O2259" s="124"/>
      <c r="P2259" s="124"/>
      <c r="Q2259" s="124"/>
      <c r="R2259" s="124"/>
      <c r="S2259" s="124"/>
      <c r="T2259" s="124"/>
      <c r="U2259" s="124"/>
      <c r="V2259" s="124"/>
      <c r="W2259" s="124"/>
      <c r="X2259" s="124"/>
      <c r="Y2259" s="124"/>
    </row>
    <row r="2260" spans="2:25" x14ac:dyDescent="0.25">
      <c r="B2260" s="124"/>
      <c r="C2260" s="124"/>
      <c r="D2260" s="124"/>
      <c r="E2260" s="124"/>
      <c r="F2260" s="124"/>
      <c r="G2260" s="124"/>
      <c r="H2260" s="124"/>
      <c r="I2260" s="124"/>
      <c r="J2260" s="124"/>
      <c r="K2260" s="124"/>
      <c r="L2260" s="124"/>
      <c r="M2260" s="124"/>
      <c r="N2260" s="124"/>
      <c r="O2260" s="124"/>
      <c r="P2260" s="124"/>
      <c r="Q2260" s="124"/>
      <c r="R2260" s="124"/>
      <c r="S2260" s="124"/>
      <c r="T2260" s="124"/>
      <c r="U2260" s="124"/>
      <c r="V2260" s="124"/>
      <c r="W2260" s="124"/>
      <c r="X2260" s="124"/>
      <c r="Y2260" s="124"/>
    </row>
    <row r="2261" spans="2:25" x14ac:dyDescent="0.25">
      <c r="B2261" s="124"/>
      <c r="C2261" s="124"/>
      <c r="D2261" s="124"/>
      <c r="E2261" s="124"/>
      <c r="F2261" s="124"/>
      <c r="G2261" s="124"/>
      <c r="H2261" s="124"/>
      <c r="I2261" s="124"/>
      <c r="J2261" s="124"/>
      <c r="K2261" s="124"/>
      <c r="L2261" s="124"/>
      <c r="M2261" s="124"/>
      <c r="N2261" s="124"/>
      <c r="O2261" s="124"/>
      <c r="P2261" s="124"/>
      <c r="Q2261" s="124"/>
      <c r="R2261" s="124"/>
      <c r="S2261" s="124"/>
      <c r="T2261" s="124"/>
      <c r="U2261" s="124"/>
      <c r="V2261" s="124"/>
      <c r="W2261" s="124"/>
      <c r="X2261" s="124"/>
      <c r="Y2261" s="124"/>
    </row>
    <row r="2262" spans="2:25" x14ac:dyDescent="0.25">
      <c r="B2262" s="124"/>
      <c r="C2262" s="124"/>
      <c r="D2262" s="124"/>
      <c r="E2262" s="124"/>
      <c r="F2262" s="124"/>
      <c r="G2262" s="124"/>
      <c r="H2262" s="124"/>
      <c r="I2262" s="124"/>
      <c r="J2262" s="124"/>
      <c r="K2262" s="124"/>
      <c r="L2262" s="124"/>
      <c r="M2262" s="124"/>
      <c r="N2262" s="124"/>
      <c r="O2262" s="124"/>
      <c r="P2262" s="124"/>
      <c r="Q2262" s="124"/>
      <c r="R2262" s="124"/>
      <c r="S2262" s="124"/>
      <c r="T2262" s="124"/>
      <c r="U2262" s="124"/>
      <c r="V2262" s="124"/>
      <c r="W2262" s="124"/>
      <c r="X2262" s="124"/>
      <c r="Y2262" s="124"/>
    </row>
    <row r="2263" spans="2:25" x14ac:dyDescent="0.25">
      <c r="B2263" s="124"/>
      <c r="C2263" s="124"/>
      <c r="D2263" s="124"/>
      <c r="E2263" s="124"/>
      <c r="F2263" s="124"/>
      <c r="G2263" s="124"/>
      <c r="H2263" s="124"/>
      <c r="I2263" s="124"/>
      <c r="J2263" s="124"/>
      <c r="K2263" s="124"/>
      <c r="L2263" s="124"/>
      <c r="M2263" s="124"/>
      <c r="N2263" s="124"/>
      <c r="O2263" s="124"/>
      <c r="P2263" s="124"/>
      <c r="Q2263" s="124"/>
      <c r="R2263" s="124"/>
      <c r="S2263" s="124"/>
      <c r="T2263" s="124"/>
      <c r="U2263" s="124"/>
      <c r="V2263" s="124"/>
      <c r="W2263" s="124"/>
      <c r="X2263" s="124"/>
      <c r="Y2263" s="124"/>
    </row>
    <row r="2264" spans="2:25" x14ac:dyDescent="0.25">
      <c r="B2264" s="124"/>
      <c r="C2264" s="124"/>
      <c r="D2264" s="124"/>
      <c r="E2264" s="124"/>
      <c r="F2264" s="124"/>
      <c r="G2264" s="124"/>
      <c r="H2264" s="124"/>
      <c r="I2264" s="124"/>
      <c r="J2264" s="124"/>
      <c r="K2264" s="124"/>
      <c r="L2264" s="124"/>
      <c r="M2264" s="124"/>
      <c r="N2264" s="124"/>
      <c r="O2264" s="124"/>
      <c r="P2264" s="124"/>
      <c r="Q2264" s="124"/>
      <c r="R2264" s="124"/>
      <c r="S2264" s="124"/>
      <c r="T2264" s="124"/>
      <c r="U2264" s="124"/>
      <c r="V2264" s="124"/>
      <c r="W2264" s="124"/>
      <c r="X2264" s="124"/>
      <c r="Y2264" s="124"/>
    </row>
    <row r="2265" spans="2:25" x14ac:dyDescent="0.25">
      <c r="B2265" s="124"/>
      <c r="C2265" s="124"/>
      <c r="D2265" s="124"/>
      <c r="E2265" s="124"/>
      <c r="F2265" s="124"/>
      <c r="G2265" s="124"/>
      <c r="H2265" s="124"/>
      <c r="I2265" s="124"/>
      <c r="J2265" s="124"/>
      <c r="K2265" s="124"/>
      <c r="L2265" s="124"/>
      <c r="M2265" s="124"/>
      <c r="N2265" s="124"/>
      <c r="O2265" s="124"/>
      <c r="P2265" s="124"/>
      <c r="Q2265" s="124"/>
      <c r="R2265" s="124"/>
      <c r="S2265" s="124"/>
      <c r="T2265" s="124"/>
      <c r="U2265" s="124"/>
      <c r="V2265" s="124"/>
      <c r="W2265" s="124"/>
      <c r="X2265" s="124"/>
      <c r="Y2265" s="124"/>
    </row>
    <row r="2266" spans="2:25" x14ac:dyDescent="0.25">
      <c r="B2266" s="124"/>
      <c r="C2266" s="124"/>
      <c r="D2266" s="124"/>
      <c r="E2266" s="124"/>
      <c r="F2266" s="124"/>
      <c r="G2266" s="124"/>
      <c r="H2266" s="124"/>
      <c r="I2266" s="124"/>
      <c r="J2266" s="124"/>
      <c r="K2266" s="124"/>
      <c r="L2266" s="124"/>
      <c r="M2266" s="124"/>
      <c r="N2266" s="124"/>
      <c r="O2266" s="124"/>
      <c r="P2266" s="124"/>
      <c r="Q2266" s="124"/>
      <c r="R2266" s="124"/>
      <c r="S2266" s="124"/>
      <c r="T2266" s="124"/>
      <c r="U2266" s="124"/>
      <c r="V2266" s="124"/>
      <c r="W2266" s="124"/>
      <c r="X2266" s="124"/>
      <c r="Y2266" s="124"/>
    </row>
    <row r="2267" spans="2:25" x14ac:dyDescent="0.25">
      <c r="B2267" s="124"/>
      <c r="C2267" s="124"/>
      <c r="D2267" s="124"/>
      <c r="E2267" s="124"/>
      <c r="F2267" s="124"/>
      <c r="G2267" s="124"/>
      <c r="H2267" s="124"/>
      <c r="I2267" s="124"/>
      <c r="J2267" s="124"/>
      <c r="K2267" s="124"/>
      <c r="L2267" s="124"/>
      <c r="M2267" s="124"/>
      <c r="N2267" s="124"/>
      <c r="O2267" s="124"/>
      <c r="P2267" s="124"/>
      <c r="Q2267" s="124"/>
      <c r="R2267" s="124"/>
      <c r="S2267" s="124"/>
      <c r="T2267" s="124"/>
      <c r="U2267" s="124"/>
      <c r="V2267" s="124"/>
      <c r="W2267" s="124"/>
      <c r="X2267" s="124"/>
      <c r="Y2267" s="124"/>
    </row>
    <row r="2268" spans="2:25" x14ac:dyDescent="0.25">
      <c r="B2268" s="124"/>
      <c r="C2268" s="124"/>
      <c r="D2268" s="124"/>
      <c r="E2268" s="124"/>
      <c r="F2268" s="124"/>
      <c r="G2268" s="124"/>
      <c r="H2268" s="124"/>
      <c r="I2268" s="124"/>
      <c r="J2268" s="124"/>
      <c r="K2268" s="124"/>
      <c r="L2268" s="124"/>
      <c r="M2268" s="124"/>
      <c r="N2268" s="124"/>
      <c r="O2268" s="124"/>
      <c r="P2268" s="124"/>
      <c r="Q2268" s="124"/>
      <c r="R2268" s="124"/>
      <c r="S2268" s="124"/>
      <c r="T2268" s="124"/>
      <c r="U2268" s="124"/>
      <c r="V2268" s="124"/>
      <c r="W2268" s="124"/>
      <c r="X2268" s="124"/>
      <c r="Y2268" s="124"/>
    </row>
    <row r="2269" spans="2:25" x14ac:dyDescent="0.25">
      <c r="B2269" s="124"/>
      <c r="C2269" s="124"/>
      <c r="D2269" s="124"/>
      <c r="E2269" s="124"/>
      <c r="F2269" s="124"/>
      <c r="G2269" s="124"/>
      <c r="H2269" s="124"/>
      <c r="I2269" s="124"/>
      <c r="J2269" s="124"/>
      <c r="K2269" s="124"/>
      <c r="L2269" s="124"/>
      <c r="M2269" s="124"/>
      <c r="N2269" s="124"/>
      <c r="O2269" s="124"/>
      <c r="P2269" s="124"/>
      <c r="Q2269" s="124"/>
      <c r="R2269" s="124"/>
      <c r="S2269" s="124"/>
      <c r="T2269" s="124"/>
      <c r="U2269" s="124"/>
      <c r="V2269" s="124"/>
      <c r="W2269" s="124"/>
      <c r="X2269" s="124"/>
      <c r="Y2269" s="124"/>
    </row>
    <row r="2270" spans="2:25" x14ac:dyDescent="0.25">
      <c r="B2270" s="124"/>
      <c r="C2270" s="124"/>
      <c r="D2270" s="124"/>
      <c r="E2270" s="124"/>
      <c r="F2270" s="124"/>
      <c r="G2270" s="124"/>
      <c r="H2270" s="124"/>
      <c r="I2270" s="124"/>
      <c r="J2270" s="124"/>
      <c r="K2270" s="124"/>
      <c r="L2270" s="124"/>
      <c r="M2270" s="124"/>
      <c r="N2270" s="124"/>
      <c r="O2270" s="124"/>
      <c r="P2270" s="124"/>
      <c r="Q2270" s="124"/>
      <c r="R2270" s="124"/>
      <c r="S2270" s="124"/>
      <c r="T2270" s="124"/>
      <c r="U2270" s="124"/>
      <c r="V2270" s="124"/>
      <c r="W2270" s="124"/>
      <c r="X2270" s="124"/>
      <c r="Y2270" s="124"/>
    </row>
    <row r="2271" spans="2:25" x14ac:dyDescent="0.25">
      <c r="B2271" s="124"/>
      <c r="C2271" s="124"/>
      <c r="D2271" s="124"/>
      <c r="E2271" s="124"/>
      <c r="F2271" s="124"/>
      <c r="G2271" s="124"/>
      <c r="H2271" s="124"/>
      <c r="I2271" s="124"/>
      <c r="J2271" s="124"/>
      <c r="K2271" s="124"/>
      <c r="L2271" s="124"/>
      <c r="M2271" s="124"/>
      <c r="N2271" s="124"/>
      <c r="O2271" s="124"/>
      <c r="P2271" s="124"/>
      <c r="Q2271" s="124"/>
      <c r="R2271" s="124"/>
      <c r="S2271" s="124"/>
      <c r="T2271" s="124"/>
      <c r="U2271" s="124"/>
      <c r="V2271" s="124"/>
      <c r="W2271" s="124"/>
      <c r="X2271" s="124"/>
      <c r="Y2271" s="124"/>
    </row>
    <row r="2272" spans="2:25" x14ac:dyDescent="0.25">
      <c r="B2272" s="124"/>
      <c r="C2272" s="124"/>
      <c r="D2272" s="124"/>
      <c r="E2272" s="124"/>
      <c r="F2272" s="124"/>
      <c r="G2272" s="124"/>
      <c r="H2272" s="124"/>
      <c r="I2272" s="124"/>
      <c r="J2272" s="124"/>
      <c r="K2272" s="124"/>
      <c r="L2272" s="124"/>
      <c r="M2272" s="124"/>
      <c r="N2272" s="124"/>
      <c r="O2272" s="124"/>
      <c r="P2272" s="124"/>
      <c r="Q2272" s="124"/>
      <c r="R2272" s="124"/>
      <c r="S2272" s="124"/>
      <c r="T2272" s="124"/>
      <c r="U2272" s="124"/>
      <c r="V2272" s="124"/>
      <c r="W2272" s="124"/>
      <c r="X2272" s="124"/>
      <c r="Y2272" s="124"/>
    </row>
    <row r="2273" spans="2:25" x14ac:dyDescent="0.25">
      <c r="B2273" s="124"/>
      <c r="C2273" s="124"/>
      <c r="D2273" s="124"/>
      <c r="E2273" s="124"/>
      <c r="F2273" s="124"/>
      <c r="G2273" s="124"/>
      <c r="H2273" s="124"/>
      <c r="I2273" s="124"/>
      <c r="J2273" s="124"/>
      <c r="K2273" s="124"/>
      <c r="L2273" s="124"/>
      <c r="M2273" s="124"/>
      <c r="N2273" s="124"/>
      <c r="O2273" s="124"/>
      <c r="P2273" s="124"/>
      <c r="Q2273" s="124"/>
      <c r="R2273" s="124"/>
      <c r="S2273" s="124"/>
      <c r="T2273" s="124"/>
      <c r="U2273" s="124"/>
      <c r="V2273" s="124"/>
      <c r="W2273" s="124"/>
      <c r="X2273" s="124"/>
      <c r="Y2273" s="124"/>
    </row>
    <row r="2274" spans="2:25" x14ac:dyDescent="0.25">
      <c r="B2274" s="124"/>
      <c r="C2274" s="124"/>
      <c r="D2274" s="124"/>
      <c r="E2274" s="124"/>
      <c r="F2274" s="124"/>
      <c r="G2274" s="124"/>
      <c r="H2274" s="124"/>
      <c r="I2274" s="124"/>
      <c r="J2274" s="124"/>
      <c r="K2274" s="124"/>
      <c r="L2274" s="124"/>
      <c r="M2274" s="124"/>
      <c r="N2274" s="124"/>
      <c r="O2274" s="124"/>
      <c r="P2274" s="124"/>
      <c r="Q2274" s="124"/>
      <c r="R2274" s="124"/>
      <c r="S2274" s="124"/>
      <c r="T2274" s="124"/>
      <c r="U2274" s="124"/>
      <c r="V2274" s="124"/>
      <c r="W2274" s="124"/>
      <c r="X2274" s="124"/>
      <c r="Y2274" s="124"/>
    </row>
    <row r="2275" spans="2:25" x14ac:dyDescent="0.25">
      <c r="B2275" s="124"/>
      <c r="C2275" s="124"/>
      <c r="D2275" s="124"/>
      <c r="E2275" s="124"/>
      <c r="F2275" s="124"/>
      <c r="G2275" s="124"/>
      <c r="H2275" s="124"/>
      <c r="I2275" s="124"/>
      <c r="J2275" s="124"/>
      <c r="K2275" s="124"/>
      <c r="L2275" s="124"/>
      <c r="M2275" s="124"/>
      <c r="N2275" s="124"/>
      <c r="O2275" s="124"/>
      <c r="P2275" s="124"/>
      <c r="Q2275" s="124"/>
      <c r="R2275" s="124"/>
      <c r="S2275" s="124"/>
      <c r="T2275" s="124"/>
      <c r="U2275" s="124"/>
      <c r="V2275" s="124"/>
      <c r="W2275" s="124"/>
      <c r="X2275" s="124"/>
      <c r="Y2275" s="124"/>
    </row>
    <row r="2276" spans="2:25" x14ac:dyDescent="0.25">
      <c r="B2276" s="124"/>
      <c r="C2276" s="124"/>
      <c r="D2276" s="124"/>
      <c r="E2276" s="124"/>
      <c r="F2276" s="124"/>
      <c r="G2276" s="124"/>
      <c r="H2276" s="124"/>
      <c r="I2276" s="124"/>
      <c r="J2276" s="124"/>
      <c r="K2276" s="124"/>
      <c r="L2276" s="124"/>
      <c r="M2276" s="124"/>
      <c r="N2276" s="124"/>
      <c r="O2276" s="124"/>
      <c r="P2276" s="124"/>
      <c r="Q2276" s="124"/>
      <c r="R2276" s="124"/>
      <c r="S2276" s="124"/>
      <c r="T2276" s="124"/>
      <c r="U2276" s="124"/>
      <c r="V2276" s="124"/>
      <c r="W2276" s="124"/>
      <c r="X2276" s="124"/>
      <c r="Y2276" s="124"/>
    </row>
    <row r="2277" spans="2:25" x14ac:dyDescent="0.25">
      <c r="B2277" s="124"/>
      <c r="C2277" s="124"/>
      <c r="D2277" s="124"/>
      <c r="E2277" s="124"/>
      <c r="F2277" s="124"/>
      <c r="G2277" s="124"/>
      <c r="H2277" s="124"/>
      <c r="I2277" s="124"/>
      <c r="J2277" s="124"/>
      <c r="K2277" s="124"/>
      <c r="L2277" s="124"/>
      <c r="M2277" s="124"/>
      <c r="N2277" s="124"/>
      <c r="O2277" s="124"/>
      <c r="P2277" s="124"/>
      <c r="Q2277" s="124"/>
      <c r="R2277" s="124"/>
      <c r="S2277" s="124"/>
      <c r="T2277" s="124"/>
      <c r="U2277" s="124"/>
      <c r="V2277" s="124"/>
      <c r="W2277" s="124"/>
      <c r="X2277" s="124"/>
      <c r="Y2277" s="124"/>
    </row>
    <row r="2278" spans="2:25" x14ac:dyDescent="0.25">
      <c r="B2278" s="124"/>
      <c r="C2278" s="124"/>
      <c r="D2278" s="124"/>
      <c r="E2278" s="124"/>
      <c r="F2278" s="124"/>
      <c r="G2278" s="124"/>
      <c r="H2278" s="124"/>
      <c r="I2278" s="124"/>
      <c r="J2278" s="124"/>
      <c r="K2278" s="124"/>
      <c r="L2278" s="124"/>
      <c r="M2278" s="124"/>
      <c r="N2278" s="124"/>
      <c r="O2278" s="124"/>
      <c r="P2278" s="124"/>
      <c r="Q2278" s="124"/>
      <c r="R2278" s="124"/>
      <c r="S2278" s="124"/>
      <c r="T2278" s="124"/>
      <c r="U2278" s="124"/>
      <c r="V2278" s="124"/>
      <c r="W2278" s="124"/>
      <c r="X2278" s="124"/>
      <c r="Y2278" s="124"/>
    </row>
    <row r="2279" spans="2:25" x14ac:dyDescent="0.25">
      <c r="B2279" s="124"/>
      <c r="C2279" s="124"/>
      <c r="D2279" s="124"/>
      <c r="E2279" s="124"/>
      <c r="F2279" s="124"/>
      <c r="G2279" s="124"/>
      <c r="H2279" s="124"/>
      <c r="I2279" s="124"/>
      <c r="J2279" s="124"/>
      <c r="K2279" s="124"/>
      <c r="L2279" s="124"/>
      <c r="M2279" s="124"/>
      <c r="N2279" s="124"/>
      <c r="O2279" s="124"/>
      <c r="P2279" s="124"/>
      <c r="Q2279" s="124"/>
      <c r="R2279" s="124"/>
      <c r="S2279" s="124"/>
      <c r="T2279" s="124"/>
      <c r="U2279" s="124"/>
      <c r="V2279" s="124"/>
      <c r="W2279" s="124"/>
      <c r="X2279" s="124"/>
      <c r="Y2279" s="124"/>
    </row>
    <row r="2280" spans="2:25" x14ac:dyDescent="0.25">
      <c r="B2280" s="124"/>
      <c r="C2280" s="124"/>
      <c r="D2280" s="124"/>
      <c r="E2280" s="124"/>
      <c r="F2280" s="124"/>
      <c r="G2280" s="124"/>
      <c r="H2280" s="124"/>
      <c r="I2280" s="124"/>
      <c r="J2280" s="124"/>
      <c r="K2280" s="124"/>
      <c r="L2280" s="124"/>
      <c r="M2280" s="124"/>
      <c r="N2280" s="124"/>
      <c r="O2280" s="124"/>
      <c r="P2280" s="124"/>
      <c r="Q2280" s="124"/>
      <c r="R2280" s="124"/>
      <c r="S2280" s="124"/>
      <c r="T2280" s="124"/>
      <c r="U2280" s="124"/>
      <c r="V2280" s="124"/>
      <c r="W2280" s="124"/>
      <c r="X2280" s="124"/>
      <c r="Y2280" s="124"/>
    </row>
    <row r="2281" spans="2:25" x14ac:dyDescent="0.25">
      <c r="B2281" s="124"/>
      <c r="C2281" s="124"/>
      <c r="D2281" s="124"/>
      <c r="E2281" s="124"/>
      <c r="F2281" s="124"/>
      <c r="G2281" s="124"/>
      <c r="H2281" s="124"/>
      <c r="I2281" s="124"/>
      <c r="J2281" s="124"/>
      <c r="K2281" s="124"/>
      <c r="L2281" s="124"/>
      <c r="M2281" s="124"/>
      <c r="N2281" s="124"/>
      <c r="O2281" s="124"/>
      <c r="P2281" s="124"/>
      <c r="Q2281" s="124"/>
      <c r="R2281" s="124"/>
      <c r="S2281" s="124"/>
      <c r="T2281" s="124"/>
      <c r="U2281" s="124"/>
      <c r="V2281" s="124"/>
      <c r="W2281" s="124"/>
      <c r="X2281" s="124"/>
      <c r="Y2281" s="124"/>
    </row>
    <row r="2282" spans="2:25" x14ac:dyDescent="0.25">
      <c r="B2282" s="124"/>
      <c r="C2282" s="124"/>
      <c r="D2282" s="124"/>
      <c r="E2282" s="124"/>
      <c r="F2282" s="124"/>
      <c r="G2282" s="124"/>
      <c r="H2282" s="124"/>
      <c r="I2282" s="124"/>
      <c r="J2282" s="124"/>
      <c r="K2282" s="124"/>
      <c r="L2282" s="124"/>
      <c r="M2282" s="124"/>
      <c r="N2282" s="124"/>
      <c r="O2282" s="124"/>
      <c r="P2282" s="124"/>
      <c r="Q2282" s="124"/>
      <c r="R2282" s="124"/>
      <c r="S2282" s="124"/>
      <c r="T2282" s="124"/>
      <c r="U2282" s="124"/>
      <c r="V2282" s="124"/>
      <c r="W2282" s="124"/>
      <c r="X2282" s="124"/>
      <c r="Y2282" s="124"/>
    </row>
    <row r="2283" spans="2:25" x14ac:dyDescent="0.25">
      <c r="B2283" s="124"/>
      <c r="C2283" s="124"/>
      <c r="D2283" s="124"/>
      <c r="E2283" s="124"/>
      <c r="F2283" s="124"/>
      <c r="G2283" s="124"/>
      <c r="H2283" s="124"/>
      <c r="I2283" s="124"/>
      <c r="J2283" s="124"/>
      <c r="K2283" s="124"/>
      <c r="L2283" s="124"/>
      <c r="M2283" s="124"/>
      <c r="N2283" s="124"/>
      <c r="O2283" s="124"/>
      <c r="P2283" s="124"/>
      <c r="Q2283" s="124"/>
      <c r="R2283" s="124"/>
      <c r="S2283" s="124"/>
      <c r="T2283" s="124"/>
      <c r="U2283" s="124"/>
      <c r="V2283" s="124"/>
      <c r="W2283" s="124"/>
      <c r="X2283" s="124"/>
      <c r="Y2283" s="124"/>
    </row>
    <row r="2284" spans="2:25" x14ac:dyDescent="0.25">
      <c r="B2284" s="124"/>
      <c r="C2284" s="124"/>
      <c r="D2284" s="124"/>
      <c r="E2284" s="124"/>
      <c r="F2284" s="124"/>
      <c r="G2284" s="124"/>
      <c r="H2284" s="124"/>
      <c r="I2284" s="124"/>
      <c r="J2284" s="124"/>
      <c r="K2284" s="124"/>
      <c r="L2284" s="124"/>
      <c r="M2284" s="124"/>
      <c r="N2284" s="124"/>
      <c r="O2284" s="124"/>
      <c r="P2284" s="124"/>
      <c r="Q2284" s="124"/>
      <c r="R2284" s="124"/>
      <c r="S2284" s="124"/>
      <c r="T2284" s="124"/>
      <c r="U2284" s="124"/>
      <c r="V2284" s="124"/>
      <c r="W2284" s="124"/>
      <c r="X2284" s="124"/>
      <c r="Y2284" s="124"/>
    </row>
    <row r="2285" spans="2:25" x14ac:dyDescent="0.25">
      <c r="B2285" s="124"/>
      <c r="C2285" s="124"/>
      <c r="D2285" s="124"/>
      <c r="E2285" s="124"/>
      <c r="F2285" s="124"/>
      <c r="G2285" s="124"/>
      <c r="H2285" s="124"/>
      <c r="I2285" s="124"/>
      <c r="J2285" s="124"/>
      <c r="K2285" s="124"/>
      <c r="L2285" s="124"/>
      <c r="M2285" s="124"/>
      <c r="N2285" s="124"/>
      <c r="O2285" s="124"/>
      <c r="P2285" s="124"/>
      <c r="Q2285" s="124"/>
      <c r="R2285" s="124"/>
      <c r="S2285" s="124"/>
      <c r="T2285" s="124"/>
      <c r="U2285" s="124"/>
      <c r="V2285" s="124"/>
      <c r="W2285" s="124"/>
      <c r="X2285" s="124"/>
      <c r="Y2285" s="124"/>
    </row>
    <row r="2286" spans="2:25" x14ac:dyDescent="0.25">
      <c r="B2286" s="124"/>
      <c r="C2286" s="124"/>
      <c r="D2286" s="124"/>
      <c r="E2286" s="124"/>
      <c r="F2286" s="124"/>
      <c r="G2286" s="124"/>
      <c r="H2286" s="124"/>
      <c r="I2286" s="124"/>
      <c r="J2286" s="124"/>
      <c r="K2286" s="124"/>
      <c r="L2286" s="124"/>
      <c r="M2286" s="124"/>
      <c r="N2286" s="124"/>
      <c r="O2286" s="124"/>
      <c r="P2286" s="124"/>
      <c r="Q2286" s="124"/>
      <c r="R2286" s="124"/>
      <c r="S2286" s="124"/>
      <c r="T2286" s="124"/>
      <c r="U2286" s="124"/>
      <c r="V2286" s="124"/>
      <c r="W2286" s="124"/>
      <c r="X2286" s="124"/>
      <c r="Y2286" s="124"/>
    </row>
    <row r="2287" spans="2:25" x14ac:dyDescent="0.25">
      <c r="B2287" s="124"/>
      <c r="C2287" s="124"/>
      <c r="D2287" s="124"/>
      <c r="E2287" s="124"/>
      <c r="F2287" s="124"/>
      <c r="G2287" s="124"/>
      <c r="H2287" s="124"/>
      <c r="I2287" s="124"/>
      <c r="J2287" s="124"/>
      <c r="K2287" s="124"/>
      <c r="L2287" s="124"/>
      <c r="M2287" s="124"/>
      <c r="N2287" s="124"/>
      <c r="O2287" s="124"/>
      <c r="P2287" s="124"/>
      <c r="Q2287" s="124"/>
      <c r="R2287" s="124"/>
      <c r="S2287" s="124"/>
      <c r="T2287" s="124"/>
      <c r="U2287" s="124"/>
      <c r="V2287" s="124"/>
      <c r="W2287" s="124"/>
      <c r="X2287" s="124"/>
      <c r="Y2287" s="124"/>
    </row>
    <row r="2288" spans="2:25" x14ac:dyDescent="0.25">
      <c r="B2288" s="124"/>
      <c r="C2288" s="124"/>
      <c r="D2288" s="124"/>
      <c r="E2288" s="124"/>
      <c r="F2288" s="124"/>
      <c r="G2288" s="124"/>
      <c r="H2288" s="124"/>
      <c r="I2288" s="124"/>
      <c r="J2288" s="124"/>
      <c r="K2288" s="124"/>
      <c r="L2288" s="124"/>
      <c r="M2288" s="124"/>
      <c r="N2288" s="124"/>
      <c r="O2288" s="124"/>
      <c r="P2288" s="124"/>
      <c r="Q2288" s="124"/>
      <c r="R2288" s="124"/>
      <c r="S2288" s="124"/>
      <c r="T2288" s="124"/>
      <c r="U2288" s="124"/>
      <c r="V2288" s="124"/>
      <c r="W2288" s="124"/>
      <c r="X2288" s="124"/>
      <c r="Y2288" s="124"/>
    </row>
    <row r="2289" spans="2:25" x14ac:dyDescent="0.25">
      <c r="B2289" s="124"/>
      <c r="C2289" s="124"/>
      <c r="D2289" s="124"/>
      <c r="E2289" s="124"/>
      <c r="F2289" s="124"/>
      <c r="G2289" s="124"/>
      <c r="H2289" s="124"/>
      <c r="I2289" s="124"/>
      <c r="J2289" s="124"/>
      <c r="K2289" s="124"/>
      <c r="L2289" s="124"/>
      <c r="M2289" s="124"/>
      <c r="N2289" s="124"/>
      <c r="O2289" s="124"/>
      <c r="P2289" s="124"/>
      <c r="Q2289" s="124"/>
      <c r="R2289" s="124"/>
      <c r="S2289" s="124"/>
      <c r="T2289" s="124"/>
      <c r="U2289" s="124"/>
      <c r="V2289" s="124"/>
      <c r="W2289" s="124"/>
      <c r="X2289" s="124"/>
      <c r="Y2289" s="124"/>
    </row>
    <row r="2290" spans="2:25" x14ac:dyDescent="0.25">
      <c r="B2290" s="124"/>
      <c r="C2290" s="124"/>
      <c r="D2290" s="124"/>
      <c r="E2290" s="124"/>
      <c r="F2290" s="124"/>
      <c r="G2290" s="124"/>
      <c r="H2290" s="124"/>
      <c r="I2290" s="124"/>
      <c r="J2290" s="124"/>
      <c r="K2290" s="124"/>
      <c r="L2290" s="124"/>
      <c r="M2290" s="124"/>
      <c r="N2290" s="124"/>
      <c r="O2290" s="124"/>
      <c r="P2290" s="124"/>
      <c r="Q2290" s="124"/>
      <c r="R2290" s="124"/>
      <c r="S2290" s="124"/>
      <c r="T2290" s="124"/>
      <c r="U2290" s="124"/>
      <c r="V2290" s="124"/>
      <c r="W2290" s="124"/>
      <c r="X2290" s="124"/>
      <c r="Y2290" s="124"/>
    </row>
    <row r="2291" spans="2:25" x14ac:dyDescent="0.25">
      <c r="B2291" s="124"/>
      <c r="C2291" s="124"/>
      <c r="D2291" s="124"/>
      <c r="E2291" s="124"/>
      <c r="F2291" s="124"/>
      <c r="G2291" s="124"/>
      <c r="H2291" s="124"/>
      <c r="I2291" s="124"/>
      <c r="J2291" s="124"/>
      <c r="K2291" s="124"/>
      <c r="L2291" s="124"/>
      <c r="M2291" s="124"/>
      <c r="N2291" s="124"/>
      <c r="O2291" s="124"/>
      <c r="P2291" s="124"/>
      <c r="Q2291" s="124"/>
      <c r="R2291" s="124"/>
      <c r="S2291" s="124"/>
      <c r="T2291" s="124"/>
      <c r="U2291" s="124"/>
      <c r="V2291" s="124"/>
      <c r="W2291" s="124"/>
      <c r="X2291" s="124"/>
      <c r="Y2291" s="124"/>
    </row>
    <row r="2292" spans="2:25" x14ac:dyDescent="0.25">
      <c r="B2292" s="124"/>
      <c r="C2292" s="124"/>
      <c r="D2292" s="124"/>
      <c r="E2292" s="124"/>
      <c r="F2292" s="124"/>
      <c r="G2292" s="124"/>
      <c r="H2292" s="124"/>
      <c r="I2292" s="124"/>
      <c r="J2292" s="124"/>
      <c r="K2292" s="124"/>
      <c r="L2292" s="124"/>
      <c r="M2292" s="124"/>
      <c r="N2292" s="124"/>
      <c r="O2292" s="124"/>
      <c r="P2292" s="124"/>
      <c r="Q2292" s="124"/>
      <c r="R2292" s="124"/>
      <c r="S2292" s="124"/>
      <c r="T2292" s="124"/>
      <c r="U2292" s="124"/>
      <c r="V2292" s="124"/>
      <c r="W2292" s="124"/>
      <c r="X2292" s="124"/>
      <c r="Y2292" s="124"/>
    </row>
    <row r="2293" spans="2:25" x14ac:dyDescent="0.25">
      <c r="B2293" s="124"/>
      <c r="C2293" s="124"/>
      <c r="D2293" s="124"/>
      <c r="E2293" s="124"/>
      <c r="F2293" s="124"/>
      <c r="G2293" s="124"/>
      <c r="H2293" s="124"/>
      <c r="I2293" s="124"/>
      <c r="J2293" s="124"/>
      <c r="K2293" s="124"/>
      <c r="L2293" s="124"/>
      <c r="M2293" s="124"/>
      <c r="N2293" s="124"/>
      <c r="O2293" s="124"/>
      <c r="P2293" s="124"/>
      <c r="Q2293" s="124"/>
      <c r="R2293" s="124"/>
      <c r="S2293" s="124"/>
      <c r="T2293" s="124"/>
      <c r="U2293" s="124"/>
      <c r="V2293" s="124"/>
      <c r="W2293" s="124"/>
      <c r="X2293" s="124"/>
      <c r="Y2293" s="124"/>
    </row>
    <row r="2294" spans="2:25" x14ac:dyDescent="0.25">
      <c r="B2294" s="124"/>
      <c r="C2294" s="124"/>
      <c r="D2294" s="124"/>
      <c r="E2294" s="124"/>
      <c r="F2294" s="124"/>
      <c r="G2294" s="124"/>
      <c r="H2294" s="124"/>
      <c r="I2294" s="124"/>
      <c r="J2294" s="124"/>
      <c r="K2294" s="124"/>
      <c r="L2294" s="124"/>
      <c r="M2294" s="124"/>
      <c r="N2294" s="124"/>
      <c r="O2294" s="124"/>
      <c r="P2294" s="124"/>
      <c r="Q2294" s="124"/>
      <c r="R2294" s="124"/>
      <c r="S2294" s="124"/>
      <c r="T2294" s="124"/>
      <c r="U2294" s="124"/>
      <c r="V2294" s="124"/>
      <c r="W2294" s="124"/>
      <c r="X2294" s="124"/>
      <c r="Y2294" s="124"/>
    </row>
    <row r="2295" spans="2:25" x14ac:dyDescent="0.25">
      <c r="B2295" s="124"/>
      <c r="C2295" s="124"/>
      <c r="D2295" s="124"/>
      <c r="E2295" s="124"/>
      <c r="F2295" s="124"/>
      <c r="G2295" s="124"/>
      <c r="H2295" s="124"/>
      <c r="I2295" s="124"/>
      <c r="J2295" s="124"/>
      <c r="K2295" s="124"/>
      <c r="L2295" s="124"/>
      <c r="M2295" s="124"/>
      <c r="N2295" s="124"/>
      <c r="O2295" s="124"/>
      <c r="P2295" s="124"/>
      <c r="Q2295" s="124"/>
      <c r="R2295" s="124"/>
      <c r="S2295" s="124"/>
      <c r="T2295" s="124"/>
      <c r="U2295" s="124"/>
      <c r="V2295" s="124"/>
      <c r="W2295" s="124"/>
      <c r="X2295" s="124"/>
      <c r="Y2295" s="124"/>
    </row>
    <row r="2296" spans="2:25" x14ac:dyDescent="0.25">
      <c r="B2296" s="124"/>
      <c r="C2296" s="124"/>
      <c r="D2296" s="124"/>
      <c r="E2296" s="124"/>
      <c r="F2296" s="124"/>
      <c r="G2296" s="124"/>
      <c r="H2296" s="124"/>
      <c r="I2296" s="124"/>
      <c r="J2296" s="124"/>
      <c r="K2296" s="124"/>
      <c r="L2296" s="124"/>
      <c r="M2296" s="124"/>
      <c r="N2296" s="124"/>
      <c r="O2296" s="124"/>
      <c r="P2296" s="124"/>
      <c r="Q2296" s="124"/>
      <c r="R2296" s="124"/>
      <c r="S2296" s="124"/>
      <c r="T2296" s="124"/>
      <c r="U2296" s="124"/>
      <c r="V2296" s="124"/>
      <c r="W2296" s="124"/>
      <c r="X2296" s="124"/>
      <c r="Y2296" s="124"/>
    </row>
    <row r="2297" spans="2:25" x14ac:dyDescent="0.25">
      <c r="B2297" s="124"/>
      <c r="C2297" s="124"/>
      <c r="D2297" s="124"/>
      <c r="E2297" s="124"/>
      <c r="F2297" s="124"/>
      <c r="G2297" s="124"/>
      <c r="H2297" s="124"/>
      <c r="I2297" s="124"/>
      <c r="J2297" s="124"/>
      <c r="K2297" s="124"/>
      <c r="L2297" s="124"/>
      <c r="M2297" s="124"/>
      <c r="N2297" s="124"/>
      <c r="O2297" s="124"/>
      <c r="P2297" s="124"/>
      <c r="Q2297" s="124"/>
      <c r="R2297" s="124"/>
      <c r="S2297" s="124"/>
      <c r="T2297" s="124"/>
      <c r="U2297" s="124"/>
      <c r="V2297" s="124"/>
      <c r="W2297" s="124"/>
      <c r="X2297" s="124"/>
      <c r="Y2297" s="124"/>
    </row>
    <row r="2298" spans="2:25" x14ac:dyDescent="0.25">
      <c r="B2298" s="124"/>
      <c r="C2298" s="124"/>
      <c r="D2298" s="124"/>
      <c r="E2298" s="124"/>
      <c r="F2298" s="124"/>
      <c r="G2298" s="124"/>
      <c r="H2298" s="124"/>
      <c r="I2298" s="124"/>
      <c r="J2298" s="124"/>
      <c r="K2298" s="124"/>
      <c r="L2298" s="124"/>
      <c r="M2298" s="124"/>
      <c r="N2298" s="124"/>
      <c r="O2298" s="124"/>
      <c r="P2298" s="124"/>
      <c r="Q2298" s="124"/>
      <c r="R2298" s="124"/>
      <c r="S2298" s="124"/>
      <c r="T2298" s="124"/>
      <c r="U2298" s="124"/>
      <c r="V2298" s="124"/>
      <c r="W2298" s="124"/>
      <c r="X2298" s="124"/>
      <c r="Y2298" s="124"/>
    </row>
    <row r="2299" spans="2:25" x14ac:dyDescent="0.25">
      <c r="B2299" s="124"/>
      <c r="C2299" s="124"/>
      <c r="D2299" s="124"/>
      <c r="E2299" s="124"/>
      <c r="F2299" s="124"/>
      <c r="G2299" s="124"/>
      <c r="H2299" s="124"/>
      <c r="I2299" s="124"/>
      <c r="J2299" s="124"/>
      <c r="K2299" s="124"/>
      <c r="L2299" s="124"/>
      <c r="M2299" s="124"/>
      <c r="N2299" s="124"/>
      <c r="O2299" s="124"/>
      <c r="P2299" s="124"/>
      <c r="Q2299" s="124"/>
      <c r="R2299" s="124"/>
      <c r="S2299" s="124"/>
      <c r="T2299" s="124"/>
      <c r="U2299" s="124"/>
      <c r="V2299" s="124"/>
      <c r="W2299" s="124"/>
      <c r="X2299" s="124"/>
      <c r="Y2299" s="124"/>
    </row>
    <row r="2300" spans="2:25" x14ac:dyDescent="0.25">
      <c r="B2300" s="124"/>
      <c r="C2300" s="124"/>
      <c r="D2300" s="124"/>
      <c r="E2300" s="124"/>
      <c r="F2300" s="124"/>
      <c r="G2300" s="124"/>
      <c r="H2300" s="124"/>
      <c r="I2300" s="124"/>
      <c r="J2300" s="124"/>
      <c r="K2300" s="124"/>
      <c r="L2300" s="124"/>
      <c r="M2300" s="124"/>
      <c r="N2300" s="124"/>
      <c r="O2300" s="124"/>
      <c r="P2300" s="124"/>
      <c r="Q2300" s="124"/>
      <c r="R2300" s="124"/>
      <c r="S2300" s="124"/>
      <c r="T2300" s="124"/>
      <c r="U2300" s="124"/>
      <c r="V2300" s="124"/>
      <c r="W2300" s="124"/>
      <c r="X2300" s="124"/>
      <c r="Y2300" s="124"/>
    </row>
    <row r="2301" spans="2:25" x14ac:dyDescent="0.25">
      <c r="B2301" s="124"/>
      <c r="C2301" s="124"/>
      <c r="D2301" s="124"/>
      <c r="E2301" s="124"/>
      <c r="F2301" s="124"/>
      <c r="G2301" s="124"/>
      <c r="H2301" s="124"/>
      <c r="I2301" s="124"/>
      <c r="J2301" s="124"/>
      <c r="K2301" s="124"/>
      <c r="L2301" s="124"/>
      <c r="M2301" s="124"/>
      <c r="N2301" s="124"/>
      <c r="O2301" s="124"/>
      <c r="P2301" s="124"/>
      <c r="Q2301" s="124"/>
      <c r="R2301" s="124"/>
      <c r="S2301" s="124"/>
      <c r="T2301" s="124"/>
      <c r="U2301" s="124"/>
      <c r="V2301" s="124"/>
      <c r="W2301" s="124"/>
      <c r="X2301" s="124"/>
      <c r="Y2301" s="124"/>
    </row>
    <row r="2302" spans="2:25" x14ac:dyDescent="0.25">
      <c r="B2302" s="124"/>
      <c r="C2302" s="124"/>
      <c r="D2302" s="124"/>
      <c r="E2302" s="124"/>
      <c r="F2302" s="124"/>
      <c r="G2302" s="124"/>
      <c r="H2302" s="124"/>
      <c r="I2302" s="124"/>
      <c r="J2302" s="124"/>
      <c r="K2302" s="124"/>
      <c r="L2302" s="124"/>
      <c r="M2302" s="124"/>
      <c r="N2302" s="124"/>
      <c r="O2302" s="124"/>
      <c r="P2302" s="124"/>
      <c r="Q2302" s="124"/>
      <c r="R2302" s="124"/>
      <c r="S2302" s="124"/>
      <c r="T2302" s="124"/>
      <c r="U2302" s="124"/>
      <c r="V2302" s="124"/>
      <c r="W2302" s="124"/>
      <c r="X2302" s="124"/>
      <c r="Y2302" s="124"/>
    </row>
    <row r="2303" spans="2:25" x14ac:dyDescent="0.25">
      <c r="B2303" s="124"/>
      <c r="C2303" s="124"/>
      <c r="D2303" s="124"/>
      <c r="E2303" s="124"/>
      <c r="F2303" s="124"/>
      <c r="G2303" s="124"/>
      <c r="H2303" s="124"/>
      <c r="I2303" s="124"/>
      <c r="J2303" s="124"/>
      <c r="K2303" s="124"/>
      <c r="L2303" s="124"/>
      <c r="M2303" s="124"/>
      <c r="N2303" s="124"/>
      <c r="O2303" s="124"/>
      <c r="P2303" s="124"/>
      <c r="Q2303" s="124"/>
      <c r="R2303" s="124"/>
      <c r="S2303" s="124"/>
      <c r="T2303" s="124"/>
      <c r="U2303" s="124"/>
      <c r="V2303" s="124"/>
      <c r="W2303" s="124"/>
      <c r="X2303" s="124"/>
      <c r="Y2303" s="124"/>
    </row>
    <row r="2304" spans="2:25" x14ac:dyDescent="0.25">
      <c r="B2304" s="124"/>
      <c r="C2304" s="124"/>
      <c r="D2304" s="124"/>
      <c r="E2304" s="124"/>
      <c r="F2304" s="124"/>
      <c r="G2304" s="124"/>
      <c r="H2304" s="124"/>
      <c r="I2304" s="124"/>
      <c r="J2304" s="124"/>
      <c r="K2304" s="124"/>
      <c r="L2304" s="124"/>
      <c r="M2304" s="124"/>
      <c r="N2304" s="124"/>
      <c r="O2304" s="124"/>
      <c r="P2304" s="124"/>
      <c r="Q2304" s="124"/>
      <c r="R2304" s="124"/>
      <c r="S2304" s="124"/>
      <c r="T2304" s="124"/>
      <c r="U2304" s="124"/>
      <c r="V2304" s="124"/>
      <c r="W2304" s="124"/>
      <c r="X2304" s="124"/>
      <c r="Y2304" s="124"/>
    </row>
    <row r="2305" spans="2:25" x14ac:dyDescent="0.25">
      <c r="B2305" s="124"/>
      <c r="C2305" s="124"/>
      <c r="D2305" s="124"/>
      <c r="E2305" s="124"/>
      <c r="F2305" s="124"/>
      <c r="G2305" s="124"/>
      <c r="H2305" s="124"/>
      <c r="I2305" s="124"/>
      <c r="J2305" s="124"/>
      <c r="K2305" s="124"/>
      <c r="L2305" s="124"/>
      <c r="M2305" s="124"/>
      <c r="N2305" s="124"/>
      <c r="O2305" s="124"/>
      <c r="P2305" s="124"/>
      <c r="Q2305" s="124"/>
      <c r="R2305" s="124"/>
      <c r="S2305" s="124"/>
      <c r="T2305" s="124"/>
      <c r="U2305" s="124"/>
      <c r="V2305" s="124"/>
      <c r="W2305" s="124"/>
      <c r="X2305" s="124"/>
      <c r="Y2305" s="124"/>
    </row>
    <row r="2306" spans="2:25" x14ac:dyDescent="0.25">
      <c r="B2306" s="124"/>
      <c r="C2306" s="124"/>
      <c r="D2306" s="124"/>
      <c r="E2306" s="124"/>
      <c r="F2306" s="124"/>
      <c r="G2306" s="124"/>
      <c r="H2306" s="124"/>
      <c r="I2306" s="124"/>
      <c r="J2306" s="124"/>
      <c r="K2306" s="124"/>
      <c r="L2306" s="124"/>
      <c r="M2306" s="124"/>
      <c r="N2306" s="124"/>
      <c r="O2306" s="124"/>
      <c r="P2306" s="124"/>
      <c r="Q2306" s="124"/>
      <c r="R2306" s="124"/>
      <c r="S2306" s="124"/>
      <c r="T2306" s="124"/>
      <c r="U2306" s="124"/>
      <c r="V2306" s="124"/>
      <c r="W2306" s="124"/>
      <c r="X2306" s="124"/>
      <c r="Y2306" s="124"/>
    </row>
    <row r="2307" spans="2:25" x14ac:dyDescent="0.25">
      <c r="B2307" s="124"/>
      <c r="C2307" s="124"/>
      <c r="D2307" s="124"/>
      <c r="E2307" s="124"/>
      <c r="F2307" s="124"/>
      <c r="G2307" s="124"/>
      <c r="H2307" s="124"/>
      <c r="I2307" s="124"/>
      <c r="J2307" s="124"/>
      <c r="K2307" s="124"/>
      <c r="L2307" s="124"/>
      <c r="M2307" s="124"/>
      <c r="N2307" s="124"/>
      <c r="O2307" s="124"/>
      <c r="P2307" s="124"/>
      <c r="Q2307" s="124"/>
      <c r="R2307" s="124"/>
      <c r="S2307" s="124"/>
      <c r="T2307" s="124"/>
      <c r="U2307" s="124"/>
      <c r="V2307" s="124"/>
      <c r="W2307" s="124"/>
      <c r="X2307" s="124"/>
      <c r="Y2307" s="124"/>
    </row>
    <row r="2308" spans="2:25" x14ac:dyDescent="0.25">
      <c r="B2308" s="124"/>
      <c r="C2308" s="124"/>
      <c r="D2308" s="124"/>
      <c r="E2308" s="124"/>
      <c r="F2308" s="124"/>
      <c r="G2308" s="124"/>
      <c r="H2308" s="124"/>
      <c r="I2308" s="124"/>
      <c r="J2308" s="124"/>
      <c r="K2308" s="124"/>
      <c r="L2308" s="124"/>
      <c r="M2308" s="124"/>
      <c r="N2308" s="124"/>
      <c r="O2308" s="124"/>
      <c r="P2308" s="124"/>
      <c r="Q2308" s="124"/>
      <c r="R2308" s="124"/>
      <c r="S2308" s="124"/>
      <c r="T2308" s="124"/>
      <c r="U2308" s="124"/>
      <c r="V2308" s="124"/>
      <c r="W2308" s="124"/>
      <c r="X2308" s="124"/>
      <c r="Y2308" s="124"/>
    </row>
    <row r="2309" spans="2:25" x14ac:dyDescent="0.25">
      <c r="B2309" s="124"/>
      <c r="C2309" s="124"/>
      <c r="D2309" s="124"/>
      <c r="E2309" s="124"/>
      <c r="F2309" s="124"/>
      <c r="G2309" s="124"/>
      <c r="H2309" s="124"/>
      <c r="I2309" s="124"/>
      <c r="J2309" s="124"/>
      <c r="K2309" s="124"/>
      <c r="L2309" s="124"/>
      <c r="M2309" s="124"/>
      <c r="N2309" s="124"/>
      <c r="O2309" s="124"/>
      <c r="P2309" s="124"/>
      <c r="Q2309" s="124"/>
      <c r="R2309" s="124"/>
      <c r="S2309" s="124"/>
      <c r="T2309" s="124"/>
      <c r="U2309" s="124"/>
      <c r="V2309" s="124"/>
      <c r="W2309" s="124"/>
      <c r="X2309" s="124"/>
      <c r="Y2309" s="124"/>
    </row>
    <row r="2310" spans="2:25" x14ac:dyDescent="0.25">
      <c r="B2310" s="124"/>
      <c r="C2310" s="124"/>
      <c r="D2310" s="124"/>
      <c r="E2310" s="124"/>
      <c r="F2310" s="124"/>
      <c r="G2310" s="124"/>
      <c r="H2310" s="124"/>
      <c r="I2310" s="124"/>
      <c r="J2310" s="124"/>
      <c r="K2310" s="124"/>
      <c r="L2310" s="124"/>
      <c r="M2310" s="124"/>
      <c r="N2310" s="124"/>
      <c r="O2310" s="124"/>
      <c r="P2310" s="124"/>
      <c r="Q2310" s="124"/>
      <c r="R2310" s="124"/>
      <c r="S2310" s="124"/>
      <c r="T2310" s="124"/>
      <c r="U2310" s="124"/>
      <c r="V2310" s="124"/>
      <c r="W2310" s="124"/>
      <c r="X2310" s="124"/>
      <c r="Y2310" s="124"/>
    </row>
    <row r="2311" spans="2:25" x14ac:dyDescent="0.25">
      <c r="B2311" s="124"/>
      <c r="C2311" s="124"/>
      <c r="D2311" s="124"/>
      <c r="E2311" s="124"/>
      <c r="F2311" s="124"/>
      <c r="G2311" s="124"/>
      <c r="H2311" s="124"/>
      <c r="I2311" s="124"/>
      <c r="J2311" s="124"/>
      <c r="K2311" s="124"/>
      <c r="L2311" s="124"/>
      <c r="M2311" s="124"/>
      <c r="N2311" s="124"/>
      <c r="O2311" s="124"/>
      <c r="P2311" s="124"/>
      <c r="Q2311" s="124"/>
      <c r="R2311" s="124"/>
      <c r="S2311" s="124"/>
      <c r="T2311" s="124"/>
      <c r="U2311" s="124"/>
      <c r="V2311" s="124"/>
      <c r="W2311" s="124"/>
      <c r="X2311" s="124"/>
      <c r="Y2311" s="124"/>
    </row>
    <row r="2312" spans="2:25" x14ac:dyDescent="0.25">
      <c r="B2312" s="124"/>
      <c r="C2312" s="124"/>
      <c r="D2312" s="124"/>
      <c r="E2312" s="124"/>
      <c r="F2312" s="124"/>
      <c r="G2312" s="124"/>
      <c r="H2312" s="124"/>
      <c r="I2312" s="124"/>
      <c r="J2312" s="124"/>
      <c r="K2312" s="124"/>
      <c r="L2312" s="124"/>
      <c r="M2312" s="124"/>
      <c r="N2312" s="124"/>
      <c r="O2312" s="124"/>
      <c r="P2312" s="124"/>
      <c r="Q2312" s="124"/>
      <c r="R2312" s="124"/>
      <c r="S2312" s="124"/>
      <c r="T2312" s="124"/>
      <c r="U2312" s="124"/>
      <c r="V2312" s="124"/>
      <c r="W2312" s="124"/>
      <c r="X2312" s="124"/>
      <c r="Y2312" s="124"/>
    </row>
    <row r="2313" spans="2:25" x14ac:dyDescent="0.25">
      <c r="B2313" s="124"/>
      <c r="C2313" s="124"/>
      <c r="D2313" s="124"/>
      <c r="E2313" s="124"/>
      <c r="F2313" s="124"/>
      <c r="G2313" s="124"/>
      <c r="H2313" s="124"/>
      <c r="I2313" s="124"/>
      <c r="J2313" s="124"/>
      <c r="K2313" s="124"/>
      <c r="L2313" s="124"/>
      <c r="M2313" s="124"/>
      <c r="N2313" s="124"/>
      <c r="O2313" s="124"/>
      <c r="P2313" s="124"/>
      <c r="Q2313" s="124"/>
      <c r="R2313" s="124"/>
      <c r="S2313" s="124"/>
      <c r="T2313" s="124"/>
      <c r="U2313" s="124"/>
      <c r="V2313" s="124"/>
      <c r="W2313" s="124"/>
      <c r="X2313" s="124"/>
      <c r="Y2313" s="124"/>
    </row>
    <row r="2314" spans="2:25" x14ac:dyDescent="0.25">
      <c r="B2314" s="124"/>
      <c r="C2314" s="124"/>
      <c r="D2314" s="124"/>
      <c r="E2314" s="124"/>
      <c r="F2314" s="124"/>
      <c r="G2314" s="124"/>
      <c r="H2314" s="124"/>
      <c r="I2314" s="124"/>
      <c r="J2314" s="124"/>
      <c r="K2314" s="124"/>
      <c r="L2314" s="124"/>
      <c r="M2314" s="124"/>
      <c r="N2314" s="124"/>
      <c r="O2314" s="124"/>
      <c r="P2314" s="124"/>
      <c r="Q2314" s="124"/>
      <c r="R2314" s="124"/>
      <c r="S2314" s="124"/>
      <c r="T2314" s="124"/>
      <c r="U2314" s="124"/>
      <c r="V2314" s="124"/>
      <c r="W2314" s="124"/>
      <c r="X2314" s="124"/>
      <c r="Y2314" s="124"/>
    </row>
    <row r="2315" spans="2:25" x14ac:dyDescent="0.25">
      <c r="B2315" s="124"/>
      <c r="C2315" s="124"/>
      <c r="D2315" s="124"/>
      <c r="E2315" s="124"/>
      <c r="F2315" s="124"/>
      <c r="G2315" s="124"/>
      <c r="H2315" s="124"/>
      <c r="I2315" s="124"/>
      <c r="J2315" s="124"/>
      <c r="K2315" s="124"/>
      <c r="L2315" s="124"/>
      <c r="M2315" s="124"/>
      <c r="N2315" s="124"/>
      <c r="O2315" s="124"/>
      <c r="P2315" s="124"/>
      <c r="Q2315" s="124"/>
      <c r="R2315" s="124"/>
      <c r="S2315" s="124"/>
      <c r="T2315" s="124"/>
      <c r="U2315" s="124"/>
      <c r="V2315" s="124"/>
      <c r="W2315" s="124"/>
      <c r="X2315" s="124"/>
      <c r="Y2315" s="124"/>
    </row>
    <row r="2316" spans="2:25" x14ac:dyDescent="0.25">
      <c r="B2316" s="124"/>
      <c r="C2316" s="124"/>
      <c r="D2316" s="124"/>
      <c r="E2316" s="124"/>
      <c r="F2316" s="124"/>
      <c r="G2316" s="124"/>
      <c r="H2316" s="124"/>
      <c r="I2316" s="124"/>
      <c r="J2316" s="124"/>
      <c r="K2316" s="124"/>
      <c r="L2316" s="124"/>
      <c r="M2316" s="124"/>
      <c r="N2316" s="124"/>
      <c r="O2316" s="124"/>
      <c r="P2316" s="124"/>
      <c r="Q2316" s="124"/>
      <c r="R2316" s="124"/>
      <c r="S2316" s="124"/>
      <c r="T2316" s="124"/>
      <c r="U2316" s="124"/>
      <c r="V2316" s="124"/>
      <c r="W2316" s="124"/>
      <c r="X2316" s="124"/>
      <c r="Y2316" s="124"/>
    </row>
    <row r="2317" spans="2:25" x14ac:dyDescent="0.25">
      <c r="B2317" s="124"/>
      <c r="C2317" s="124"/>
      <c r="D2317" s="124"/>
      <c r="E2317" s="124"/>
      <c r="F2317" s="124"/>
      <c r="G2317" s="124"/>
      <c r="H2317" s="124"/>
      <c r="I2317" s="124"/>
      <c r="J2317" s="124"/>
      <c r="K2317" s="124"/>
      <c r="L2317" s="124"/>
      <c r="M2317" s="124"/>
      <c r="N2317" s="124"/>
      <c r="O2317" s="124"/>
      <c r="P2317" s="124"/>
      <c r="Q2317" s="124"/>
      <c r="R2317" s="124"/>
      <c r="S2317" s="124"/>
      <c r="T2317" s="124"/>
      <c r="U2317" s="124"/>
      <c r="V2317" s="124"/>
      <c r="W2317" s="124"/>
      <c r="X2317" s="124"/>
      <c r="Y2317" s="124"/>
    </row>
    <row r="2318" spans="2:25" x14ac:dyDescent="0.25">
      <c r="B2318" s="124"/>
      <c r="C2318" s="124"/>
      <c r="D2318" s="124"/>
      <c r="E2318" s="124"/>
      <c r="F2318" s="124"/>
      <c r="G2318" s="124"/>
      <c r="H2318" s="124"/>
      <c r="I2318" s="124"/>
      <c r="J2318" s="124"/>
      <c r="K2318" s="124"/>
      <c r="L2318" s="124"/>
      <c r="M2318" s="124"/>
      <c r="N2318" s="124"/>
      <c r="O2318" s="124"/>
      <c r="P2318" s="124"/>
      <c r="Q2318" s="124"/>
      <c r="R2318" s="124"/>
      <c r="S2318" s="124"/>
      <c r="T2318" s="124"/>
      <c r="U2318" s="124"/>
      <c r="V2318" s="124"/>
      <c r="W2318" s="124"/>
      <c r="X2318" s="124"/>
      <c r="Y2318" s="124"/>
    </row>
    <row r="2319" spans="2:25" x14ac:dyDescent="0.25">
      <c r="B2319" s="124"/>
      <c r="C2319" s="124"/>
      <c r="D2319" s="124"/>
      <c r="E2319" s="124"/>
      <c r="F2319" s="124"/>
      <c r="G2319" s="124"/>
      <c r="H2319" s="124"/>
      <c r="I2319" s="124"/>
      <c r="J2319" s="124"/>
      <c r="K2319" s="124"/>
      <c r="L2319" s="124"/>
      <c r="M2319" s="124"/>
      <c r="N2319" s="124"/>
      <c r="O2319" s="124"/>
      <c r="P2319" s="124"/>
      <c r="Q2319" s="124"/>
      <c r="R2319" s="124"/>
      <c r="S2319" s="124"/>
      <c r="T2319" s="124"/>
      <c r="U2319" s="124"/>
      <c r="V2319" s="124"/>
      <c r="W2319" s="124"/>
      <c r="X2319" s="124"/>
      <c r="Y2319" s="124"/>
    </row>
    <row r="2320" spans="2:25" x14ac:dyDescent="0.25">
      <c r="B2320" s="124"/>
      <c r="C2320" s="124"/>
      <c r="D2320" s="124"/>
      <c r="E2320" s="124"/>
      <c r="F2320" s="124"/>
      <c r="G2320" s="124"/>
      <c r="H2320" s="124"/>
      <c r="I2320" s="124"/>
      <c r="J2320" s="124"/>
      <c r="K2320" s="124"/>
      <c r="L2320" s="124"/>
      <c r="M2320" s="124"/>
      <c r="N2320" s="124"/>
      <c r="O2320" s="124"/>
      <c r="P2320" s="124"/>
      <c r="Q2320" s="124"/>
      <c r="R2320" s="124"/>
      <c r="S2320" s="124"/>
      <c r="T2320" s="124"/>
      <c r="U2320" s="124"/>
      <c r="V2320" s="124"/>
      <c r="W2320" s="124"/>
      <c r="X2320" s="124"/>
      <c r="Y2320" s="124"/>
    </row>
    <row r="2321" spans="2:25" x14ac:dyDescent="0.25">
      <c r="B2321" s="124"/>
      <c r="C2321" s="124"/>
      <c r="D2321" s="124"/>
      <c r="E2321" s="124"/>
      <c r="F2321" s="124"/>
      <c r="G2321" s="124"/>
      <c r="H2321" s="124"/>
      <c r="I2321" s="124"/>
      <c r="J2321" s="124"/>
      <c r="K2321" s="124"/>
      <c r="L2321" s="124"/>
      <c r="M2321" s="124"/>
      <c r="N2321" s="124"/>
      <c r="O2321" s="124"/>
      <c r="P2321" s="124"/>
      <c r="Q2321" s="124"/>
      <c r="R2321" s="124"/>
      <c r="S2321" s="124"/>
      <c r="T2321" s="124"/>
      <c r="U2321" s="124"/>
      <c r="V2321" s="124"/>
      <c r="W2321" s="124"/>
      <c r="X2321" s="124"/>
      <c r="Y2321" s="124"/>
    </row>
    <row r="2322" spans="2:25" x14ac:dyDescent="0.25">
      <c r="B2322" s="124"/>
      <c r="C2322" s="124"/>
      <c r="D2322" s="124"/>
      <c r="E2322" s="124"/>
      <c r="F2322" s="124"/>
      <c r="G2322" s="124"/>
      <c r="H2322" s="124"/>
      <c r="I2322" s="124"/>
      <c r="J2322" s="124"/>
      <c r="K2322" s="124"/>
      <c r="L2322" s="124"/>
      <c r="M2322" s="124"/>
      <c r="N2322" s="124"/>
      <c r="O2322" s="124"/>
      <c r="P2322" s="124"/>
      <c r="Q2322" s="124"/>
      <c r="R2322" s="124"/>
      <c r="S2322" s="124"/>
      <c r="T2322" s="124"/>
      <c r="U2322" s="124"/>
      <c r="V2322" s="124"/>
      <c r="W2322" s="124"/>
      <c r="X2322" s="124"/>
      <c r="Y2322" s="124"/>
    </row>
    <row r="2323" spans="2:25" x14ac:dyDescent="0.25">
      <c r="B2323" s="124"/>
      <c r="C2323" s="124"/>
      <c r="D2323" s="124"/>
      <c r="E2323" s="124"/>
      <c r="F2323" s="124"/>
      <c r="G2323" s="124"/>
      <c r="H2323" s="124"/>
      <c r="I2323" s="124"/>
      <c r="J2323" s="124"/>
      <c r="K2323" s="124"/>
      <c r="L2323" s="124"/>
      <c r="M2323" s="124"/>
      <c r="N2323" s="124"/>
      <c r="O2323" s="124"/>
      <c r="P2323" s="124"/>
      <c r="Q2323" s="124"/>
      <c r="R2323" s="124"/>
      <c r="S2323" s="124"/>
      <c r="T2323" s="124"/>
      <c r="U2323" s="124"/>
      <c r="V2323" s="124"/>
      <c r="W2323" s="124"/>
      <c r="X2323" s="124"/>
      <c r="Y2323" s="124"/>
    </row>
    <row r="2324" spans="2:25" x14ac:dyDescent="0.25">
      <c r="B2324" s="124"/>
      <c r="C2324" s="124"/>
      <c r="D2324" s="124"/>
      <c r="E2324" s="124"/>
      <c r="F2324" s="124"/>
      <c r="G2324" s="124"/>
      <c r="H2324" s="124"/>
      <c r="I2324" s="124"/>
      <c r="J2324" s="124"/>
      <c r="K2324" s="124"/>
      <c r="L2324" s="124"/>
      <c r="M2324" s="124"/>
      <c r="N2324" s="124"/>
      <c r="O2324" s="124"/>
      <c r="P2324" s="124"/>
      <c r="Q2324" s="124"/>
      <c r="R2324" s="124"/>
      <c r="S2324" s="124"/>
      <c r="T2324" s="124"/>
      <c r="U2324" s="124"/>
      <c r="V2324" s="124"/>
      <c r="W2324" s="124"/>
      <c r="X2324" s="124"/>
      <c r="Y2324" s="124"/>
    </row>
    <row r="2325" spans="2:25" x14ac:dyDescent="0.25">
      <c r="B2325" s="124"/>
      <c r="C2325" s="124"/>
      <c r="D2325" s="124"/>
      <c r="E2325" s="124"/>
      <c r="F2325" s="124"/>
      <c r="G2325" s="124"/>
      <c r="H2325" s="124"/>
      <c r="I2325" s="124"/>
      <c r="J2325" s="124"/>
      <c r="K2325" s="124"/>
      <c r="L2325" s="124"/>
      <c r="M2325" s="124"/>
      <c r="N2325" s="124"/>
      <c r="O2325" s="124"/>
      <c r="P2325" s="124"/>
      <c r="Q2325" s="124"/>
      <c r="R2325" s="124"/>
      <c r="S2325" s="124"/>
      <c r="T2325" s="124"/>
      <c r="U2325" s="124"/>
      <c r="V2325" s="124"/>
      <c r="W2325" s="124"/>
      <c r="X2325" s="124"/>
      <c r="Y2325" s="124"/>
    </row>
    <row r="2326" spans="2:25" x14ac:dyDescent="0.25">
      <c r="B2326" s="124"/>
      <c r="C2326" s="124"/>
      <c r="D2326" s="124"/>
      <c r="E2326" s="124"/>
      <c r="F2326" s="124"/>
      <c r="G2326" s="124"/>
      <c r="H2326" s="124"/>
      <c r="I2326" s="124"/>
      <c r="J2326" s="124"/>
      <c r="K2326" s="124"/>
      <c r="L2326" s="124"/>
      <c r="M2326" s="124"/>
      <c r="N2326" s="124"/>
      <c r="O2326" s="124"/>
      <c r="P2326" s="124"/>
      <c r="Q2326" s="124"/>
      <c r="R2326" s="124"/>
      <c r="S2326" s="124"/>
      <c r="T2326" s="124"/>
      <c r="U2326" s="124"/>
      <c r="V2326" s="124"/>
      <c r="W2326" s="124"/>
      <c r="X2326" s="124"/>
      <c r="Y2326" s="124"/>
    </row>
    <row r="2327" spans="2:25" x14ac:dyDescent="0.25">
      <c r="B2327" s="124"/>
      <c r="C2327" s="124"/>
      <c r="D2327" s="124"/>
      <c r="E2327" s="124"/>
      <c r="F2327" s="124"/>
      <c r="G2327" s="124"/>
      <c r="H2327" s="124"/>
      <c r="I2327" s="124"/>
      <c r="J2327" s="124"/>
      <c r="K2327" s="124"/>
      <c r="L2327" s="124"/>
      <c r="M2327" s="124"/>
      <c r="N2327" s="124"/>
      <c r="O2327" s="124"/>
      <c r="P2327" s="124"/>
      <c r="Q2327" s="124"/>
      <c r="R2327" s="124"/>
      <c r="S2327" s="124"/>
      <c r="T2327" s="124"/>
      <c r="U2327" s="124"/>
      <c r="V2327" s="124"/>
      <c r="W2327" s="124"/>
      <c r="X2327" s="124"/>
      <c r="Y2327" s="124"/>
    </row>
    <row r="2328" spans="2:25" x14ac:dyDescent="0.25">
      <c r="B2328" s="124"/>
      <c r="C2328" s="124"/>
      <c r="D2328" s="124"/>
      <c r="E2328" s="124"/>
      <c r="F2328" s="124"/>
      <c r="G2328" s="124"/>
      <c r="H2328" s="124"/>
      <c r="I2328" s="124"/>
      <c r="J2328" s="124"/>
      <c r="K2328" s="124"/>
      <c r="L2328" s="124"/>
      <c r="M2328" s="124"/>
      <c r="N2328" s="124"/>
      <c r="O2328" s="124"/>
      <c r="P2328" s="124"/>
      <c r="Q2328" s="124"/>
      <c r="R2328" s="124"/>
      <c r="S2328" s="124"/>
      <c r="T2328" s="124"/>
      <c r="U2328" s="124"/>
      <c r="V2328" s="124"/>
      <c r="W2328" s="124"/>
      <c r="X2328" s="124"/>
      <c r="Y2328" s="124"/>
    </row>
    <row r="2329" spans="2:25" x14ac:dyDescent="0.25">
      <c r="B2329" s="124"/>
      <c r="C2329" s="124"/>
      <c r="D2329" s="124"/>
      <c r="E2329" s="124"/>
      <c r="F2329" s="124"/>
      <c r="G2329" s="124"/>
      <c r="H2329" s="124"/>
      <c r="I2329" s="124"/>
      <c r="J2329" s="124"/>
      <c r="K2329" s="124"/>
      <c r="L2329" s="124"/>
      <c r="M2329" s="124"/>
      <c r="N2329" s="124"/>
      <c r="O2329" s="124"/>
      <c r="P2329" s="124"/>
      <c r="Q2329" s="124"/>
      <c r="R2329" s="124"/>
      <c r="S2329" s="124"/>
      <c r="T2329" s="124"/>
      <c r="U2329" s="124"/>
      <c r="V2329" s="124"/>
      <c r="W2329" s="124"/>
      <c r="X2329" s="124"/>
      <c r="Y2329" s="124"/>
    </row>
    <row r="2330" spans="2:25" x14ac:dyDescent="0.25">
      <c r="B2330" s="124"/>
      <c r="C2330" s="124"/>
      <c r="D2330" s="124"/>
      <c r="E2330" s="124"/>
      <c r="F2330" s="124"/>
      <c r="G2330" s="124"/>
      <c r="H2330" s="124"/>
      <c r="I2330" s="124"/>
      <c r="J2330" s="124"/>
      <c r="K2330" s="124"/>
      <c r="L2330" s="124"/>
      <c r="M2330" s="124"/>
      <c r="N2330" s="124"/>
      <c r="O2330" s="124"/>
      <c r="P2330" s="124"/>
      <c r="Q2330" s="124"/>
      <c r="R2330" s="124"/>
      <c r="S2330" s="124"/>
      <c r="T2330" s="124"/>
      <c r="U2330" s="124"/>
      <c r="V2330" s="124"/>
      <c r="W2330" s="124"/>
      <c r="X2330" s="124"/>
      <c r="Y2330" s="124"/>
    </row>
    <row r="2331" spans="2:25" x14ac:dyDescent="0.25">
      <c r="B2331" s="124"/>
      <c r="C2331" s="124"/>
      <c r="D2331" s="124"/>
      <c r="E2331" s="124"/>
      <c r="F2331" s="124"/>
      <c r="G2331" s="124"/>
      <c r="H2331" s="124"/>
      <c r="I2331" s="124"/>
      <c r="J2331" s="124"/>
      <c r="K2331" s="124"/>
      <c r="L2331" s="124"/>
      <c r="M2331" s="124"/>
      <c r="N2331" s="124"/>
      <c r="O2331" s="124"/>
      <c r="P2331" s="124"/>
      <c r="Q2331" s="124"/>
      <c r="R2331" s="124"/>
      <c r="S2331" s="124"/>
      <c r="T2331" s="124"/>
      <c r="U2331" s="124"/>
      <c r="V2331" s="124"/>
      <c r="W2331" s="124"/>
      <c r="X2331" s="124"/>
      <c r="Y2331" s="124"/>
    </row>
    <row r="2332" spans="2:25" x14ac:dyDescent="0.25">
      <c r="B2332" s="124"/>
      <c r="C2332" s="124"/>
      <c r="D2332" s="124"/>
      <c r="E2332" s="124"/>
      <c r="F2332" s="124"/>
      <c r="G2332" s="124"/>
      <c r="H2332" s="124"/>
      <c r="I2332" s="124"/>
      <c r="J2332" s="124"/>
      <c r="K2332" s="124"/>
      <c r="L2332" s="124"/>
      <c r="M2332" s="124"/>
      <c r="N2332" s="124"/>
      <c r="O2332" s="124"/>
      <c r="P2332" s="124"/>
      <c r="Q2332" s="124"/>
      <c r="R2332" s="124"/>
      <c r="S2332" s="124"/>
      <c r="T2332" s="124"/>
      <c r="U2332" s="124"/>
      <c r="V2332" s="124"/>
      <c r="W2332" s="124"/>
      <c r="X2332" s="124"/>
      <c r="Y2332" s="124"/>
    </row>
    <row r="2333" spans="2:25" x14ac:dyDescent="0.25">
      <c r="B2333" s="124"/>
      <c r="C2333" s="124"/>
      <c r="D2333" s="124"/>
      <c r="E2333" s="124"/>
      <c r="F2333" s="124"/>
      <c r="G2333" s="124"/>
      <c r="H2333" s="124"/>
      <c r="I2333" s="124"/>
      <c r="J2333" s="124"/>
      <c r="K2333" s="124"/>
      <c r="L2333" s="124"/>
      <c r="M2333" s="124"/>
      <c r="N2333" s="124"/>
      <c r="O2333" s="124"/>
      <c r="P2333" s="124"/>
      <c r="Q2333" s="124"/>
      <c r="R2333" s="124"/>
      <c r="S2333" s="124"/>
      <c r="T2333" s="124"/>
      <c r="U2333" s="124"/>
      <c r="V2333" s="124"/>
      <c r="W2333" s="124"/>
      <c r="X2333" s="124"/>
      <c r="Y2333" s="124"/>
    </row>
    <row r="2334" spans="2:25" x14ac:dyDescent="0.25">
      <c r="B2334" s="124"/>
      <c r="C2334" s="124"/>
      <c r="D2334" s="124"/>
      <c r="E2334" s="124"/>
      <c r="F2334" s="124"/>
      <c r="G2334" s="124"/>
      <c r="H2334" s="124"/>
      <c r="I2334" s="124"/>
      <c r="J2334" s="124"/>
      <c r="K2334" s="124"/>
      <c r="L2334" s="124"/>
      <c r="M2334" s="124"/>
      <c r="N2334" s="124"/>
      <c r="O2334" s="124"/>
      <c r="P2334" s="124"/>
      <c r="Q2334" s="124"/>
      <c r="R2334" s="124"/>
      <c r="S2334" s="124"/>
      <c r="T2334" s="124"/>
      <c r="U2334" s="124"/>
      <c r="V2334" s="124"/>
      <c r="W2334" s="124"/>
      <c r="X2334" s="124"/>
      <c r="Y2334" s="124"/>
    </row>
    <row r="2335" spans="2:25" x14ac:dyDescent="0.25">
      <c r="B2335" s="124"/>
      <c r="C2335" s="124"/>
      <c r="D2335" s="124"/>
      <c r="E2335" s="124"/>
      <c r="F2335" s="124"/>
      <c r="G2335" s="124"/>
      <c r="H2335" s="124"/>
      <c r="I2335" s="124"/>
      <c r="J2335" s="124"/>
      <c r="K2335" s="124"/>
      <c r="L2335" s="124"/>
      <c r="M2335" s="124"/>
      <c r="N2335" s="124"/>
      <c r="O2335" s="124"/>
      <c r="P2335" s="124"/>
      <c r="Q2335" s="124"/>
      <c r="R2335" s="124"/>
      <c r="S2335" s="124"/>
      <c r="T2335" s="124"/>
      <c r="U2335" s="124"/>
      <c r="V2335" s="124"/>
      <c r="W2335" s="124"/>
      <c r="X2335" s="124"/>
      <c r="Y2335" s="124"/>
    </row>
    <row r="2336" spans="2:25" x14ac:dyDescent="0.25">
      <c r="B2336" s="124"/>
      <c r="C2336" s="124"/>
      <c r="D2336" s="124"/>
      <c r="E2336" s="124"/>
      <c r="F2336" s="124"/>
      <c r="G2336" s="124"/>
      <c r="H2336" s="124"/>
      <c r="I2336" s="124"/>
      <c r="J2336" s="124"/>
      <c r="K2336" s="124"/>
      <c r="L2336" s="124"/>
      <c r="M2336" s="124"/>
      <c r="N2336" s="124"/>
      <c r="O2336" s="124"/>
      <c r="P2336" s="124"/>
      <c r="Q2336" s="124"/>
      <c r="R2336" s="124"/>
      <c r="S2336" s="124"/>
      <c r="T2336" s="124"/>
      <c r="U2336" s="124"/>
      <c r="V2336" s="124"/>
      <c r="W2336" s="124"/>
      <c r="X2336" s="124"/>
      <c r="Y2336" s="124"/>
    </row>
    <row r="2337" spans="2:25" x14ac:dyDescent="0.25">
      <c r="B2337" s="124"/>
      <c r="C2337" s="124"/>
      <c r="D2337" s="124"/>
      <c r="E2337" s="124"/>
      <c r="F2337" s="124"/>
      <c r="G2337" s="124"/>
      <c r="H2337" s="124"/>
      <c r="I2337" s="124"/>
      <c r="J2337" s="124"/>
      <c r="K2337" s="124"/>
      <c r="L2337" s="124"/>
      <c r="M2337" s="124"/>
      <c r="N2337" s="124"/>
      <c r="O2337" s="124"/>
      <c r="P2337" s="124"/>
      <c r="Q2337" s="124"/>
      <c r="R2337" s="124"/>
      <c r="S2337" s="124"/>
      <c r="T2337" s="124"/>
      <c r="U2337" s="124"/>
      <c r="V2337" s="124"/>
      <c r="W2337" s="124"/>
      <c r="X2337" s="124"/>
      <c r="Y2337" s="124"/>
    </row>
    <row r="2338" spans="2:25" x14ac:dyDescent="0.25">
      <c r="B2338" s="124"/>
      <c r="C2338" s="124"/>
      <c r="D2338" s="124"/>
      <c r="E2338" s="124"/>
      <c r="F2338" s="124"/>
      <c r="G2338" s="124"/>
      <c r="H2338" s="124"/>
      <c r="I2338" s="124"/>
      <c r="J2338" s="124"/>
      <c r="K2338" s="124"/>
      <c r="L2338" s="124"/>
      <c r="M2338" s="124"/>
      <c r="N2338" s="124"/>
      <c r="O2338" s="124"/>
      <c r="P2338" s="124"/>
      <c r="Q2338" s="124"/>
      <c r="R2338" s="124"/>
      <c r="S2338" s="124"/>
      <c r="T2338" s="124"/>
      <c r="U2338" s="124"/>
      <c r="V2338" s="124"/>
      <c r="W2338" s="124"/>
      <c r="X2338" s="124"/>
      <c r="Y2338" s="124"/>
    </row>
    <row r="2339" spans="2:25" x14ac:dyDescent="0.25">
      <c r="B2339" s="124"/>
      <c r="C2339" s="124"/>
      <c r="D2339" s="124"/>
      <c r="E2339" s="124"/>
      <c r="F2339" s="124"/>
      <c r="G2339" s="124"/>
      <c r="H2339" s="124"/>
      <c r="I2339" s="124"/>
      <c r="J2339" s="124"/>
      <c r="K2339" s="124"/>
      <c r="L2339" s="124"/>
      <c r="M2339" s="124"/>
      <c r="N2339" s="124"/>
      <c r="O2339" s="124"/>
      <c r="P2339" s="124"/>
      <c r="Q2339" s="124"/>
      <c r="R2339" s="124"/>
      <c r="S2339" s="124"/>
      <c r="T2339" s="124"/>
      <c r="U2339" s="124"/>
      <c r="V2339" s="124"/>
      <c r="W2339" s="124"/>
      <c r="X2339" s="124"/>
      <c r="Y2339" s="124"/>
    </row>
    <row r="2340" spans="2:25" x14ac:dyDescent="0.25">
      <c r="B2340" s="124"/>
      <c r="C2340" s="124"/>
      <c r="D2340" s="124"/>
      <c r="E2340" s="124"/>
      <c r="F2340" s="124"/>
      <c r="G2340" s="124"/>
      <c r="H2340" s="124"/>
      <c r="I2340" s="124"/>
      <c r="J2340" s="124"/>
      <c r="K2340" s="124"/>
      <c r="L2340" s="124"/>
      <c r="M2340" s="124"/>
      <c r="N2340" s="124"/>
      <c r="O2340" s="124"/>
      <c r="P2340" s="124"/>
      <c r="Q2340" s="124"/>
      <c r="R2340" s="124"/>
      <c r="S2340" s="124"/>
      <c r="T2340" s="124"/>
      <c r="U2340" s="124"/>
      <c r="V2340" s="124"/>
      <c r="W2340" s="124"/>
      <c r="X2340" s="124"/>
      <c r="Y2340" s="124"/>
    </row>
    <row r="2341" spans="2:25" x14ac:dyDescent="0.25">
      <c r="B2341" s="124"/>
      <c r="C2341" s="124"/>
      <c r="D2341" s="124"/>
      <c r="E2341" s="124"/>
      <c r="F2341" s="124"/>
      <c r="G2341" s="124"/>
      <c r="H2341" s="124"/>
      <c r="I2341" s="124"/>
      <c r="J2341" s="124"/>
      <c r="K2341" s="124"/>
      <c r="L2341" s="124"/>
      <c r="M2341" s="124"/>
      <c r="N2341" s="124"/>
      <c r="O2341" s="124"/>
      <c r="P2341" s="124"/>
      <c r="Q2341" s="124"/>
      <c r="R2341" s="124"/>
      <c r="S2341" s="124"/>
      <c r="T2341" s="124"/>
      <c r="U2341" s="124"/>
      <c r="V2341" s="124"/>
      <c r="W2341" s="124"/>
      <c r="X2341" s="124"/>
      <c r="Y2341" s="124"/>
    </row>
    <row r="2342" spans="2:25" x14ac:dyDescent="0.25">
      <c r="B2342" s="124"/>
      <c r="C2342" s="124"/>
      <c r="D2342" s="124"/>
      <c r="E2342" s="124"/>
      <c r="F2342" s="124"/>
      <c r="G2342" s="124"/>
      <c r="H2342" s="124"/>
      <c r="I2342" s="124"/>
      <c r="J2342" s="124"/>
      <c r="K2342" s="124"/>
      <c r="L2342" s="124"/>
      <c r="M2342" s="124"/>
      <c r="N2342" s="124"/>
      <c r="O2342" s="124"/>
      <c r="P2342" s="124"/>
      <c r="Q2342" s="124"/>
      <c r="R2342" s="124"/>
      <c r="S2342" s="124"/>
      <c r="T2342" s="124"/>
      <c r="U2342" s="124"/>
      <c r="V2342" s="124"/>
      <c r="W2342" s="124"/>
      <c r="X2342" s="124"/>
      <c r="Y2342" s="124"/>
    </row>
    <row r="2343" spans="2:25" x14ac:dyDescent="0.25">
      <c r="B2343" s="124"/>
      <c r="C2343" s="124"/>
      <c r="D2343" s="124"/>
      <c r="E2343" s="124"/>
      <c r="F2343" s="124"/>
      <c r="G2343" s="124"/>
      <c r="H2343" s="124"/>
      <c r="I2343" s="124"/>
      <c r="J2343" s="124"/>
      <c r="K2343" s="124"/>
      <c r="L2343" s="124"/>
      <c r="M2343" s="124"/>
      <c r="N2343" s="124"/>
      <c r="O2343" s="124"/>
      <c r="P2343" s="124"/>
      <c r="Q2343" s="124"/>
      <c r="R2343" s="124"/>
      <c r="S2343" s="124"/>
      <c r="T2343" s="124"/>
      <c r="U2343" s="124"/>
      <c r="V2343" s="124"/>
      <c r="W2343" s="124"/>
      <c r="X2343" s="124"/>
      <c r="Y2343" s="124"/>
    </row>
    <row r="2344" spans="2:25" x14ac:dyDescent="0.25">
      <c r="B2344" s="124"/>
      <c r="C2344" s="124"/>
      <c r="D2344" s="124"/>
      <c r="E2344" s="124"/>
      <c r="F2344" s="124"/>
      <c r="G2344" s="124"/>
      <c r="H2344" s="124"/>
      <c r="I2344" s="124"/>
      <c r="J2344" s="124"/>
      <c r="K2344" s="124"/>
      <c r="L2344" s="124"/>
      <c r="M2344" s="124"/>
      <c r="N2344" s="124"/>
      <c r="O2344" s="124"/>
      <c r="P2344" s="124"/>
      <c r="Q2344" s="124"/>
      <c r="R2344" s="124"/>
      <c r="S2344" s="124"/>
      <c r="T2344" s="124"/>
      <c r="U2344" s="124"/>
      <c r="V2344" s="124"/>
      <c r="W2344" s="124"/>
      <c r="X2344" s="124"/>
      <c r="Y2344" s="124"/>
    </row>
    <row r="2345" spans="2:25" x14ac:dyDescent="0.25">
      <c r="B2345" s="124"/>
      <c r="C2345" s="124"/>
      <c r="D2345" s="124"/>
      <c r="E2345" s="124"/>
      <c r="F2345" s="124"/>
      <c r="G2345" s="124"/>
      <c r="H2345" s="124"/>
      <c r="I2345" s="124"/>
      <c r="J2345" s="124"/>
      <c r="K2345" s="124"/>
      <c r="L2345" s="124"/>
      <c r="M2345" s="124"/>
      <c r="N2345" s="124"/>
      <c r="O2345" s="124"/>
      <c r="P2345" s="124"/>
      <c r="Q2345" s="124"/>
      <c r="R2345" s="124"/>
      <c r="S2345" s="124"/>
      <c r="T2345" s="124"/>
      <c r="U2345" s="124"/>
      <c r="V2345" s="124"/>
      <c r="W2345" s="124"/>
      <c r="X2345" s="124"/>
      <c r="Y2345" s="124"/>
    </row>
    <row r="2346" spans="2:25" x14ac:dyDescent="0.25">
      <c r="B2346" s="124"/>
      <c r="C2346" s="124"/>
      <c r="D2346" s="124"/>
      <c r="E2346" s="124"/>
      <c r="F2346" s="124"/>
      <c r="G2346" s="124"/>
      <c r="H2346" s="124"/>
      <c r="I2346" s="124"/>
      <c r="J2346" s="124"/>
      <c r="K2346" s="124"/>
      <c r="L2346" s="124"/>
      <c r="M2346" s="124"/>
      <c r="N2346" s="124"/>
      <c r="O2346" s="124"/>
      <c r="P2346" s="124"/>
      <c r="Q2346" s="124"/>
      <c r="R2346" s="124"/>
      <c r="S2346" s="124"/>
      <c r="T2346" s="124"/>
      <c r="U2346" s="124"/>
      <c r="V2346" s="124"/>
      <c r="W2346" s="124"/>
      <c r="X2346" s="124"/>
      <c r="Y2346" s="124"/>
    </row>
    <row r="2347" spans="2:25" x14ac:dyDescent="0.25">
      <c r="B2347" s="124"/>
      <c r="C2347" s="124"/>
      <c r="D2347" s="124"/>
      <c r="E2347" s="124"/>
      <c r="F2347" s="124"/>
      <c r="G2347" s="124"/>
      <c r="H2347" s="124"/>
      <c r="I2347" s="124"/>
      <c r="J2347" s="124"/>
      <c r="K2347" s="124"/>
      <c r="L2347" s="124"/>
      <c r="M2347" s="124"/>
      <c r="N2347" s="124"/>
      <c r="O2347" s="124"/>
      <c r="P2347" s="124"/>
      <c r="Q2347" s="124"/>
      <c r="R2347" s="124"/>
      <c r="S2347" s="124"/>
      <c r="T2347" s="124"/>
      <c r="U2347" s="124"/>
      <c r="V2347" s="124"/>
      <c r="W2347" s="124"/>
      <c r="X2347" s="124"/>
      <c r="Y2347" s="124"/>
    </row>
    <row r="2348" spans="2:25" x14ac:dyDescent="0.25">
      <c r="B2348" s="124"/>
      <c r="C2348" s="124"/>
      <c r="D2348" s="124"/>
      <c r="E2348" s="124"/>
      <c r="F2348" s="124"/>
      <c r="G2348" s="124"/>
      <c r="H2348" s="124"/>
      <c r="I2348" s="124"/>
      <c r="J2348" s="124"/>
      <c r="K2348" s="124"/>
      <c r="L2348" s="124"/>
      <c r="M2348" s="124"/>
      <c r="N2348" s="124"/>
      <c r="O2348" s="124"/>
      <c r="P2348" s="124"/>
      <c r="Q2348" s="124"/>
      <c r="R2348" s="124"/>
      <c r="S2348" s="124"/>
      <c r="T2348" s="124"/>
      <c r="U2348" s="124"/>
      <c r="V2348" s="124"/>
      <c r="W2348" s="124"/>
      <c r="X2348" s="124"/>
      <c r="Y2348" s="124"/>
    </row>
    <row r="2349" spans="2:25" x14ac:dyDescent="0.25">
      <c r="B2349" s="124"/>
      <c r="C2349" s="124"/>
      <c r="D2349" s="124"/>
      <c r="E2349" s="124"/>
      <c r="F2349" s="124"/>
      <c r="G2349" s="124"/>
      <c r="H2349" s="124"/>
      <c r="I2349" s="124"/>
      <c r="J2349" s="124"/>
      <c r="K2349" s="124"/>
      <c r="L2349" s="124"/>
      <c r="M2349" s="124"/>
      <c r="N2349" s="124"/>
      <c r="O2349" s="124"/>
      <c r="P2349" s="124"/>
      <c r="Q2349" s="124"/>
      <c r="R2349" s="124"/>
      <c r="S2349" s="124"/>
      <c r="T2349" s="124"/>
      <c r="U2349" s="124"/>
      <c r="V2349" s="124"/>
      <c r="W2349" s="124"/>
      <c r="X2349" s="124"/>
      <c r="Y2349" s="124"/>
    </row>
    <row r="2350" spans="2:25" x14ac:dyDescent="0.25">
      <c r="B2350" s="124"/>
      <c r="C2350" s="124"/>
      <c r="D2350" s="124"/>
      <c r="E2350" s="124"/>
      <c r="F2350" s="124"/>
      <c r="G2350" s="124"/>
      <c r="H2350" s="124"/>
      <c r="I2350" s="124"/>
      <c r="J2350" s="124"/>
      <c r="K2350" s="124"/>
      <c r="L2350" s="124"/>
      <c r="M2350" s="124"/>
      <c r="N2350" s="124"/>
      <c r="O2350" s="124"/>
      <c r="P2350" s="124"/>
      <c r="Q2350" s="124"/>
      <c r="R2350" s="124"/>
      <c r="S2350" s="124"/>
      <c r="T2350" s="124"/>
      <c r="U2350" s="124"/>
      <c r="V2350" s="124"/>
      <c r="W2350" s="124"/>
      <c r="X2350" s="124"/>
      <c r="Y2350" s="124"/>
    </row>
    <row r="2351" spans="2:25" x14ac:dyDescent="0.25">
      <c r="B2351" s="124"/>
      <c r="C2351" s="124"/>
      <c r="D2351" s="124"/>
      <c r="E2351" s="124"/>
      <c r="F2351" s="124"/>
      <c r="G2351" s="124"/>
      <c r="H2351" s="124"/>
      <c r="I2351" s="124"/>
      <c r="J2351" s="124"/>
      <c r="K2351" s="124"/>
      <c r="L2351" s="124"/>
      <c r="M2351" s="124"/>
      <c r="N2351" s="124"/>
      <c r="O2351" s="124"/>
      <c r="P2351" s="124"/>
      <c r="Q2351" s="124"/>
      <c r="R2351" s="124"/>
      <c r="S2351" s="124"/>
      <c r="T2351" s="124"/>
      <c r="U2351" s="124"/>
      <c r="V2351" s="124"/>
      <c r="W2351" s="124"/>
      <c r="X2351" s="124"/>
      <c r="Y2351" s="124"/>
    </row>
    <row r="2352" spans="2:25" x14ac:dyDescent="0.25">
      <c r="B2352" s="124"/>
      <c r="C2352" s="124"/>
      <c r="D2352" s="124"/>
      <c r="E2352" s="124"/>
      <c r="F2352" s="124"/>
      <c r="G2352" s="124"/>
      <c r="H2352" s="124"/>
      <c r="I2352" s="124"/>
      <c r="J2352" s="124"/>
      <c r="K2352" s="124"/>
      <c r="L2352" s="124"/>
      <c r="M2352" s="124"/>
      <c r="N2352" s="124"/>
      <c r="O2352" s="124"/>
      <c r="P2352" s="124"/>
      <c r="Q2352" s="124"/>
      <c r="R2352" s="124"/>
      <c r="S2352" s="124"/>
      <c r="T2352" s="124"/>
      <c r="U2352" s="124"/>
      <c r="V2352" s="124"/>
      <c r="W2352" s="124"/>
      <c r="X2352" s="124"/>
      <c r="Y2352" s="124"/>
    </row>
    <row r="2353" spans="2:25" x14ac:dyDescent="0.25">
      <c r="B2353" s="124"/>
      <c r="C2353" s="124"/>
      <c r="D2353" s="124"/>
      <c r="E2353" s="124"/>
      <c r="F2353" s="124"/>
      <c r="G2353" s="124"/>
      <c r="H2353" s="124"/>
      <c r="I2353" s="124"/>
      <c r="J2353" s="124"/>
      <c r="K2353" s="124"/>
      <c r="L2353" s="124"/>
      <c r="M2353" s="124"/>
      <c r="N2353" s="124"/>
      <c r="O2353" s="124"/>
      <c r="P2353" s="124"/>
      <c r="Q2353" s="124"/>
      <c r="R2353" s="124"/>
      <c r="S2353" s="124"/>
      <c r="T2353" s="124"/>
      <c r="U2353" s="124"/>
      <c r="V2353" s="124"/>
      <c r="W2353" s="124"/>
      <c r="X2353" s="124"/>
      <c r="Y2353" s="124"/>
    </row>
    <row r="2354" spans="2:25" x14ac:dyDescent="0.25">
      <c r="B2354" s="124"/>
      <c r="C2354" s="124"/>
      <c r="D2354" s="124"/>
      <c r="E2354" s="124"/>
      <c r="F2354" s="124"/>
      <c r="G2354" s="124"/>
      <c r="H2354" s="124"/>
      <c r="I2354" s="124"/>
      <c r="J2354" s="124"/>
      <c r="K2354" s="124"/>
      <c r="L2354" s="124"/>
      <c r="M2354" s="124"/>
      <c r="N2354" s="124"/>
      <c r="O2354" s="124"/>
      <c r="P2354" s="124"/>
      <c r="Q2354" s="124"/>
      <c r="R2354" s="124"/>
      <c r="S2354" s="124"/>
      <c r="T2354" s="124"/>
      <c r="U2354" s="124"/>
      <c r="V2354" s="124"/>
      <c r="W2354" s="124"/>
      <c r="X2354" s="124"/>
      <c r="Y2354" s="124"/>
    </row>
    <row r="2355" spans="2:25" x14ac:dyDescent="0.25">
      <c r="B2355" s="124"/>
      <c r="C2355" s="124"/>
      <c r="D2355" s="124"/>
      <c r="E2355" s="124"/>
      <c r="F2355" s="124"/>
      <c r="G2355" s="124"/>
      <c r="H2355" s="124"/>
      <c r="I2355" s="124"/>
      <c r="J2355" s="124"/>
      <c r="K2355" s="124"/>
      <c r="L2355" s="124"/>
      <c r="M2355" s="124"/>
      <c r="N2355" s="124"/>
      <c r="O2355" s="124"/>
      <c r="P2355" s="124"/>
      <c r="Q2355" s="124"/>
      <c r="R2355" s="124"/>
      <c r="S2355" s="124"/>
      <c r="T2355" s="124"/>
      <c r="U2355" s="124"/>
      <c r="V2355" s="124"/>
      <c r="W2355" s="124"/>
      <c r="X2355" s="124"/>
      <c r="Y2355" s="124"/>
    </row>
    <row r="2356" spans="2:25" x14ac:dyDescent="0.25">
      <c r="B2356" s="124"/>
      <c r="C2356" s="124"/>
      <c r="D2356" s="124"/>
      <c r="E2356" s="124"/>
      <c r="F2356" s="124"/>
      <c r="G2356" s="124"/>
      <c r="H2356" s="124"/>
      <c r="I2356" s="124"/>
      <c r="J2356" s="124"/>
      <c r="K2356" s="124"/>
      <c r="L2356" s="124"/>
      <c r="M2356" s="124"/>
      <c r="N2356" s="124"/>
      <c r="O2356" s="124"/>
      <c r="P2356" s="124"/>
      <c r="Q2356" s="124"/>
      <c r="R2356" s="124"/>
      <c r="S2356" s="124"/>
      <c r="T2356" s="124"/>
      <c r="U2356" s="124"/>
      <c r="V2356" s="124"/>
      <c r="W2356" s="124"/>
      <c r="X2356" s="124"/>
      <c r="Y2356" s="124"/>
    </row>
    <row r="2357" spans="2:25" x14ac:dyDescent="0.25">
      <c r="B2357" s="124"/>
      <c r="C2357" s="124"/>
      <c r="D2357" s="124"/>
      <c r="E2357" s="124"/>
      <c r="F2357" s="124"/>
      <c r="G2357" s="124"/>
      <c r="H2357" s="124"/>
      <c r="I2357" s="124"/>
      <c r="J2357" s="124"/>
      <c r="K2357" s="124"/>
      <c r="L2357" s="124"/>
      <c r="M2357" s="124"/>
      <c r="N2357" s="124"/>
      <c r="O2357" s="124"/>
      <c r="P2357" s="124"/>
      <c r="Q2357" s="124"/>
      <c r="R2357" s="124"/>
      <c r="S2357" s="124"/>
      <c r="T2357" s="124"/>
      <c r="U2357" s="124"/>
      <c r="V2357" s="124"/>
      <c r="W2357" s="124"/>
      <c r="X2357" s="124"/>
      <c r="Y2357" s="124"/>
    </row>
    <row r="2358" spans="2:25" x14ac:dyDescent="0.25">
      <c r="B2358" s="124"/>
      <c r="C2358" s="124"/>
      <c r="D2358" s="124"/>
      <c r="E2358" s="124"/>
      <c r="F2358" s="124"/>
      <c r="G2358" s="124"/>
      <c r="H2358" s="124"/>
      <c r="I2358" s="124"/>
      <c r="J2358" s="124"/>
      <c r="K2358" s="124"/>
      <c r="L2358" s="124"/>
      <c r="M2358" s="124"/>
      <c r="N2358" s="124"/>
      <c r="O2358" s="124"/>
      <c r="P2358" s="124"/>
      <c r="Q2358" s="124"/>
      <c r="R2358" s="124"/>
      <c r="S2358" s="124"/>
      <c r="T2358" s="124"/>
      <c r="U2358" s="124"/>
      <c r="V2358" s="124"/>
      <c r="W2358" s="124"/>
      <c r="X2358" s="124"/>
      <c r="Y2358" s="124"/>
    </row>
    <row r="2359" spans="2:25" x14ac:dyDescent="0.25">
      <c r="B2359" s="124"/>
      <c r="C2359" s="124"/>
      <c r="D2359" s="124"/>
      <c r="E2359" s="124"/>
      <c r="F2359" s="124"/>
      <c r="G2359" s="124"/>
      <c r="H2359" s="124"/>
      <c r="I2359" s="124"/>
      <c r="J2359" s="124"/>
      <c r="K2359" s="124"/>
      <c r="L2359" s="124"/>
      <c r="M2359" s="124"/>
      <c r="N2359" s="124"/>
      <c r="O2359" s="124"/>
      <c r="P2359" s="124"/>
      <c r="Q2359" s="124"/>
      <c r="R2359" s="124"/>
      <c r="S2359" s="124"/>
      <c r="T2359" s="124"/>
      <c r="U2359" s="124"/>
      <c r="V2359" s="124"/>
      <c r="W2359" s="124"/>
      <c r="X2359" s="124"/>
      <c r="Y2359" s="124"/>
    </row>
    <row r="2360" spans="2:25" x14ac:dyDescent="0.25">
      <c r="B2360" s="124"/>
      <c r="C2360" s="124"/>
      <c r="D2360" s="124"/>
      <c r="E2360" s="124"/>
      <c r="F2360" s="124"/>
      <c r="G2360" s="124"/>
      <c r="H2360" s="124"/>
      <c r="I2360" s="124"/>
      <c r="J2360" s="124"/>
      <c r="K2360" s="124"/>
      <c r="L2360" s="124"/>
      <c r="M2360" s="124"/>
      <c r="N2360" s="124"/>
      <c r="O2360" s="124"/>
      <c r="P2360" s="124"/>
      <c r="Q2360" s="124"/>
      <c r="R2360" s="124"/>
      <c r="S2360" s="124"/>
      <c r="T2360" s="124"/>
      <c r="U2360" s="124"/>
      <c r="V2360" s="124"/>
      <c r="W2360" s="124"/>
      <c r="X2360" s="124"/>
      <c r="Y2360" s="124"/>
    </row>
    <row r="2361" spans="2:25" x14ac:dyDescent="0.25">
      <c r="B2361" s="124"/>
      <c r="C2361" s="124"/>
      <c r="D2361" s="124"/>
      <c r="E2361" s="124"/>
      <c r="F2361" s="124"/>
      <c r="G2361" s="124"/>
      <c r="H2361" s="124"/>
      <c r="I2361" s="124"/>
      <c r="J2361" s="124"/>
      <c r="K2361" s="124"/>
      <c r="L2361" s="124"/>
      <c r="M2361" s="124"/>
      <c r="N2361" s="124"/>
      <c r="O2361" s="124"/>
      <c r="P2361" s="124"/>
      <c r="Q2361" s="124"/>
      <c r="R2361" s="124"/>
      <c r="S2361" s="124"/>
      <c r="T2361" s="124"/>
      <c r="U2361" s="124"/>
      <c r="V2361" s="124"/>
      <c r="W2361" s="124"/>
      <c r="X2361" s="124"/>
      <c r="Y2361" s="124"/>
    </row>
    <row r="2362" spans="2:25" x14ac:dyDescent="0.25">
      <c r="B2362" s="124"/>
      <c r="C2362" s="124"/>
      <c r="D2362" s="124"/>
      <c r="E2362" s="124"/>
      <c r="F2362" s="124"/>
      <c r="G2362" s="124"/>
      <c r="H2362" s="124"/>
      <c r="I2362" s="124"/>
      <c r="J2362" s="124"/>
      <c r="K2362" s="124"/>
      <c r="L2362" s="124"/>
      <c r="M2362" s="124"/>
      <c r="N2362" s="124"/>
      <c r="O2362" s="124"/>
      <c r="P2362" s="124"/>
      <c r="Q2362" s="124"/>
      <c r="R2362" s="124"/>
      <c r="S2362" s="124"/>
      <c r="T2362" s="124"/>
      <c r="U2362" s="124"/>
      <c r="V2362" s="124"/>
      <c r="W2362" s="124"/>
      <c r="X2362" s="124"/>
      <c r="Y2362" s="124"/>
    </row>
    <row r="2363" spans="2:25" x14ac:dyDescent="0.25">
      <c r="B2363" s="124"/>
      <c r="C2363" s="124"/>
      <c r="D2363" s="124"/>
      <c r="E2363" s="124"/>
      <c r="F2363" s="124"/>
      <c r="G2363" s="124"/>
      <c r="H2363" s="124"/>
      <c r="I2363" s="124"/>
      <c r="J2363" s="124"/>
      <c r="K2363" s="124"/>
      <c r="L2363" s="124"/>
      <c r="M2363" s="124"/>
      <c r="N2363" s="124"/>
      <c r="O2363" s="124"/>
      <c r="P2363" s="124"/>
      <c r="Q2363" s="124"/>
      <c r="R2363" s="124"/>
      <c r="S2363" s="124"/>
      <c r="T2363" s="124"/>
      <c r="U2363" s="124"/>
      <c r="V2363" s="124"/>
      <c r="W2363" s="124"/>
      <c r="X2363" s="124"/>
      <c r="Y2363" s="124"/>
    </row>
    <row r="2364" spans="2:25" x14ac:dyDescent="0.25">
      <c r="B2364" s="124"/>
      <c r="C2364" s="124"/>
      <c r="D2364" s="124"/>
      <c r="E2364" s="124"/>
      <c r="F2364" s="124"/>
      <c r="G2364" s="124"/>
      <c r="H2364" s="124"/>
      <c r="I2364" s="124"/>
      <c r="J2364" s="124"/>
      <c r="K2364" s="124"/>
      <c r="L2364" s="124"/>
      <c r="M2364" s="124"/>
      <c r="N2364" s="124"/>
      <c r="O2364" s="124"/>
      <c r="P2364" s="124"/>
      <c r="Q2364" s="124"/>
      <c r="R2364" s="124"/>
      <c r="S2364" s="124"/>
      <c r="T2364" s="124"/>
      <c r="U2364" s="124"/>
      <c r="V2364" s="124"/>
      <c r="W2364" s="124"/>
      <c r="X2364" s="124"/>
      <c r="Y2364" s="124"/>
    </row>
    <row r="2365" spans="2:25" x14ac:dyDescent="0.25">
      <c r="B2365" s="124"/>
      <c r="C2365" s="124"/>
      <c r="D2365" s="124"/>
      <c r="E2365" s="124"/>
      <c r="F2365" s="124"/>
      <c r="G2365" s="124"/>
      <c r="H2365" s="124"/>
      <c r="I2365" s="124"/>
      <c r="J2365" s="124"/>
      <c r="K2365" s="124"/>
      <c r="L2365" s="124"/>
      <c r="M2365" s="124"/>
      <c r="N2365" s="124"/>
      <c r="O2365" s="124"/>
      <c r="P2365" s="124"/>
      <c r="Q2365" s="124"/>
      <c r="R2365" s="124"/>
      <c r="S2365" s="124"/>
      <c r="T2365" s="124"/>
      <c r="U2365" s="124"/>
      <c r="V2365" s="124"/>
      <c r="W2365" s="124"/>
      <c r="X2365" s="124"/>
      <c r="Y2365" s="124"/>
    </row>
    <row r="2366" spans="2:25" x14ac:dyDescent="0.25">
      <c r="B2366" s="124"/>
      <c r="C2366" s="124"/>
      <c r="D2366" s="124"/>
      <c r="E2366" s="124"/>
      <c r="F2366" s="124"/>
      <c r="G2366" s="124"/>
      <c r="H2366" s="124"/>
      <c r="I2366" s="124"/>
      <c r="J2366" s="124"/>
      <c r="K2366" s="124"/>
      <c r="L2366" s="124"/>
      <c r="M2366" s="124"/>
      <c r="N2366" s="124"/>
      <c r="O2366" s="124"/>
      <c r="P2366" s="124"/>
      <c r="Q2366" s="124"/>
      <c r="R2366" s="124"/>
      <c r="S2366" s="124"/>
      <c r="T2366" s="124"/>
      <c r="U2366" s="124"/>
      <c r="V2366" s="124"/>
      <c r="W2366" s="124"/>
      <c r="X2366" s="124"/>
      <c r="Y2366" s="124"/>
    </row>
    <row r="2367" spans="2:25" x14ac:dyDescent="0.25">
      <c r="B2367" s="124"/>
      <c r="C2367" s="124"/>
      <c r="D2367" s="124"/>
      <c r="E2367" s="124"/>
      <c r="F2367" s="124"/>
      <c r="G2367" s="124"/>
      <c r="H2367" s="124"/>
      <c r="I2367" s="124"/>
      <c r="J2367" s="124"/>
      <c r="K2367" s="124"/>
      <c r="L2367" s="124"/>
      <c r="M2367" s="124"/>
      <c r="N2367" s="124"/>
      <c r="O2367" s="124"/>
      <c r="P2367" s="124"/>
      <c r="Q2367" s="124"/>
      <c r="R2367" s="124"/>
      <c r="S2367" s="124"/>
      <c r="T2367" s="124"/>
      <c r="U2367" s="124"/>
      <c r="V2367" s="124"/>
      <c r="W2367" s="124"/>
      <c r="X2367" s="124"/>
      <c r="Y2367" s="124"/>
    </row>
    <row r="2368" spans="2:25" x14ac:dyDescent="0.25">
      <c r="B2368" s="124"/>
      <c r="C2368" s="124"/>
      <c r="D2368" s="124"/>
      <c r="E2368" s="124"/>
      <c r="F2368" s="124"/>
      <c r="G2368" s="124"/>
      <c r="H2368" s="124"/>
      <c r="I2368" s="124"/>
      <c r="J2368" s="124"/>
      <c r="K2368" s="124"/>
      <c r="L2368" s="124"/>
      <c r="M2368" s="124"/>
      <c r="N2368" s="124"/>
      <c r="O2368" s="124"/>
      <c r="P2368" s="124"/>
      <c r="Q2368" s="124"/>
      <c r="R2368" s="124"/>
      <c r="S2368" s="124"/>
      <c r="T2368" s="124"/>
      <c r="U2368" s="124"/>
      <c r="V2368" s="124"/>
      <c r="W2368" s="124"/>
      <c r="X2368" s="124"/>
      <c r="Y2368" s="124"/>
    </row>
    <row r="2369" spans="2:25" x14ac:dyDescent="0.25">
      <c r="B2369" s="124"/>
      <c r="C2369" s="124"/>
      <c r="D2369" s="124"/>
      <c r="E2369" s="124"/>
      <c r="F2369" s="124"/>
      <c r="G2369" s="124"/>
      <c r="H2369" s="124"/>
      <c r="I2369" s="124"/>
      <c r="J2369" s="124"/>
      <c r="K2369" s="124"/>
      <c r="L2369" s="124"/>
      <c r="M2369" s="124"/>
      <c r="N2369" s="124"/>
      <c r="O2369" s="124"/>
      <c r="P2369" s="124"/>
      <c r="Q2369" s="124"/>
      <c r="R2369" s="124"/>
      <c r="S2369" s="124"/>
      <c r="T2369" s="124"/>
      <c r="U2369" s="124"/>
      <c r="V2369" s="124"/>
      <c r="W2369" s="124"/>
      <c r="X2369" s="124"/>
      <c r="Y2369" s="124"/>
    </row>
    <row r="2370" spans="2:25" x14ac:dyDescent="0.25">
      <c r="B2370" s="124"/>
      <c r="C2370" s="124"/>
      <c r="D2370" s="124"/>
      <c r="E2370" s="124"/>
      <c r="F2370" s="124"/>
      <c r="G2370" s="124"/>
      <c r="H2370" s="124"/>
      <c r="I2370" s="124"/>
      <c r="J2370" s="124"/>
      <c r="K2370" s="124"/>
      <c r="L2370" s="124"/>
      <c r="M2370" s="124"/>
      <c r="N2370" s="124"/>
      <c r="O2370" s="124"/>
      <c r="P2370" s="124"/>
      <c r="Q2370" s="124"/>
      <c r="R2370" s="124"/>
      <c r="S2370" s="124"/>
      <c r="T2370" s="124"/>
      <c r="U2370" s="124"/>
      <c r="V2370" s="124"/>
      <c r="W2370" s="124"/>
      <c r="X2370" s="124"/>
      <c r="Y2370" s="124"/>
    </row>
    <row r="2371" spans="2:25" x14ac:dyDescent="0.25">
      <c r="B2371" s="124"/>
      <c r="C2371" s="124"/>
      <c r="D2371" s="124"/>
      <c r="E2371" s="124"/>
      <c r="F2371" s="124"/>
      <c r="G2371" s="124"/>
      <c r="H2371" s="124"/>
      <c r="I2371" s="124"/>
      <c r="J2371" s="124"/>
      <c r="K2371" s="124"/>
      <c r="L2371" s="124"/>
      <c r="M2371" s="124"/>
      <c r="N2371" s="124"/>
      <c r="O2371" s="124"/>
      <c r="P2371" s="124"/>
      <c r="Q2371" s="124"/>
      <c r="R2371" s="124"/>
      <c r="S2371" s="124"/>
      <c r="T2371" s="124"/>
      <c r="U2371" s="124"/>
      <c r="V2371" s="124"/>
      <c r="W2371" s="124"/>
      <c r="X2371" s="124"/>
      <c r="Y2371" s="124"/>
    </row>
    <row r="2372" spans="2:25" x14ac:dyDescent="0.25">
      <c r="B2372" s="124"/>
      <c r="C2372" s="124"/>
      <c r="D2372" s="124"/>
      <c r="E2372" s="124"/>
      <c r="F2372" s="124"/>
      <c r="G2372" s="124"/>
      <c r="H2372" s="124"/>
      <c r="I2372" s="124"/>
      <c r="J2372" s="124"/>
      <c r="K2372" s="124"/>
      <c r="L2372" s="124"/>
      <c r="M2372" s="124"/>
      <c r="N2372" s="124"/>
      <c r="O2372" s="124"/>
      <c r="P2372" s="124"/>
      <c r="Q2372" s="124"/>
      <c r="R2372" s="124"/>
      <c r="S2372" s="124"/>
      <c r="T2372" s="124"/>
      <c r="U2372" s="124"/>
      <c r="V2372" s="124"/>
      <c r="W2372" s="124"/>
      <c r="X2372" s="124"/>
      <c r="Y2372" s="124"/>
    </row>
    <row r="2373" spans="2:25" x14ac:dyDescent="0.25">
      <c r="B2373" s="124"/>
      <c r="C2373" s="124"/>
      <c r="D2373" s="124"/>
      <c r="E2373" s="124"/>
      <c r="F2373" s="124"/>
      <c r="G2373" s="124"/>
      <c r="H2373" s="124"/>
      <c r="I2373" s="124"/>
      <c r="J2373" s="124"/>
      <c r="K2373" s="124"/>
      <c r="L2373" s="124"/>
      <c r="M2373" s="124"/>
      <c r="N2373" s="124"/>
      <c r="O2373" s="124"/>
      <c r="P2373" s="124"/>
      <c r="Q2373" s="124"/>
      <c r="R2373" s="124"/>
      <c r="S2373" s="124"/>
      <c r="T2373" s="124"/>
      <c r="U2373" s="124"/>
      <c r="V2373" s="124"/>
      <c r="W2373" s="124"/>
      <c r="X2373" s="124"/>
      <c r="Y2373" s="124"/>
    </row>
    <row r="2374" spans="2:25" x14ac:dyDescent="0.25">
      <c r="B2374" s="124"/>
      <c r="C2374" s="124"/>
      <c r="D2374" s="124"/>
      <c r="E2374" s="124"/>
      <c r="F2374" s="124"/>
      <c r="G2374" s="124"/>
      <c r="H2374" s="124"/>
      <c r="I2374" s="124"/>
      <c r="J2374" s="124"/>
      <c r="K2374" s="124"/>
      <c r="L2374" s="124"/>
      <c r="M2374" s="124"/>
      <c r="N2374" s="124"/>
      <c r="O2374" s="124"/>
      <c r="P2374" s="124"/>
      <c r="Q2374" s="124"/>
      <c r="R2374" s="124"/>
      <c r="S2374" s="124"/>
      <c r="T2374" s="124"/>
      <c r="U2374" s="124"/>
      <c r="V2374" s="124"/>
      <c r="W2374" s="124"/>
      <c r="X2374" s="124"/>
      <c r="Y2374" s="124"/>
    </row>
    <row r="2375" spans="2:25" x14ac:dyDescent="0.25">
      <c r="B2375" s="124"/>
      <c r="C2375" s="124"/>
      <c r="D2375" s="124"/>
      <c r="E2375" s="124"/>
      <c r="F2375" s="124"/>
      <c r="G2375" s="124"/>
      <c r="H2375" s="124"/>
      <c r="I2375" s="124"/>
      <c r="J2375" s="124"/>
      <c r="K2375" s="124"/>
      <c r="L2375" s="124"/>
      <c r="M2375" s="124"/>
      <c r="N2375" s="124"/>
      <c r="O2375" s="124"/>
      <c r="P2375" s="124"/>
      <c r="Q2375" s="124"/>
      <c r="R2375" s="124"/>
      <c r="S2375" s="124"/>
      <c r="T2375" s="124"/>
      <c r="U2375" s="124"/>
      <c r="V2375" s="124"/>
      <c r="W2375" s="124"/>
      <c r="X2375" s="124"/>
      <c r="Y2375" s="124"/>
    </row>
    <row r="2376" spans="2:25" x14ac:dyDescent="0.25">
      <c r="B2376" s="124"/>
      <c r="C2376" s="124"/>
      <c r="D2376" s="124"/>
      <c r="E2376" s="124"/>
      <c r="F2376" s="124"/>
      <c r="G2376" s="124"/>
      <c r="H2376" s="124"/>
      <c r="I2376" s="124"/>
      <c r="J2376" s="124"/>
      <c r="K2376" s="124"/>
      <c r="L2376" s="124"/>
      <c r="M2376" s="124"/>
      <c r="N2376" s="124"/>
      <c r="O2376" s="124"/>
      <c r="P2376" s="124"/>
      <c r="Q2376" s="124"/>
      <c r="R2376" s="124"/>
      <c r="S2376" s="124"/>
      <c r="T2376" s="124"/>
      <c r="U2376" s="124"/>
      <c r="V2376" s="124"/>
      <c r="W2376" s="124"/>
      <c r="X2376" s="124"/>
      <c r="Y2376" s="124"/>
    </row>
    <row r="2377" spans="2:25" x14ac:dyDescent="0.25">
      <c r="B2377" s="124"/>
      <c r="C2377" s="124"/>
      <c r="D2377" s="124"/>
      <c r="E2377" s="124"/>
      <c r="F2377" s="124"/>
      <c r="G2377" s="124"/>
      <c r="H2377" s="124"/>
      <c r="I2377" s="124"/>
      <c r="J2377" s="124"/>
      <c r="K2377" s="124"/>
      <c r="L2377" s="124"/>
      <c r="M2377" s="124"/>
      <c r="N2377" s="124"/>
      <c r="O2377" s="124"/>
      <c r="P2377" s="124"/>
      <c r="Q2377" s="124"/>
      <c r="R2377" s="124"/>
      <c r="S2377" s="124"/>
      <c r="T2377" s="124"/>
      <c r="U2377" s="124"/>
      <c r="V2377" s="124"/>
      <c r="W2377" s="124"/>
      <c r="X2377" s="124"/>
      <c r="Y2377" s="124"/>
    </row>
    <row r="2378" spans="2:25" x14ac:dyDescent="0.25">
      <c r="B2378" s="124"/>
      <c r="C2378" s="124"/>
      <c r="D2378" s="124"/>
      <c r="E2378" s="124"/>
      <c r="F2378" s="124"/>
      <c r="G2378" s="124"/>
      <c r="H2378" s="124"/>
      <c r="I2378" s="124"/>
      <c r="J2378" s="124"/>
      <c r="K2378" s="124"/>
      <c r="L2378" s="124"/>
      <c r="M2378" s="124"/>
      <c r="N2378" s="124"/>
      <c r="O2378" s="124"/>
      <c r="P2378" s="124"/>
      <c r="Q2378" s="124"/>
      <c r="R2378" s="124"/>
      <c r="S2378" s="124"/>
      <c r="T2378" s="124"/>
      <c r="U2378" s="124"/>
      <c r="V2378" s="124"/>
      <c r="W2378" s="124"/>
      <c r="X2378" s="124"/>
      <c r="Y2378" s="124"/>
    </row>
    <row r="2379" spans="2:25" x14ac:dyDescent="0.25">
      <c r="B2379" s="124"/>
      <c r="C2379" s="124"/>
      <c r="D2379" s="124"/>
      <c r="E2379" s="124"/>
      <c r="F2379" s="124"/>
      <c r="G2379" s="124"/>
      <c r="H2379" s="124"/>
      <c r="I2379" s="124"/>
      <c r="J2379" s="124"/>
      <c r="K2379" s="124"/>
      <c r="L2379" s="124"/>
      <c r="M2379" s="124"/>
      <c r="N2379" s="124"/>
      <c r="O2379" s="124"/>
      <c r="P2379" s="124"/>
      <c r="Q2379" s="124"/>
      <c r="R2379" s="124"/>
      <c r="S2379" s="124"/>
      <c r="T2379" s="124"/>
      <c r="U2379" s="124"/>
      <c r="V2379" s="124"/>
      <c r="W2379" s="124"/>
      <c r="X2379" s="124"/>
      <c r="Y2379" s="124"/>
    </row>
    <row r="2380" spans="2:25" x14ac:dyDescent="0.25">
      <c r="B2380" s="124"/>
      <c r="C2380" s="124"/>
      <c r="D2380" s="124"/>
      <c r="E2380" s="124"/>
      <c r="F2380" s="124"/>
      <c r="G2380" s="124"/>
      <c r="H2380" s="124"/>
      <c r="I2380" s="124"/>
      <c r="J2380" s="124"/>
      <c r="K2380" s="124"/>
      <c r="L2380" s="124"/>
      <c r="M2380" s="124"/>
      <c r="N2380" s="124"/>
      <c r="O2380" s="124"/>
      <c r="P2380" s="124"/>
      <c r="Q2380" s="124"/>
      <c r="R2380" s="124"/>
      <c r="S2380" s="124"/>
      <c r="T2380" s="124"/>
      <c r="U2380" s="124"/>
      <c r="V2380" s="124"/>
      <c r="W2380" s="124"/>
      <c r="X2380" s="124"/>
      <c r="Y2380" s="124"/>
    </row>
    <row r="2381" spans="2:25" x14ac:dyDescent="0.25">
      <c r="B2381" s="124"/>
      <c r="C2381" s="124"/>
      <c r="D2381" s="124"/>
      <c r="E2381" s="124"/>
      <c r="F2381" s="124"/>
      <c r="G2381" s="124"/>
      <c r="H2381" s="124"/>
      <c r="I2381" s="124"/>
      <c r="J2381" s="124"/>
      <c r="K2381" s="124"/>
      <c r="L2381" s="124"/>
      <c r="M2381" s="124"/>
      <c r="N2381" s="124"/>
      <c r="O2381" s="124"/>
      <c r="P2381" s="124"/>
      <c r="Q2381" s="124"/>
      <c r="R2381" s="124"/>
      <c r="S2381" s="124"/>
      <c r="T2381" s="124"/>
      <c r="U2381" s="124"/>
      <c r="V2381" s="124"/>
      <c r="W2381" s="124"/>
      <c r="X2381" s="124"/>
      <c r="Y2381" s="124"/>
    </row>
    <row r="2382" spans="2:25" x14ac:dyDescent="0.25">
      <c r="B2382" s="124"/>
      <c r="C2382" s="124"/>
      <c r="D2382" s="124"/>
      <c r="E2382" s="124"/>
      <c r="F2382" s="124"/>
      <c r="G2382" s="124"/>
      <c r="H2382" s="124"/>
      <c r="I2382" s="124"/>
      <c r="J2382" s="124"/>
      <c r="K2382" s="124"/>
      <c r="L2382" s="124"/>
      <c r="M2382" s="124"/>
      <c r="N2382" s="124"/>
      <c r="O2382" s="124"/>
      <c r="P2382" s="124"/>
      <c r="Q2382" s="124"/>
      <c r="R2382" s="124"/>
      <c r="S2382" s="124"/>
      <c r="T2382" s="124"/>
      <c r="U2382" s="124"/>
      <c r="V2382" s="124"/>
      <c r="W2382" s="124"/>
      <c r="X2382" s="124"/>
      <c r="Y2382" s="124"/>
    </row>
    <row r="2383" spans="2:25" x14ac:dyDescent="0.25">
      <c r="B2383" s="124"/>
      <c r="C2383" s="124"/>
      <c r="D2383" s="124"/>
      <c r="E2383" s="124"/>
      <c r="F2383" s="124"/>
      <c r="G2383" s="124"/>
      <c r="H2383" s="124"/>
      <c r="I2383" s="124"/>
      <c r="J2383" s="124"/>
      <c r="K2383" s="124"/>
      <c r="L2383" s="124"/>
      <c r="M2383" s="124"/>
      <c r="N2383" s="124"/>
      <c r="O2383" s="124"/>
      <c r="P2383" s="124"/>
      <c r="Q2383" s="124"/>
      <c r="R2383" s="124"/>
      <c r="S2383" s="124"/>
      <c r="T2383" s="124"/>
      <c r="U2383" s="124"/>
      <c r="V2383" s="124"/>
      <c r="W2383" s="124"/>
      <c r="X2383" s="124"/>
      <c r="Y2383" s="124"/>
    </row>
    <row r="2384" spans="2:25" x14ac:dyDescent="0.25">
      <c r="B2384" s="124"/>
      <c r="C2384" s="124"/>
      <c r="D2384" s="124"/>
      <c r="E2384" s="124"/>
      <c r="F2384" s="124"/>
      <c r="G2384" s="124"/>
      <c r="H2384" s="124"/>
      <c r="I2384" s="124"/>
      <c r="J2384" s="124"/>
      <c r="K2384" s="124"/>
      <c r="L2384" s="124"/>
      <c r="M2384" s="124"/>
      <c r="N2384" s="124"/>
      <c r="O2384" s="124"/>
      <c r="P2384" s="124"/>
      <c r="Q2384" s="124"/>
      <c r="R2384" s="124"/>
      <c r="S2384" s="124"/>
      <c r="T2384" s="124"/>
      <c r="U2384" s="124"/>
      <c r="V2384" s="124"/>
      <c r="W2384" s="124"/>
      <c r="X2384" s="124"/>
      <c r="Y2384" s="124"/>
    </row>
    <row r="2385" spans="2:25" x14ac:dyDescent="0.25">
      <c r="B2385" s="124"/>
      <c r="C2385" s="124"/>
      <c r="D2385" s="124"/>
      <c r="E2385" s="124"/>
      <c r="F2385" s="124"/>
      <c r="G2385" s="124"/>
      <c r="H2385" s="124"/>
      <c r="I2385" s="124"/>
      <c r="J2385" s="124"/>
      <c r="K2385" s="124"/>
      <c r="L2385" s="124"/>
      <c r="M2385" s="124"/>
      <c r="N2385" s="124"/>
      <c r="O2385" s="124"/>
      <c r="P2385" s="124"/>
      <c r="Q2385" s="124"/>
      <c r="R2385" s="124"/>
      <c r="S2385" s="124"/>
      <c r="T2385" s="124"/>
      <c r="U2385" s="124"/>
      <c r="V2385" s="124"/>
      <c r="W2385" s="124"/>
      <c r="X2385" s="124"/>
      <c r="Y2385" s="124"/>
    </row>
    <row r="2386" spans="2:25" x14ac:dyDescent="0.25">
      <c r="B2386" s="124"/>
      <c r="C2386" s="124"/>
      <c r="D2386" s="124"/>
      <c r="E2386" s="124"/>
      <c r="F2386" s="124"/>
      <c r="G2386" s="124"/>
      <c r="H2386" s="124"/>
      <c r="I2386" s="124"/>
      <c r="J2386" s="124"/>
      <c r="K2386" s="124"/>
      <c r="L2386" s="124"/>
      <c r="M2386" s="124"/>
      <c r="N2386" s="124"/>
      <c r="O2386" s="124"/>
      <c r="P2386" s="124"/>
      <c r="Q2386" s="124"/>
      <c r="R2386" s="124"/>
      <c r="S2386" s="124"/>
      <c r="T2386" s="124"/>
      <c r="U2386" s="124"/>
      <c r="V2386" s="124"/>
      <c r="W2386" s="124"/>
      <c r="X2386" s="124"/>
      <c r="Y2386" s="124"/>
    </row>
    <row r="2387" spans="2:25" x14ac:dyDescent="0.25">
      <c r="B2387" s="124"/>
      <c r="C2387" s="124"/>
      <c r="D2387" s="124"/>
      <c r="E2387" s="124"/>
      <c r="F2387" s="124"/>
      <c r="G2387" s="124"/>
      <c r="H2387" s="124"/>
      <c r="I2387" s="124"/>
      <c r="J2387" s="124"/>
      <c r="K2387" s="124"/>
      <c r="L2387" s="124"/>
      <c r="M2387" s="124"/>
      <c r="N2387" s="124"/>
      <c r="O2387" s="124"/>
      <c r="P2387" s="124"/>
      <c r="Q2387" s="124"/>
      <c r="R2387" s="124"/>
      <c r="S2387" s="124"/>
      <c r="T2387" s="124"/>
      <c r="U2387" s="124"/>
      <c r="V2387" s="124"/>
      <c r="W2387" s="124"/>
      <c r="X2387" s="124"/>
      <c r="Y2387" s="124"/>
    </row>
    <row r="2388" spans="2:25" x14ac:dyDescent="0.25">
      <c r="B2388" s="124"/>
      <c r="C2388" s="124"/>
      <c r="D2388" s="124"/>
      <c r="E2388" s="124"/>
      <c r="F2388" s="124"/>
      <c r="G2388" s="124"/>
      <c r="H2388" s="124"/>
      <c r="I2388" s="124"/>
      <c r="J2388" s="124"/>
      <c r="K2388" s="124"/>
      <c r="L2388" s="124"/>
      <c r="M2388" s="124"/>
      <c r="N2388" s="124"/>
      <c r="O2388" s="124"/>
      <c r="P2388" s="124"/>
      <c r="Q2388" s="124"/>
      <c r="R2388" s="124"/>
      <c r="S2388" s="124"/>
      <c r="T2388" s="124"/>
      <c r="U2388" s="124"/>
      <c r="V2388" s="124"/>
      <c r="W2388" s="124"/>
      <c r="X2388" s="124"/>
      <c r="Y2388" s="124"/>
    </row>
    <row r="2389" spans="2:25" x14ac:dyDescent="0.25">
      <c r="B2389" s="124"/>
      <c r="C2389" s="124"/>
      <c r="D2389" s="124"/>
      <c r="E2389" s="124"/>
      <c r="F2389" s="124"/>
      <c r="G2389" s="124"/>
      <c r="H2389" s="124"/>
      <c r="I2389" s="124"/>
      <c r="J2389" s="124"/>
      <c r="K2389" s="124"/>
      <c r="L2389" s="124"/>
      <c r="M2389" s="124"/>
      <c r="N2389" s="124"/>
      <c r="O2389" s="124"/>
      <c r="P2389" s="124"/>
      <c r="Q2389" s="124"/>
      <c r="R2389" s="124"/>
      <c r="S2389" s="124"/>
      <c r="T2389" s="124"/>
      <c r="U2389" s="124"/>
      <c r="V2389" s="124"/>
      <c r="W2389" s="124"/>
      <c r="X2389" s="124"/>
      <c r="Y2389" s="124"/>
    </row>
    <row r="2390" spans="2:25" x14ac:dyDescent="0.25">
      <c r="B2390" s="124"/>
      <c r="C2390" s="124"/>
      <c r="D2390" s="124"/>
      <c r="E2390" s="124"/>
      <c r="F2390" s="124"/>
      <c r="G2390" s="124"/>
      <c r="H2390" s="124"/>
      <c r="I2390" s="124"/>
      <c r="J2390" s="124"/>
      <c r="K2390" s="124"/>
      <c r="L2390" s="124"/>
      <c r="M2390" s="124"/>
      <c r="N2390" s="124"/>
      <c r="O2390" s="124"/>
      <c r="P2390" s="124"/>
      <c r="Q2390" s="124"/>
      <c r="R2390" s="124"/>
      <c r="S2390" s="124"/>
      <c r="T2390" s="124"/>
      <c r="U2390" s="124"/>
      <c r="V2390" s="124"/>
      <c r="W2390" s="124"/>
      <c r="X2390" s="124"/>
      <c r="Y2390" s="124"/>
    </row>
    <row r="2391" spans="2:25" x14ac:dyDescent="0.25">
      <c r="B2391" s="124"/>
      <c r="C2391" s="124"/>
      <c r="D2391" s="124"/>
      <c r="E2391" s="124"/>
      <c r="F2391" s="124"/>
      <c r="G2391" s="124"/>
      <c r="H2391" s="124"/>
      <c r="I2391" s="124"/>
      <c r="J2391" s="124"/>
      <c r="K2391" s="124"/>
      <c r="L2391" s="124"/>
      <c r="M2391" s="124"/>
      <c r="N2391" s="124"/>
      <c r="O2391" s="124"/>
      <c r="P2391" s="124"/>
      <c r="Q2391" s="124"/>
      <c r="R2391" s="124"/>
      <c r="S2391" s="124"/>
      <c r="T2391" s="124"/>
      <c r="U2391" s="124"/>
      <c r="V2391" s="124"/>
      <c r="W2391" s="124"/>
      <c r="X2391" s="124"/>
      <c r="Y2391" s="124"/>
    </row>
    <row r="2392" spans="2:25" x14ac:dyDescent="0.25">
      <c r="B2392" s="124"/>
      <c r="C2392" s="124"/>
      <c r="D2392" s="124"/>
      <c r="E2392" s="124"/>
      <c r="F2392" s="124"/>
      <c r="G2392" s="124"/>
      <c r="H2392" s="124"/>
      <c r="I2392" s="124"/>
      <c r="J2392" s="124"/>
      <c r="K2392" s="124"/>
      <c r="L2392" s="124"/>
      <c r="M2392" s="124"/>
      <c r="N2392" s="124"/>
      <c r="O2392" s="124"/>
      <c r="P2392" s="124"/>
      <c r="Q2392" s="124"/>
      <c r="R2392" s="124"/>
      <c r="S2392" s="124"/>
      <c r="T2392" s="124"/>
      <c r="U2392" s="124"/>
      <c r="V2392" s="124"/>
      <c r="W2392" s="124"/>
      <c r="X2392" s="124"/>
      <c r="Y2392" s="124"/>
    </row>
    <row r="2393" spans="2:25" x14ac:dyDescent="0.25">
      <c r="B2393" s="124"/>
      <c r="C2393" s="124"/>
      <c r="D2393" s="124"/>
      <c r="E2393" s="124"/>
      <c r="F2393" s="124"/>
      <c r="G2393" s="124"/>
      <c r="H2393" s="124"/>
      <c r="I2393" s="124"/>
      <c r="J2393" s="124"/>
      <c r="K2393" s="124"/>
      <c r="L2393" s="124"/>
      <c r="M2393" s="124"/>
      <c r="N2393" s="124"/>
      <c r="O2393" s="124"/>
      <c r="P2393" s="124"/>
      <c r="Q2393" s="124"/>
      <c r="R2393" s="124"/>
      <c r="S2393" s="124"/>
      <c r="T2393" s="124"/>
      <c r="U2393" s="124"/>
      <c r="V2393" s="124"/>
      <c r="W2393" s="124"/>
      <c r="X2393" s="124"/>
      <c r="Y2393" s="124"/>
    </row>
    <row r="2394" spans="2:25" x14ac:dyDescent="0.25">
      <c r="B2394" s="124"/>
      <c r="C2394" s="124"/>
      <c r="D2394" s="124"/>
      <c r="E2394" s="124"/>
      <c r="F2394" s="124"/>
      <c r="G2394" s="124"/>
      <c r="H2394" s="124"/>
      <c r="I2394" s="124"/>
      <c r="J2394" s="124"/>
      <c r="K2394" s="124"/>
      <c r="L2394" s="124"/>
      <c r="M2394" s="124"/>
      <c r="N2394" s="124"/>
      <c r="O2394" s="124"/>
      <c r="P2394" s="124"/>
      <c r="Q2394" s="124"/>
      <c r="R2394" s="124"/>
      <c r="S2394" s="124"/>
      <c r="T2394" s="124"/>
      <c r="U2394" s="124"/>
      <c r="V2394" s="124"/>
      <c r="W2394" s="124"/>
      <c r="X2394" s="124"/>
      <c r="Y2394" s="124"/>
    </row>
    <row r="2395" spans="2:25" x14ac:dyDescent="0.25">
      <c r="B2395" s="124"/>
      <c r="C2395" s="124"/>
      <c r="D2395" s="124"/>
      <c r="E2395" s="124"/>
      <c r="F2395" s="124"/>
      <c r="G2395" s="124"/>
      <c r="H2395" s="124"/>
      <c r="I2395" s="124"/>
      <c r="J2395" s="124"/>
      <c r="K2395" s="124"/>
      <c r="L2395" s="124"/>
      <c r="M2395" s="124"/>
      <c r="N2395" s="124"/>
      <c r="O2395" s="124"/>
      <c r="P2395" s="124"/>
      <c r="Q2395" s="124"/>
      <c r="R2395" s="124"/>
      <c r="S2395" s="124"/>
      <c r="T2395" s="124"/>
      <c r="U2395" s="124"/>
      <c r="V2395" s="124"/>
      <c r="W2395" s="124"/>
      <c r="X2395" s="124"/>
      <c r="Y2395" s="124"/>
    </row>
    <row r="2396" spans="2:25" x14ac:dyDescent="0.25">
      <c r="B2396" s="124"/>
      <c r="C2396" s="124"/>
      <c r="D2396" s="124"/>
      <c r="E2396" s="124"/>
      <c r="F2396" s="124"/>
      <c r="G2396" s="124"/>
      <c r="H2396" s="124"/>
      <c r="I2396" s="124"/>
      <c r="J2396" s="124"/>
      <c r="K2396" s="124"/>
      <c r="L2396" s="124"/>
      <c r="M2396" s="124"/>
      <c r="N2396" s="124"/>
      <c r="O2396" s="124"/>
      <c r="P2396" s="124"/>
      <c r="Q2396" s="124"/>
      <c r="R2396" s="124"/>
      <c r="S2396" s="124"/>
      <c r="T2396" s="124"/>
      <c r="U2396" s="124"/>
      <c r="V2396" s="124"/>
      <c r="W2396" s="124"/>
      <c r="X2396" s="124"/>
      <c r="Y2396" s="124"/>
    </row>
    <row r="2397" spans="2:25" x14ac:dyDescent="0.25">
      <c r="B2397" s="124"/>
      <c r="C2397" s="124"/>
      <c r="D2397" s="124"/>
      <c r="E2397" s="124"/>
      <c r="F2397" s="124"/>
      <c r="G2397" s="124"/>
      <c r="H2397" s="124"/>
      <c r="I2397" s="124"/>
      <c r="J2397" s="124"/>
      <c r="K2397" s="124"/>
      <c r="L2397" s="124"/>
      <c r="M2397" s="124"/>
      <c r="N2397" s="124"/>
      <c r="O2397" s="124"/>
      <c r="P2397" s="124"/>
      <c r="Q2397" s="124"/>
      <c r="R2397" s="124"/>
      <c r="S2397" s="124"/>
      <c r="T2397" s="124"/>
      <c r="U2397" s="124"/>
      <c r="V2397" s="124"/>
      <c r="W2397" s="124"/>
      <c r="X2397" s="124"/>
      <c r="Y2397" s="124"/>
    </row>
    <row r="2398" spans="2:25" x14ac:dyDescent="0.25">
      <c r="B2398" s="124"/>
      <c r="C2398" s="124"/>
      <c r="D2398" s="124"/>
      <c r="E2398" s="124"/>
      <c r="F2398" s="124"/>
      <c r="G2398" s="124"/>
      <c r="H2398" s="124"/>
      <c r="I2398" s="124"/>
      <c r="J2398" s="124"/>
      <c r="K2398" s="124"/>
      <c r="L2398" s="124"/>
      <c r="M2398" s="124"/>
      <c r="N2398" s="124"/>
      <c r="O2398" s="124"/>
      <c r="P2398" s="124"/>
      <c r="Q2398" s="124"/>
      <c r="R2398" s="124"/>
      <c r="S2398" s="124"/>
      <c r="T2398" s="124"/>
      <c r="U2398" s="124"/>
      <c r="V2398" s="124"/>
      <c r="W2398" s="124"/>
      <c r="X2398" s="124"/>
      <c r="Y2398" s="124"/>
    </row>
    <row r="2399" spans="2:25" x14ac:dyDescent="0.25">
      <c r="B2399" s="124"/>
      <c r="C2399" s="124"/>
      <c r="D2399" s="124"/>
      <c r="E2399" s="124"/>
      <c r="F2399" s="124"/>
      <c r="G2399" s="124"/>
      <c r="H2399" s="124"/>
      <c r="I2399" s="124"/>
      <c r="J2399" s="124"/>
      <c r="K2399" s="124"/>
      <c r="L2399" s="124"/>
      <c r="M2399" s="124"/>
      <c r="N2399" s="124"/>
      <c r="O2399" s="124"/>
      <c r="P2399" s="124"/>
      <c r="Q2399" s="124"/>
      <c r="R2399" s="124"/>
      <c r="S2399" s="124"/>
      <c r="T2399" s="124"/>
      <c r="U2399" s="124"/>
      <c r="V2399" s="124"/>
      <c r="W2399" s="124"/>
      <c r="X2399" s="124"/>
      <c r="Y2399" s="124"/>
    </row>
    <row r="2400" spans="2:25" x14ac:dyDescent="0.25">
      <c r="B2400" s="124"/>
      <c r="C2400" s="124"/>
      <c r="D2400" s="124"/>
      <c r="E2400" s="124"/>
      <c r="F2400" s="124"/>
      <c r="G2400" s="124"/>
      <c r="H2400" s="124"/>
      <c r="I2400" s="124"/>
      <c r="J2400" s="124"/>
      <c r="K2400" s="124"/>
      <c r="L2400" s="124"/>
      <c r="M2400" s="124"/>
      <c r="N2400" s="124"/>
      <c r="O2400" s="124"/>
      <c r="P2400" s="124"/>
      <c r="Q2400" s="124"/>
      <c r="R2400" s="124"/>
      <c r="S2400" s="124"/>
      <c r="T2400" s="124"/>
      <c r="U2400" s="124"/>
      <c r="V2400" s="124"/>
      <c r="W2400" s="124"/>
      <c r="X2400" s="124"/>
      <c r="Y2400" s="124"/>
    </row>
    <row r="2401" spans="2:25" x14ac:dyDescent="0.25">
      <c r="B2401" s="124"/>
      <c r="C2401" s="124"/>
      <c r="D2401" s="124"/>
      <c r="E2401" s="124"/>
      <c r="F2401" s="124"/>
      <c r="G2401" s="124"/>
      <c r="H2401" s="124"/>
      <c r="I2401" s="124"/>
      <c r="J2401" s="124"/>
      <c r="K2401" s="124"/>
      <c r="L2401" s="124"/>
      <c r="M2401" s="124"/>
      <c r="N2401" s="124"/>
      <c r="O2401" s="124"/>
      <c r="P2401" s="124"/>
      <c r="Q2401" s="124"/>
      <c r="R2401" s="124"/>
      <c r="S2401" s="124"/>
      <c r="T2401" s="124"/>
      <c r="U2401" s="124"/>
      <c r="V2401" s="124"/>
      <c r="W2401" s="124"/>
      <c r="X2401" s="124"/>
      <c r="Y2401" s="124"/>
    </row>
    <row r="2402" spans="2:25" x14ac:dyDescent="0.25">
      <c r="B2402" s="124"/>
      <c r="C2402" s="124"/>
      <c r="D2402" s="124"/>
      <c r="E2402" s="124"/>
      <c r="F2402" s="124"/>
      <c r="G2402" s="124"/>
      <c r="H2402" s="124"/>
      <c r="I2402" s="124"/>
      <c r="J2402" s="124"/>
      <c r="K2402" s="124"/>
      <c r="L2402" s="124"/>
      <c r="M2402" s="124"/>
      <c r="N2402" s="124"/>
      <c r="O2402" s="124"/>
      <c r="P2402" s="124"/>
      <c r="Q2402" s="124"/>
      <c r="R2402" s="124"/>
      <c r="S2402" s="124"/>
      <c r="T2402" s="124"/>
      <c r="U2402" s="124"/>
      <c r="V2402" s="124"/>
      <c r="W2402" s="124"/>
      <c r="X2402" s="124"/>
      <c r="Y2402" s="124"/>
    </row>
    <row r="2403" spans="2:25" x14ac:dyDescent="0.25">
      <c r="B2403" s="124"/>
      <c r="C2403" s="124"/>
      <c r="D2403" s="124"/>
      <c r="E2403" s="124"/>
      <c r="F2403" s="124"/>
      <c r="G2403" s="124"/>
      <c r="H2403" s="124"/>
      <c r="I2403" s="124"/>
      <c r="J2403" s="124"/>
      <c r="K2403" s="124"/>
      <c r="L2403" s="124"/>
      <c r="M2403" s="124"/>
      <c r="N2403" s="124"/>
      <c r="O2403" s="124"/>
      <c r="P2403" s="124"/>
      <c r="Q2403" s="124"/>
      <c r="R2403" s="124"/>
      <c r="S2403" s="124"/>
      <c r="T2403" s="124"/>
      <c r="U2403" s="124"/>
      <c r="V2403" s="124"/>
      <c r="W2403" s="124"/>
      <c r="X2403" s="124"/>
      <c r="Y2403" s="124"/>
    </row>
    <row r="2404" spans="2:25" x14ac:dyDescent="0.25">
      <c r="B2404" s="124"/>
      <c r="C2404" s="124"/>
      <c r="D2404" s="124"/>
      <c r="E2404" s="124"/>
      <c r="F2404" s="124"/>
      <c r="G2404" s="124"/>
      <c r="H2404" s="124"/>
      <c r="I2404" s="124"/>
      <c r="J2404" s="124"/>
      <c r="K2404" s="124"/>
      <c r="L2404" s="124"/>
      <c r="M2404" s="124"/>
      <c r="N2404" s="124"/>
      <c r="O2404" s="124"/>
      <c r="P2404" s="124"/>
      <c r="Q2404" s="124"/>
      <c r="R2404" s="124"/>
      <c r="S2404" s="124"/>
      <c r="T2404" s="124"/>
      <c r="U2404" s="124"/>
      <c r="V2404" s="124"/>
      <c r="W2404" s="124"/>
      <c r="X2404" s="124"/>
      <c r="Y2404" s="124"/>
    </row>
    <row r="2405" spans="2:25" x14ac:dyDescent="0.25">
      <c r="B2405" s="124"/>
      <c r="C2405" s="124"/>
      <c r="D2405" s="124"/>
      <c r="E2405" s="124"/>
      <c r="F2405" s="124"/>
      <c r="G2405" s="124"/>
      <c r="H2405" s="124"/>
      <c r="I2405" s="124"/>
      <c r="J2405" s="124"/>
      <c r="K2405" s="124"/>
      <c r="L2405" s="124"/>
      <c r="M2405" s="124"/>
      <c r="N2405" s="124"/>
      <c r="O2405" s="124"/>
      <c r="P2405" s="124"/>
      <c r="Q2405" s="124"/>
      <c r="R2405" s="124"/>
      <c r="S2405" s="124"/>
      <c r="T2405" s="124"/>
      <c r="U2405" s="124"/>
      <c r="V2405" s="124"/>
      <c r="W2405" s="124"/>
      <c r="X2405" s="124"/>
      <c r="Y2405" s="124"/>
    </row>
    <row r="2406" spans="2:25" x14ac:dyDescent="0.25">
      <c r="B2406" s="124"/>
      <c r="C2406" s="124"/>
      <c r="D2406" s="124"/>
      <c r="E2406" s="124"/>
      <c r="F2406" s="124"/>
      <c r="G2406" s="124"/>
      <c r="H2406" s="124"/>
      <c r="I2406" s="124"/>
      <c r="J2406" s="124"/>
      <c r="K2406" s="124"/>
      <c r="L2406" s="124"/>
      <c r="M2406" s="124"/>
      <c r="N2406" s="124"/>
      <c r="O2406" s="124"/>
      <c r="P2406" s="124"/>
      <c r="Q2406" s="124"/>
      <c r="R2406" s="124"/>
      <c r="S2406" s="124"/>
      <c r="T2406" s="124"/>
      <c r="U2406" s="124"/>
      <c r="V2406" s="124"/>
      <c r="W2406" s="124"/>
      <c r="X2406" s="124"/>
      <c r="Y2406" s="124"/>
    </row>
    <row r="2407" spans="2:25" x14ac:dyDescent="0.25">
      <c r="B2407" s="124"/>
      <c r="C2407" s="124"/>
      <c r="D2407" s="124"/>
      <c r="E2407" s="124"/>
      <c r="F2407" s="124"/>
      <c r="G2407" s="124"/>
      <c r="H2407" s="124"/>
      <c r="I2407" s="124"/>
      <c r="J2407" s="124"/>
      <c r="K2407" s="124"/>
      <c r="L2407" s="124"/>
      <c r="M2407" s="124"/>
      <c r="N2407" s="124"/>
      <c r="O2407" s="124"/>
      <c r="P2407" s="124"/>
      <c r="Q2407" s="124"/>
      <c r="R2407" s="124"/>
      <c r="S2407" s="124"/>
      <c r="T2407" s="124"/>
      <c r="U2407" s="124"/>
      <c r="V2407" s="124"/>
      <c r="W2407" s="124"/>
      <c r="X2407" s="124"/>
      <c r="Y2407" s="124"/>
    </row>
    <row r="2408" spans="2:25" x14ac:dyDescent="0.25">
      <c r="B2408" s="124"/>
      <c r="C2408" s="124"/>
      <c r="D2408" s="124"/>
      <c r="E2408" s="124"/>
      <c r="F2408" s="124"/>
      <c r="G2408" s="124"/>
      <c r="H2408" s="124"/>
      <c r="I2408" s="124"/>
      <c r="J2408" s="124"/>
      <c r="K2408" s="124"/>
      <c r="L2408" s="124"/>
      <c r="M2408" s="124"/>
      <c r="N2408" s="124"/>
      <c r="O2408" s="124"/>
      <c r="P2408" s="124"/>
      <c r="Q2408" s="124"/>
      <c r="R2408" s="124"/>
      <c r="S2408" s="124"/>
      <c r="T2408" s="124"/>
      <c r="U2408" s="124"/>
      <c r="V2408" s="124"/>
      <c r="W2408" s="124"/>
      <c r="X2408" s="124"/>
      <c r="Y2408" s="124"/>
    </row>
    <row r="2409" spans="2:25" x14ac:dyDescent="0.25">
      <c r="B2409" s="124"/>
      <c r="C2409" s="124"/>
      <c r="D2409" s="124"/>
      <c r="E2409" s="124"/>
      <c r="F2409" s="124"/>
      <c r="G2409" s="124"/>
      <c r="H2409" s="124"/>
      <c r="I2409" s="124"/>
      <c r="J2409" s="124"/>
      <c r="K2409" s="124"/>
      <c r="L2409" s="124"/>
      <c r="M2409" s="124"/>
      <c r="N2409" s="124"/>
      <c r="O2409" s="124"/>
      <c r="P2409" s="124"/>
      <c r="Q2409" s="124"/>
      <c r="R2409" s="124"/>
      <c r="S2409" s="124"/>
      <c r="T2409" s="124"/>
      <c r="U2409" s="124"/>
      <c r="V2409" s="124"/>
      <c r="W2409" s="124"/>
      <c r="X2409" s="124"/>
      <c r="Y2409" s="124"/>
    </row>
    <row r="2410" spans="2:25" x14ac:dyDescent="0.25">
      <c r="B2410" s="124"/>
      <c r="C2410" s="124"/>
      <c r="D2410" s="124"/>
      <c r="E2410" s="124"/>
      <c r="F2410" s="124"/>
      <c r="G2410" s="124"/>
      <c r="H2410" s="124"/>
      <c r="I2410" s="124"/>
      <c r="J2410" s="124"/>
      <c r="K2410" s="124"/>
      <c r="L2410" s="124"/>
      <c r="M2410" s="124"/>
      <c r="N2410" s="124"/>
      <c r="O2410" s="124"/>
      <c r="P2410" s="124"/>
      <c r="Q2410" s="124"/>
      <c r="R2410" s="124"/>
      <c r="S2410" s="124"/>
      <c r="T2410" s="124"/>
      <c r="U2410" s="124"/>
      <c r="V2410" s="124"/>
      <c r="W2410" s="124"/>
      <c r="X2410" s="124"/>
      <c r="Y2410" s="124"/>
    </row>
    <row r="2411" spans="2:25" x14ac:dyDescent="0.25">
      <c r="B2411" s="124"/>
      <c r="C2411" s="124"/>
      <c r="D2411" s="124"/>
      <c r="E2411" s="124"/>
      <c r="F2411" s="124"/>
      <c r="G2411" s="124"/>
      <c r="H2411" s="124"/>
      <c r="I2411" s="124"/>
      <c r="J2411" s="124"/>
      <c r="K2411" s="124"/>
      <c r="L2411" s="124"/>
      <c r="M2411" s="124"/>
      <c r="N2411" s="124"/>
      <c r="O2411" s="124"/>
      <c r="P2411" s="124"/>
      <c r="Q2411" s="124"/>
      <c r="R2411" s="124"/>
      <c r="S2411" s="124"/>
      <c r="T2411" s="124"/>
      <c r="U2411" s="124"/>
      <c r="V2411" s="124"/>
      <c r="W2411" s="124"/>
      <c r="X2411" s="124"/>
      <c r="Y2411" s="124"/>
    </row>
    <row r="2412" spans="2:25" x14ac:dyDescent="0.25">
      <c r="B2412" s="124"/>
      <c r="C2412" s="124"/>
      <c r="D2412" s="124"/>
      <c r="E2412" s="124"/>
      <c r="F2412" s="124"/>
      <c r="G2412" s="124"/>
      <c r="H2412" s="124"/>
      <c r="I2412" s="124"/>
      <c r="J2412" s="124"/>
      <c r="K2412" s="124"/>
      <c r="L2412" s="124"/>
      <c r="M2412" s="124"/>
      <c r="N2412" s="124"/>
      <c r="O2412" s="124"/>
      <c r="P2412" s="124"/>
      <c r="Q2412" s="124"/>
      <c r="R2412" s="124"/>
      <c r="S2412" s="124"/>
      <c r="T2412" s="124"/>
      <c r="U2412" s="124"/>
      <c r="V2412" s="124"/>
      <c r="W2412" s="124"/>
      <c r="X2412" s="124"/>
      <c r="Y2412" s="124"/>
    </row>
    <row r="2413" spans="2:25" x14ac:dyDescent="0.25">
      <c r="B2413" s="124"/>
      <c r="C2413" s="124"/>
      <c r="D2413" s="124"/>
      <c r="E2413" s="124"/>
      <c r="F2413" s="124"/>
      <c r="G2413" s="124"/>
      <c r="H2413" s="124"/>
      <c r="I2413" s="124"/>
      <c r="J2413" s="124"/>
      <c r="K2413" s="124"/>
      <c r="L2413" s="124"/>
      <c r="M2413" s="124"/>
      <c r="N2413" s="124"/>
      <c r="O2413" s="124"/>
      <c r="P2413" s="124"/>
      <c r="Q2413" s="124"/>
      <c r="R2413" s="124"/>
      <c r="S2413" s="124"/>
      <c r="T2413" s="124"/>
      <c r="U2413" s="124"/>
      <c r="V2413" s="124"/>
      <c r="W2413" s="124"/>
      <c r="X2413" s="124"/>
      <c r="Y2413" s="124"/>
    </row>
    <row r="2414" spans="2:25" x14ac:dyDescent="0.25">
      <c r="B2414" s="124"/>
      <c r="C2414" s="124"/>
      <c r="D2414" s="124"/>
      <c r="E2414" s="124"/>
      <c r="F2414" s="124"/>
      <c r="G2414" s="124"/>
      <c r="H2414" s="124"/>
      <c r="I2414" s="124"/>
      <c r="J2414" s="124"/>
      <c r="K2414" s="124"/>
      <c r="L2414" s="124"/>
      <c r="M2414" s="124"/>
      <c r="N2414" s="124"/>
      <c r="O2414" s="124"/>
      <c r="P2414" s="124"/>
      <c r="Q2414" s="124"/>
      <c r="R2414" s="124"/>
      <c r="S2414" s="124"/>
      <c r="T2414" s="124"/>
      <c r="U2414" s="124"/>
      <c r="V2414" s="124"/>
      <c r="W2414" s="124"/>
      <c r="X2414" s="124"/>
      <c r="Y2414" s="124"/>
    </row>
    <row r="2415" spans="2:25" x14ac:dyDescent="0.25">
      <c r="B2415" s="124"/>
      <c r="C2415" s="124"/>
      <c r="D2415" s="124"/>
      <c r="E2415" s="124"/>
      <c r="F2415" s="124"/>
      <c r="G2415" s="124"/>
      <c r="H2415" s="124"/>
      <c r="I2415" s="124"/>
      <c r="J2415" s="124"/>
      <c r="K2415" s="124"/>
      <c r="L2415" s="124"/>
      <c r="M2415" s="124"/>
      <c r="N2415" s="124"/>
      <c r="O2415" s="124"/>
      <c r="P2415" s="124"/>
      <c r="Q2415" s="124"/>
      <c r="R2415" s="124"/>
      <c r="S2415" s="124"/>
      <c r="T2415" s="124"/>
      <c r="U2415" s="124"/>
      <c r="V2415" s="124"/>
      <c r="W2415" s="124"/>
      <c r="X2415" s="124"/>
      <c r="Y2415" s="124"/>
    </row>
    <row r="2416" spans="2:25" x14ac:dyDescent="0.25">
      <c r="B2416" s="124"/>
      <c r="C2416" s="124"/>
      <c r="D2416" s="124"/>
      <c r="E2416" s="124"/>
      <c r="F2416" s="124"/>
      <c r="G2416" s="124"/>
      <c r="H2416" s="124"/>
      <c r="I2416" s="124"/>
      <c r="J2416" s="124"/>
      <c r="K2416" s="124"/>
      <c r="L2416" s="124"/>
      <c r="M2416" s="124"/>
      <c r="N2416" s="124"/>
      <c r="O2416" s="124"/>
      <c r="P2416" s="124"/>
      <c r="Q2416" s="124"/>
      <c r="R2416" s="124"/>
      <c r="S2416" s="124"/>
      <c r="T2416" s="124"/>
      <c r="U2416" s="124"/>
      <c r="V2416" s="124"/>
      <c r="W2416" s="124"/>
      <c r="X2416" s="124"/>
      <c r="Y2416" s="124"/>
    </row>
    <row r="2417" spans="2:25" x14ac:dyDescent="0.25">
      <c r="B2417" s="124"/>
      <c r="C2417" s="124"/>
      <c r="D2417" s="124"/>
      <c r="E2417" s="124"/>
      <c r="F2417" s="124"/>
      <c r="G2417" s="124"/>
      <c r="H2417" s="124"/>
      <c r="I2417" s="124"/>
      <c r="J2417" s="124"/>
      <c r="K2417" s="124"/>
      <c r="L2417" s="124"/>
      <c r="M2417" s="124"/>
      <c r="N2417" s="124"/>
      <c r="O2417" s="124"/>
      <c r="P2417" s="124"/>
      <c r="Q2417" s="124"/>
      <c r="R2417" s="124"/>
      <c r="S2417" s="124"/>
      <c r="T2417" s="124"/>
      <c r="U2417" s="124"/>
      <c r="V2417" s="124"/>
      <c r="W2417" s="124"/>
      <c r="X2417" s="124"/>
      <c r="Y2417" s="124"/>
    </row>
    <row r="2418" spans="2:25" x14ac:dyDescent="0.25">
      <c r="B2418" s="124"/>
      <c r="C2418" s="124"/>
      <c r="D2418" s="124"/>
      <c r="E2418" s="124"/>
      <c r="F2418" s="124"/>
      <c r="G2418" s="124"/>
      <c r="H2418" s="124"/>
      <c r="I2418" s="124"/>
      <c r="J2418" s="124"/>
      <c r="K2418" s="124"/>
      <c r="L2418" s="124"/>
      <c r="M2418" s="124"/>
      <c r="N2418" s="124"/>
      <c r="O2418" s="124"/>
      <c r="P2418" s="124"/>
      <c r="Q2418" s="124"/>
      <c r="R2418" s="124"/>
      <c r="S2418" s="124"/>
      <c r="T2418" s="124"/>
      <c r="U2418" s="124"/>
      <c r="V2418" s="124"/>
      <c r="W2418" s="124"/>
      <c r="X2418" s="124"/>
      <c r="Y2418" s="124"/>
    </row>
    <row r="2419" spans="2:25" x14ac:dyDescent="0.25">
      <c r="B2419" s="124"/>
      <c r="C2419" s="124"/>
      <c r="D2419" s="124"/>
      <c r="E2419" s="124"/>
      <c r="F2419" s="124"/>
      <c r="G2419" s="124"/>
      <c r="H2419" s="124"/>
      <c r="I2419" s="124"/>
      <c r="J2419" s="124"/>
      <c r="K2419" s="124"/>
      <c r="L2419" s="124"/>
      <c r="M2419" s="124"/>
      <c r="N2419" s="124"/>
      <c r="O2419" s="124"/>
      <c r="P2419" s="124"/>
      <c r="Q2419" s="124"/>
      <c r="R2419" s="124"/>
      <c r="S2419" s="124"/>
      <c r="T2419" s="124"/>
      <c r="U2419" s="124"/>
      <c r="V2419" s="124"/>
      <c r="W2419" s="124"/>
      <c r="X2419" s="124"/>
      <c r="Y2419" s="124"/>
    </row>
    <row r="2420" spans="2:25" x14ac:dyDescent="0.25">
      <c r="B2420" s="124"/>
      <c r="C2420" s="124"/>
      <c r="D2420" s="124"/>
      <c r="E2420" s="124"/>
      <c r="F2420" s="124"/>
      <c r="G2420" s="124"/>
      <c r="H2420" s="124"/>
      <c r="I2420" s="124"/>
      <c r="J2420" s="124"/>
      <c r="K2420" s="124"/>
      <c r="L2420" s="124"/>
      <c r="M2420" s="124"/>
      <c r="N2420" s="124"/>
      <c r="O2420" s="124"/>
      <c r="P2420" s="124"/>
      <c r="Q2420" s="124"/>
      <c r="R2420" s="124"/>
      <c r="S2420" s="124"/>
      <c r="T2420" s="124"/>
      <c r="U2420" s="124"/>
      <c r="V2420" s="124"/>
      <c r="W2420" s="124"/>
      <c r="X2420" s="124"/>
      <c r="Y2420" s="124"/>
    </row>
    <row r="2421" spans="2:25" x14ac:dyDescent="0.25">
      <c r="B2421" s="124"/>
      <c r="C2421" s="124"/>
      <c r="D2421" s="124"/>
      <c r="E2421" s="124"/>
      <c r="F2421" s="124"/>
      <c r="G2421" s="124"/>
      <c r="H2421" s="124"/>
      <c r="I2421" s="124"/>
      <c r="J2421" s="124"/>
      <c r="K2421" s="124"/>
      <c r="L2421" s="124"/>
      <c r="M2421" s="124"/>
      <c r="N2421" s="124"/>
      <c r="O2421" s="124"/>
      <c r="P2421" s="124"/>
      <c r="Q2421" s="124"/>
      <c r="R2421" s="124"/>
      <c r="S2421" s="124"/>
      <c r="T2421" s="124"/>
      <c r="U2421" s="124"/>
      <c r="V2421" s="124"/>
      <c r="W2421" s="124"/>
      <c r="X2421" s="124"/>
      <c r="Y2421" s="124"/>
    </row>
    <row r="2422" spans="2:25" x14ac:dyDescent="0.25">
      <c r="B2422" s="124"/>
      <c r="C2422" s="124"/>
      <c r="D2422" s="124"/>
      <c r="E2422" s="124"/>
      <c r="F2422" s="124"/>
      <c r="G2422" s="124"/>
      <c r="H2422" s="124"/>
      <c r="I2422" s="124"/>
      <c r="J2422" s="124"/>
      <c r="K2422" s="124"/>
      <c r="L2422" s="124"/>
      <c r="M2422" s="124"/>
      <c r="N2422" s="124"/>
      <c r="O2422" s="124"/>
      <c r="P2422" s="124"/>
      <c r="Q2422" s="124"/>
      <c r="R2422" s="124"/>
      <c r="S2422" s="124"/>
      <c r="T2422" s="124"/>
      <c r="U2422" s="124"/>
      <c r="V2422" s="124"/>
      <c r="W2422" s="124"/>
      <c r="X2422" s="124"/>
      <c r="Y2422" s="124"/>
    </row>
    <row r="2423" spans="2:25" x14ac:dyDescent="0.25">
      <c r="B2423" s="124"/>
      <c r="C2423" s="124"/>
      <c r="D2423" s="124"/>
      <c r="E2423" s="124"/>
      <c r="F2423" s="124"/>
      <c r="G2423" s="124"/>
      <c r="H2423" s="124"/>
      <c r="I2423" s="124"/>
      <c r="J2423" s="124"/>
      <c r="K2423" s="124"/>
      <c r="L2423" s="124"/>
      <c r="M2423" s="124"/>
      <c r="N2423" s="124"/>
      <c r="O2423" s="124"/>
      <c r="P2423" s="124"/>
      <c r="Q2423" s="124"/>
      <c r="R2423" s="124"/>
      <c r="S2423" s="124"/>
      <c r="T2423" s="124"/>
      <c r="U2423" s="124"/>
      <c r="V2423" s="124"/>
      <c r="W2423" s="124"/>
      <c r="X2423" s="124"/>
      <c r="Y2423" s="124"/>
    </row>
    <row r="2424" spans="2:25" x14ac:dyDescent="0.25">
      <c r="B2424" s="124"/>
      <c r="C2424" s="124"/>
      <c r="D2424" s="124"/>
      <c r="E2424" s="124"/>
      <c r="F2424" s="124"/>
      <c r="G2424" s="124"/>
      <c r="H2424" s="124"/>
      <c r="I2424" s="124"/>
      <c r="J2424" s="124"/>
      <c r="K2424" s="124"/>
      <c r="L2424" s="124"/>
      <c r="M2424" s="124"/>
      <c r="N2424" s="124"/>
      <c r="O2424" s="124"/>
      <c r="P2424" s="124"/>
      <c r="Q2424" s="124"/>
      <c r="R2424" s="124"/>
      <c r="S2424" s="124"/>
      <c r="T2424" s="124"/>
      <c r="U2424" s="124"/>
      <c r="V2424" s="124"/>
      <c r="W2424" s="124"/>
      <c r="X2424" s="124"/>
      <c r="Y2424" s="124"/>
    </row>
    <row r="2425" spans="2:25" x14ac:dyDescent="0.25">
      <c r="B2425" s="124"/>
      <c r="C2425" s="124"/>
      <c r="D2425" s="124"/>
      <c r="E2425" s="124"/>
      <c r="F2425" s="124"/>
      <c r="G2425" s="124"/>
      <c r="H2425" s="124"/>
      <c r="I2425" s="124"/>
      <c r="J2425" s="124"/>
      <c r="K2425" s="124"/>
      <c r="L2425" s="124"/>
      <c r="M2425" s="124"/>
      <c r="N2425" s="124"/>
      <c r="O2425" s="124"/>
      <c r="P2425" s="124"/>
      <c r="Q2425" s="124"/>
      <c r="R2425" s="124"/>
      <c r="S2425" s="124"/>
      <c r="T2425" s="124"/>
      <c r="U2425" s="124"/>
      <c r="V2425" s="124"/>
      <c r="W2425" s="124"/>
      <c r="X2425" s="124"/>
      <c r="Y2425" s="124"/>
    </row>
    <row r="2426" spans="2:25" x14ac:dyDescent="0.25">
      <c r="B2426" s="124"/>
      <c r="C2426" s="124"/>
      <c r="D2426" s="124"/>
      <c r="E2426" s="124"/>
      <c r="F2426" s="124"/>
      <c r="G2426" s="124"/>
      <c r="H2426" s="124"/>
      <c r="I2426" s="124"/>
      <c r="J2426" s="124"/>
      <c r="K2426" s="124"/>
      <c r="L2426" s="124"/>
      <c r="M2426" s="124"/>
      <c r="N2426" s="124"/>
      <c r="O2426" s="124"/>
      <c r="P2426" s="124"/>
      <c r="Q2426" s="124"/>
      <c r="R2426" s="124"/>
      <c r="S2426" s="124"/>
      <c r="T2426" s="124"/>
      <c r="U2426" s="124"/>
      <c r="V2426" s="124"/>
      <c r="W2426" s="124"/>
      <c r="X2426" s="124"/>
      <c r="Y2426" s="124"/>
    </row>
    <row r="2427" spans="2:25" x14ac:dyDescent="0.25">
      <c r="B2427" s="124"/>
      <c r="C2427" s="124"/>
      <c r="D2427" s="124"/>
      <c r="E2427" s="124"/>
      <c r="F2427" s="124"/>
      <c r="G2427" s="124"/>
      <c r="H2427" s="124"/>
      <c r="I2427" s="124"/>
      <c r="J2427" s="124"/>
      <c r="K2427" s="124"/>
      <c r="L2427" s="124"/>
      <c r="M2427" s="124"/>
      <c r="N2427" s="124"/>
      <c r="O2427" s="124"/>
      <c r="P2427" s="124"/>
      <c r="Q2427" s="124"/>
      <c r="R2427" s="124"/>
      <c r="S2427" s="124"/>
      <c r="T2427" s="124"/>
      <c r="U2427" s="124"/>
      <c r="V2427" s="124"/>
      <c r="W2427" s="124"/>
      <c r="X2427" s="124"/>
      <c r="Y2427" s="124"/>
    </row>
    <row r="2428" spans="2:25" x14ac:dyDescent="0.25">
      <c r="B2428" s="124"/>
      <c r="C2428" s="124"/>
      <c r="D2428" s="124"/>
      <c r="E2428" s="124"/>
      <c r="F2428" s="124"/>
      <c r="G2428" s="124"/>
      <c r="H2428" s="124"/>
      <c r="I2428" s="124"/>
      <c r="J2428" s="124"/>
      <c r="K2428" s="124"/>
      <c r="L2428" s="124"/>
      <c r="M2428" s="124"/>
      <c r="N2428" s="124"/>
      <c r="O2428" s="124"/>
      <c r="P2428" s="124"/>
      <c r="Q2428" s="124"/>
      <c r="R2428" s="124"/>
      <c r="S2428" s="124"/>
      <c r="T2428" s="124"/>
      <c r="U2428" s="124"/>
      <c r="V2428" s="124"/>
      <c r="W2428" s="124"/>
      <c r="X2428" s="124"/>
      <c r="Y2428" s="124"/>
    </row>
    <row r="2429" spans="2:25" x14ac:dyDescent="0.25">
      <c r="B2429" s="124"/>
      <c r="C2429" s="124"/>
      <c r="D2429" s="124"/>
      <c r="E2429" s="124"/>
      <c r="F2429" s="124"/>
      <c r="G2429" s="124"/>
      <c r="H2429" s="124"/>
      <c r="I2429" s="124"/>
      <c r="J2429" s="124"/>
      <c r="K2429" s="124"/>
      <c r="L2429" s="124"/>
      <c r="M2429" s="124"/>
      <c r="N2429" s="124"/>
      <c r="O2429" s="124"/>
      <c r="P2429" s="124"/>
      <c r="Q2429" s="124"/>
      <c r="R2429" s="124"/>
      <c r="S2429" s="124"/>
      <c r="T2429" s="124"/>
      <c r="U2429" s="124"/>
      <c r="V2429" s="124"/>
      <c r="W2429" s="124"/>
      <c r="X2429" s="124"/>
      <c r="Y2429" s="124"/>
    </row>
    <row r="2430" spans="2:25" x14ac:dyDescent="0.25">
      <c r="B2430" s="124"/>
      <c r="C2430" s="124"/>
      <c r="D2430" s="124"/>
      <c r="E2430" s="124"/>
      <c r="F2430" s="124"/>
      <c r="G2430" s="124"/>
      <c r="H2430" s="124"/>
      <c r="I2430" s="124"/>
      <c r="J2430" s="124"/>
      <c r="K2430" s="124"/>
      <c r="L2430" s="124"/>
      <c r="M2430" s="124"/>
      <c r="N2430" s="124"/>
      <c r="O2430" s="124"/>
      <c r="P2430" s="124"/>
      <c r="Q2430" s="124"/>
      <c r="R2430" s="124"/>
      <c r="S2430" s="124"/>
      <c r="T2430" s="124"/>
      <c r="U2430" s="124"/>
      <c r="V2430" s="124"/>
      <c r="W2430" s="124"/>
      <c r="X2430" s="124"/>
      <c r="Y2430" s="124"/>
    </row>
    <row r="2431" spans="2:25" x14ac:dyDescent="0.25">
      <c r="B2431" s="124"/>
      <c r="C2431" s="124"/>
      <c r="D2431" s="124"/>
      <c r="E2431" s="124"/>
      <c r="F2431" s="124"/>
      <c r="G2431" s="124"/>
      <c r="H2431" s="124"/>
      <c r="I2431" s="124"/>
      <c r="J2431" s="124"/>
      <c r="K2431" s="124"/>
      <c r="L2431" s="124"/>
      <c r="M2431" s="124"/>
      <c r="N2431" s="124"/>
      <c r="O2431" s="124"/>
      <c r="P2431" s="124"/>
      <c r="Q2431" s="124"/>
      <c r="R2431" s="124"/>
      <c r="S2431" s="124"/>
      <c r="T2431" s="124"/>
      <c r="U2431" s="124"/>
      <c r="V2431" s="124"/>
      <c r="W2431" s="124"/>
      <c r="X2431" s="124"/>
      <c r="Y2431" s="124"/>
    </row>
    <row r="2432" spans="2:25" x14ac:dyDescent="0.25">
      <c r="B2432" s="124"/>
      <c r="C2432" s="124"/>
      <c r="D2432" s="124"/>
      <c r="E2432" s="124"/>
      <c r="F2432" s="124"/>
      <c r="G2432" s="124"/>
      <c r="H2432" s="124"/>
      <c r="I2432" s="124"/>
      <c r="J2432" s="124"/>
      <c r="K2432" s="124"/>
      <c r="L2432" s="124"/>
      <c r="M2432" s="124"/>
      <c r="N2432" s="124"/>
      <c r="O2432" s="124"/>
      <c r="P2432" s="124"/>
      <c r="Q2432" s="124"/>
      <c r="R2432" s="124"/>
      <c r="S2432" s="124"/>
      <c r="T2432" s="124"/>
      <c r="U2432" s="124"/>
      <c r="V2432" s="124"/>
      <c r="W2432" s="124"/>
      <c r="X2432" s="124"/>
      <c r="Y2432" s="124"/>
    </row>
    <row r="2433" spans="2:25" x14ac:dyDescent="0.25">
      <c r="B2433" s="124"/>
      <c r="C2433" s="124"/>
      <c r="D2433" s="124"/>
      <c r="E2433" s="124"/>
      <c r="F2433" s="124"/>
      <c r="G2433" s="124"/>
      <c r="H2433" s="124"/>
      <c r="I2433" s="124"/>
      <c r="J2433" s="124"/>
      <c r="K2433" s="124"/>
      <c r="L2433" s="124"/>
      <c r="M2433" s="124"/>
      <c r="N2433" s="124"/>
      <c r="O2433" s="124"/>
      <c r="P2433" s="124"/>
      <c r="Q2433" s="124"/>
      <c r="R2433" s="124"/>
      <c r="S2433" s="124"/>
      <c r="T2433" s="124"/>
      <c r="U2433" s="124"/>
      <c r="V2433" s="124"/>
      <c r="W2433" s="124"/>
      <c r="X2433" s="124"/>
      <c r="Y2433" s="124"/>
    </row>
    <row r="2434" spans="2:25" x14ac:dyDescent="0.25">
      <c r="B2434" s="124"/>
      <c r="C2434" s="124"/>
      <c r="D2434" s="124"/>
      <c r="E2434" s="124"/>
      <c r="F2434" s="124"/>
      <c r="G2434" s="124"/>
      <c r="H2434" s="124"/>
      <c r="I2434" s="124"/>
      <c r="J2434" s="124"/>
      <c r="K2434" s="124"/>
      <c r="L2434" s="124"/>
      <c r="M2434" s="124"/>
      <c r="N2434" s="124"/>
      <c r="O2434" s="124"/>
      <c r="P2434" s="124"/>
      <c r="Q2434" s="124"/>
      <c r="R2434" s="124"/>
      <c r="S2434" s="124"/>
      <c r="T2434" s="124"/>
      <c r="U2434" s="124"/>
      <c r="V2434" s="124"/>
      <c r="W2434" s="124"/>
      <c r="X2434" s="124"/>
      <c r="Y2434" s="124"/>
    </row>
    <row r="2435" spans="2:25" x14ac:dyDescent="0.25">
      <c r="B2435" s="124"/>
      <c r="C2435" s="124"/>
      <c r="D2435" s="124"/>
      <c r="E2435" s="124"/>
      <c r="F2435" s="124"/>
      <c r="G2435" s="124"/>
      <c r="H2435" s="124"/>
      <c r="I2435" s="124"/>
      <c r="J2435" s="124"/>
      <c r="K2435" s="124"/>
      <c r="L2435" s="124"/>
      <c r="M2435" s="124"/>
      <c r="N2435" s="124"/>
      <c r="O2435" s="124"/>
      <c r="P2435" s="124"/>
      <c r="Q2435" s="124"/>
      <c r="R2435" s="124"/>
      <c r="S2435" s="124"/>
      <c r="T2435" s="124"/>
      <c r="U2435" s="124"/>
      <c r="V2435" s="124"/>
      <c r="W2435" s="124"/>
      <c r="X2435" s="124"/>
      <c r="Y2435" s="124"/>
    </row>
    <row r="2436" spans="2:25" x14ac:dyDescent="0.25">
      <c r="B2436" s="124"/>
      <c r="C2436" s="124"/>
      <c r="D2436" s="124"/>
      <c r="E2436" s="124"/>
      <c r="F2436" s="124"/>
      <c r="G2436" s="124"/>
      <c r="H2436" s="124"/>
      <c r="I2436" s="124"/>
      <c r="J2436" s="124"/>
      <c r="K2436" s="124"/>
      <c r="L2436" s="124"/>
      <c r="M2436" s="124"/>
      <c r="N2436" s="124"/>
      <c r="O2436" s="124"/>
      <c r="P2436" s="124"/>
      <c r="Q2436" s="124"/>
      <c r="R2436" s="124"/>
      <c r="S2436" s="124"/>
      <c r="T2436" s="124"/>
      <c r="U2436" s="124"/>
      <c r="V2436" s="124"/>
      <c r="W2436" s="124"/>
      <c r="X2436" s="124"/>
      <c r="Y2436" s="124"/>
    </row>
    <row r="2437" spans="2:25" x14ac:dyDescent="0.25">
      <c r="B2437" s="124"/>
      <c r="C2437" s="124"/>
      <c r="D2437" s="124"/>
      <c r="E2437" s="124"/>
      <c r="F2437" s="124"/>
      <c r="G2437" s="124"/>
      <c r="H2437" s="124"/>
      <c r="I2437" s="124"/>
      <c r="J2437" s="124"/>
      <c r="K2437" s="124"/>
      <c r="L2437" s="124"/>
      <c r="M2437" s="124"/>
      <c r="N2437" s="124"/>
      <c r="O2437" s="124"/>
      <c r="P2437" s="124"/>
      <c r="Q2437" s="124"/>
      <c r="R2437" s="124"/>
      <c r="S2437" s="124"/>
      <c r="T2437" s="124"/>
      <c r="U2437" s="124"/>
      <c r="V2437" s="124"/>
      <c r="W2437" s="124"/>
      <c r="X2437" s="124"/>
      <c r="Y2437" s="124"/>
    </row>
    <row r="2438" spans="2:25" x14ac:dyDescent="0.25">
      <c r="B2438" s="124"/>
      <c r="C2438" s="124"/>
      <c r="D2438" s="124"/>
      <c r="E2438" s="124"/>
      <c r="F2438" s="124"/>
      <c r="G2438" s="124"/>
      <c r="H2438" s="124"/>
      <c r="I2438" s="124"/>
      <c r="J2438" s="124"/>
      <c r="K2438" s="124"/>
      <c r="L2438" s="124"/>
      <c r="M2438" s="124"/>
      <c r="N2438" s="124"/>
      <c r="O2438" s="124"/>
      <c r="P2438" s="124"/>
      <c r="Q2438" s="124"/>
      <c r="R2438" s="124"/>
      <c r="S2438" s="124"/>
      <c r="T2438" s="124"/>
      <c r="U2438" s="124"/>
      <c r="V2438" s="124"/>
      <c r="W2438" s="124"/>
      <c r="X2438" s="124"/>
      <c r="Y2438" s="124"/>
    </row>
    <row r="2439" spans="2:25" x14ac:dyDescent="0.25">
      <c r="B2439" s="124"/>
      <c r="C2439" s="124"/>
      <c r="D2439" s="124"/>
      <c r="E2439" s="124"/>
      <c r="F2439" s="124"/>
      <c r="G2439" s="124"/>
      <c r="H2439" s="124"/>
      <c r="I2439" s="124"/>
      <c r="J2439" s="124"/>
      <c r="K2439" s="124"/>
      <c r="L2439" s="124"/>
      <c r="M2439" s="124"/>
      <c r="N2439" s="124"/>
      <c r="O2439" s="124"/>
      <c r="P2439" s="124"/>
      <c r="Q2439" s="124"/>
      <c r="R2439" s="124"/>
      <c r="S2439" s="124"/>
      <c r="T2439" s="124"/>
      <c r="U2439" s="124"/>
      <c r="V2439" s="124"/>
      <c r="W2439" s="124"/>
      <c r="X2439" s="124"/>
      <c r="Y2439" s="124"/>
    </row>
    <row r="2440" spans="2:25" x14ac:dyDescent="0.25">
      <c r="B2440" s="124"/>
      <c r="C2440" s="124"/>
      <c r="D2440" s="124"/>
      <c r="E2440" s="124"/>
      <c r="F2440" s="124"/>
      <c r="G2440" s="124"/>
      <c r="H2440" s="124"/>
      <c r="I2440" s="124"/>
      <c r="J2440" s="124"/>
      <c r="K2440" s="124"/>
      <c r="L2440" s="124"/>
      <c r="M2440" s="124"/>
      <c r="N2440" s="124"/>
      <c r="O2440" s="124"/>
      <c r="P2440" s="124"/>
      <c r="Q2440" s="124"/>
      <c r="R2440" s="124"/>
      <c r="S2440" s="124"/>
      <c r="T2440" s="124"/>
      <c r="U2440" s="124"/>
      <c r="V2440" s="124"/>
      <c r="W2440" s="124"/>
      <c r="X2440" s="124"/>
      <c r="Y2440" s="124"/>
    </row>
    <row r="2441" spans="2:25" x14ac:dyDescent="0.25">
      <c r="B2441" s="124"/>
      <c r="C2441" s="124"/>
      <c r="D2441" s="124"/>
      <c r="E2441" s="124"/>
      <c r="F2441" s="124"/>
      <c r="G2441" s="124"/>
      <c r="H2441" s="124"/>
      <c r="I2441" s="124"/>
      <c r="J2441" s="124"/>
      <c r="K2441" s="124"/>
      <c r="L2441" s="124"/>
      <c r="M2441" s="124"/>
      <c r="N2441" s="124"/>
      <c r="O2441" s="124"/>
      <c r="P2441" s="124"/>
      <c r="Q2441" s="124"/>
      <c r="R2441" s="124"/>
      <c r="S2441" s="124"/>
      <c r="T2441" s="124"/>
      <c r="U2441" s="124"/>
      <c r="V2441" s="124"/>
      <c r="W2441" s="124"/>
      <c r="X2441" s="124"/>
      <c r="Y2441" s="124"/>
    </row>
    <row r="2442" spans="2:25" x14ac:dyDescent="0.25">
      <c r="B2442" s="124"/>
      <c r="C2442" s="124"/>
      <c r="D2442" s="124"/>
      <c r="E2442" s="124"/>
      <c r="F2442" s="124"/>
      <c r="G2442" s="124"/>
      <c r="H2442" s="124"/>
      <c r="I2442" s="124"/>
      <c r="J2442" s="124"/>
      <c r="K2442" s="124"/>
      <c r="L2442" s="124"/>
      <c r="M2442" s="124"/>
      <c r="N2442" s="124"/>
      <c r="O2442" s="124"/>
      <c r="P2442" s="124"/>
      <c r="Q2442" s="124"/>
      <c r="R2442" s="124"/>
      <c r="S2442" s="124"/>
      <c r="T2442" s="124"/>
      <c r="U2442" s="124"/>
      <c r="V2442" s="124"/>
      <c r="W2442" s="124"/>
      <c r="X2442" s="124"/>
      <c r="Y2442" s="124"/>
    </row>
    <row r="2443" spans="2:25" x14ac:dyDescent="0.25">
      <c r="B2443" s="124"/>
      <c r="C2443" s="124"/>
      <c r="D2443" s="124"/>
      <c r="E2443" s="124"/>
      <c r="F2443" s="124"/>
      <c r="G2443" s="124"/>
      <c r="H2443" s="124"/>
      <c r="I2443" s="124"/>
      <c r="J2443" s="124"/>
      <c r="K2443" s="124"/>
      <c r="L2443" s="124"/>
      <c r="M2443" s="124"/>
      <c r="N2443" s="124"/>
      <c r="O2443" s="124"/>
      <c r="P2443" s="124"/>
      <c r="Q2443" s="124"/>
      <c r="R2443" s="124"/>
      <c r="S2443" s="124"/>
      <c r="T2443" s="124"/>
      <c r="U2443" s="124"/>
      <c r="V2443" s="124"/>
      <c r="W2443" s="124"/>
      <c r="X2443" s="124"/>
      <c r="Y2443" s="124"/>
    </row>
    <row r="2444" spans="2:25" x14ac:dyDescent="0.25">
      <c r="B2444" s="124"/>
      <c r="C2444" s="124"/>
      <c r="D2444" s="124"/>
      <c r="E2444" s="124"/>
      <c r="F2444" s="124"/>
      <c r="G2444" s="124"/>
      <c r="H2444" s="124"/>
      <c r="I2444" s="124"/>
      <c r="J2444" s="124"/>
      <c r="K2444" s="124"/>
      <c r="L2444" s="124"/>
      <c r="M2444" s="124"/>
      <c r="N2444" s="124"/>
      <c r="O2444" s="124"/>
      <c r="P2444" s="124"/>
      <c r="Q2444" s="124"/>
      <c r="R2444" s="124"/>
      <c r="S2444" s="124"/>
      <c r="T2444" s="124"/>
      <c r="U2444" s="124"/>
      <c r="V2444" s="124"/>
      <c r="W2444" s="124"/>
      <c r="X2444" s="124"/>
      <c r="Y2444" s="124"/>
    </row>
    <row r="2445" spans="2:25" x14ac:dyDescent="0.25">
      <c r="B2445" s="124"/>
      <c r="C2445" s="124"/>
      <c r="D2445" s="124"/>
      <c r="E2445" s="124"/>
      <c r="F2445" s="124"/>
      <c r="G2445" s="124"/>
      <c r="H2445" s="124"/>
      <c r="I2445" s="124"/>
      <c r="J2445" s="124"/>
      <c r="K2445" s="124"/>
      <c r="L2445" s="124"/>
      <c r="M2445" s="124"/>
      <c r="N2445" s="124"/>
      <c r="O2445" s="124"/>
      <c r="P2445" s="124"/>
      <c r="Q2445" s="124"/>
      <c r="R2445" s="124"/>
      <c r="S2445" s="124"/>
      <c r="T2445" s="124"/>
      <c r="U2445" s="124"/>
      <c r="V2445" s="124"/>
      <c r="W2445" s="124"/>
      <c r="X2445" s="124"/>
      <c r="Y2445" s="124"/>
    </row>
    <row r="2446" spans="2:25" x14ac:dyDescent="0.25">
      <c r="B2446" s="124"/>
      <c r="C2446" s="124"/>
      <c r="D2446" s="124"/>
      <c r="E2446" s="124"/>
      <c r="F2446" s="124"/>
      <c r="G2446" s="124"/>
      <c r="H2446" s="124"/>
      <c r="I2446" s="124"/>
      <c r="J2446" s="124"/>
      <c r="K2446" s="124"/>
      <c r="L2446" s="124"/>
      <c r="M2446" s="124"/>
      <c r="N2446" s="124"/>
      <c r="O2446" s="124"/>
      <c r="P2446" s="124"/>
      <c r="Q2446" s="124"/>
      <c r="R2446" s="124"/>
      <c r="S2446" s="124"/>
      <c r="T2446" s="124"/>
      <c r="U2446" s="124"/>
      <c r="V2446" s="124"/>
      <c r="W2446" s="124"/>
      <c r="X2446" s="124"/>
      <c r="Y2446" s="124"/>
    </row>
    <row r="2447" spans="2:25" x14ac:dyDescent="0.25">
      <c r="B2447" s="124"/>
      <c r="C2447" s="124"/>
      <c r="D2447" s="124"/>
      <c r="E2447" s="124"/>
      <c r="F2447" s="124"/>
      <c r="G2447" s="124"/>
      <c r="H2447" s="124"/>
      <c r="I2447" s="124"/>
      <c r="J2447" s="124"/>
      <c r="K2447" s="124"/>
      <c r="L2447" s="124"/>
      <c r="M2447" s="124"/>
      <c r="N2447" s="124"/>
      <c r="O2447" s="124"/>
      <c r="P2447" s="124"/>
      <c r="Q2447" s="124"/>
      <c r="R2447" s="124"/>
      <c r="S2447" s="124"/>
      <c r="T2447" s="124"/>
      <c r="U2447" s="124"/>
      <c r="V2447" s="124"/>
      <c r="W2447" s="124"/>
      <c r="X2447" s="124"/>
      <c r="Y2447" s="124"/>
    </row>
    <row r="2448" spans="2:25" x14ac:dyDescent="0.25">
      <c r="B2448" s="124"/>
      <c r="C2448" s="124"/>
      <c r="D2448" s="124"/>
      <c r="E2448" s="124"/>
      <c r="F2448" s="124"/>
      <c r="G2448" s="124"/>
      <c r="H2448" s="124"/>
      <c r="I2448" s="124"/>
      <c r="J2448" s="124"/>
      <c r="K2448" s="124"/>
      <c r="L2448" s="124"/>
      <c r="M2448" s="124"/>
      <c r="N2448" s="124"/>
      <c r="O2448" s="124"/>
      <c r="P2448" s="124"/>
      <c r="Q2448" s="124"/>
      <c r="R2448" s="124"/>
      <c r="S2448" s="124"/>
      <c r="T2448" s="124"/>
      <c r="U2448" s="124"/>
      <c r="V2448" s="124"/>
      <c r="W2448" s="124"/>
      <c r="X2448" s="124"/>
      <c r="Y2448" s="124"/>
    </row>
    <row r="2449" spans="2:25" x14ac:dyDescent="0.25">
      <c r="B2449" s="124"/>
      <c r="C2449" s="124"/>
      <c r="D2449" s="124"/>
      <c r="E2449" s="124"/>
      <c r="F2449" s="124"/>
      <c r="G2449" s="124"/>
      <c r="H2449" s="124"/>
      <c r="I2449" s="124"/>
      <c r="J2449" s="124"/>
      <c r="K2449" s="124"/>
      <c r="L2449" s="124"/>
      <c r="M2449" s="124"/>
      <c r="N2449" s="124"/>
      <c r="O2449" s="124"/>
      <c r="P2449" s="124"/>
      <c r="Q2449" s="124"/>
      <c r="R2449" s="124"/>
      <c r="S2449" s="124"/>
      <c r="T2449" s="124"/>
      <c r="U2449" s="124"/>
      <c r="V2449" s="124"/>
      <c r="W2449" s="124"/>
      <c r="X2449" s="124"/>
      <c r="Y2449" s="124"/>
    </row>
    <row r="2450" spans="2:25" x14ac:dyDescent="0.25">
      <c r="B2450" s="124"/>
      <c r="C2450" s="124"/>
      <c r="D2450" s="124"/>
      <c r="E2450" s="124"/>
      <c r="F2450" s="124"/>
      <c r="G2450" s="124"/>
      <c r="H2450" s="124"/>
      <c r="I2450" s="124"/>
      <c r="J2450" s="124"/>
      <c r="K2450" s="124"/>
      <c r="L2450" s="124"/>
      <c r="M2450" s="124"/>
      <c r="N2450" s="124"/>
      <c r="O2450" s="124"/>
      <c r="P2450" s="124"/>
      <c r="Q2450" s="124"/>
      <c r="R2450" s="124"/>
      <c r="S2450" s="124"/>
      <c r="T2450" s="124"/>
      <c r="U2450" s="124"/>
      <c r="V2450" s="124"/>
      <c r="W2450" s="124"/>
      <c r="X2450" s="124"/>
      <c r="Y2450" s="124"/>
    </row>
    <row r="2451" spans="2:25" x14ac:dyDescent="0.25">
      <c r="B2451" s="124"/>
      <c r="C2451" s="124"/>
      <c r="D2451" s="124"/>
      <c r="E2451" s="124"/>
      <c r="F2451" s="124"/>
      <c r="G2451" s="124"/>
      <c r="H2451" s="124"/>
      <c r="I2451" s="124"/>
      <c r="J2451" s="124"/>
      <c r="K2451" s="124"/>
      <c r="L2451" s="124"/>
      <c r="M2451" s="124"/>
      <c r="N2451" s="124"/>
      <c r="O2451" s="124"/>
      <c r="P2451" s="124"/>
      <c r="Q2451" s="124"/>
      <c r="R2451" s="124"/>
      <c r="S2451" s="124"/>
      <c r="T2451" s="124"/>
      <c r="U2451" s="124"/>
      <c r="V2451" s="124"/>
      <c r="W2451" s="124"/>
      <c r="X2451" s="124"/>
      <c r="Y2451" s="124"/>
    </row>
    <row r="2452" spans="2:25" x14ac:dyDescent="0.25">
      <c r="B2452" s="124"/>
      <c r="C2452" s="124"/>
      <c r="D2452" s="124"/>
      <c r="E2452" s="124"/>
      <c r="F2452" s="124"/>
      <c r="G2452" s="124"/>
      <c r="H2452" s="124"/>
      <c r="I2452" s="124"/>
      <c r="J2452" s="124"/>
      <c r="K2452" s="124"/>
      <c r="L2452" s="124"/>
      <c r="M2452" s="124"/>
      <c r="N2452" s="124"/>
      <c r="O2452" s="124"/>
      <c r="P2452" s="124"/>
      <c r="Q2452" s="124"/>
      <c r="R2452" s="124"/>
      <c r="S2452" s="124"/>
      <c r="T2452" s="124"/>
      <c r="U2452" s="124"/>
      <c r="V2452" s="124"/>
      <c r="W2452" s="124"/>
      <c r="X2452" s="124"/>
      <c r="Y2452" s="124"/>
    </row>
    <row r="2453" spans="2:25" x14ac:dyDescent="0.25">
      <c r="B2453" s="124"/>
      <c r="C2453" s="124"/>
      <c r="D2453" s="124"/>
      <c r="E2453" s="124"/>
      <c r="F2453" s="124"/>
      <c r="G2453" s="124"/>
      <c r="H2453" s="124"/>
      <c r="I2453" s="124"/>
      <c r="J2453" s="124"/>
      <c r="K2453" s="124"/>
      <c r="L2453" s="124"/>
      <c r="M2453" s="124"/>
      <c r="N2453" s="124"/>
      <c r="O2453" s="124"/>
      <c r="P2453" s="124"/>
      <c r="Q2453" s="124"/>
      <c r="R2453" s="124"/>
      <c r="S2453" s="124"/>
      <c r="T2453" s="124"/>
      <c r="U2453" s="124"/>
      <c r="V2453" s="124"/>
      <c r="W2453" s="124"/>
      <c r="X2453" s="124"/>
      <c r="Y2453" s="124"/>
    </row>
    <row r="2454" spans="2:25" x14ac:dyDescent="0.25">
      <c r="B2454" s="124"/>
      <c r="C2454" s="124"/>
      <c r="D2454" s="124"/>
      <c r="E2454" s="124"/>
      <c r="F2454" s="124"/>
      <c r="G2454" s="124"/>
      <c r="H2454" s="124"/>
      <c r="I2454" s="124"/>
      <c r="J2454" s="124"/>
      <c r="K2454" s="124"/>
      <c r="L2454" s="124"/>
      <c r="M2454" s="124"/>
      <c r="N2454" s="124"/>
      <c r="O2454" s="124"/>
      <c r="P2454" s="124"/>
      <c r="Q2454" s="124"/>
      <c r="R2454" s="124"/>
      <c r="S2454" s="124"/>
      <c r="T2454" s="124"/>
      <c r="U2454" s="124"/>
      <c r="V2454" s="124"/>
      <c r="W2454" s="124"/>
      <c r="X2454" s="124"/>
      <c r="Y2454" s="124"/>
    </row>
    <row r="2455" spans="2:25" x14ac:dyDescent="0.25">
      <c r="B2455" s="124"/>
      <c r="C2455" s="124"/>
      <c r="D2455" s="124"/>
      <c r="E2455" s="124"/>
      <c r="F2455" s="124"/>
      <c r="G2455" s="124"/>
      <c r="H2455" s="124"/>
      <c r="I2455" s="124"/>
      <c r="J2455" s="124"/>
      <c r="K2455" s="124"/>
      <c r="L2455" s="124"/>
      <c r="M2455" s="124"/>
      <c r="N2455" s="124"/>
      <c r="O2455" s="124"/>
      <c r="P2455" s="124"/>
      <c r="Q2455" s="124"/>
      <c r="R2455" s="124"/>
      <c r="S2455" s="124"/>
      <c r="T2455" s="124"/>
      <c r="U2455" s="124"/>
      <c r="V2455" s="124"/>
      <c r="W2455" s="124"/>
      <c r="X2455" s="124"/>
      <c r="Y2455" s="124"/>
    </row>
    <row r="2456" spans="2:25" x14ac:dyDescent="0.25">
      <c r="B2456" s="124"/>
      <c r="C2456" s="124"/>
      <c r="D2456" s="124"/>
      <c r="E2456" s="124"/>
      <c r="F2456" s="124"/>
      <c r="G2456" s="124"/>
      <c r="H2456" s="124"/>
      <c r="I2456" s="124"/>
      <c r="J2456" s="124"/>
      <c r="K2456" s="124"/>
      <c r="L2456" s="124"/>
      <c r="M2456" s="124"/>
      <c r="N2456" s="124"/>
      <c r="O2456" s="124"/>
      <c r="P2456" s="124"/>
      <c r="Q2456" s="124"/>
      <c r="R2456" s="124"/>
      <c r="S2456" s="124"/>
      <c r="T2456" s="124"/>
      <c r="U2456" s="124"/>
      <c r="V2456" s="124"/>
      <c r="W2456" s="124"/>
      <c r="X2456" s="124"/>
      <c r="Y2456" s="124"/>
    </row>
    <row r="2457" spans="2:25" x14ac:dyDescent="0.25">
      <c r="B2457" s="124"/>
      <c r="C2457" s="124"/>
      <c r="D2457" s="124"/>
      <c r="E2457" s="124"/>
      <c r="F2457" s="124"/>
      <c r="G2457" s="124"/>
      <c r="H2457" s="124"/>
      <c r="I2457" s="124"/>
      <c r="J2457" s="124"/>
      <c r="K2457" s="124"/>
      <c r="L2457" s="124"/>
      <c r="M2457" s="124"/>
      <c r="N2457" s="124"/>
      <c r="O2457" s="124"/>
      <c r="P2457" s="124"/>
      <c r="Q2457" s="124"/>
      <c r="R2457" s="124"/>
      <c r="S2457" s="124"/>
      <c r="T2457" s="124"/>
      <c r="U2457" s="124"/>
      <c r="V2457" s="124"/>
      <c r="W2457" s="124"/>
      <c r="X2457" s="124"/>
      <c r="Y2457" s="124"/>
    </row>
    <row r="2458" spans="2:25" x14ac:dyDescent="0.25">
      <c r="B2458" s="124"/>
      <c r="C2458" s="124"/>
      <c r="D2458" s="124"/>
      <c r="E2458" s="124"/>
      <c r="F2458" s="124"/>
      <c r="G2458" s="124"/>
      <c r="H2458" s="124"/>
      <c r="I2458" s="124"/>
      <c r="J2458" s="124"/>
      <c r="K2458" s="124"/>
      <c r="L2458" s="124"/>
      <c r="M2458" s="124"/>
      <c r="N2458" s="124"/>
      <c r="O2458" s="124"/>
      <c r="P2458" s="124"/>
      <c r="Q2458" s="124"/>
      <c r="R2458" s="124"/>
      <c r="S2458" s="124"/>
      <c r="T2458" s="124"/>
      <c r="U2458" s="124"/>
      <c r="V2458" s="124"/>
      <c r="W2458" s="124"/>
      <c r="X2458" s="124"/>
      <c r="Y2458" s="124"/>
    </row>
    <row r="2459" spans="2:25" x14ac:dyDescent="0.25">
      <c r="B2459" s="124"/>
      <c r="C2459" s="124"/>
      <c r="D2459" s="124"/>
      <c r="E2459" s="124"/>
      <c r="F2459" s="124"/>
      <c r="G2459" s="124"/>
      <c r="H2459" s="124"/>
      <c r="I2459" s="124"/>
      <c r="J2459" s="124"/>
      <c r="K2459" s="124"/>
      <c r="L2459" s="124"/>
      <c r="M2459" s="124"/>
      <c r="N2459" s="124"/>
      <c r="O2459" s="124"/>
      <c r="P2459" s="124"/>
      <c r="Q2459" s="124"/>
      <c r="R2459" s="124"/>
      <c r="S2459" s="124"/>
      <c r="T2459" s="124"/>
      <c r="U2459" s="124"/>
      <c r="V2459" s="124"/>
      <c r="W2459" s="124"/>
      <c r="X2459" s="124"/>
      <c r="Y2459" s="124"/>
    </row>
    <row r="2460" spans="2:25" x14ac:dyDescent="0.25">
      <c r="B2460" s="124"/>
      <c r="C2460" s="124"/>
      <c r="D2460" s="124"/>
      <c r="E2460" s="124"/>
      <c r="F2460" s="124"/>
      <c r="G2460" s="124"/>
      <c r="H2460" s="124"/>
      <c r="I2460" s="124"/>
      <c r="J2460" s="124"/>
      <c r="K2460" s="124"/>
      <c r="L2460" s="124"/>
      <c r="M2460" s="124"/>
      <c r="N2460" s="124"/>
      <c r="O2460" s="124"/>
      <c r="P2460" s="124"/>
      <c r="Q2460" s="124"/>
      <c r="R2460" s="124"/>
      <c r="S2460" s="124"/>
      <c r="T2460" s="124"/>
      <c r="U2460" s="124"/>
      <c r="V2460" s="124"/>
      <c r="W2460" s="124"/>
      <c r="X2460" s="124"/>
      <c r="Y2460" s="124"/>
    </row>
    <row r="2461" spans="2:25" x14ac:dyDescent="0.25">
      <c r="B2461" s="124"/>
      <c r="C2461" s="124"/>
      <c r="D2461" s="124"/>
      <c r="E2461" s="124"/>
      <c r="F2461" s="124"/>
      <c r="G2461" s="124"/>
      <c r="H2461" s="124"/>
      <c r="I2461" s="124"/>
      <c r="J2461" s="124"/>
      <c r="K2461" s="124"/>
      <c r="L2461" s="124"/>
      <c r="M2461" s="124"/>
      <c r="N2461" s="124"/>
      <c r="O2461" s="124"/>
      <c r="P2461" s="124"/>
      <c r="Q2461" s="124"/>
      <c r="R2461" s="124"/>
      <c r="S2461" s="124"/>
      <c r="T2461" s="124"/>
      <c r="U2461" s="124"/>
      <c r="V2461" s="124"/>
      <c r="W2461" s="124"/>
      <c r="X2461" s="124"/>
      <c r="Y2461" s="124"/>
    </row>
    <row r="2462" spans="2:25" x14ac:dyDescent="0.25">
      <c r="B2462" s="124"/>
      <c r="C2462" s="124"/>
      <c r="D2462" s="124"/>
      <c r="E2462" s="124"/>
      <c r="F2462" s="124"/>
      <c r="G2462" s="124"/>
      <c r="H2462" s="124"/>
      <c r="I2462" s="124"/>
      <c r="J2462" s="124"/>
      <c r="K2462" s="124"/>
      <c r="L2462" s="124"/>
      <c r="M2462" s="124"/>
      <c r="N2462" s="124"/>
      <c r="O2462" s="124"/>
      <c r="P2462" s="124"/>
      <c r="Q2462" s="124"/>
      <c r="R2462" s="124"/>
      <c r="S2462" s="124"/>
      <c r="T2462" s="124"/>
      <c r="U2462" s="124"/>
      <c r="V2462" s="124"/>
      <c r="W2462" s="124"/>
      <c r="X2462" s="124"/>
      <c r="Y2462" s="124"/>
    </row>
    <row r="2463" spans="2:25" x14ac:dyDescent="0.25">
      <c r="B2463" s="124"/>
      <c r="C2463" s="124"/>
      <c r="D2463" s="124"/>
      <c r="E2463" s="124"/>
      <c r="F2463" s="124"/>
      <c r="G2463" s="124"/>
      <c r="H2463" s="124"/>
      <c r="I2463" s="124"/>
      <c r="J2463" s="124"/>
      <c r="K2463" s="124"/>
      <c r="L2463" s="124"/>
      <c r="M2463" s="124"/>
      <c r="N2463" s="124"/>
      <c r="O2463" s="124"/>
      <c r="P2463" s="124"/>
      <c r="Q2463" s="124"/>
      <c r="R2463" s="124"/>
      <c r="S2463" s="124"/>
      <c r="T2463" s="124"/>
      <c r="U2463" s="124"/>
      <c r="V2463" s="124"/>
      <c r="W2463" s="124"/>
      <c r="X2463" s="124"/>
      <c r="Y2463" s="124"/>
    </row>
    <row r="2464" spans="2:25" x14ac:dyDescent="0.25">
      <c r="B2464" s="124"/>
      <c r="C2464" s="124"/>
      <c r="D2464" s="124"/>
      <c r="E2464" s="124"/>
      <c r="F2464" s="124"/>
      <c r="G2464" s="124"/>
      <c r="H2464" s="124"/>
      <c r="I2464" s="124"/>
      <c r="J2464" s="124"/>
      <c r="K2464" s="124"/>
      <c r="L2464" s="124"/>
      <c r="M2464" s="124"/>
      <c r="N2464" s="124"/>
      <c r="O2464" s="124"/>
      <c r="P2464" s="124"/>
      <c r="Q2464" s="124"/>
      <c r="R2464" s="124"/>
      <c r="S2464" s="124"/>
      <c r="T2464" s="124"/>
      <c r="U2464" s="124"/>
      <c r="V2464" s="124"/>
      <c r="W2464" s="124"/>
      <c r="X2464" s="124"/>
      <c r="Y2464" s="124"/>
    </row>
    <row r="2465" spans="2:25" x14ac:dyDescent="0.25">
      <c r="B2465" s="124"/>
      <c r="C2465" s="124"/>
      <c r="D2465" s="124"/>
      <c r="E2465" s="124"/>
      <c r="F2465" s="124"/>
      <c r="G2465" s="124"/>
      <c r="H2465" s="124"/>
      <c r="I2465" s="124"/>
      <c r="J2465" s="124"/>
      <c r="K2465" s="124"/>
      <c r="L2465" s="124"/>
      <c r="M2465" s="124"/>
      <c r="N2465" s="124"/>
      <c r="O2465" s="124"/>
      <c r="P2465" s="124"/>
      <c r="Q2465" s="124"/>
      <c r="R2465" s="124"/>
      <c r="S2465" s="124"/>
      <c r="T2465" s="124"/>
      <c r="U2465" s="124"/>
      <c r="V2465" s="124"/>
      <c r="W2465" s="124"/>
      <c r="X2465" s="124"/>
      <c r="Y2465" s="124"/>
    </row>
    <row r="2466" spans="2:25" x14ac:dyDescent="0.25">
      <c r="B2466" s="124"/>
      <c r="C2466" s="124"/>
      <c r="D2466" s="124"/>
      <c r="E2466" s="124"/>
      <c r="F2466" s="124"/>
      <c r="G2466" s="124"/>
      <c r="H2466" s="124"/>
      <c r="I2466" s="124"/>
      <c r="J2466" s="124"/>
      <c r="K2466" s="124"/>
      <c r="L2466" s="124"/>
      <c r="M2466" s="124"/>
      <c r="N2466" s="124"/>
      <c r="O2466" s="124"/>
      <c r="P2466" s="124"/>
      <c r="Q2466" s="124"/>
      <c r="R2466" s="124"/>
      <c r="S2466" s="124"/>
      <c r="T2466" s="124"/>
      <c r="U2466" s="124"/>
      <c r="V2466" s="124"/>
      <c r="W2466" s="124"/>
      <c r="X2466" s="124"/>
      <c r="Y2466" s="124"/>
    </row>
    <row r="2467" spans="2:25" x14ac:dyDescent="0.25">
      <c r="B2467" s="124"/>
      <c r="C2467" s="124"/>
      <c r="D2467" s="124"/>
      <c r="E2467" s="124"/>
      <c r="F2467" s="124"/>
      <c r="G2467" s="124"/>
      <c r="H2467" s="124"/>
      <c r="I2467" s="124"/>
      <c r="J2467" s="124"/>
      <c r="K2467" s="124"/>
      <c r="L2467" s="124"/>
      <c r="M2467" s="124"/>
      <c r="N2467" s="124"/>
      <c r="O2467" s="124"/>
      <c r="P2467" s="124"/>
      <c r="Q2467" s="124"/>
      <c r="R2467" s="124"/>
      <c r="S2467" s="124"/>
      <c r="T2467" s="124"/>
      <c r="U2467" s="124"/>
      <c r="V2467" s="124"/>
      <c r="W2467" s="124"/>
      <c r="X2467" s="124"/>
      <c r="Y2467" s="124"/>
    </row>
    <row r="2468" spans="2:25" x14ac:dyDescent="0.25">
      <c r="B2468" s="124"/>
      <c r="C2468" s="124"/>
      <c r="D2468" s="124"/>
      <c r="E2468" s="124"/>
      <c r="F2468" s="124"/>
      <c r="G2468" s="124"/>
      <c r="H2468" s="124"/>
      <c r="I2468" s="124"/>
      <c r="J2468" s="124"/>
      <c r="K2468" s="124"/>
      <c r="L2468" s="124"/>
      <c r="M2468" s="124"/>
      <c r="N2468" s="124"/>
      <c r="O2468" s="124"/>
      <c r="P2468" s="124"/>
      <c r="Q2468" s="124"/>
      <c r="R2468" s="124"/>
      <c r="S2468" s="124"/>
      <c r="T2468" s="124"/>
      <c r="U2468" s="124"/>
      <c r="V2468" s="124"/>
      <c r="W2468" s="124"/>
      <c r="X2468" s="124"/>
      <c r="Y2468" s="124"/>
    </row>
    <row r="2469" spans="2:25" x14ac:dyDescent="0.25">
      <c r="B2469" s="124"/>
      <c r="C2469" s="124"/>
      <c r="D2469" s="124"/>
      <c r="E2469" s="124"/>
      <c r="F2469" s="124"/>
      <c r="G2469" s="124"/>
      <c r="H2469" s="124"/>
      <c r="I2469" s="124"/>
      <c r="J2469" s="124"/>
      <c r="K2469" s="124"/>
      <c r="L2469" s="124"/>
      <c r="M2469" s="124"/>
      <c r="N2469" s="124"/>
      <c r="O2469" s="124"/>
      <c r="P2469" s="124"/>
      <c r="Q2469" s="124"/>
      <c r="R2469" s="124"/>
      <c r="S2469" s="124"/>
      <c r="T2469" s="124"/>
      <c r="U2469" s="124"/>
      <c r="V2469" s="124"/>
      <c r="W2469" s="124"/>
      <c r="X2469" s="124"/>
      <c r="Y2469" s="124"/>
    </row>
    <row r="2470" spans="2:25" x14ac:dyDescent="0.25">
      <c r="B2470" s="124"/>
      <c r="C2470" s="124"/>
      <c r="D2470" s="124"/>
      <c r="E2470" s="124"/>
      <c r="F2470" s="124"/>
      <c r="G2470" s="124"/>
      <c r="H2470" s="124"/>
      <c r="I2470" s="124"/>
      <c r="J2470" s="124"/>
      <c r="K2470" s="124"/>
      <c r="L2470" s="124"/>
      <c r="M2470" s="124"/>
      <c r="N2470" s="124"/>
      <c r="O2470" s="124"/>
      <c r="P2470" s="124"/>
      <c r="Q2470" s="124"/>
      <c r="R2470" s="124"/>
      <c r="S2470" s="124"/>
      <c r="T2470" s="124"/>
      <c r="U2470" s="124"/>
      <c r="V2470" s="124"/>
      <c r="W2470" s="124"/>
      <c r="X2470" s="124"/>
      <c r="Y2470" s="124"/>
    </row>
    <row r="2471" spans="2:25" x14ac:dyDescent="0.25">
      <c r="B2471" s="124"/>
      <c r="C2471" s="124"/>
      <c r="D2471" s="124"/>
      <c r="E2471" s="124"/>
      <c r="F2471" s="124"/>
      <c r="G2471" s="124"/>
      <c r="H2471" s="124"/>
      <c r="I2471" s="124"/>
      <c r="J2471" s="124"/>
      <c r="K2471" s="124"/>
      <c r="L2471" s="124"/>
      <c r="M2471" s="124"/>
      <c r="N2471" s="124"/>
      <c r="O2471" s="124"/>
      <c r="P2471" s="124"/>
      <c r="Q2471" s="124"/>
      <c r="R2471" s="124"/>
      <c r="S2471" s="124"/>
      <c r="T2471" s="124"/>
      <c r="U2471" s="124"/>
      <c r="V2471" s="124"/>
      <c r="W2471" s="124"/>
      <c r="X2471" s="124"/>
      <c r="Y2471" s="124"/>
    </row>
    <row r="2472" spans="2:25" x14ac:dyDescent="0.25">
      <c r="B2472" s="124"/>
      <c r="C2472" s="124"/>
      <c r="D2472" s="124"/>
      <c r="E2472" s="124"/>
      <c r="F2472" s="124"/>
      <c r="G2472" s="124"/>
      <c r="H2472" s="124"/>
      <c r="I2472" s="124"/>
      <c r="J2472" s="124"/>
      <c r="K2472" s="124"/>
      <c r="L2472" s="124"/>
      <c r="M2472" s="124"/>
      <c r="N2472" s="124"/>
      <c r="O2472" s="124"/>
      <c r="P2472" s="124"/>
      <c r="Q2472" s="124"/>
      <c r="R2472" s="124"/>
      <c r="S2472" s="124"/>
      <c r="T2472" s="124"/>
      <c r="U2472" s="124"/>
      <c r="V2472" s="124"/>
      <c r="W2472" s="124"/>
      <c r="X2472" s="124"/>
      <c r="Y2472" s="124"/>
    </row>
    <row r="2473" spans="2:25" x14ac:dyDescent="0.25">
      <c r="B2473" s="124"/>
      <c r="C2473" s="124"/>
      <c r="D2473" s="124"/>
      <c r="E2473" s="124"/>
      <c r="F2473" s="124"/>
      <c r="G2473" s="124"/>
      <c r="H2473" s="124"/>
      <c r="I2473" s="124"/>
      <c r="J2473" s="124"/>
      <c r="K2473" s="124"/>
      <c r="L2473" s="124"/>
      <c r="M2473" s="124"/>
      <c r="N2473" s="124"/>
      <c r="O2473" s="124"/>
      <c r="P2473" s="124"/>
      <c r="Q2473" s="124"/>
      <c r="R2473" s="124"/>
      <c r="S2473" s="124"/>
      <c r="T2473" s="124"/>
      <c r="U2473" s="124"/>
      <c r="V2473" s="124"/>
      <c r="W2473" s="124"/>
      <c r="X2473" s="124"/>
      <c r="Y2473" s="124"/>
    </row>
    <row r="2474" spans="2:25" x14ac:dyDescent="0.25">
      <c r="B2474" s="124"/>
      <c r="C2474" s="124"/>
      <c r="D2474" s="124"/>
      <c r="E2474" s="124"/>
      <c r="F2474" s="124"/>
      <c r="G2474" s="124"/>
      <c r="H2474" s="124"/>
      <c r="I2474" s="124"/>
      <c r="J2474" s="124"/>
      <c r="K2474" s="124"/>
      <c r="L2474" s="124"/>
      <c r="M2474" s="124"/>
      <c r="N2474" s="124"/>
      <c r="O2474" s="124"/>
      <c r="P2474" s="124"/>
      <c r="Q2474" s="124"/>
      <c r="R2474" s="124"/>
      <c r="S2474" s="124"/>
      <c r="T2474" s="124"/>
      <c r="U2474" s="124"/>
      <c r="V2474" s="124"/>
      <c r="W2474" s="124"/>
      <c r="X2474" s="124"/>
      <c r="Y2474" s="124"/>
    </row>
    <row r="2475" spans="2:25" x14ac:dyDescent="0.25">
      <c r="B2475" s="124"/>
      <c r="C2475" s="124"/>
      <c r="D2475" s="124"/>
      <c r="E2475" s="124"/>
      <c r="F2475" s="124"/>
      <c r="G2475" s="124"/>
      <c r="H2475" s="124"/>
      <c r="I2475" s="124"/>
      <c r="J2475" s="124"/>
      <c r="K2475" s="124"/>
      <c r="L2475" s="124"/>
      <c r="M2475" s="124"/>
      <c r="N2475" s="124"/>
      <c r="O2475" s="124"/>
      <c r="P2475" s="124"/>
      <c r="Q2475" s="124"/>
      <c r="R2475" s="124"/>
      <c r="S2475" s="124"/>
      <c r="T2475" s="124"/>
      <c r="U2475" s="124"/>
      <c r="V2475" s="124"/>
      <c r="W2475" s="124"/>
      <c r="X2475" s="124"/>
      <c r="Y2475" s="124"/>
    </row>
    <row r="2476" spans="2:25" x14ac:dyDescent="0.25">
      <c r="B2476" s="124"/>
      <c r="C2476" s="124"/>
      <c r="D2476" s="124"/>
      <c r="E2476" s="124"/>
      <c r="F2476" s="124"/>
      <c r="G2476" s="124"/>
      <c r="H2476" s="124"/>
      <c r="I2476" s="124"/>
      <c r="J2476" s="124"/>
      <c r="K2476" s="124"/>
      <c r="L2476" s="124"/>
      <c r="M2476" s="124"/>
      <c r="N2476" s="124"/>
      <c r="O2476" s="124"/>
      <c r="P2476" s="124"/>
      <c r="Q2476" s="124"/>
      <c r="R2476" s="124"/>
      <c r="S2476" s="124"/>
      <c r="T2476" s="124"/>
      <c r="U2476" s="124"/>
      <c r="V2476" s="124"/>
      <c r="W2476" s="124"/>
      <c r="X2476" s="124"/>
      <c r="Y2476" s="124"/>
    </row>
    <row r="2477" spans="2:25" x14ac:dyDescent="0.25">
      <c r="B2477" s="124"/>
      <c r="C2477" s="124"/>
      <c r="D2477" s="124"/>
      <c r="E2477" s="124"/>
      <c r="F2477" s="124"/>
      <c r="G2477" s="124"/>
      <c r="H2477" s="124"/>
      <c r="I2477" s="124"/>
      <c r="J2477" s="124"/>
      <c r="K2477" s="124"/>
      <c r="L2477" s="124"/>
      <c r="M2477" s="124"/>
      <c r="N2477" s="124"/>
      <c r="O2477" s="124"/>
      <c r="P2477" s="124"/>
      <c r="Q2477" s="124"/>
      <c r="R2477" s="124"/>
      <c r="S2477" s="124"/>
      <c r="T2477" s="124"/>
      <c r="U2477" s="124"/>
      <c r="V2477" s="124"/>
      <c r="W2477" s="124"/>
      <c r="X2477" s="124"/>
      <c r="Y2477" s="124"/>
    </row>
    <row r="2478" spans="2:25" x14ac:dyDescent="0.25">
      <c r="B2478" s="124"/>
      <c r="C2478" s="124"/>
      <c r="D2478" s="124"/>
      <c r="E2478" s="124"/>
      <c r="F2478" s="124"/>
      <c r="G2478" s="124"/>
      <c r="H2478" s="124"/>
      <c r="I2478" s="124"/>
      <c r="J2478" s="124"/>
      <c r="K2478" s="124"/>
      <c r="L2478" s="124"/>
      <c r="M2478" s="124"/>
      <c r="N2478" s="124"/>
      <c r="O2478" s="124"/>
      <c r="P2478" s="124"/>
      <c r="Q2478" s="124"/>
      <c r="R2478" s="124"/>
      <c r="S2478" s="124"/>
      <c r="T2478" s="124"/>
      <c r="U2478" s="124"/>
      <c r="V2478" s="124"/>
      <c r="W2478" s="124"/>
      <c r="X2478" s="124"/>
      <c r="Y2478" s="124"/>
    </row>
    <row r="2479" spans="2:25" x14ac:dyDescent="0.25">
      <c r="B2479" s="124"/>
      <c r="C2479" s="124"/>
      <c r="D2479" s="124"/>
      <c r="E2479" s="124"/>
      <c r="F2479" s="124"/>
      <c r="G2479" s="124"/>
      <c r="H2479" s="124"/>
      <c r="I2479" s="124"/>
      <c r="J2479" s="124"/>
      <c r="K2479" s="124"/>
      <c r="L2479" s="124"/>
      <c r="M2479" s="124"/>
      <c r="N2479" s="124"/>
      <c r="O2479" s="124"/>
      <c r="P2479" s="124"/>
      <c r="Q2479" s="124"/>
      <c r="R2479" s="124"/>
      <c r="S2479" s="124"/>
      <c r="T2479" s="124"/>
      <c r="U2479" s="124"/>
      <c r="V2479" s="124"/>
      <c r="W2479" s="124"/>
      <c r="X2479" s="124"/>
      <c r="Y2479" s="124"/>
    </row>
    <row r="2480" spans="2:25" x14ac:dyDescent="0.25">
      <c r="B2480" s="124"/>
      <c r="C2480" s="124"/>
      <c r="D2480" s="124"/>
      <c r="E2480" s="124"/>
      <c r="F2480" s="124"/>
      <c r="G2480" s="124"/>
      <c r="H2480" s="124"/>
      <c r="I2480" s="124"/>
      <c r="J2480" s="124"/>
      <c r="K2480" s="124"/>
      <c r="L2480" s="124"/>
      <c r="M2480" s="124"/>
      <c r="N2480" s="124"/>
      <c r="O2480" s="124"/>
      <c r="P2480" s="124"/>
      <c r="Q2480" s="124"/>
      <c r="R2480" s="124"/>
      <c r="S2480" s="124"/>
      <c r="T2480" s="124"/>
      <c r="U2480" s="124"/>
      <c r="V2480" s="124"/>
      <c r="W2480" s="124"/>
      <c r="X2480" s="124"/>
      <c r="Y2480" s="124"/>
    </row>
    <row r="2481" spans="2:25" x14ac:dyDescent="0.25">
      <c r="B2481" s="124"/>
      <c r="C2481" s="124"/>
      <c r="D2481" s="124"/>
      <c r="E2481" s="124"/>
      <c r="F2481" s="124"/>
      <c r="G2481" s="124"/>
      <c r="H2481" s="124"/>
      <c r="I2481" s="124"/>
      <c r="J2481" s="124"/>
      <c r="K2481" s="124"/>
      <c r="L2481" s="124"/>
      <c r="M2481" s="124"/>
      <c r="N2481" s="124"/>
      <c r="O2481" s="124"/>
      <c r="P2481" s="124"/>
      <c r="Q2481" s="124"/>
      <c r="R2481" s="124"/>
      <c r="S2481" s="124"/>
      <c r="T2481" s="124"/>
      <c r="U2481" s="124"/>
      <c r="V2481" s="124"/>
      <c r="W2481" s="124"/>
      <c r="X2481" s="124"/>
      <c r="Y2481" s="124"/>
    </row>
    <row r="2482" spans="2:25" x14ac:dyDescent="0.25">
      <c r="B2482" s="124"/>
      <c r="C2482" s="124"/>
      <c r="D2482" s="124"/>
      <c r="E2482" s="124"/>
      <c r="F2482" s="124"/>
      <c r="G2482" s="124"/>
      <c r="H2482" s="124"/>
      <c r="I2482" s="124"/>
      <c r="J2482" s="124"/>
      <c r="K2482" s="124"/>
      <c r="L2482" s="124"/>
      <c r="M2482" s="124"/>
      <c r="N2482" s="124"/>
      <c r="O2482" s="124"/>
      <c r="P2482" s="124"/>
      <c r="Q2482" s="124"/>
      <c r="R2482" s="124"/>
      <c r="S2482" s="124"/>
      <c r="T2482" s="124"/>
      <c r="U2482" s="124"/>
      <c r="V2482" s="124"/>
      <c r="W2482" s="124"/>
      <c r="X2482" s="124"/>
      <c r="Y2482" s="124"/>
    </row>
    <row r="2483" spans="2:25" x14ac:dyDescent="0.25">
      <c r="B2483" s="124"/>
      <c r="C2483" s="124"/>
      <c r="D2483" s="124"/>
      <c r="E2483" s="124"/>
      <c r="F2483" s="124"/>
      <c r="G2483" s="124"/>
      <c r="H2483" s="124"/>
      <c r="I2483" s="124"/>
      <c r="J2483" s="124"/>
      <c r="K2483" s="124"/>
      <c r="L2483" s="124"/>
      <c r="M2483" s="124"/>
      <c r="N2483" s="124"/>
      <c r="O2483" s="124"/>
      <c r="P2483" s="124"/>
      <c r="Q2483" s="124"/>
      <c r="R2483" s="124"/>
      <c r="S2483" s="124"/>
      <c r="T2483" s="124"/>
      <c r="U2483" s="124"/>
      <c r="V2483" s="124"/>
      <c r="W2483" s="124"/>
      <c r="X2483" s="124"/>
      <c r="Y2483" s="124"/>
    </row>
    <row r="2484" spans="2:25" x14ac:dyDescent="0.25">
      <c r="B2484" s="124"/>
      <c r="C2484" s="124"/>
      <c r="D2484" s="124"/>
      <c r="E2484" s="124"/>
      <c r="F2484" s="124"/>
      <c r="G2484" s="124"/>
      <c r="H2484" s="124"/>
      <c r="I2484" s="124"/>
      <c r="J2484" s="124"/>
      <c r="K2484" s="124"/>
      <c r="L2484" s="124"/>
      <c r="M2484" s="124"/>
      <c r="N2484" s="124"/>
      <c r="O2484" s="124"/>
      <c r="P2484" s="124"/>
      <c r="Q2484" s="124"/>
      <c r="R2484" s="124"/>
      <c r="S2484" s="124"/>
      <c r="T2484" s="124"/>
      <c r="U2484" s="124"/>
      <c r="V2484" s="124"/>
      <c r="W2484" s="124"/>
      <c r="X2484" s="124"/>
      <c r="Y2484" s="124"/>
    </row>
    <row r="2485" spans="2:25" x14ac:dyDescent="0.25">
      <c r="B2485" s="124"/>
      <c r="C2485" s="124"/>
      <c r="D2485" s="124"/>
      <c r="E2485" s="124"/>
      <c r="F2485" s="124"/>
      <c r="G2485" s="124"/>
      <c r="H2485" s="124"/>
      <c r="I2485" s="124"/>
      <c r="J2485" s="124"/>
      <c r="K2485" s="124"/>
      <c r="L2485" s="124"/>
      <c r="M2485" s="124"/>
      <c r="N2485" s="124"/>
      <c r="O2485" s="124"/>
      <c r="P2485" s="124"/>
      <c r="Q2485" s="124"/>
      <c r="R2485" s="124"/>
      <c r="S2485" s="124"/>
      <c r="T2485" s="124"/>
      <c r="U2485" s="124"/>
      <c r="V2485" s="124"/>
      <c r="W2485" s="124"/>
      <c r="X2485" s="124"/>
      <c r="Y2485" s="124"/>
    </row>
    <row r="2486" spans="2:25" x14ac:dyDescent="0.25">
      <c r="B2486" s="124"/>
      <c r="C2486" s="124"/>
      <c r="D2486" s="124"/>
      <c r="E2486" s="124"/>
      <c r="F2486" s="124"/>
      <c r="G2486" s="124"/>
      <c r="H2486" s="124"/>
      <c r="I2486" s="124"/>
      <c r="J2486" s="124"/>
      <c r="K2486" s="124"/>
      <c r="L2486" s="124"/>
      <c r="M2486" s="124"/>
      <c r="N2486" s="124"/>
      <c r="O2486" s="124"/>
      <c r="P2486" s="124"/>
      <c r="Q2486" s="124"/>
      <c r="R2486" s="124"/>
      <c r="S2486" s="124"/>
      <c r="T2486" s="124"/>
      <c r="U2486" s="124"/>
      <c r="V2486" s="124"/>
      <c r="W2486" s="124"/>
      <c r="X2486" s="124"/>
      <c r="Y2486" s="124"/>
    </row>
    <row r="2487" spans="2:25" x14ac:dyDescent="0.25">
      <c r="B2487" s="124"/>
      <c r="C2487" s="124"/>
      <c r="D2487" s="124"/>
      <c r="E2487" s="124"/>
      <c r="F2487" s="124"/>
      <c r="G2487" s="124"/>
      <c r="H2487" s="124"/>
      <c r="I2487" s="124"/>
      <c r="J2487" s="124"/>
      <c r="K2487" s="124"/>
      <c r="L2487" s="124"/>
      <c r="M2487" s="124"/>
      <c r="N2487" s="124"/>
      <c r="O2487" s="124"/>
      <c r="P2487" s="124"/>
      <c r="Q2487" s="124"/>
      <c r="R2487" s="124"/>
      <c r="S2487" s="124"/>
      <c r="T2487" s="124"/>
      <c r="U2487" s="124"/>
      <c r="V2487" s="124"/>
      <c r="W2487" s="124"/>
      <c r="X2487" s="124"/>
      <c r="Y2487" s="124"/>
    </row>
    <row r="2488" spans="2:25" x14ac:dyDescent="0.25">
      <c r="B2488" s="124"/>
      <c r="C2488" s="124"/>
      <c r="D2488" s="124"/>
      <c r="E2488" s="124"/>
      <c r="F2488" s="124"/>
      <c r="G2488" s="124"/>
      <c r="H2488" s="124"/>
      <c r="I2488" s="124"/>
      <c r="J2488" s="124"/>
      <c r="K2488" s="124"/>
      <c r="L2488" s="124"/>
      <c r="M2488" s="124"/>
      <c r="N2488" s="124"/>
      <c r="O2488" s="124"/>
      <c r="P2488" s="124"/>
      <c r="Q2488" s="124"/>
      <c r="R2488" s="124"/>
      <c r="S2488" s="124"/>
      <c r="T2488" s="124"/>
      <c r="U2488" s="124"/>
      <c r="V2488" s="124"/>
      <c r="W2488" s="124"/>
      <c r="X2488" s="124"/>
      <c r="Y2488" s="124"/>
    </row>
    <row r="2489" spans="2:25" x14ac:dyDescent="0.25">
      <c r="B2489" s="124"/>
      <c r="C2489" s="124"/>
      <c r="D2489" s="124"/>
      <c r="E2489" s="124"/>
      <c r="F2489" s="124"/>
      <c r="G2489" s="124"/>
      <c r="H2489" s="124"/>
      <c r="I2489" s="124"/>
      <c r="J2489" s="124"/>
      <c r="K2489" s="124"/>
      <c r="L2489" s="124"/>
      <c r="M2489" s="124"/>
      <c r="N2489" s="124"/>
      <c r="O2489" s="124"/>
      <c r="P2489" s="124"/>
      <c r="Q2489" s="124"/>
      <c r="R2489" s="124"/>
      <c r="S2489" s="124"/>
      <c r="T2489" s="124"/>
      <c r="U2489" s="124"/>
      <c r="V2489" s="124"/>
      <c r="W2489" s="124"/>
      <c r="X2489" s="124"/>
      <c r="Y2489" s="124"/>
    </row>
    <row r="2490" spans="2:25" x14ac:dyDescent="0.25">
      <c r="B2490" s="124"/>
      <c r="C2490" s="124"/>
      <c r="D2490" s="124"/>
      <c r="E2490" s="124"/>
      <c r="F2490" s="124"/>
      <c r="G2490" s="124"/>
      <c r="H2490" s="124"/>
      <c r="I2490" s="124"/>
      <c r="J2490" s="124"/>
      <c r="K2490" s="124"/>
      <c r="L2490" s="124"/>
      <c r="M2490" s="124"/>
      <c r="N2490" s="124"/>
      <c r="O2490" s="124"/>
      <c r="P2490" s="124"/>
      <c r="Q2490" s="124"/>
      <c r="R2490" s="124"/>
      <c r="S2490" s="124"/>
      <c r="T2490" s="124"/>
      <c r="U2490" s="124"/>
      <c r="V2490" s="124"/>
      <c r="W2490" s="124"/>
      <c r="X2490" s="124"/>
      <c r="Y2490" s="124"/>
    </row>
    <row r="2491" spans="2:25" x14ac:dyDescent="0.25">
      <c r="B2491" s="124"/>
      <c r="C2491" s="124"/>
      <c r="D2491" s="124"/>
      <c r="E2491" s="124"/>
      <c r="F2491" s="124"/>
      <c r="G2491" s="124"/>
      <c r="H2491" s="124"/>
      <c r="I2491" s="124"/>
      <c r="J2491" s="124"/>
      <c r="K2491" s="124"/>
      <c r="L2491" s="124"/>
      <c r="M2491" s="124"/>
      <c r="N2491" s="124"/>
      <c r="O2491" s="124"/>
      <c r="P2491" s="124"/>
      <c r="Q2491" s="124"/>
      <c r="R2491" s="124"/>
      <c r="S2491" s="124"/>
      <c r="T2491" s="124"/>
      <c r="U2491" s="124"/>
      <c r="V2491" s="124"/>
      <c r="W2491" s="124"/>
      <c r="X2491" s="124"/>
      <c r="Y2491" s="124"/>
    </row>
    <row r="2492" spans="2:25" x14ac:dyDescent="0.25">
      <c r="B2492" s="124"/>
      <c r="C2492" s="124"/>
      <c r="D2492" s="124"/>
      <c r="E2492" s="124"/>
      <c r="F2492" s="124"/>
      <c r="G2492" s="124"/>
      <c r="H2492" s="124"/>
      <c r="I2492" s="124"/>
      <c r="J2492" s="124"/>
      <c r="K2492" s="124"/>
      <c r="L2492" s="124"/>
      <c r="M2492" s="124"/>
      <c r="N2492" s="124"/>
      <c r="O2492" s="124"/>
      <c r="P2492" s="124"/>
      <c r="Q2492" s="124"/>
      <c r="R2492" s="124"/>
      <c r="S2492" s="124"/>
      <c r="T2492" s="124"/>
      <c r="U2492" s="124"/>
      <c r="V2492" s="124"/>
      <c r="W2492" s="124"/>
      <c r="X2492" s="124"/>
      <c r="Y2492" s="124"/>
    </row>
    <row r="2493" spans="2:25" x14ac:dyDescent="0.25">
      <c r="B2493" s="124"/>
      <c r="C2493" s="124"/>
      <c r="D2493" s="124"/>
      <c r="E2493" s="124"/>
      <c r="F2493" s="124"/>
      <c r="G2493" s="124"/>
      <c r="H2493" s="124"/>
      <c r="I2493" s="124"/>
      <c r="J2493" s="124"/>
      <c r="K2493" s="124"/>
      <c r="L2493" s="124"/>
      <c r="M2493" s="124"/>
      <c r="N2493" s="124"/>
      <c r="O2493" s="124"/>
      <c r="P2493" s="124"/>
      <c r="Q2493" s="124"/>
      <c r="R2493" s="124"/>
      <c r="S2493" s="124"/>
      <c r="T2493" s="124"/>
      <c r="U2493" s="124"/>
      <c r="V2493" s="124"/>
      <c r="W2493" s="124"/>
      <c r="X2493" s="124"/>
      <c r="Y2493" s="124"/>
    </row>
    <row r="2494" spans="2:25" x14ac:dyDescent="0.25">
      <c r="B2494" s="124"/>
      <c r="C2494" s="124"/>
      <c r="D2494" s="124"/>
      <c r="E2494" s="124"/>
      <c r="F2494" s="124"/>
      <c r="G2494" s="124"/>
      <c r="H2494" s="124"/>
      <c r="I2494" s="124"/>
      <c r="J2494" s="124"/>
      <c r="K2494" s="124"/>
      <c r="L2494" s="124"/>
      <c r="M2494" s="124"/>
      <c r="N2494" s="124"/>
      <c r="O2494" s="124"/>
      <c r="P2494" s="124"/>
      <c r="Q2494" s="124"/>
      <c r="R2494" s="124"/>
      <c r="S2494" s="124"/>
      <c r="T2494" s="124"/>
      <c r="U2494" s="124"/>
      <c r="V2494" s="124"/>
      <c r="W2494" s="124"/>
      <c r="X2494" s="124"/>
      <c r="Y2494" s="124"/>
    </row>
    <row r="2495" spans="2:25" x14ac:dyDescent="0.25">
      <c r="B2495" s="124"/>
      <c r="C2495" s="124"/>
      <c r="D2495" s="124"/>
      <c r="E2495" s="124"/>
      <c r="F2495" s="124"/>
      <c r="G2495" s="124"/>
      <c r="H2495" s="124"/>
      <c r="I2495" s="124"/>
      <c r="J2495" s="124"/>
      <c r="K2495" s="124"/>
      <c r="L2495" s="124"/>
      <c r="M2495" s="124"/>
      <c r="N2495" s="124"/>
      <c r="O2495" s="124"/>
      <c r="P2495" s="124"/>
      <c r="Q2495" s="124"/>
      <c r="R2495" s="124"/>
      <c r="S2495" s="124"/>
      <c r="T2495" s="124"/>
      <c r="U2495" s="124"/>
      <c r="V2495" s="124"/>
      <c r="W2495" s="124"/>
      <c r="X2495" s="124"/>
      <c r="Y2495" s="124"/>
    </row>
    <row r="2496" spans="2:25" x14ac:dyDescent="0.25">
      <c r="B2496" s="124"/>
      <c r="C2496" s="124"/>
      <c r="D2496" s="124"/>
      <c r="E2496" s="124"/>
      <c r="F2496" s="124"/>
      <c r="G2496" s="124"/>
      <c r="H2496" s="124"/>
      <c r="I2496" s="124"/>
      <c r="J2496" s="124"/>
      <c r="K2496" s="124"/>
      <c r="L2496" s="124"/>
      <c r="M2496" s="124"/>
      <c r="N2496" s="124"/>
      <c r="O2496" s="124"/>
      <c r="P2496" s="124"/>
      <c r="Q2496" s="124"/>
      <c r="R2496" s="124"/>
      <c r="S2496" s="124"/>
      <c r="T2496" s="124"/>
      <c r="U2496" s="124"/>
      <c r="V2496" s="124"/>
      <c r="W2496" s="124"/>
      <c r="X2496" s="124"/>
      <c r="Y2496" s="124"/>
    </row>
    <row r="2497" spans="2:25" x14ac:dyDescent="0.25">
      <c r="B2497" s="124"/>
      <c r="C2497" s="124"/>
      <c r="D2497" s="124"/>
      <c r="E2497" s="124"/>
      <c r="F2497" s="124"/>
      <c r="G2497" s="124"/>
      <c r="H2497" s="124"/>
      <c r="I2497" s="124"/>
      <c r="J2497" s="124"/>
      <c r="K2497" s="124"/>
      <c r="L2497" s="124"/>
      <c r="M2497" s="124"/>
      <c r="N2497" s="124"/>
      <c r="O2497" s="124"/>
      <c r="P2497" s="124"/>
      <c r="Q2497" s="124"/>
      <c r="R2497" s="124"/>
      <c r="S2497" s="124"/>
      <c r="T2497" s="124"/>
      <c r="U2497" s="124"/>
      <c r="V2497" s="124"/>
      <c r="W2497" s="124"/>
      <c r="X2497" s="124"/>
      <c r="Y2497" s="124"/>
    </row>
    <row r="2498" spans="2:25" x14ac:dyDescent="0.25">
      <c r="B2498" s="124"/>
      <c r="C2498" s="124"/>
      <c r="D2498" s="124"/>
      <c r="E2498" s="124"/>
      <c r="F2498" s="124"/>
      <c r="G2498" s="124"/>
      <c r="H2498" s="124"/>
      <c r="I2498" s="124"/>
      <c r="J2498" s="124"/>
      <c r="K2498" s="124"/>
      <c r="L2498" s="124"/>
      <c r="M2498" s="124"/>
      <c r="N2498" s="124"/>
      <c r="O2498" s="124"/>
      <c r="P2498" s="124"/>
      <c r="Q2498" s="124"/>
      <c r="R2498" s="124"/>
      <c r="S2498" s="124"/>
      <c r="T2498" s="124"/>
      <c r="U2498" s="124"/>
      <c r="V2498" s="124"/>
      <c r="W2498" s="124"/>
      <c r="X2498" s="124"/>
      <c r="Y2498" s="124"/>
    </row>
    <row r="2499" spans="2:25" x14ac:dyDescent="0.25">
      <c r="B2499" s="124"/>
      <c r="C2499" s="124"/>
      <c r="D2499" s="124"/>
      <c r="E2499" s="124"/>
      <c r="F2499" s="124"/>
      <c r="G2499" s="124"/>
      <c r="H2499" s="124"/>
      <c r="I2499" s="124"/>
      <c r="J2499" s="124"/>
      <c r="K2499" s="124"/>
      <c r="L2499" s="124"/>
      <c r="M2499" s="124"/>
      <c r="N2499" s="124"/>
      <c r="O2499" s="124"/>
      <c r="P2499" s="124"/>
      <c r="Q2499" s="124"/>
      <c r="R2499" s="124"/>
      <c r="S2499" s="124"/>
      <c r="T2499" s="124"/>
      <c r="U2499" s="124"/>
      <c r="V2499" s="124"/>
      <c r="W2499" s="124"/>
      <c r="X2499" s="124"/>
      <c r="Y2499" s="124"/>
    </row>
    <row r="2500" spans="2:25" x14ac:dyDescent="0.25">
      <c r="B2500" s="124"/>
      <c r="C2500" s="124"/>
      <c r="D2500" s="124"/>
      <c r="E2500" s="124"/>
      <c r="F2500" s="124"/>
      <c r="G2500" s="124"/>
      <c r="H2500" s="124"/>
      <c r="I2500" s="124"/>
      <c r="J2500" s="124"/>
      <c r="K2500" s="124"/>
      <c r="L2500" s="124"/>
      <c r="M2500" s="124"/>
      <c r="N2500" s="124"/>
      <c r="O2500" s="124"/>
      <c r="P2500" s="124"/>
      <c r="Q2500" s="124"/>
      <c r="R2500" s="124"/>
      <c r="S2500" s="124"/>
      <c r="T2500" s="124"/>
      <c r="U2500" s="124"/>
      <c r="V2500" s="124"/>
      <c r="W2500" s="124"/>
      <c r="X2500" s="124"/>
      <c r="Y2500" s="124"/>
    </row>
    <row r="2501" spans="2:25" x14ac:dyDescent="0.25">
      <c r="B2501" s="124"/>
      <c r="C2501" s="124"/>
      <c r="D2501" s="124"/>
      <c r="E2501" s="124"/>
      <c r="F2501" s="124"/>
      <c r="G2501" s="124"/>
      <c r="H2501" s="124"/>
      <c r="I2501" s="124"/>
      <c r="J2501" s="124"/>
      <c r="K2501" s="124"/>
      <c r="L2501" s="124"/>
      <c r="M2501" s="124"/>
      <c r="N2501" s="124"/>
      <c r="O2501" s="124"/>
      <c r="P2501" s="124"/>
      <c r="Q2501" s="124"/>
      <c r="R2501" s="124"/>
      <c r="S2501" s="124"/>
      <c r="T2501" s="124"/>
      <c r="U2501" s="124"/>
      <c r="V2501" s="124"/>
      <c r="W2501" s="124"/>
      <c r="X2501" s="124"/>
      <c r="Y2501" s="124"/>
    </row>
    <row r="2502" spans="2:25" x14ac:dyDescent="0.25">
      <c r="B2502" s="124"/>
      <c r="C2502" s="124"/>
      <c r="D2502" s="124"/>
      <c r="E2502" s="124"/>
      <c r="F2502" s="124"/>
      <c r="G2502" s="124"/>
      <c r="H2502" s="124"/>
      <c r="I2502" s="124"/>
      <c r="J2502" s="124"/>
      <c r="K2502" s="124"/>
      <c r="L2502" s="124"/>
      <c r="M2502" s="124"/>
      <c r="N2502" s="124"/>
      <c r="O2502" s="124"/>
      <c r="P2502" s="124"/>
      <c r="Q2502" s="124"/>
      <c r="R2502" s="124"/>
      <c r="S2502" s="124"/>
      <c r="T2502" s="124"/>
      <c r="U2502" s="124"/>
      <c r="V2502" s="124"/>
      <c r="W2502" s="124"/>
      <c r="X2502" s="124"/>
      <c r="Y2502" s="124"/>
    </row>
    <row r="2503" spans="2:25" x14ac:dyDescent="0.25">
      <c r="B2503" s="124"/>
      <c r="C2503" s="124"/>
      <c r="D2503" s="124"/>
      <c r="E2503" s="124"/>
      <c r="F2503" s="124"/>
      <c r="G2503" s="124"/>
      <c r="H2503" s="124"/>
      <c r="I2503" s="124"/>
      <c r="J2503" s="124"/>
      <c r="K2503" s="124"/>
      <c r="L2503" s="124"/>
      <c r="M2503" s="124"/>
      <c r="N2503" s="124"/>
      <c r="O2503" s="124"/>
      <c r="P2503" s="124"/>
      <c r="Q2503" s="124"/>
      <c r="R2503" s="124"/>
      <c r="S2503" s="124"/>
      <c r="T2503" s="124"/>
      <c r="U2503" s="124"/>
      <c r="V2503" s="124"/>
      <c r="W2503" s="124"/>
      <c r="X2503" s="124"/>
      <c r="Y2503" s="124"/>
    </row>
    <row r="2504" spans="2:25" x14ac:dyDescent="0.25">
      <c r="B2504" s="124"/>
      <c r="C2504" s="124"/>
      <c r="D2504" s="124"/>
      <c r="E2504" s="124"/>
      <c r="F2504" s="124"/>
      <c r="G2504" s="124"/>
      <c r="H2504" s="124"/>
      <c r="I2504" s="124"/>
      <c r="J2504" s="124"/>
      <c r="K2504" s="124"/>
      <c r="L2504" s="124"/>
      <c r="M2504" s="124"/>
      <c r="N2504" s="124"/>
      <c r="O2504" s="124"/>
      <c r="P2504" s="124"/>
      <c r="Q2504" s="124"/>
      <c r="R2504" s="124"/>
      <c r="S2504" s="124"/>
      <c r="T2504" s="124"/>
      <c r="U2504" s="124"/>
      <c r="V2504" s="124"/>
      <c r="W2504" s="124"/>
      <c r="X2504" s="124"/>
      <c r="Y2504" s="124"/>
    </row>
    <row r="2505" spans="2:25" x14ac:dyDescent="0.25">
      <c r="B2505" s="124"/>
      <c r="C2505" s="124"/>
      <c r="D2505" s="124"/>
      <c r="E2505" s="124"/>
      <c r="F2505" s="124"/>
      <c r="G2505" s="124"/>
      <c r="H2505" s="124"/>
      <c r="I2505" s="124"/>
      <c r="J2505" s="124"/>
      <c r="K2505" s="124"/>
      <c r="L2505" s="124"/>
      <c r="M2505" s="124"/>
      <c r="N2505" s="124"/>
      <c r="O2505" s="124"/>
      <c r="P2505" s="124"/>
      <c r="Q2505" s="124"/>
      <c r="R2505" s="124"/>
      <c r="S2505" s="124"/>
      <c r="T2505" s="124"/>
      <c r="U2505" s="124"/>
      <c r="V2505" s="124"/>
      <c r="W2505" s="124"/>
      <c r="X2505" s="124"/>
      <c r="Y2505" s="124"/>
    </row>
    <row r="2506" spans="2:25" x14ac:dyDescent="0.25">
      <c r="B2506" s="124"/>
      <c r="C2506" s="124"/>
      <c r="D2506" s="124"/>
      <c r="E2506" s="124"/>
      <c r="F2506" s="124"/>
      <c r="G2506" s="124"/>
      <c r="H2506" s="124"/>
      <c r="I2506" s="124"/>
      <c r="J2506" s="124"/>
      <c r="K2506" s="124"/>
      <c r="L2506" s="124"/>
      <c r="M2506" s="124"/>
      <c r="N2506" s="124"/>
      <c r="O2506" s="124"/>
      <c r="P2506" s="124"/>
      <c r="Q2506" s="124"/>
      <c r="R2506" s="124"/>
      <c r="S2506" s="124"/>
      <c r="T2506" s="124"/>
      <c r="U2506" s="124"/>
      <c r="V2506" s="124"/>
      <c r="W2506" s="124"/>
      <c r="X2506" s="124"/>
      <c r="Y2506" s="124"/>
    </row>
    <row r="2507" spans="2:25" x14ac:dyDescent="0.25">
      <c r="B2507" s="124"/>
      <c r="C2507" s="124"/>
      <c r="D2507" s="124"/>
      <c r="E2507" s="124"/>
      <c r="F2507" s="124"/>
      <c r="G2507" s="124"/>
      <c r="H2507" s="124"/>
      <c r="I2507" s="124"/>
      <c r="J2507" s="124"/>
      <c r="K2507" s="124"/>
      <c r="L2507" s="124"/>
      <c r="M2507" s="124"/>
      <c r="N2507" s="124"/>
      <c r="O2507" s="124"/>
      <c r="P2507" s="124"/>
      <c r="Q2507" s="124"/>
      <c r="R2507" s="124"/>
      <c r="S2507" s="124"/>
      <c r="T2507" s="124"/>
      <c r="U2507" s="124"/>
      <c r="V2507" s="124"/>
      <c r="W2507" s="124"/>
      <c r="X2507" s="124"/>
      <c r="Y2507" s="124"/>
    </row>
    <row r="2508" spans="2:25" x14ac:dyDescent="0.25">
      <c r="B2508" s="124"/>
      <c r="C2508" s="124"/>
      <c r="D2508" s="124"/>
      <c r="E2508" s="124"/>
      <c r="F2508" s="124"/>
      <c r="G2508" s="124"/>
      <c r="H2508" s="124"/>
      <c r="I2508" s="124"/>
      <c r="J2508" s="124"/>
      <c r="K2508" s="124"/>
      <c r="L2508" s="124"/>
      <c r="M2508" s="124"/>
      <c r="N2508" s="124"/>
      <c r="O2508" s="124"/>
      <c r="P2508" s="124"/>
      <c r="Q2508" s="124"/>
      <c r="R2508" s="124"/>
      <c r="S2508" s="124"/>
      <c r="T2508" s="124"/>
      <c r="U2508" s="124"/>
      <c r="V2508" s="124"/>
      <c r="W2508" s="124"/>
      <c r="X2508" s="124"/>
      <c r="Y2508" s="124"/>
    </row>
    <row r="2509" spans="2:25" x14ac:dyDescent="0.25">
      <c r="B2509" s="124"/>
      <c r="C2509" s="124"/>
      <c r="D2509" s="124"/>
      <c r="E2509" s="124"/>
      <c r="F2509" s="124"/>
      <c r="G2509" s="124"/>
      <c r="H2509" s="124"/>
      <c r="I2509" s="124"/>
      <c r="J2509" s="124"/>
      <c r="K2509" s="124"/>
      <c r="L2509" s="124"/>
      <c r="M2509" s="124"/>
      <c r="N2509" s="124"/>
      <c r="O2509" s="124"/>
      <c r="P2509" s="124"/>
      <c r="Q2509" s="124"/>
      <c r="R2509" s="124"/>
      <c r="S2509" s="124"/>
      <c r="T2509" s="124"/>
      <c r="U2509" s="124"/>
      <c r="V2509" s="124"/>
      <c r="W2509" s="124"/>
      <c r="X2509" s="124"/>
      <c r="Y2509" s="124"/>
    </row>
    <row r="2510" spans="2:25" x14ac:dyDescent="0.25">
      <c r="B2510" s="124"/>
      <c r="C2510" s="124"/>
      <c r="D2510" s="124"/>
      <c r="E2510" s="124"/>
      <c r="F2510" s="124"/>
      <c r="G2510" s="124"/>
      <c r="H2510" s="124"/>
      <c r="I2510" s="124"/>
      <c r="J2510" s="124"/>
      <c r="K2510" s="124"/>
      <c r="L2510" s="124"/>
      <c r="M2510" s="124"/>
      <c r="N2510" s="124"/>
      <c r="O2510" s="124"/>
      <c r="P2510" s="124"/>
      <c r="Q2510" s="124"/>
      <c r="R2510" s="124"/>
      <c r="S2510" s="124"/>
      <c r="T2510" s="124"/>
      <c r="U2510" s="124"/>
      <c r="V2510" s="124"/>
      <c r="W2510" s="124"/>
      <c r="X2510" s="124"/>
      <c r="Y2510" s="124"/>
    </row>
    <row r="2511" spans="2:25" x14ac:dyDescent="0.25">
      <c r="B2511" s="124"/>
      <c r="C2511" s="124"/>
      <c r="D2511" s="124"/>
      <c r="E2511" s="124"/>
      <c r="F2511" s="124"/>
      <c r="G2511" s="124"/>
      <c r="H2511" s="124"/>
      <c r="I2511" s="124"/>
      <c r="J2511" s="124"/>
      <c r="K2511" s="124"/>
      <c r="L2511" s="124"/>
      <c r="M2511" s="124"/>
      <c r="N2511" s="124"/>
      <c r="O2511" s="124"/>
      <c r="P2511" s="124"/>
      <c r="Q2511" s="124"/>
      <c r="R2511" s="124"/>
      <c r="S2511" s="124"/>
      <c r="T2511" s="124"/>
      <c r="U2511" s="124"/>
      <c r="V2511" s="124"/>
      <c r="W2511" s="124"/>
      <c r="X2511" s="124"/>
      <c r="Y2511" s="124"/>
    </row>
    <row r="2512" spans="2:25" x14ac:dyDescent="0.25">
      <c r="B2512" s="124"/>
      <c r="C2512" s="124"/>
      <c r="D2512" s="124"/>
      <c r="E2512" s="124"/>
      <c r="F2512" s="124"/>
      <c r="G2512" s="124"/>
      <c r="H2512" s="124"/>
      <c r="I2512" s="124"/>
      <c r="J2512" s="124"/>
      <c r="K2512" s="124"/>
      <c r="L2512" s="124"/>
      <c r="M2512" s="124"/>
      <c r="N2512" s="124"/>
      <c r="O2512" s="124"/>
      <c r="P2512" s="124"/>
      <c r="Q2512" s="124"/>
      <c r="R2512" s="124"/>
      <c r="S2512" s="124"/>
      <c r="T2512" s="124"/>
      <c r="U2512" s="124"/>
      <c r="V2512" s="124"/>
      <c r="W2512" s="124"/>
      <c r="X2512" s="124"/>
      <c r="Y2512" s="124"/>
    </row>
    <row r="2513" spans="2:25" x14ac:dyDescent="0.25">
      <c r="B2513" s="124"/>
      <c r="C2513" s="124"/>
      <c r="D2513" s="124"/>
      <c r="E2513" s="124"/>
      <c r="F2513" s="124"/>
      <c r="G2513" s="124"/>
      <c r="H2513" s="124"/>
      <c r="I2513" s="124"/>
      <c r="J2513" s="124"/>
      <c r="K2513" s="124"/>
      <c r="L2513" s="124"/>
      <c r="M2513" s="124"/>
      <c r="N2513" s="124"/>
      <c r="O2513" s="124"/>
      <c r="P2513" s="124"/>
      <c r="Q2513" s="124"/>
      <c r="R2513" s="124"/>
      <c r="S2513" s="124"/>
      <c r="T2513" s="124"/>
      <c r="U2513" s="124"/>
      <c r="V2513" s="124"/>
      <c r="W2513" s="124"/>
      <c r="X2513" s="124"/>
      <c r="Y2513" s="124"/>
    </row>
    <row r="2514" spans="2:25" x14ac:dyDescent="0.25">
      <c r="B2514" s="124"/>
      <c r="C2514" s="124"/>
      <c r="D2514" s="124"/>
      <c r="E2514" s="124"/>
      <c r="F2514" s="124"/>
      <c r="G2514" s="124"/>
      <c r="H2514" s="124"/>
      <c r="I2514" s="124"/>
      <c r="J2514" s="124"/>
      <c r="K2514" s="124"/>
      <c r="L2514" s="124"/>
      <c r="M2514" s="124"/>
      <c r="N2514" s="124"/>
      <c r="O2514" s="124"/>
      <c r="P2514" s="124"/>
      <c r="Q2514" s="124"/>
      <c r="R2514" s="124"/>
      <c r="S2514" s="124"/>
      <c r="T2514" s="124"/>
      <c r="U2514" s="124"/>
      <c r="V2514" s="124"/>
      <c r="W2514" s="124"/>
      <c r="X2514" s="124"/>
      <c r="Y2514" s="124"/>
    </row>
    <row r="2515" spans="2:25" x14ac:dyDescent="0.25">
      <c r="B2515" s="124"/>
      <c r="C2515" s="124"/>
      <c r="D2515" s="124"/>
      <c r="E2515" s="124"/>
      <c r="F2515" s="124"/>
      <c r="G2515" s="124"/>
      <c r="H2515" s="124"/>
      <c r="I2515" s="124"/>
      <c r="J2515" s="124"/>
      <c r="K2515" s="124"/>
      <c r="L2515" s="124"/>
      <c r="M2515" s="124"/>
      <c r="N2515" s="124"/>
      <c r="O2515" s="124"/>
      <c r="P2515" s="124"/>
      <c r="Q2515" s="124"/>
      <c r="R2515" s="124"/>
      <c r="S2515" s="124"/>
      <c r="T2515" s="124"/>
      <c r="U2515" s="124"/>
      <c r="V2515" s="124"/>
      <c r="W2515" s="124"/>
      <c r="X2515" s="124"/>
      <c r="Y2515" s="124"/>
    </row>
    <row r="2516" spans="2:25" x14ac:dyDescent="0.25">
      <c r="B2516" s="124"/>
      <c r="C2516" s="124"/>
      <c r="D2516" s="124"/>
      <c r="E2516" s="124"/>
      <c r="F2516" s="124"/>
      <c r="G2516" s="124"/>
      <c r="H2516" s="124"/>
      <c r="I2516" s="124"/>
      <c r="J2516" s="124"/>
      <c r="K2516" s="124"/>
      <c r="L2516" s="124"/>
      <c r="M2516" s="124"/>
      <c r="N2516" s="124"/>
      <c r="O2516" s="124"/>
      <c r="P2516" s="124"/>
      <c r="Q2516" s="124"/>
      <c r="R2516" s="124"/>
      <c r="S2516" s="124"/>
      <c r="T2516" s="124"/>
      <c r="U2516" s="124"/>
      <c r="V2516" s="124"/>
      <c r="W2516" s="124"/>
      <c r="X2516" s="124"/>
      <c r="Y2516" s="124"/>
    </row>
    <row r="2517" spans="2:25" x14ac:dyDescent="0.25">
      <c r="B2517" s="124"/>
      <c r="C2517" s="124"/>
      <c r="D2517" s="124"/>
      <c r="E2517" s="124"/>
      <c r="F2517" s="124"/>
      <c r="G2517" s="124"/>
      <c r="H2517" s="124"/>
      <c r="I2517" s="124"/>
      <c r="J2517" s="124"/>
      <c r="K2517" s="124"/>
      <c r="L2517" s="124"/>
      <c r="M2517" s="124"/>
      <c r="N2517" s="124"/>
      <c r="O2517" s="124"/>
      <c r="P2517" s="124"/>
      <c r="Q2517" s="124"/>
      <c r="R2517" s="124"/>
      <c r="S2517" s="124"/>
      <c r="T2517" s="124"/>
      <c r="U2517" s="124"/>
      <c r="V2517" s="124"/>
      <c r="W2517" s="124"/>
      <c r="X2517" s="124"/>
      <c r="Y2517" s="124"/>
    </row>
    <row r="2518" spans="2:25" x14ac:dyDescent="0.25">
      <c r="B2518" s="124"/>
      <c r="C2518" s="124"/>
      <c r="D2518" s="124"/>
      <c r="E2518" s="124"/>
      <c r="F2518" s="124"/>
      <c r="G2518" s="124"/>
      <c r="H2518" s="124"/>
      <c r="I2518" s="124"/>
      <c r="J2518" s="124"/>
      <c r="K2518" s="124"/>
      <c r="L2518" s="124"/>
      <c r="M2518" s="124"/>
      <c r="N2518" s="124"/>
      <c r="O2518" s="124"/>
      <c r="P2518" s="124"/>
      <c r="Q2518" s="124"/>
      <c r="R2518" s="124"/>
      <c r="S2518" s="124"/>
      <c r="T2518" s="124"/>
      <c r="U2518" s="124"/>
      <c r="V2518" s="124"/>
      <c r="W2518" s="124"/>
      <c r="X2518" s="124"/>
      <c r="Y2518" s="124"/>
    </row>
    <row r="2519" spans="2:25" x14ac:dyDescent="0.25">
      <c r="B2519" s="124"/>
      <c r="C2519" s="124"/>
      <c r="D2519" s="124"/>
      <c r="E2519" s="124"/>
      <c r="F2519" s="124"/>
      <c r="G2519" s="124"/>
      <c r="H2519" s="124"/>
      <c r="I2519" s="124"/>
      <c r="J2519" s="124"/>
      <c r="K2519" s="124"/>
      <c r="L2519" s="124"/>
      <c r="M2519" s="124"/>
      <c r="N2519" s="124"/>
      <c r="O2519" s="124"/>
      <c r="P2519" s="124"/>
      <c r="Q2519" s="124"/>
      <c r="R2519" s="124"/>
      <c r="S2519" s="124"/>
      <c r="T2519" s="124"/>
      <c r="U2519" s="124"/>
      <c r="V2519" s="124"/>
      <c r="W2519" s="124"/>
      <c r="X2519" s="124"/>
      <c r="Y2519" s="124"/>
    </row>
    <row r="2520" spans="2:25" x14ac:dyDescent="0.25">
      <c r="B2520" s="124"/>
      <c r="C2520" s="124"/>
      <c r="D2520" s="124"/>
      <c r="E2520" s="124"/>
      <c r="F2520" s="124"/>
      <c r="G2520" s="124"/>
      <c r="H2520" s="124"/>
      <c r="I2520" s="124"/>
      <c r="J2520" s="124"/>
      <c r="K2520" s="124"/>
      <c r="L2520" s="124"/>
      <c r="M2520" s="124"/>
      <c r="N2520" s="124"/>
      <c r="O2520" s="124"/>
      <c r="P2520" s="124"/>
      <c r="Q2520" s="124"/>
      <c r="R2520" s="124"/>
      <c r="S2520" s="124"/>
      <c r="T2520" s="124"/>
      <c r="U2520" s="124"/>
      <c r="V2520" s="124"/>
      <c r="W2520" s="124"/>
      <c r="X2520" s="124"/>
      <c r="Y2520" s="124"/>
    </row>
    <row r="2521" spans="2:25" x14ac:dyDescent="0.25">
      <c r="B2521" s="124"/>
      <c r="C2521" s="124"/>
      <c r="D2521" s="124"/>
      <c r="E2521" s="124"/>
      <c r="F2521" s="124"/>
      <c r="G2521" s="124"/>
      <c r="H2521" s="124"/>
      <c r="I2521" s="124"/>
      <c r="J2521" s="124"/>
      <c r="K2521" s="124"/>
      <c r="L2521" s="124"/>
      <c r="M2521" s="124"/>
      <c r="N2521" s="124"/>
      <c r="O2521" s="124"/>
      <c r="P2521" s="124"/>
      <c r="Q2521" s="124"/>
      <c r="R2521" s="124"/>
      <c r="S2521" s="124"/>
      <c r="T2521" s="124"/>
      <c r="U2521" s="124"/>
      <c r="V2521" s="124"/>
      <c r="W2521" s="124"/>
      <c r="X2521" s="124"/>
      <c r="Y2521" s="124"/>
    </row>
    <row r="2522" spans="2:25" x14ac:dyDescent="0.25">
      <c r="B2522" s="124"/>
      <c r="C2522" s="124"/>
      <c r="D2522" s="124"/>
      <c r="E2522" s="124"/>
      <c r="F2522" s="124"/>
      <c r="G2522" s="124"/>
      <c r="H2522" s="124"/>
      <c r="I2522" s="124"/>
      <c r="J2522" s="124"/>
      <c r="K2522" s="124"/>
      <c r="L2522" s="124"/>
      <c r="M2522" s="124"/>
      <c r="N2522" s="124"/>
      <c r="O2522" s="124"/>
      <c r="P2522" s="124"/>
      <c r="Q2522" s="124"/>
      <c r="R2522" s="124"/>
      <c r="S2522" s="124"/>
      <c r="T2522" s="124"/>
      <c r="U2522" s="124"/>
      <c r="V2522" s="124"/>
      <c r="W2522" s="124"/>
      <c r="X2522" s="124"/>
      <c r="Y2522" s="124"/>
    </row>
    <row r="2523" spans="2:25" x14ac:dyDescent="0.25">
      <c r="B2523" s="124"/>
      <c r="C2523" s="124"/>
      <c r="D2523" s="124"/>
      <c r="E2523" s="124"/>
      <c r="F2523" s="124"/>
      <c r="G2523" s="124"/>
      <c r="H2523" s="124"/>
      <c r="I2523" s="124"/>
      <c r="J2523" s="124"/>
      <c r="K2523" s="124"/>
      <c r="L2523" s="124"/>
      <c r="M2523" s="124"/>
      <c r="N2523" s="124"/>
      <c r="O2523" s="124"/>
      <c r="P2523" s="124"/>
      <c r="Q2523" s="124"/>
      <c r="R2523" s="124"/>
      <c r="S2523" s="124"/>
      <c r="T2523" s="124"/>
      <c r="U2523" s="124"/>
      <c r="V2523" s="124"/>
      <c r="W2523" s="124"/>
      <c r="X2523" s="124"/>
      <c r="Y2523" s="124"/>
    </row>
    <row r="2524" spans="2:25" x14ac:dyDescent="0.25">
      <c r="B2524" s="124"/>
      <c r="C2524" s="124"/>
      <c r="D2524" s="124"/>
      <c r="E2524" s="124"/>
      <c r="F2524" s="124"/>
      <c r="G2524" s="124"/>
      <c r="H2524" s="124"/>
      <c r="I2524" s="124"/>
      <c r="J2524" s="124"/>
      <c r="K2524" s="124"/>
      <c r="L2524" s="124"/>
      <c r="M2524" s="124"/>
      <c r="N2524" s="124"/>
      <c r="O2524" s="124"/>
      <c r="P2524" s="124"/>
      <c r="Q2524" s="124"/>
      <c r="R2524" s="124"/>
      <c r="S2524" s="124"/>
      <c r="T2524" s="124"/>
      <c r="U2524" s="124"/>
      <c r="V2524" s="124"/>
      <c r="W2524" s="124"/>
      <c r="X2524" s="124"/>
      <c r="Y2524" s="124"/>
    </row>
    <row r="2525" spans="2:25" x14ac:dyDescent="0.25">
      <c r="B2525" s="124"/>
      <c r="C2525" s="124"/>
      <c r="D2525" s="124"/>
      <c r="E2525" s="124"/>
      <c r="F2525" s="124"/>
      <c r="G2525" s="124"/>
      <c r="H2525" s="124"/>
      <c r="I2525" s="124"/>
      <c r="J2525" s="124"/>
      <c r="K2525" s="124"/>
      <c r="L2525" s="124"/>
      <c r="M2525" s="124"/>
      <c r="N2525" s="124"/>
      <c r="O2525" s="124"/>
      <c r="P2525" s="124"/>
      <c r="Q2525" s="124"/>
      <c r="R2525" s="124"/>
      <c r="S2525" s="124"/>
      <c r="T2525" s="124"/>
      <c r="U2525" s="124"/>
      <c r="V2525" s="124"/>
      <c r="W2525" s="124"/>
      <c r="X2525" s="124"/>
      <c r="Y2525" s="124"/>
    </row>
    <row r="2526" spans="2:25" x14ac:dyDescent="0.25">
      <c r="B2526" s="124"/>
      <c r="C2526" s="124"/>
      <c r="D2526" s="124"/>
      <c r="E2526" s="124"/>
      <c r="F2526" s="124"/>
      <c r="G2526" s="124"/>
      <c r="H2526" s="124"/>
      <c r="I2526" s="124"/>
      <c r="J2526" s="124"/>
      <c r="K2526" s="124"/>
      <c r="L2526" s="124"/>
      <c r="M2526" s="124"/>
      <c r="N2526" s="124"/>
      <c r="O2526" s="124"/>
      <c r="P2526" s="124"/>
      <c r="Q2526" s="124"/>
      <c r="R2526" s="124"/>
      <c r="S2526" s="124"/>
      <c r="T2526" s="124"/>
      <c r="U2526" s="124"/>
      <c r="V2526" s="124"/>
      <c r="W2526" s="124"/>
      <c r="X2526" s="124"/>
      <c r="Y2526" s="124"/>
    </row>
    <row r="2527" spans="2:25" x14ac:dyDescent="0.25">
      <c r="B2527" s="124"/>
      <c r="C2527" s="124"/>
      <c r="D2527" s="124"/>
      <c r="E2527" s="124"/>
      <c r="F2527" s="124"/>
      <c r="G2527" s="124"/>
      <c r="H2527" s="124"/>
      <c r="I2527" s="124"/>
      <c r="J2527" s="124"/>
      <c r="K2527" s="124"/>
      <c r="L2527" s="124"/>
      <c r="M2527" s="124"/>
      <c r="N2527" s="124"/>
      <c r="O2527" s="124"/>
      <c r="P2527" s="124"/>
      <c r="Q2527" s="124"/>
      <c r="R2527" s="124"/>
      <c r="S2527" s="124"/>
      <c r="T2527" s="124"/>
      <c r="U2527" s="124"/>
      <c r="V2527" s="124"/>
      <c r="W2527" s="124"/>
      <c r="X2527" s="124"/>
      <c r="Y2527" s="124"/>
    </row>
    <row r="2528" spans="2:25" x14ac:dyDescent="0.25">
      <c r="B2528" s="124"/>
      <c r="C2528" s="124"/>
      <c r="D2528" s="124"/>
      <c r="E2528" s="124"/>
      <c r="F2528" s="124"/>
      <c r="G2528" s="124"/>
      <c r="H2528" s="124"/>
      <c r="I2528" s="124"/>
      <c r="J2528" s="124"/>
      <c r="K2528" s="124"/>
      <c r="L2528" s="124"/>
      <c r="M2528" s="124"/>
      <c r="N2528" s="124"/>
      <c r="O2528" s="124"/>
      <c r="P2528" s="124"/>
      <c r="Q2528" s="124"/>
      <c r="R2528" s="124"/>
      <c r="S2528" s="124"/>
      <c r="T2528" s="124"/>
      <c r="U2528" s="124"/>
      <c r="V2528" s="124"/>
      <c r="W2528" s="124"/>
      <c r="X2528" s="124"/>
      <c r="Y2528" s="124"/>
    </row>
    <row r="2529" spans="2:25" x14ac:dyDescent="0.25">
      <c r="B2529" s="124"/>
      <c r="C2529" s="124"/>
      <c r="D2529" s="124"/>
      <c r="E2529" s="124"/>
      <c r="F2529" s="124"/>
      <c r="G2529" s="124"/>
      <c r="H2529" s="124"/>
      <c r="I2529" s="124"/>
      <c r="J2529" s="124"/>
      <c r="K2529" s="124"/>
      <c r="L2529" s="124"/>
      <c r="M2529" s="124"/>
      <c r="N2529" s="124"/>
      <c r="O2529" s="124"/>
      <c r="P2529" s="124"/>
      <c r="Q2529" s="124"/>
      <c r="R2529" s="124"/>
      <c r="S2529" s="124"/>
      <c r="T2529" s="124"/>
      <c r="U2529" s="124"/>
      <c r="V2529" s="124"/>
      <c r="W2529" s="124"/>
      <c r="X2529" s="124"/>
      <c r="Y2529" s="124"/>
    </row>
    <row r="2530" spans="2:25" x14ac:dyDescent="0.25">
      <c r="B2530" s="124"/>
      <c r="C2530" s="124"/>
      <c r="D2530" s="124"/>
      <c r="E2530" s="124"/>
      <c r="F2530" s="124"/>
      <c r="G2530" s="124"/>
      <c r="H2530" s="124"/>
      <c r="I2530" s="124"/>
      <c r="J2530" s="124"/>
      <c r="K2530" s="124"/>
      <c r="L2530" s="124"/>
      <c r="M2530" s="124"/>
      <c r="N2530" s="124"/>
      <c r="O2530" s="124"/>
      <c r="P2530" s="124"/>
      <c r="Q2530" s="124"/>
      <c r="R2530" s="124"/>
      <c r="S2530" s="124"/>
      <c r="T2530" s="124"/>
      <c r="U2530" s="124"/>
      <c r="V2530" s="124"/>
      <c r="W2530" s="124"/>
      <c r="X2530" s="124"/>
      <c r="Y2530" s="124"/>
    </row>
    <row r="2531" spans="2:25" x14ac:dyDescent="0.25">
      <c r="B2531" s="124"/>
      <c r="C2531" s="124"/>
      <c r="D2531" s="124"/>
      <c r="E2531" s="124"/>
      <c r="F2531" s="124"/>
      <c r="G2531" s="124"/>
      <c r="H2531" s="124"/>
      <c r="I2531" s="124"/>
      <c r="J2531" s="124"/>
      <c r="K2531" s="124"/>
      <c r="L2531" s="124"/>
      <c r="M2531" s="124"/>
      <c r="N2531" s="124"/>
      <c r="O2531" s="124"/>
      <c r="P2531" s="124"/>
      <c r="Q2531" s="124"/>
      <c r="R2531" s="124"/>
      <c r="S2531" s="124"/>
      <c r="T2531" s="124"/>
      <c r="U2531" s="124"/>
      <c r="V2531" s="124"/>
      <c r="W2531" s="124"/>
      <c r="X2531" s="124"/>
      <c r="Y2531" s="124"/>
    </row>
    <row r="2532" spans="2:25" x14ac:dyDescent="0.25">
      <c r="B2532" s="124"/>
      <c r="C2532" s="124"/>
      <c r="D2532" s="124"/>
      <c r="E2532" s="124"/>
      <c r="F2532" s="124"/>
      <c r="G2532" s="124"/>
      <c r="H2532" s="124"/>
      <c r="I2532" s="124"/>
      <c r="J2532" s="124"/>
      <c r="K2532" s="124"/>
      <c r="L2532" s="124"/>
      <c r="M2532" s="124"/>
      <c r="N2532" s="124"/>
      <c r="O2532" s="124"/>
      <c r="P2532" s="124"/>
      <c r="Q2532" s="124"/>
      <c r="R2532" s="124"/>
      <c r="S2532" s="124"/>
      <c r="T2532" s="124"/>
      <c r="U2532" s="124"/>
      <c r="V2532" s="124"/>
      <c r="W2532" s="124"/>
      <c r="X2532" s="124"/>
      <c r="Y2532" s="124"/>
    </row>
    <row r="2533" spans="2:25" x14ac:dyDescent="0.25">
      <c r="B2533" s="124"/>
      <c r="C2533" s="124"/>
      <c r="D2533" s="124"/>
      <c r="E2533" s="124"/>
      <c r="F2533" s="124"/>
      <c r="G2533" s="124"/>
      <c r="H2533" s="124"/>
      <c r="I2533" s="124"/>
      <c r="J2533" s="124"/>
      <c r="K2533" s="124"/>
      <c r="L2533" s="124"/>
      <c r="M2533" s="124"/>
      <c r="N2533" s="124"/>
      <c r="O2533" s="124"/>
      <c r="P2533" s="124"/>
      <c r="Q2533" s="124"/>
      <c r="R2533" s="124"/>
      <c r="S2533" s="124"/>
      <c r="T2533" s="124"/>
      <c r="U2533" s="124"/>
      <c r="V2533" s="124"/>
      <c r="W2533" s="124"/>
      <c r="X2533" s="124"/>
      <c r="Y2533" s="124"/>
    </row>
    <row r="2534" spans="2:25" x14ac:dyDescent="0.25">
      <c r="B2534" s="124"/>
      <c r="C2534" s="124"/>
      <c r="D2534" s="124"/>
      <c r="E2534" s="124"/>
      <c r="F2534" s="124"/>
      <c r="G2534" s="124"/>
      <c r="H2534" s="124"/>
      <c r="I2534" s="124"/>
      <c r="J2534" s="124"/>
      <c r="K2534" s="124"/>
      <c r="L2534" s="124"/>
      <c r="M2534" s="124"/>
      <c r="N2534" s="124"/>
      <c r="O2534" s="124"/>
      <c r="P2534" s="124"/>
      <c r="Q2534" s="124"/>
      <c r="R2534" s="124"/>
      <c r="S2534" s="124"/>
      <c r="T2534" s="124"/>
      <c r="U2534" s="124"/>
      <c r="V2534" s="124"/>
      <c r="W2534" s="124"/>
      <c r="X2534" s="124"/>
      <c r="Y2534" s="124"/>
    </row>
    <row r="2535" spans="2:25" x14ac:dyDescent="0.25">
      <c r="B2535" s="124"/>
      <c r="C2535" s="124"/>
      <c r="D2535" s="124"/>
      <c r="E2535" s="124"/>
      <c r="F2535" s="124"/>
      <c r="G2535" s="124"/>
      <c r="H2535" s="124"/>
      <c r="I2535" s="124"/>
      <c r="J2535" s="124"/>
      <c r="K2535" s="124"/>
      <c r="L2535" s="124"/>
      <c r="M2535" s="124"/>
      <c r="N2535" s="124"/>
      <c r="O2535" s="124"/>
      <c r="P2535" s="124"/>
      <c r="Q2535" s="124"/>
      <c r="R2535" s="124"/>
      <c r="S2535" s="124"/>
      <c r="T2535" s="124"/>
      <c r="U2535" s="124"/>
      <c r="V2535" s="124"/>
      <c r="W2535" s="124"/>
      <c r="X2535" s="124"/>
      <c r="Y2535" s="124"/>
    </row>
    <row r="2536" spans="2:25" x14ac:dyDescent="0.25">
      <c r="B2536" s="124"/>
      <c r="C2536" s="124"/>
      <c r="D2536" s="124"/>
      <c r="E2536" s="124"/>
      <c r="F2536" s="124"/>
      <c r="G2536" s="124"/>
      <c r="H2536" s="124"/>
      <c r="I2536" s="124"/>
      <c r="J2536" s="124"/>
      <c r="K2536" s="124"/>
      <c r="L2536" s="124"/>
      <c r="M2536" s="124"/>
      <c r="N2536" s="124"/>
      <c r="O2536" s="124"/>
      <c r="P2536" s="124"/>
      <c r="Q2536" s="124"/>
      <c r="R2536" s="124"/>
      <c r="S2536" s="124"/>
      <c r="T2536" s="124"/>
      <c r="U2536" s="124"/>
      <c r="V2536" s="124"/>
      <c r="W2536" s="124"/>
      <c r="X2536" s="124"/>
      <c r="Y2536" s="124"/>
    </row>
    <row r="2537" spans="2:25" x14ac:dyDescent="0.25">
      <c r="B2537" s="124"/>
      <c r="C2537" s="124"/>
      <c r="D2537" s="124"/>
      <c r="E2537" s="124"/>
      <c r="F2537" s="124"/>
      <c r="G2537" s="124"/>
      <c r="H2537" s="124"/>
      <c r="I2537" s="124"/>
      <c r="J2537" s="124"/>
      <c r="K2537" s="124"/>
      <c r="L2537" s="124"/>
      <c r="M2537" s="124"/>
      <c r="N2537" s="124"/>
      <c r="O2537" s="124"/>
      <c r="P2537" s="124"/>
      <c r="Q2537" s="124"/>
      <c r="R2537" s="124"/>
      <c r="S2537" s="124"/>
      <c r="T2537" s="124"/>
      <c r="U2537" s="124"/>
      <c r="V2537" s="124"/>
      <c r="W2537" s="124"/>
      <c r="X2537" s="124"/>
      <c r="Y2537" s="124"/>
    </row>
    <row r="2538" spans="2:25" x14ac:dyDescent="0.25">
      <c r="B2538" s="124"/>
      <c r="C2538" s="124"/>
      <c r="D2538" s="124"/>
      <c r="E2538" s="124"/>
      <c r="F2538" s="124"/>
      <c r="G2538" s="124"/>
      <c r="H2538" s="124"/>
      <c r="I2538" s="124"/>
      <c r="J2538" s="124"/>
      <c r="K2538" s="124"/>
      <c r="L2538" s="124"/>
      <c r="M2538" s="124"/>
      <c r="N2538" s="124"/>
      <c r="O2538" s="124"/>
      <c r="P2538" s="124"/>
      <c r="Q2538" s="124"/>
      <c r="R2538" s="124"/>
      <c r="S2538" s="124"/>
      <c r="T2538" s="124"/>
      <c r="U2538" s="124"/>
      <c r="V2538" s="124"/>
      <c r="W2538" s="124"/>
      <c r="X2538" s="124"/>
      <c r="Y2538" s="124"/>
    </row>
    <row r="2539" spans="2:25" x14ac:dyDescent="0.25">
      <c r="B2539" s="124"/>
      <c r="C2539" s="124"/>
      <c r="D2539" s="124"/>
      <c r="E2539" s="124"/>
      <c r="F2539" s="124"/>
      <c r="G2539" s="124"/>
      <c r="H2539" s="124"/>
      <c r="I2539" s="124"/>
      <c r="J2539" s="124"/>
      <c r="K2539" s="124"/>
      <c r="L2539" s="124"/>
      <c r="M2539" s="124"/>
      <c r="N2539" s="124"/>
      <c r="O2539" s="124"/>
      <c r="P2539" s="124"/>
      <c r="Q2539" s="124"/>
      <c r="R2539" s="124"/>
      <c r="S2539" s="124"/>
      <c r="T2539" s="124"/>
      <c r="U2539" s="124"/>
      <c r="V2539" s="124"/>
      <c r="W2539" s="124"/>
      <c r="X2539" s="124"/>
      <c r="Y2539" s="124"/>
    </row>
    <row r="2540" spans="2:25" x14ac:dyDescent="0.25">
      <c r="B2540" s="124"/>
      <c r="C2540" s="124"/>
      <c r="D2540" s="124"/>
      <c r="E2540" s="124"/>
      <c r="F2540" s="124"/>
      <c r="G2540" s="124"/>
      <c r="H2540" s="124"/>
      <c r="I2540" s="124"/>
      <c r="J2540" s="124"/>
      <c r="K2540" s="124"/>
      <c r="L2540" s="124"/>
      <c r="M2540" s="124"/>
      <c r="N2540" s="124"/>
      <c r="O2540" s="124"/>
      <c r="P2540" s="124"/>
      <c r="Q2540" s="124"/>
      <c r="R2540" s="124"/>
      <c r="S2540" s="124"/>
      <c r="T2540" s="124"/>
      <c r="U2540" s="124"/>
      <c r="V2540" s="124"/>
      <c r="W2540" s="124"/>
      <c r="X2540" s="124"/>
      <c r="Y2540" s="124"/>
    </row>
    <row r="2541" spans="2:25" x14ac:dyDescent="0.25">
      <c r="B2541" s="124"/>
      <c r="C2541" s="124"/>
      <c r="D2541" s="124"/>
      <c r="E2541" s="124"/>
      <c r="F2541" s="124"/>
      <c r="G2541" s="124"/>
      <c r="H2541" s="124"/>
      <c r="I2541" s="124"/>
      <c r="J2541" s="124"/>
      <c r="K2541" s="124"/>
      <c r="L2541" s="124"/>
      <c r="M2541" s="124"/>
      <c r="N2541" s="124"/>
      <c r="O2541" s="124"/>
      <c r="P2541" s="124"/>
      <c r="Q2541" s="124"/>
      <c r="R2541" s="124"/>
      <c r="S2541" s="124"/>
      <c r="T2541" s="124"/>
      <c r="U2541" s="124"/>
      <c r="V2541" s="124"/>
      <c r="W2541" s="124"/>
      <c r="X2541" s="124"/>
      <c r="Y2541" s="124"/>
    </row>
    <row r="2542" spans="2:25" x14ac:dyDescent="0.25">
      <c r="B2542" s="124"/>
      <c r="C2542" s="124"/>
      <c r="D2542" s="124"/>
      <c r="E2542" s="124"/>
      <c r="F2542" s="124"/>
      <c r="G2542" s="124"/>
      <c r="H2542" s="124"/>
      <c r="I2542" s="124"/>
      <c r="J2542" s="124"/>
      <c r="K2542" s="124"/>
      <c r="L2542" s="124"/>
      <c r="M2542" s="124"/>
      <c r="N2542" s="124"/>
      <c r="O2542" s="124"/>
      <c r="P2542" s="124"/>
      <c r="Q2542" s="124"/>
      <c r="R2542" s="124"/>
      <c r="S2542" s="124"/>
      <c r="T2542" s="124"/>
      <c r="U2542" s="124"/>
      <c r="V2542" s="124"/>
      <c r="W2542" s="124"/>
      <c r="X2542" s="124"/>
      <c r="Y2542" s="124"/>
    </row>
    <row r="2543" spans="2:25" x14ac:dyDescent="0.25">
      <c r="B2543" s="124"/>
      <c r="C2543" s="124"/>
      <c r="D2543" s="124"/>
      <c r="E2543" s="124"/>
      <c r="F2543" s="124"/>
      <c r="G2543" s="124"/>
      <c r="H2543" s="124"/>
      <c r="I2543" s="124"/>
      <c r="J2543" s="124"/>
      <c r="K2543" s="124"/>
      <c r="L2543" s="124"/>
      <c r="M2543" s="124"/>
      <c r="N2543" s="124"/>
      <c r="O2543" s="124"/>
      <c r="P2543" s="124"/>
      <c r="Q2543" s="124"/>
      <c r="R2543" s="124"/>
      <c r="S2543" s="124"/>
      <c r="T2543" s="124"/>
      <c r="U2543" s="124"/>
      <c r="V2543" s="124"/>
      <c r="W2543" s="124"/>
      <c r="X2543" s="124"/>
      <c r="Y2543" s="124"/>
    </row>
    <row r="2544" spans="2:25" x14ac:dyDescent="0.25">
      <c r="B2544" s="124"/>
      <c r="C2544" s="124"/>
      <c r="D2544" s="124"/>
      <c r="E2544" s="124"/>
      <c r="F2544" s="124"/>
      <c r="G2544" s="124"/>
      <c r="H2544" s="124"/>
      <c r="I2544" s="124"/>
      <c r="J2544" s="124"/>
      <c r="K2544" s="124"/>
      <c r="L2544" s="124"/>
      <c r="M2544" s="124"/>
      <c r="N2544" s="124"/>
      <c r="O2544" s="124"/>
      <c r="P2544" s="124"/>
      <c r="Q2544" s="124"/>
      <c r="R2544" s="124"/>
      <c r="S2544" s="124"/>
      <c r="T2544" s="124"/>
      <c r="U2544" s="124"/>
      <c r="V2544" s="124"/>
      <c r="W2544" s="124"/>
      <c r="X2544" s="124"/>
      <c r="Y2544" s="124"/>
    </row>
    <row r="2545" spans="2:25" x14ac:dyDescent="0.25">
      <c r="B2545" s="124"/>
      <c r="C2545" s="124"/>
      <c r="D2545" s="124"/>
      <c r="E2545" s="124"/>
      <c r="F2545" s="124"/>
      <c r="G2545" s="124"/>
      <c r="H2545" s="124"/>
      <c r="I2545" s="124"/>
      <c r="J2545" s="124"/>
      <c r="K2545" s="124"/>
      <c r="L2545" s="124"/>
      <c r="M2545" s="124"/>
      <c r="N2545" s="124"/>
      <c r="O2545" s="124"/>
      <c r="P2545" s="124"/>
      <c r="Q2545" s="124"/>
      <c r="R2545" s="124"/>
      <c r="S2545" s="124"/>
      <c r="T2545" s="124"/>
      <c r="U2545" s="124"/>
      <c r="V2545" s="124"/>
      <c r="W2545" s="124"/>
      <c r="X2545" s="124"/>
      <c r="Y2545" s="124"/>
    </row>
    <row r="2546" spans="2:25" x14ac:dyDescent="0.25">
      <c r="B2546" s="124"/>
      <c r="C2546" s="124"/>
      <c r="D2546" s="124"/>
      <c r="E2546" s="124"/>
      <c r="F2546" s="124"/>
      <c r="G2546" s="124"/>
      <c r="H2546" s="124"/>
      <c r="I2546" s="124"/>
      <c r="J2546" s="124"/>
      <c r="K2546" s="124"/>
      <c r="L2546" s="124"/>
      <c r="M2546" s="124"/>
      <c r="N2546" s="124"/>
      <c r="O2546" s="124"/>
      <c r="P2546" s="124"/>
      <c r="Q2546" s="124"/>
      <c r="R2546" s="124"/>
      <c r="S2546" s="124"/>
      <c r="T2546" s="124"/>
      <c r="U2546" s="124"/>
      <c r="V2546" s="124"/>
      <c r="W2546" s="124"/>
      <c r="X2546" s="124"/>
      <c r="Y2546" s="124"/>
    </row>
    <row r="2547" spans="2:25" x14ac:dyDescent="0.25">
      <c r="B2547" s="124"/>
      <c r="C2547" s="124"/>
      <c r="D2547" s="124"/>
      <c r="E2547" s="124"/>
      <c r="F2547" s="124"/>
      <c r="G2547" s="124"/>
      <c r="H2547" s="124"/>
      <c r="I2547" s="124"/>
      <c r="J2547" s="124"/>
      <c r="K2547" s="124"/>
      <c r="L2547" s="124"/>
      <c r="M2547" s="124"/>
      <c r="N2547" s="124"/>
      <c r="O2547" s="124"/>
      <c r="P2547" s="124"/>
      <c r="Q2547" s="124"/>
      <c r="R2547" s="124"/>
      <c r="S2547" s="124"/>
      <c r="T2547" s="124"/>
      <c r="U2547" s="124"/>
      <c r="V2547" s="124"/>
      <c r="W2547" s="124"/>
      <c r="X2547" s="124"/>
      <c r="Y2547" s="124"/>
    </row>
    <row r="2548" spans="2:25" x14ac:dyDescent="0.25">
      <c r="B2548" s="124"/>
      <c r="C2548" s="124"/>
      <c r="D2548" s="124"/>
      <c r="E2548" s="124"/>
      <c r="F2548" s="124"/>
      <c r="G2548" s="124"/>
      <c r="H2548" s="124"/>
      <c r="I2548" s="124"/>
      <c r="J2548" s="124"/>
      <c r="K2548" s="124"/>
      <c r="L2548" s="124"/>
      <c r="M2548" s="124"/>
      <c r="N2548" s="124"/>
      <c r="O2548" s="124"/>
      <c r="P2548" s="124"/>
      <c r="Q2548" s="124"/>
      <c r="R2548" s="124"/>
      <c r="S2548" s="124"/>
      <c r="T2548" s="124"/>
      <c r="U2548" s="124"/>
      <c r="V2548" s="124"/>
      <c r="W2548" s="124"/>
      <c r="X2548" s="124"/>
      <c r="Y2548" s="124"/>
    </row>
    <row r="2549" spans="2:25" x14ac:dyDescent="0.25">
      <c r="B2549" s="124"/>
      <c r="C2549" s="124"/>
      <c r="D2549" s="124"/>
      <c r="E2549" s="124"/>
      <c r="F2549" s="124"/>
      <c r="G2549" s="124"/>
      <c r="H2549" s="124"/>
      <c r="I2549" s="124"/>
      <c r="J2549" s="124"/>
      <c r="K2549" s="124"/>
      <c r="L2549" s="124"/>
      <c r="M2549" s="124"/>
      <c r="N2549" s="124"/>
      <c r="O2549" s="124"/>
      <c r="P2549" s="124"/>
      <c r="Q2549" s="124"/>
      <c r="R2549" s="124"/>
      <c r="S2549" s="124"/>
      <c r="T2549" s="124"/>
      <c r="U2549" s="124"/>
      <c r="V2549" s="124"/>
      <c r="W2549" s="124"/>
      <c r="X2549" s="124"/>
      <c r="Y2549" s="124"/>
    </row>
    <row r="2550" spans="2:25" x14ac:dyDescent="0.25">
      <c r="B2550" s="124"/>
      <c r="C2550" s="124"/>
      <c r="D2550" s="124"/>
      <c r="E2550" s="124"/>
      <c r="F2550" s="124"/>
      <c r="G2550" s="124"/>
      <c r="H2550" s="124"/>
      <c r="I2550" s="124"/>
      <c r="J2550" s="124"/>
      <c r="K2550" s="124"/>
      <c r="L2550" s="124"/>
      <c r="M2550" s="124"/>
      <c r="N2550" s="124"/>
      <c r="O2550" s="124"/>
      <c r="P2550" s="124"/>
      <c r="Q2550" s="124"/>
      <c r="R2550" s="124"/>
      <c r="S2550" s="124"/>
      <c r="T2550" s="124"/>
      <c r="U2550" s="124"/>
      <c r="V2550" s="124"/>
      <c r="W2550" s="124"/>
      <c r="X2550" s="124"/>
      <c r="Y2550" s="124"/>
    </row>
    <row r="2551" spans="2:25" x14ac:dyDescent="0.25">
      <c r="B2551" s="124"/>
      <c r="C2551" s="124"/>
      <c r="D2551" s="124"/>
      <c r="E2551" s="124"/>
      <c r="F2551" s="124"/>
      <c r="G2551" s="124"/>
      <c r="H2551" s="124"/>
      <c r="I2551" s="124"/>
      <c r="J2551" s="124"/>
      <c r="K2551" s="124"/>
      <c r="L2551" s="124"/>
      <c r="M2551" s="124"/>
      <c r="N2551" s="124"/>
      <c r="O2551" s="124"/>
      <c r="P2551" s="124"/>
      <c r="Q2551" s="124"/>
      <c r="R2551" s="124"/>
      <c r="S2551" s="124"/>
      <c r="T2551" s="124"/>
      <c r="U2551" s="124"/>
      <c r="V2551" s="124"/>
      <c r="W2551" s="124"/>
      <c r="X2551" s="124"/>
      <c r="Y2551" s="124"/>
    </row>
    <row r="2552" spans="2:25" x14ac:dyDescent="0.25">
      <c r="B2552" s="124"/>
      <c r="C2552" s="124"/>
      <c r="D2552" s="124"/>
      <c r="E2552" s="124"/>
      <c r="F2552" s="124"/>
      <c r="G2552" s="124"/>
      <c r="H2552" s="124"/>
      <c r="I2552" s="124"/>
      <c r="J2552" s="124"/>
      <c r="K2552" s="124"/>
      <c r="L2552" s="124"/>
      <c r="M2552" s="124"/>
      <c r="N2552" s="124"/>
      <c r="O2552" s="124"/>
      <c r="P2552" s="124"/>
      <c r="Q2552" s="124"/>
      <c r="R2552" s="124"/>
      <c r="S2552" s="124"/>
      <c r="T2552" s="124"/>
      <c r="U2552" s="124"/>
      <c r="V2552" s="124"/>
      <c r="W2552" s="124"/>
      <c r="X2552" s="124"/>
      <c r="Y2552" s="124"/>
    </row>
    <row r="2553" spans="2:25" x14ac:dyDescent="0.25">
      <c r="B2553" s="124"/>
      <c r="C2553" s="124"/>
      <c r="D2553" s="124"/>
      <c r="E2553" s="124"/>
      <c r="F2553" s="124"/>
      <c r="G2553" s="124"/>
      <c r="H2553" s="124"/>
      <c r="I2553" s="124"/>
      <c r="J2553" s="124"/>
      <c r="K2553" s="124"/>
      <c r="L2553" s="124"/>
      <c r="M2553" s="124"/>
      <c r="N2553" s="124"/>
      <c r="O2553" s="124"/>
      <c r="P2553" s="124"/>
      <c r="Q2553" s="124"/>
      <c r="R2553" s="124"/>
      <c r="S2553" s="124"/>
      <c r="T2553" s="124"/>
      <c r="U2553" s="124"/>
      <c r="V2553" s="124"/>
      <c r="W2553" s="124"/>
      <c r="X2553" s="124"/>
      <c r="Y2553" s="124"/>
    </row>
    <row r="2554" spans="2:25" x14ac:dyDescent="0.25">
      <c r="B2554" s="124"/>
      <c r="C2554" s="124"/>
      <c r="D2554" s="124"/>
      <c r="E2554" s="124"/>
      <c r="F2554" s="124"/>
      <c r="G2554" s="124"/>
      <c r="H2554" s="124"/>
      <c r="I2554" s="124"/>
      <c r="J2554" s="124"/>
      <c r="K2554" s="124"/>
      <c r="L2554" s="124"/>
      <c r="M2554" s="124"/>
      <c r="N2554" s="124"/>
      <c r="O2554" s="124"/>
      <c r="P2554" s="124"/>
      <c r="Q2554" s="124"/>
      <c r="R2554" s="124"/>
      <c r="S2554" s="124"/>
      <c r="T2554" s="124"/>
      <c r="U2554" s="124"/>
      <c r="V2554" s="124"/>
      <c r="W2554" s="124"/>
      <c r="X2554" s="124"/>
      <c r="Y2554" s="124"/>
    </row>
    <row r="2555" spans="2:25" x14ac:dyDescent="0.25">
      <c r="B2555" s="124"/>
      <c r="C2555" s="124"/>
      <c r="D2555" s="124"/>
      <c r="E2555" s="124"/>
      <c r="F2555" s="124"/>
      <c r="G2555" s="124"/>
      <c r="H2555" s="124"/>
      <c r="I2555" s="124"/>
      <c r="J2555" s="124"/>
      <c r="K2555" s="124"/>
      <c r="L2555" s="124"/>
      <c r="M2555" s="124"/>
      <c r="N2555" s="124"/>
      <c r="O2555" s="124"/>
      <c r="P2555" s="124"/>
      <c r="Q2555" s="124"/>
      <c r="R2555" s="124"/>
      <c r="S2555" s="124"/>
      <c r="T2555" s="124"/>
      <c r="U2555" s="124"/>
      <c r="V2555" s="124"/>
      <c r="W2555" s="124"/>
      <c r="X2555" s="124"/>
      <c r="Y2555" s="124"/>
    </row>
    <row r="2556" spans="2:25" x14ac:dyDescent="0.25">
      <c r="B2556" s="124"/>
      <c r="C2556" s="124"/>
      <c r="D2556" s="124"/>
      <c r="E2556" s="124"/>
      <c r="F2556" s="124"/>
      <c r="G2556" s="124"/>
      <c r="H2556" s="124"/>
      <c r="I2556" s="124"/>
      <c r="J2556" s="124"/>
      <c r="K2556" s="124"/>
      <c r="L2556" s="124"/>
      <c r="M2556" s="124"/>
      <c r="N2556" s="124"/>
      <c r="O2556" s="124"/>
      <c r="P2556" s="124"/>
      <c r="Q2556" s="124"/>
      <c r="R2556" s="124"/>
      <c r="S2556" s="124"/>
      <c r="T2556" s="124"/>
      <c r="U2556" s="124"/>
      <c r="V2556" s="124"/>
      <c r="W2556" s="124"/>
      <c r="X2556" s="124"/>
      <c r="Y2556" s="124"/>
    </row>
    <row r="2557" spans="2:25" x14ac:dyDescent="0.25">
      <c r="B2557" s="124"/>
      <c r="C2557" s="124"/>
      <c r="D2557" s="124"/>
      <c r="E2557" s="124"/>
      <c r="F2557" s="124"/>
      <c r="G2557" s="124"/>
      <c r="H2557" s="124"/>
      <c r="I2557" s="124"/>
      <c r="J2557" s="124"/>
      <c r="K2557" s="124"/>
      <c r="L2557" s="124"/>
      <c r="M2557" s="124"/>
      <c r="N2557" s="124"/>
      <c r="O2557" s="124"/>
      <c r="P2557" s="124"/>
      <c r="Q2557" s="124"/>
      <c r="R2557" s="124"/>
      <c r="S2557" s="124"/>
      <c r="T2557" s="124"/>
      <c r="U2557" s="124"/>
      <c r="V2557" s="124"/>
      <c r="W2557" s="124"/>
      <c r="X2557" s="124"/>
      <c r="Y2557" s="124"/>
    </row>
    <row r="2558" spans="2:25" x14ac:dyDescent="0.25">
      <c r="B2558" s="124"/>
      <c r="C2558" s="124"/>
      <c r="D2558" s="124"/>
      <c r="E2558" s="124"/>
      <c r="F2558" s="124"/>
      <c r="G2558" s="124"/>
      <c r="H2558" s="124"/>
      <c r="I2558" s="124"/>
      <c r="J2558" s="124"/>
      <c r="K2558" s="124"/>
      <c r="L2558" s="124"/>
      <c r="M2558" s="124"/>
      <c r="N2558" s="124"/>
      <c r="O2558" s="124"/>
      <c r="P2558" s="124"/>
      <c r="Q2558" s="124"/>
      <c r="R2558" s="124"/>
      <c r="S2558" s="124"/>
      <c r="T2558" s="124"/>
      <c r="U2558" s="124"/>
      <c r="V2558" s="124"/>
      <c r="W2558" s="124"/>
      <c r="X2558" s="124"/>
      <c r="Y2558" s="124"/>
    </row>
    <row r="2559" spans="2:25" x14ac:dyDescent="0.25">
      <c r="B2559" s="124"/>
      <c r="C2559" s="124"/>
      <c r="D2559" s="124"/>
      <c r="E2559" s="124"/>
      <c r="F2559" s="124"/>
      <c r="G2559" s="124"/>
      <c r="H2559" s="124"/>
      <c r="I2559" s="124"/>
      <c r="J2559" s="124"/>
      <c r="K2559" s="124"/>
      <c r="L2559" s="124"/>
      <c r="M2559" s="124"/>
      <c r="N2559" s="124"/>
      <c r="O2559" s="124"/>
      <c r="P2559" s="124"/>
      <c r="Q2559" s="124"/>
      <c r="R2559" s="124"/>
      <c r="S2559" s="124"/>
      <c r="T2559" s="124"/>
      <c r="U2559" s="124"/>
      <c r="V2559" s="124"/>
      <c r="W2559" s="124"/>
      <c r="X2559" s="124"/>
      <c r="Y2559" s="124"/>
    </row>
    <row r="2560" spans="2:25" x14ac:dyDescent="0.25">
      <c r="B2560" s="124"/>
      <c r="C2560" s="124"/>
      <c r="D2560" s="124"/>
      <c r="E2560" s="124"/>
      <c r="F2560" s="124"/>
      <c r="G2560" s="124"/>
      <c r="H2560" s="124"/>
      <c r="I2560" s="124"/>
      <c r="J2560" s="124"/>
      <c r="K2560" s="124"/>
      <c r="L2560" s="124"/>
      <c r="M2560" s="124"/>
      <c r="N2560" s="124"/>
      <c r="O2560" s="124"/>
      <c r="P2560" s="124"/>
      <c r="Q2560" s="124"/>
      <c r="R2560" s="124"/>
      <c r="S2560" s="124"/>
      <c r="T2560" s="124"/>
      <c r="U2560" s="124"/>
      <c r="V2560" s="124"/>
      <c r="W2560" s="124"/>
      <c r="X2560" s="124"/>
      <c r="Y2560" s="124"/>
    </row>
    <row r="2561" spans="2:25" x14ac:dyDescent="0.25">
      <c r="B2561" s="124"/>
      <c r="C2561" s="124"/>
      <c r="D2561" s="124"/>
      <c r="E2561" s="124"/>
      <c r="F2561" s="124"/>
      <c r="G2561" s="124"/>
      <c r="H2561" s="124"/>
      <c r="I2561" s="124"/>
      <c r="J2561" s="124"/>
      <c r="K2561" s="124"/>
      <c r="L2561" s="124"/>
      <c r="M2561" s="124"/>
      <c r="N2561" s="124"/>
      <c r="O2561" s="124"/>
      <c r="P2561" s="124"/>
      <c r="Q2561" s="124"/>
      <c r="R2561" s="124"/>
      <c r="S2561" s="124"/>
      <c r="T2561" s="124"/>
      <c r="U2561" s="124"/>
      <c r="V2561" s="124"/>
      <c r="W2561" s="124"/>
      <c r="X2561" s="124"/>
      <c r="Y2561" s="124"/>
    </row>
    <row r="2562" spans="2:25" x14ac:dyDescent="0.25">
      <c r="B2562" s="124"/>
      <c r="C2562" s="124"/>
      <c r="D2562" s="124"/>
      <c r="E2562" s="124"/>
      <c r="F2562" s="124"/>
      <c r="G2562" s="124"/>
      <c r="H2562" s="124"/>
      <c r="I2562" s="124"/>
      <c r="J2562" s="124"/>
      <c r="K2562" s="124"/>
      <c r="L2562" s="124"/>
      <c r="M2562" s="124"/>
      <c r="N2562" s="124"/>
      <c r="O2562" s="124"/>
      <c r="P2562" s="124"/>
      <c r="Q2562" s="124"/>
      <c r="R2562" s="124"/>
      <c r="S2562" s="124"/>
      <c r="T2562" s="124"/>
      <c r="U2562" s="124"/>
      <c r="V2562" s="124"/>
      <c r="W2562" s="124"/>
      <c r="X2562" s="124"/>
      <c r="Y2562" s="124"/>
    </row>
    <row r="2563" spans="2:25" x14ac:dyDescent="0.25">
      <c r="B2563" s="124"/>
      <c r="C2563" s="124"/>
      <c r="D2563" s="124"/>
      <c r="E2563" s="124"/>
      <c r="F2563" s="124"/>
      <c r="G2563" s="124"/>
      <c r="H2563" s="124"/>
      <c r="I2563" s="124"/>
      <c r="J2563" s="124"/>
      <c r="K2563" s="124"/>
      <c r="L2563" s="124"/>
      <c r="M2563" s="124"/>
      <c r="N2563" s="124"/>
      <c r="O2563" s="124"/>
      <c r="P2563" s="124"/>
      <c r="Q2563" s="124"/>
      <c r="R2563" s="124"/>
      <c r="S2563" s="124"/>
      <c r="T2563" s="124"/>
      <c r="U2563" s="124"/>
      <c r="V2563" s="124"/>
      <c r="W2563" s="124"/>
      <c r="X2563" s="124"/>
      <c r="Y2563" s="124"/>
    </row>
    <row r="2564" spans="2:25" x14ac:dyDescent="0.25">
      <c r="B2564" s="124"/>
      <c r="C2564" s="124"/>
      <c r="D2564" s="124"/>
      <c r="E2564" s="124"/>
      <c r="F2564" s="124"/>
      <c r="G2564" s="124"/>
      <c r="H2564" s="124"/>
      <c r="I2564" s="124"/>
      <c r="J2564" s="124"/>
      <c r="K2564" s="124"/>
      <c r="L2564" s="124"/>
      <c r="M2564" s="124"/>
      <c r="N2564" s="124"/>
      <c r="O2564" s="124"/>
      <c r="P2564" s="124"/>
      <c r="Q2564" s="124"/>
      <c r="R2564" s="124"/>
      <c r="S2564" s="124"/>
      <c r="T2564" s="124"/>
      <c r="U2564" s="124"/>
      <c r="V2564" s="124"/>
      <c r="W2564" s="124"/>
      <c r="X2564" s="124"/>
      <c r="Y2564" s="124"/>
    </row>
    <row r="2565" spans="2:25" x14ac:dyDescent="0.25">
      <c r="B2565" s="124"/>
      <c r="C2565" s="124"/>
      <c r="D2565" s="124"/>
      <c r="E2565" s="124"/>
      <c r="F2565" s="124"/>
      <c r="G2565" s="124"/>
      <c r="H2565" s="124"/>
      <c r="I2565" s="124"/>
      <c r="J2565" s="124"/>
      <c r="K2565" s="124"/>
      <c r="L2565" s="124"/>
      <c r="M2565" s="124"/>
      <c r="N2565" s="124"/>
      <c r="O2565" s="124"/>
      <c r="P2565" s="124"/>
      <c r="Q2565" s="124"/>
      <c r="R2565" s="124"/>
      <c r="S2565" s="124"/>
      <c r="T2565" s="124"/>
      <c r="U2565" s="124"/>
      <c r="V2565" s="124"/>
      <c r="W2565" s="124"/>
      <c r="X2565" s="124"/>
      <c r="Y2565" s="124"/>
    </row>
    <row r="2566" spans="2:25" x14ac:dyDescent="0.25">
      <c r="B2566" s="124"/>
      <c r="C2566" s="124"/>
      <c r="D2566" s="124"/>
      <c r="E2566" s="124"/>
      <c r="F2566" s="124"/>
      <c r="G2566" s="124"/>
      <c r="H2566" s="124"/>
      <c r="I2566" s="124"/>
      <c r="J2566" s="124"/>
      <c r="K2566" s="124"/>
      <c r="L2566" s="124"/>
      <c r="M2566" s="124"/>
      <c r="N2566" s="124"/>
      <c r="O2566" s="124"/>
      <c r="P2566" s="124"/>
      <c r="Q2566" s="124"/>
      <c r="R2566" s="124"/>
      <c r="S2566" s="124"/>
      <c r="T2566" s="124"/>
      <c r="U2566" s="124"/>
      <c r="V2566" s="124"/>
      <c r="W2566" s="124"/>
      <c r="X2566" s="124"/>
      <c r="Y2566" s="124"/>
    </row>
    <row r="2567" spans="2:25" x14ac:dyDescent="0.25">
      <c r="B2567" s="124"/>
      <c r="C2567" s="124"/>
      <c r="D2567" s="124"/>
      <c r="E2567" s="124"/>
      <c r="F2567" s="124"/>
      <c r="G2567" s="124"/>
      <c r="H2567" s="124"/>
      <c r="I2567" s="124"/>
      <c r="J2567" s="124"/>
      <c r="K2567" s="124"/>
      <c r="L2567" s="124"/>
      <c r="M2567" s="124"/>
      <c r="N2567" s="124"/>
      <c r="O2567" s="124"/>
      <c r="P2567" s="124"/>
      <c r="Q2567" s="124"/>
      <c r="R2567" s="124"/>
      <c r="S2567" s="124"/>
      <c r="T2567" s="124"/>
      <c r="U2567" s="124"/>
      <c r="V2567" s="124"/>
      <c r="W2567" s="124"/>
      <c r="X2567" s="124"/>
      <c r="Y2567" s="124"/>
    </row>
    <row r="2568" spans="2:25" x14ac:dyDescent="0.25">
      <c r="B2568" s="124"/>
      <c r="C2568" s="124"/>
      <c r="D2568" s="124"/>
      <c r="E2568" s="124"/>
      <c r="F2568" s="124"/>
      <c r="G2568" s="124"/>
      <c r="H2568" s="124"/>
      <c r="I2568" s="124"/>
      <c r="J2568" s="124"/>
      <c r="K2568" s="124"/>
      <c r="L2568" s="124"/>
      <c r="M2568" s="124"/>
      <c r="N2568" s="124"/>
      <c r="O2568" s="124"/>
      <c r="P2568" s="124"/>
      <c r="Q2568" s="124"/>
      <c r="R2568" s="124"/>
      <c r="S2568" s="124"/>
      <c r="T2568" s="124"/>
      <c r="U2568" s="124"/>
      <c r="V2568" s="124"/>
      <c r="W2568" s="124"/>
      <c r="X2568" s="124"/>
      <c r="Y2568" s="124"/>
    </row>
    <row r="2569" spans="2:25" x14ac:dyDescent="0.25">
      <c r="B2569" s="124"/>
      <c r="C2569" s="124"/>
      <c r="D2569" s="124"/>
      <c r="E2569" s="124"/>
      <c r="F2569" s="124"/>
      <c r="G2569" s="124"/>
      <c r="H2569" s="124"/>
      <c r="I2569" s="124"/>
      <c r="J2569" s="124"/>
      <c r="K2569" s="124"/>
      <c r="L2569" s="124"/>
      <c r="M2569" s="124"/>
      <c r="N2569" s="124"/>
      <c r="O2569" s="124"/>
      <c r="P2569" s="124"/>
      <c r="Q2569" s="124"/>
      <c r="R2569" s="124"/>
      <c r="S2569" s="124"/>
      <c r="T2569" s="124"/>
      <c r="U2569" s="124"/>
      <c r="V2569" s="124"/>
      <c r="W2569" s="124"/>
      <c r="X2569" s="124"/>
      <c r="Y2569" s="124"/>
    </row>
    <row r="2570" spans="2:25" x14ac:dyDescent="0.25">
      <c r="B2570" s="124"/>
      <c r="C2570" s="124"/>
      <c r="D2570" s="124"/>
      <c r="E2570" s="124"/>
      <c r="F2570" s="124"/>
      <c r="G2570" s="124"/>
      <c r="H2570" s="124"/>
      <c r="I2570" s="124"/>
      <c r="J2570" s="124"/>
      <c r="K2570" s="124"/>
      <c r="L2570" s="124"/>
      <c r="M2570" s="124"/>
      <c r="N2570" s="124"/>
      <c r="O2570" s="124"/>
      <c r="P2570" s="124"/>
      <c r="Q2570" s="124"/>
      <c r="R2570" s="124"/>
      <c r="S2570" s="124"/>
      <c r="T2570" s="124"/>
      <c r="U2570" s="124"/>
      <c r="V2570" s="124"/>
      <c r="W2570" s="124"/>
      <c r="X2570" s="124"/>
      <c r="Y2570" s="124"/>
    </row>
    <row r="2571" spans="2:25" x14ac:dyDescent="0.25">
      <c r="B2571" s="124"/>
      <c r="C2571" s="124"/>
      <c r="D2571" s="124"/>
      <c r="E2571" s="124"/>
      <c r="F2571" s="124"/>
      <c r="G2571" s="124"/>
      <c r="H2571" s="124"/>
      <c r="I2571" s="124"/>
      <c r="J2571" s="124"/>
      <c r="K2571" s="124"/>
      <c r="L2571" s="124"/>
      <c r="M2571" s="124"/>
      <c r="N2571" s="124"/>
      <c r="O2571" s="124"/>
      <c r="P2571" s="124"/>
      <c r="Q2571" s="124"/>
      <c r="R2571" s="124"/>
      <c r="S2571" s="124"/>
      <c r="T2571" s="124"/>
      <c r="U2571" s="124"/>
      <c r="V2571" s="124"/>
      <c r="W2571" s="124"/>
      <c r="X2571" s="124"/>
      <c r="Y2571" s="124"/>
    </row>
    <row r="2572" spans="2:25" x14ac:dyDescent="0.25">
      <c r="B2572" s="124"/>
      <c r="C2572" s="124"/>
      <c r="D2572" s="124"/>
      <c r="E2572" s="124"/>
      <c r="F2572" s="124"/>
      <c r="G2572" s="124"/>
      <c r="H2572" s="124"/>
      <c r="I2572" s="124"/>
      <c r="J2572" s="124"/>
      <c r="K2572" s="124"/>
      <c r="L2572" s="124"/>
      <c r="M2572" s="124"/>
      <c r="N2572" s="124"/>
      <c r="O2572" s="124"/>
      <c r="P2572" s="124"/>
      <c r="Q2572" s="124"/>
      <c r="R2572" s="124"/>
      <c r="S2572" s="124"/>
      <c r="T2572" s="124"/>
      <c r="U2572" s="124"/>
      <c r="V2572" s="124"/>
      <c r="W2572" s="124"/>
      <c r="X2572" s="124"/>
      <c r="Y2572" s="124"/>
    </row>
    <row r="2573" spans="2:25" x14ac:dyDescent="0.25">
      <c r="B2573" s="124"/>
      <c r="C2573" s="124"/>
      <c r="D2573" s="124"/>
      <c r="E2573" s="124"/>
      <c r="F2573" s="124"/>
      <c r="G2573" s="124"/>
      <c r="H2573" s="124"/>
      <c r="I2573" s="124"/>
      <c r="J2573" s="124"/>
      <c r="K2573" s="124"/>
      <c r="L2573" s="124"/>
      <c r="M2573" s="124"/>
      <c r="N2573" s="124"/>
      <c r="O2573" s="124"/>
      <c r="P2573" s="124"/>
      <c r="Q2573" s="124"/>
      <c r="R2573" s="124"/>
      <c r="S2573" s="124"/>
      <c r="T2573" s="124"/>
      <c r="U2573" s="124"/>
      <c r="V2573" s="124"/>
      <c r="W2573" s="124"/>
      <c r="X2573" s="124"/>
      <c r="Y2573" s="124"/>
    </row>
    <row r="2574" spans="2:25" x14ac:dyDescent="0.25">
      <c r="B2574" s="124"/>
      <c r="C2574" s="124"/>
      <c r="D2574" s="124"/>
      <c r="E2574" s="124"/>
      <c r="F2574" s="124"/>
      <c r="G2574" s="124"/>
      <c r="H2574" s="124"/>
      <c r="I2574" s="124"/>
      <c r="J2574" s="124"/>
      <c r="K2574" s="124"/>
      <c r="L2574" s="124"/>
      <c r="M2574" s="124"/>
      <c r="N2574" s="124"/>
      <c r="O2574" s="124"/>
      <c r="P2574" s="124"/>
      <c r="Q2574" s="124"/>
      <c r="R2574" s="124"/>
      <c r="S2574" s="124"/>
      <c r="T2574" s="124"/>
      <c r="U2574" s="124"/>
      <c r="V2574" s="124"/>
      <c r="W2574" s="124"/>
      <c r="X2574" s="124"/>
      <c r="Y2574" s="124"/>
    </row>
    <row r="2575" spans="2:25" x14ac:dyDescent="0.25">
      <c r="B2575" s="124"/>
      <c r="C2575" s="124"/>
      <c r="D2575" s="124"/>
      <c r="E2575" s="124"/>
      <c r="F2575" s="124"/>
      <c r="G2575" s="124"/>
      <c r="H2575" s="124"/>
      <c r="I2575" s="124"/>
      <c r="J2575" s="124"/>
      <c r="K2575" s="124"/>
      <c r="L2575" s="124"/>
      <c r="M2575" s="124"/>
      <c r="N2575" s="124"/>
      <c r="O2575" s="124"/>
      <c r="P2575" s="124"/>
      <c r="Q2575" s="124"/>
      <c r="R2575" s="124"/>
      <c r="S2575" s="124"/>
      <c r="T2575" s="124"/>
      <c r="U2575" s="124"/>
      <c r="V2575" s="124"/>
      <c r="W2575" s="124"/>
      <c r="X2575" s="124"/>
      <c r="Y2575" s="124"/>
    </row>
    <row r="2576" spans="2:25" x14ac:dyDescent="0.25">
      <c r="B2576" s="124"/>
      <c r="C2576" s="124"/>
      <c r="D2576" s="124"/>
      <c r="E2576" s="124"/>
      <c r="F2576" s="124"/>
      <c r="G2576" s="124"/>
      <c r="H2576" s="124"/>
      <c r="I2576" s="124"/>
      <c r="J2576" s="124"/>
      <c r="K2576" s="124"/>
      <c r="L2576" s="124"/>
      <c r="M2576" s="124"/>
      <c r="N2576" s="124"/>
      <c r="O2576" s="124"/>
      <c r="P2576" s="124"/>
      <c r="Q2576" s="124"/>
      <c r="R2576" s="124"/>
      <c r="S2576" s="124"/>
      <c r="T2576" s="124"/>
      <c r="U2576" s="124"/>
      <c r="V2576" s="124"/>
      <c r="W2576" s="124"/>
      <c r="X2576" s="124"/>
      <c r="Y2576" s="124"/>
    </row>
    <row r="2577" spans="2:25" x14ac:dyDescent="0.25">
      <c r="B2577" s="124"/>
      <c r="C2577" s="124"/>
      <c r="D2577" s="124"/>
      <c r="E2577" s="124"/>
      <c r="F2577" s="124"/>
      <c r="G2577" s="124"/>
      <c r="H2577" s="124"/>
      <c r="I2577" s="124"/>
      <c r="J2577" s="124"/>
      <c r="K2577" s="124"/>
      <c r="L2577" s="124"/>
      <c r="M2577" s="124"/>
      <c r="N2577" s="124"/>
      <c r="O2577" s="124"/>
      <c r="P2577" s="124"/>
      <c r="Q2577" s="124"/>
      <c r="R2577" s="124"/>
      <c r="S2577" s="124"/>
      <c r="T2577" s="124"/>
      <c r="U2577" s="124"/>
      <c r="V2577" s="124"/>
      <c r="W2577" s="124"/>
      <c r="X2577" s="124"/>
      <c r="Y2577" s="124"/>
    </row>
    <row r="2578" spans="2:25" x14ac:dyDescent="0.25">
      <c r="B2578" s="124"/>
      <c r="C2578" s="124"/>
      <c r="D2578" s="124"/>
      <c r="E2578" s="124"/>
      <c r="F2578" s="124"/>
      <c r="G2578" s="124"/>
      <c r="H2578" s="124"/>
      <c r="I2578" s="124"/>
      <c r="J2578" s="124"/>
      <c r="K2578" s="124"/>
      <c r="L2578" s="124"/>
      <c r="M2578" s="124"/>
      <c r="N2578" s="124"/>
      <c r="O2578" s="124"/>
      <c r="P2578" s="124"/>
      <c r="Q2578" s="124"/>
      <c r="R2578" s="124"/>
      <c r="S2578" s="124"/>
      <c r="T2578" s="124"/>
      <c r="U2578" s="124"/>
      <c r="V2578" s="124"/>
      <c r="W2578" s="124"/>
      <c r="X2578" s="124"/>
      <c r="Y2578" s="124"/>
    </row>
    <row r="2579" spans="2:25" x14ac:dyDescent="0.25">
      <c r="B2579" s="124"/>
      <c r="C2579" s="124"/>
      <c r="D2579" s="124"/>
      <c r="E2579" s="124"/>
      <c r="F2579" s="124"/>
      <c r="G2579" s="124"/>
      <c r="H2579" s="124"/>
      <c r="I2579" s="124"/>
      <c r="J2579" s="124"/>
      <c r="K2579" s="124"/>
      <c r="L2579" s="124"/>
      <c r="M2579" s="124"/>
      <c r="N2579" s="124"/>
      <c r="O2579" s="124"/>
      <c r="P2579" s="124"/>
      <c r="Q2579" s="124"/>
      <c r="R2579" s="124"/>
      <c r="S2579" s="124"/>
      <c r="T2579" s="124"/>
      <c r="U2579" s="124"/>
      <c r="V2579" s="124"/>
      <c r="W2579" s="124"/>
      <c r="X2579" s="124"/>
      <c r="Y2579" s="124"/>
    </row>
    <row r="2580" spans="2:25" x14ac:dyDescent="0.25">
      <c r="B2580" s="124"/>
      <c r="C2580" s="124"/>
      <c r="D2580" s="124"/>
      <c r="E2580" s="124"/>
      <c r="F2580" s="124"/>
      <c r="G2580" s="124"/>
      <c r="H2580" s="124"/>
      <c r="I2580" s="124"/>
      <c r="J2580" s="124"/>
      <c r="K2580" s="124"/>
      <c r="L2580" s="124"/>
      <c r="M2580" s="124"/>
      <c r="N2580" s="124"/>
      <c r="O2580" s="124"/>
      <c r="P2580" s="124"/>
      <c r="Q2580" s="124"/>
      <c r="R2580" s="124"/>
      <c r="S2580" s="124"/>
      <c r="T2580" s="124"/>
      <c r="U2580" s="124"/>
      <c r="V2580" s="124"/>
      <c r="W2580" s="124"/>
      <c r="X2580" s="124"/>
      <c r="Y2580" s="124"/>
    </row>
    <row r="2581" spans="2:25" x14ac:dyDescent="0.25">
      <c r="B2581" s="124"/>
      <c r="C2581" s="124"/>
      <c r="D2581" s="124"/>
      <c r="E2581" s="124"/>
      <c r="F2581" s="124"/>
      <c r="G2581" s="124"/>
      <c r="H2581" s="124"/>
      <c r="I2581" s="124"/>
      <c r="J2581" s="124"/>
      <c r="K2581" s="124"/>
      <c r="L2581" s="124"/>
      <c r="M2581" s="124"/>
      <c r="N2581" s="124"/>
      <c r="O2581" s="124"/>
      <c r="P2581" s="124"/>
      <c r="Q2581" s="124"/>
      <c r="R2581" s="124"/>
      <c r="S2581" s="124"/>
      <c r="T2581" s="124"/>
      <c r="U2581" s="124"/>
      <c r="V2581" s="124"/>
      <c r="W2581" s="124"/>
      <c r="X2581" s="124"/>
      <c r="Y2581" s="124"/>
    </row>
    <row r="2582" spans="2:25" x14ac:dyDescent="0.25">
      <c r="B2582" s="124"/>
      <c r="C2582" s="124"/>
      <c r="D2582" s="124"/>
      <c r="E2582" s="124"/>
      <c r="F2582" s="124"/>
      <c r="G2582" s="124"/>
      <c r="H2582" s="124"/>
      <c r="I2582" s="124"/>
      <c r="J2582" s="124"/>
      <c r="K2582" s="124"/>
      <c r="L2582" s="124"/>
      <c r="M2582" s="124"/>
      <c r="N2582" s="124"/>
      <c r="O2582" s="124"/>
      <c r="P2582" s="124"/>
      <c r="Q2582" s="124"/>
      <c r="R2582" s="124"/>
      <c r="S2582" s="124"/>
      <c r="T2582" s="124"/>
      <c r="U2582" s="124"/>
      <c r="V2582" s="124"/>
      <c r="W2582" s="124"/>
      <c r="X2582" s="124"/>
      <c r="Y2582" s="124"/>
    </row>
    <row r="2583" spans="2:25" x14ac:dyDescent="0.25">
      <c r="B2583" s="124"/>
      <c r="C2583" s="124"/>
      <c r="D2583" s="124"/>
      <c r="E2583" s="124"/>
      <c r="F2583" s="124"/>
      <c r="G2583" s="124"/>
      <c r="H2583" s="124"/>
      <c r="I2583" s="124"/>
      <c r="J2583" s="124"/>
      <c r="K2583" s="124"/>
      <c r="L2583" s="124"/>
      <c r="M2583" s="124"/>
      <c r="N2583" s="124"/>
      <c r="O2583" s="124"/>
      <c r="P2583" s="124"/>
      <c r="Q2583" s="124"/>
      <c r="R2583" s="124"/>
      <c r="S2583" s="124"/>
      <c r="T2583" s="124"/>
      <c r="U2583" s="124"/>
      <c r="V2583" s="124"/>
      <c r="W2583" s="124"/>
      <c r="X2583" s="124"/>
      <c r="Y2583" s="124"/>
    </row>
    <row r="2584" spans="2:25" x14ac:dyDescent="0.25">
      <c r="B2584" s="124"/>
      <c r="C2584" s="124"/>
      <c r="D2584" s="124"/>
      <c r="E2584" s="124"/>
      <c r="F2584" s="124"/>
      <c r="G2584" s="124"/>
      <c r="H2584" s="124"/>
      <c r="I2584" s="124"/>
      <c r="J2584" s="124"/>
      <c r="K2584" s="124"/>
      <c r="L2584" s="124"/>
      <c r="M2584" s="124"/>
      <c r="N2584" s="124"/>
      <c r="O2584" s="124"/>
      <c r="P2584" s="124"/>
      <c r="Q2584" s="124"/>
      <c r="R2584" s="124"/>
      <c r="S2584" s="124"/>
      <c r="T2584" s="124"/>
      <c r="U2584" s="124"/>
      <c r="V2584" s="124"/>
      <c r="W2584" s="124"/>
      <c r="X2584" s="124"/>
      <c r="Y2584" s="124"/>
    </row>
    <row r="2585" spans="2:25" x14ac:dyDescent="0.25">
      <c r="B2585" s="124"/>
      <c r="C2585" s="124"/>
      <c r="D2585" s="124"/>
      <c r="E2585" s="124"/>
      <c r="F2585" s="124"/>
      <c r="G2585" s="124"/>
      <c r="H2585" s="124"/>
      <c r="I2585" s="124"/>
      <c r="J2585" s="124"/>
      <c r="K2585" s="124"/>
      <c r="L2585" s="124"/>
      <c r="M2585" s="124"/>
      <c r="N2585" s="124"/>
      <c r="O2585" s="124"/>
      <c r="P2585" s="124"/>
      <c r="Q2585" s="124"/>
      <c r="R2585" s="124"/>
      <c r="S2585" s="124"/>
      <c r="T2585" s="124"/>
      <c r="U2585" s="124"/>
      <c r="V2585" s="124"/>
      <c r="W2585" s="124"/>
      <c r="X2585" s="124"/>
      <c r="Y2585" s="124"/>
    </row>
    <row r="2586" spans="2:25" x14ac:dyDescent="0.25">
      <c r="B2586" s="124"/>
      <c r="C2586" s="124"/>
      <c r="D2586" s="124"/>
      <c r="E2586" s="124"/>
      <c r="F2586" s="124"/>
      <c r="G2586" s="124"/>
      <c r="H2586" s="124"/>
      <c r="I2586" s="124"/>
      <c r="J2586" s="124"/>
      <c r="K2586" s="124"/>
      <c r="L2586" s="124"/>
      <c r="M2586" s="124"/>
      <c r="N2586" s="124"/>
      <c r="O2586" s="124"/>
      <c r="P2586" s="124"/>
      <c r="Q2586" s="124"/>
      <c r="R2586" s="124"/>
      <c r="S2586" s="124"/>
      <c r="T2586" s="124"/>
      <c r="U2586" s="124"/>
      <c r="V2586" s="124"/>
      <c r="W2586" s="124"/>
      <c r="X2586" s="124"/>
      <c r="Y2586" s="124"/>
    </row>
    <row r="2587" spans="2:25" x14ac:dyDescent="0.25">
      <c r="B2587" s="124"/>
      <c r="C2587" s="124"/>
      <c r="D2587" s="124"/>
      <c r="E2587" s="124"/>
      <c r="F2587" s="124"/>
      <c r="G2587" s="124"/>
      <c r="H2587" s="124"/>
      <c r="I2587" s="124"/>
      <c r="J2587" s="124"/>
      <c r="K2587" s="124"/>
      <c r="L2587" s="124"/>
      <c r="M2587" s="124"/>
      <c r="N2587" s="124"/>
      <c r="O2587" s="124"/>
      <c r="P2587" s="124"/>
      <c r="Q2587" s="124"/>
      <c r="R2587" s="124"/>
      <c r="S2587" s="124"/>
      <c r="T2587" s="124"/>
      <c r="U2587" s="124"/>
      <c r="V2587" s="124"/>
      <c r="W2587" s="124"/>
      <c r="X2587" s="124"/>
      <c r="Y2587" s="124"/>
    </row>
    <row r="2588" spans="2:25" x14ac:dyDescent="0.25">
      <c r="B2588" s="124"/>
      <c r="C2588" s="124"/>
      <c r="D2588" s="124"/>
      <c r="E2588" s="124"/>
      <c r="F2588" s="124"/>
      <c r="G2588" s="124"/>
      <c r="H2588" s="124"/>
      <c r="I2588" s="124"/>
      <c r="J2588" s="124"/>
      <c r="K2588" s="124"/>
      <c r="L2588" s="124"/>
      <c r="M2588" s="124"/>
      <c r="N2588" s="124"/>
      <c r="O2588" s="124"/>
      <c r="P2588" s="124"/>
      <c r="Q2588" s="124"/>
      <c r="R2588" s="124"/>
      <c r="S2588" s="124"/>
      <c r="T2588" s="124"/>
      <c r="U2588" s="124"/>
      <c r="V2588" s="124"/>
      <c r="W2588" s="124"/>
      <c r="X2588" s="124"/>
      <c r="Y2588" s="124"/>
    </row>
    <row r="2589" spans="2:25" x14ac:dyDescent="0.25">
      <c r="B2589" s="124"/>
      <c r="C2589" s="124"/>
      <c r="D2589" s="124"/>
      <c r="E2589" s="124"/>
      <c r="F2589" s="124"/>
      <c r="G2589" s="124"/>
      <c r="H2589" s="124"/>
      <c r="I2589" s="124"/>
      <c r="J2589" s="124"/>
      <c r="K2589" s="124"/>
      <c r="L2589" s="124"/>
      <c r="M2589" s="124"/>
      <c r="N2589" s="124"/>
      <c r="O2589" s="124"/>
      <c r="P2589" s="124"/>
      <c r="Q2589" s="124"/>
      <c r="R2589" s="124"/>
      <c r="S2589" s="124"/>
      <c r="T2589" s="124"/>
      <c r="U2589" s="124"/>
      <c r="V2589" s="124"/>
      <c r="W2589" s="124"/>
      <c r="X2589" s="124"/>
      <c r="Y2589" s="124"/>
    </row>
    <row r="2590" spans="2:25" x14ac:dyDescent="0.25">
      <c r="B2590" s="124"/>
      <c r="C2590" s="124"/>
      <c r="D2590" s="124"/>
      <c r="E2590" s="124"/>
      <c r="F2590" s="124"/>
      <c r="G2590" s="124"/>
      <c r="H2590" s="124"/>
      <c r="I2590" s="124"/>
      <c r="J2590" s="124"/>
      <c r="K2590" s="124"/>
      <c r="L2590" s="124"/>
      <c r="M2590" s="124"/>
      <c r="N2590" s="124"/>
      <c r="O2590" s="124"/>
      <c r="P2590" s="124"/>
      <c r="Q2590" s="124"/>
      <c r="R2590" s="124"/>
      <c r="S2590" s="124"/>
      <c r="T2590" s="124"/>
      <c r="U2590" s="124"/>
      <c r="V2590" s="124"/>
      <c r="W2590" s="124"/>
      <c r="X2590" s="124"/>
      <c r="Y2590" s="124"/>
    </row>
    <row r="2591" spans="2:25" x14ac:dyDescent="0.25">
      <c r="B2591" s="124"/>
      <c r="C2591" s="124"/>
      <c r="D2591" s="124"/>
      <c r="E2591" s="124"/>
      <c r="F2591" s="124"/>
      <c r="G2591" s="124"/>
      <c r="H2591" s="124"/>
      <c r="I2591" s="124"/>
      <c r="J2591" s="124"/>
      <c r="K2591" s="124"/>
      <c r="L2591" s="124"/>
      <c r="M2591" s="124"/>
      <c r="N2591" s="124"/>
      <c r="O2591" s="124"/>
      <c r="P2591" s="124"/>
      <c r="Q2591" s="124"/>
      <c r="R2591" s="124"/>
      <c r="S2591" s="124"/>
      <c r="T2591" s="124"/>
      <c r="U2591" s="124"/>
      <c r="V2591" s="124"/>
      <c r="W2591" s="124"/>
      <c r="X2591" s="124"/>
      <c r="Y2591" s="124"/>
    </row>
    <row r="2592" spans="2:25" x14ac:dyDescent="0.25">
      <c r="B2592" s="124"/>
      <c r="C2592" s="124"/>
      <c r="D2592" s="124"/>
      <c r="E2592" s="124"/>
      <c r="F2592" s="124"/>
      <c r="G2592" s="124"/>
      <c r="H2592" s="124"/>
      <c r="I2592" s="124"/>
      <c r="J2592" s="124"/>
      <c r="K2592" s="124"/>
      <c r="L2592" s="124"/>
      <c r="M2592" s="124"/>
      <c r="N2592" s="124"/>
      <c r="O2592" s="124"/>
      <c r="P2592" s="124"/>
      <c r="Q2592" s="124"/>
      <c r="R2592" s="124"/>
      <c r="S2592" s="124"/>
      <c r="T2592" s="124"/>
      <c r="U2592" s="124"/>
      <c r="V2592" s="124"/>
      <c r="W2592" s="124"/>
      <c r="X2592" s="124"/>
      <c r="Y2592" s="124"/>
    </row>
    <row r="2593" spans="2:25" x14ac:dyDescent="0.25">
      <c r="B2593" s="124"/>
      <c r="C2593" s="124"/>
      <c r="D2593" s="124"/>
      <c r="E2593" s="124"/>
      <c r="F2593" s="124"/>
      <c r="G2593" s="124"/>
      <c r="H2593" s="124"/>
      <c r="I2593" s="124"/>
      <c r="J2593" s="124"/>
      <c r="K2593" s="124"/>
      <c r="L2593" s="124"/>
      <c r="M2593" s="124"/>
      <c r="N2593" s="124"/>
      <c r="O2593" s="124"/>
      <c r="P2593" s="124"/>
      <c r="Q2593" s="124"/>
      <c r="R2593" s="124"/>
      <c r="S2593" s="124"/>
      <c r="T2593" s="124"/>
      <c r="U2593" s="124"/>
      <c r="V2593" s="124"/>
      <c r="W2593" s="124"/>
      <c r="X2593" s="124"/>
      <c r="Y2593" s="124"/>
    </row>
    <row r="2594" spans="2:25" x14ac:dyDescent="0.25">
      <c r="B2594" s="124"/>
      <c r="C2594" s="124"/>
      <c r="D2594" s="124"/>
      <c r="E2594" s="124"/>
      <c r="F2594" s="124"/>
      <c r="G2594" s="124"/>
      <c r="H2594" s="124"/>
      <c r="I2594" s="124"/>
      <c r="J2594" s="124"/>
      <c r="K2594" s="124"/>
      <c r="L2594" s="124"/>
      <c r="M2594" s="124"/>
      <c r="N2594" s="124"/>
      <c r="O2594" s="124"/>
      <c r="P2594" s="124"/>
      <c r="Q2594" s="124"/>
      <c r="R2594" s="124"/>
      <c r="S2594" s="124"/>
      <c r="T2594" s="124"/>
      <c r="U2594" s="124"/>
      <c r="V2594" s="124"/>
      <c r="W2594" s="124"/>
      <c r="X2594" s="124"/>
      <c r="Y2594" s="124"/>
    </row>
    <row r="2595" spans="2:25" x14ac:dyDescent="0.25">
      <c r="B2595" s="124"/>
      <c r="C2595" s="124"/>
      <c r="D2595" s="124"/>
      <c r="E2595" s="124"/>
      <c r="F2595" s="124"/>
      <c r="G2595" s="124"/>
      <c r="H2595" s="124"/>
      <c r="I2595" s="124"/>
      <c r="J2595" s="124"/>
      <c r="K2595" s="124"/>
      <c r="L2595" s="124"/>
      <c r="M2595" s="124"/>
      <c r="N2595" s="124"/>
      <c r="O2595" s="124"/>
      <c r="P2595" s="124"/>
      <c r="Q2595" s="124"/>
      <c r="R2595" s="124"/>
      <c r="S2595" s="124"/>
      <c r="T2595" s="124"/>
      <c r="U2595" s="124"/>
      <c r="V2595" s="124"/>
      <c r="W2595" s="124"/>
      <c r="X2595" s="124"/>
      <c r="Y2595" s="124"/>
    </row>
    <row r="2596" spans="2:25" x14ac:dyDescent="0.25">
      <c r="B2596" s="124"/>
      <c r="C2596" s="124"/>
      <c r="D2596" s="124"/>
      <c r="E2596" s="124"/>
      <c r="F2596" s="124"/>
      <c r="G2596" s="124"/>
      <c r="H2596" s="124"/>
      <c r="I2596" s="124"/>
      <c r="J2596" s="124"/>
      <c r="K2596" s="124"/>
      <c r="L2596" s="124"/>
      <c r="M2596" s="124"/>
      <c r="N2596" s="124"/>
      <c r="O2596" s="124"/>
      <c r="P2596" s="124"/>
      <c r="Q2596" s="124"/>
      <c r="R2596" s="124"/>
      <c r="S2596" s="124"/>
      <c r="T2596" s="124"/>
      <c r="U2596" s="124"/>
      <c r="V2596" s="124"/>
      <c r="W2596" s="124"/>
      <c r="X2596" s="124"/>
      <c r="Y2596" s="124"/>
    </row>
    <row r="2597" spans="2:25" x14ac:dyDescent="0.25">
      <c r="B2597" s="124"/>
      <c r="C2597" s="124"/>
      <c r="D2597" s="124"/>
      <c r="E2597" s="124"/>
      <c r="F2597" s="124"/>
      <c r="G2597" s="124"/>
      <c r="H2597" s="124"/>
      <c r="I2597" s="124"/>
      <c r="J2597" s="124"/>
      <c r="K2597" s="124"/>
      <c r="L2597" s="124"/>
      <c r="M2597" s="124"/>
      <c r="N2597" s="124"/>
      <c r="O2597" s="124"/>
      <c r="P2597" s="124"/>
      <c r="Q2597" s="124"/>
      <c r="R2597" s="124"/>
      <c r="S2597" s="124"/>
      <c r="T2597" s="124"/>
      <c r="U2597" s="124"/>
      <c r="V2597" s="124"/>
      <c r="W2597" s="124"/>
      <c r="X2597" s="124"/>
      <c r="Y2597" s="124"/>
    </row>
    <row r="2598" spans="2:25" x14ac:dyDescent="0.25">
      <c r="B2598" s="124"/>
      <c r="C2598" s="124"/>
      <c r="D2598" s="124"/>
      <c r="E2598" s="124"/>
      <c r="F2598" s="124"/>
      <c r="G2598" s="124"/>
      <c r="H2598" s="124"/>
      <c r="I2598" s="124"/>
      <c r="J2598" s="124"/>
      <c r="K2598" s="124"/>
      <c r="L2598" s="124"/>
      <c r="M2598" s="124"/>
      <c r="N2598" s="124"/>
      <c r="O2598" s="124"/>
      <c r="P2598" s="124"/>
      <c r="Q2598" s="124"/>
      <c r="R2598" s="124"/>
      <c r="S2598" s="124"/>
      <c r="T2598" s="124"/>
      <c r="U2598" s="124"/>
      <c r="V2598" s="124"/>
      <c r="W2598" s="124"/>
      <c r="X2598" s="124"/>
      <c r="Y2598" s="124"/>
    </row>
    <row r="2599" spans="2:25" x14ac:dyDescent="0.25">
      <c r="B2599" s="124"/>
      <c r="C2599" s="124"/>
      <c r="D2599" s="124"/>
      <c r="E2599" s="124"/>
      <c r="F2599" s="124"/>
      <c r="G2599" s="124"/>
      <c r="H2599" s="124"/>
      <c r="I2599" s="124"/>
      <c r="J2599" s="124"/>
      <c r="K2599" s="124"/>
      <c r="L2599" s="124"/>
      <c r="M2599" s="124"/>
      <c r="N2599" s="124"/>
      <c r="O2599" s="124"/>
      <c r="P2599" s="124"/>
      <c r="Q2599" s="124"/>
      <c r="R2599" s="124"/>
      <c r="S2599" s="124"/>
      <c r="T2599" s="124"/>
      <c r="U2599" s="124"/>
      <c r="V2599" s="124"/>
      <c r="W2599" s="124"/>
      <c r="X2599" s="124"/>
      <c r="Y2599" s="124"/>
    </row>
    <row r="2600" spans="2:25" x14ac:dyDescent="0.25">
      <c r="B2600" s="124"/>
      <c r="C2600" s="124"/>
      <c r="D2600" s="124"/>
      <c r="E2600" s="124"/>
      <c r="F2600" s="124"/>
      <c r="G2600" s="124"/>
      <c r="H2600" s="124"/>
      <c r="I2600" s="124"/>
      <c r="J2600" s="124"/>
      <c r="K2600" s="124"/>
      <c r="L2600" s="124"/>
      <c r="M2600" s="124"/>
      <c r="N2600" s="124"/>
      <c r="O2600" s="124"/>
      <c r="P2600" s="124"/>
      <c r="Q2600" s="124"/>
      <c r="R2600" s="124"/>
      <c r="S2600" s="124"/>
      <c r="T2600" s="124"/>
      <c r="U2600" s="124"/>
      <c r="V2600" s="124"/>
      <c r="W2600" s="124"/>
      <c r="X2600" s="124"/>
      <c r="Y2600" s="124"/>
    </row>
    <row r="2601" spans="2:25" x14ac:dyDescent="0.25">
      <c r="B2601" s="124"/>
      <c r="C2601" s="124"/>
      <c r="D2601" s="124"/>
      <c r="E2601" s="124"/>
      <c r="F2601" s="124"/>
      <c r="G2601" s="124"/>
      <c r="H2601" s="124"/>
      <c r="I2601" s="124"/>
      <c r="J2601" s="124"/>
      <c r="K2601" s="124"/>
      <c r="L2601" s="124"/>
      <c r="M2601" s="124"/>
      <c r="N2601" s="124"/>
      <c r="O2601" s="124"/>
      <c r="P2601" s="124"/>
      <c r="Q2601" s="124"/>
      <c r="R2601" s="124"/>
      <c r="S2601" s="124"/>
      <c r="T2601" s="124"/>
      <c r="U2601" s="124"/>
      <c r="V2601" s="124"/>
      <c r="W2601" s="124"/>
      <c r="X2601" s="124"/>
      <c r="Y2601" s="124"/>
    </row>
    <row r="2602" spans="2:25" x14ac:dyDescent="0.25">
      <c r="B2602" s="124"/>
      <c r="C2602" s="124"/>
      <c r="D2602" s="124"/>
      <c r="E2602" s="124"/>
      <c r="F2602" s="124"/>
      <c r="G2602" s="124"/>
      <c r="H2602" s="124"/>
      <c r="I2602" s="124"/>
      <c r="J2602" s="124"/>
      <c r="K2602" s="124"/>
      <c r="L2602" s="124"/>
      <c r="M2602" s="124"/>
      <c r="N2602" s="124"/>
      <c r="O2602" s="124"/>
      <c r="P2602" s="124"/>
      <c r="Q2602" s="124"/>
      <c r="R2602" s="124"/>
      <c r="S2602" s="124"/>
      <c r="T2602" s="124"/>
      <c r="U2602" s="124"/>
      <c r="V2602" s="124"/>
      <c r="W2602" s="124"/>
      <c r="X2602" s="124"/>
      <c r="Y2602" s="124"/>
    </row>
    <row r="2603" spans="2:25" x14ac:dyDescent="0.25">
      <c r="B2603" s="124"/>
      <c r="C2603" s="124"/>
      <c r="D2603" s="124"/>
      <c r="E2603" s="124"/>
      <c r="F2603" s="124"/>
      <c r="G2603" s="124"/>
      <c r="H2603" s="124"/>
      <c r="I2603" s="124"/>
      <c r="J2603" s="124"/>
      <c r="K2603" s="124"/>
      <c r="L2603" s="124"/>
      <c r="M2603" s="124"/>
      <c r="N2603" s="124"/>
      <c r="O2603" s="124"/>
      <c r="P2603" s="124"/>
      <c r="Q2603" s="124"/>
      <c r="R2603" s="124"/>
      <c r="S2603" s="124"/>
      <c r="T2603" s="124"/>
      <c r="U2603" s="124"/>
      <c r="V2603" s="124"/>
      <c r="W2603" s="124"/>
      <c r="X2603" s="124"/>
      <c r="Y2603" s="124"/>
    </row>
    <row r="2604" spans="2:25" x14ac:dyDescent="0.25">
      <c r="B2604" s="124"/>
      <c r="C2604" s="124"/>
      <c r="D2604" s="124"/>
      <c r="E2604" s="124"/>
      <c r="F2604" s="124"/>
      <c r="G2604" s="124"/>
      <c r="H2604" s="124"/>
      <c r="I2604" s="124"/>
      <c r="J2604" s="124"/>
      <c r="K2604" s="124"/>
      <c r="L2604" s="124"/>
      <c r="M2604" s="124"/>
      <c r="N2604" s="124"/>
      <c r="O2604" s="124"/>
      <c r="P2604" s="124"/>
      <c r="Q2604" s="124"/>
      <c r="R2604" s="124"/>
      <c r="S2604" s="124"/>
      <c r="T2604" s="124"/>
      <c r="U2604" s="124"/>
      <c r="V2604" s="124"/>
      <c r="W2604" s="124"/>
      <c r="X2604" s="124"/>
      <c r="Y2604" s="124"/>
    </row>
    <row r="2605" spans="2:25" x14ac:dyDescent="0.25">
      <c r="B2605" s="124"/>
      <c r="C2605" s="124"/>
      <c r="D2605" s="124"/>
      <c r="E2605" s="124"/>
      <c r="F2605" s="124"/>
      <c r="G2605" s="124"/>
      <c r="H2605" s="124"/>
      <c r="I2605" s="124"/>
      <c r="J2605" s="124"/>
      <c r="K2605" s="124"/>
      <c r="L2605" s="124"/>
      <c r="M2605" s="124"/>
      <c r="N2605" s="124"/>
      <c r="O2605" s="124"/>
      <c r="P2605" s="124"/>
      <c r="Q2605" s="124"/>
      <c r="R2605" s="124"/>
      <c r="S2605" s="124"/>
      <c r="T2605" s="124"/>
      <c r="U2605" s="124"/>
      <c r="V2605" s="124"/>
      <c r="W2605" s="124"/>
      <c r="X2605" s="124"/>
      <c r="Y2605" s="124"/>
    </row>
    <row r="2606" spans="2:25" x14ac:dyDescent="0.25">
      <c r="B2606" s="124"/>
      <c r="C2606" s="124"/>
      <c r="D2606" s="124"/>
      <c r="E2606" s="124"/>
      <c r="F2606" s="124"/>
      <c r="G2606" s="124"/>
      <c r="H2606" s="124"/>
      <c r="I2606" s="124"/>
      <c r="J2606" s="124"/>
      <c r="K2606" s="124"/>
      <c r="L2606" s="124"/>
      <c r="M2606" s="124"/>
      <c r="N2606" s="124"/>
      <c r="O2606" s="124"/>
      <c r="P2606" s="124"/>
      <c r="Q2606" s="124"/>
      <c r="R2606" s="124"/>
      <c r="S2606" s="124"/>
      <c r="T2606" s="124"/>
      <c r="U2606" s="124"/>
      <c r="V2606" s="124"/>
      <c r="W2606" s="124"/>
      <c r="X2606" s="124"/>
      <c r="Y2606" s="124"/>
    </row>
    <row r="2607" spans="2:25" x14ac:dyDescent="0.25">
      <c r="B2607" s="124"/>
      <c r="C2607" s="124"/>
      <c r="D2607" s="124"/>
      <c r="E2607" s="124"/>
      <c r="F2607" s="124"/>
      <c r="G2607" s="124"/>
      <c r="H2607" s="124"/>
      <c r="I2607" s="124"/>
      <c r="J2607" s="124"/>
      <c r="K2607" s="124"/>
      <c r="L2607" s="124"/>
      <c r="M2607" s="124"/>
      <c r="N2607" s="124"/>
      <c r="O2607" s="124"/>
      <c r="P2607" s="124"/>
      <c r="Q2607" s="124"/>
      <c r="R2607" s="124"/>
      <c r="S2607" s="124"/>
      <c r="T2607" s="124"/>
      <c r="U2607" s="124"/>
      <c r="V2607" s="124"/>
      <c r="W2607" s="124"/>
      <c r="X2607" s="124"/>
      <c r="Y2607" s="124"/>
    </row>
    <row r="2608" spans="2:25" x14ac:dyDescent="0.25">
      <c r="B2608" s="124"/>
      <c r="C2608" s="124"/>
      <c r="D2608" s="124"/>
      <c r="E2608" s="124"/>
      <c r="F2608" s="124"/>
      <c r="G2608" s="124"/>
      <c r="H2608" s="124"/>
      <c r="I2608" s="124"/>
      <c r="J2608" s="124"/>
      <c r="K2608" s="124"/>
      <c r="L2608" s="124"/>
      <c r="M2608" s="124"/>
      <c r="N2608" s="124"/>
      <c r="O2608" s="124"/>
      <c r="P2608" s="124"/>
      <c r="Q2608" s="124"/>
      <c r="R2608" s="124"/>
      <c r="S2608" s="124"/>
      <c r="T2608" s="124"/>
      <c r="U2608" s="124"/>
      <c r="V2608" s="124"/>
      <c r="W2608" s="124"/>
      <c r="X2608" s="124"/>
      <c r="Y2608" s="124"/>
    </row>
    <row r="2609" spans="2:25" x14ac:dyDescent="0.25">
      <c r="B2609" s="124"/>
      <c r="C2609" s="124"/>
      <c r="D2609" s="124"/>
      <c r="E2609" s="124"/>
      <c r="F2609" s="124"/>
      <c r="G2609" s="124"/>
      <c r="H2609" s="124"/>
      <c r="I2609" s="124"/>
      <c r="J2609" s="124"/>
      <c r="K2609" s="124"/>
      <c r="L2609" s="124"/>
      <c r="M2609" s="124"/>
      <c r="N2609" s="124"/>
      <c r="O2609" s="124"/>
      <c r="P2609" s="124"/>
      <c r="Q2609" s="124"/>
      <c r="R2609" s="124"/>
      <c r="S2609" s="124"/>
      <c r="T2609" s="124"/>
      <c r="U2609" s="124"/>
      <c r="V2609" s="124"/>
      <c r="W2609" s="124"/>
      <c r="X2609" s="124"/>
      <c r="Y2609" s="124"/>
    </row>
    <row r="2610" spans="2:25" x14ac:dyDescent="0.25">
      <c r="B2610" s="124"/>
      <c r="C2610" s="124"/>
      <c r="D2610" s="124"/>
      <c r="E2610" s="124"/>
      <c r="F2610" s="124"/>
      <c r="G2610" s="124"/>
      <c r="H2610" s="124"/>
      <c r="I2610" s="124"/>
      <c r="J2610" s="124"/>
      <c r="K2610" s="124"/>
      <c r="L2610" s="124"/>
      <c r="M2610" s="124"/>
      <c r="N2610" s="124"/>
      <c r="O2610" s="124"/>
      <c r="P2610" s="124"/>
      <c r="Q2610" s="124"/>
      <c r="R2610" s="124"/>
      <c r="S2610" s="124"/>
      <c r="T2610" s="124"/>
      <c r="U2610" s="124"/>
      <c r="V2610" s="124"/>
      <c r="W2610" s="124"/>
      <c r="X2610" s="124"/>
      <c r="Y2610" s="124"/>
    </row>
    <row r="2611" spans="2:25" x14ac:dyDescent="0.25">
      <c r="B2611" s="124"/>
      <c r="C2611" s="124"/>
      <c r="D2611" s="124"/>
      <c r="E2611" s="124"/>
      <c r="F2611" s="124"/>
      <c r="G2611" s="124"/>
      <c r="H2611" s="124"/>
      <c r="I2611" s="124"/>
      <c r="J2611" s="124"/>
      <c r="K2611" s="124"/>
      <c r="L2611" s="124"/>
      <c r="M2611" s="124"/>
      <c r="N2611" s="124"/>
      <c r="O2611" s="124"/>
      <c r="P2611" s="124"/>
      <c r="Q2611" s="124"/>
      <c r="R2611" s="124"/>
      <c r="S2611" s="124"/>
      <c r="T2611" s="124"/>
      <c r="U2611" s="124"/>
      <c r="V2611" s="124"/>
      <c r="W2611" s="124"/>
      <c r="X2611" s="124"/>
      <c r="Y2611" s="124"/>
    </row>
    <row r="2612" spans="2:25" x14ac:dyDescent="0.25">
      <c r="B2612" s="124"/>
      <c r="C2612" s="124"/>
      <c r="D2612" s="124"/>
      <c r="E2612" s="124"/>
      <c r="F2612" s="124"/>
      <c r="G2612" s="124"/>
      <c r="H2612" s="124"/>
      <c r="I2612" s="124"/>
      <c r="J2612" s="124"/>
      <c r="K2612" s="124"/>
      <c r="L2612" s="124"/>
      <c r="M2612" s="124"/>
      <c r="N2612" s="124"/>
      <c r="O2612" s="124"/>
      <c r="P2612" s="124"/>
      <c r="Q2612" s="124"/>
      <c r="R2612" s="124"/>
      <c r="S2612" s="124"/>
      <c r="T2612" s="124"/>
      <c r="U2612" s="124"/>
      <c r="V2612" s="124"/>
      <c r="W2612" s="124"/>
      <c r="X2612" s="124"/>
      <c r="Y2612" s="124"/>
    </row>
    <row r="2613" spans="2:25" x14ac:dyDescent="0.25">
      <c r="B2613" s="124"/>
      <c r="C2613" s="124"/>
      <c r="D2613" s="124"/>
      <c r="E2613" s="124"/>
      <c r="F2613" s="124"/>
      <c r="G2613" s="124"/>
      <c r="H2613" s="124"/>
      <c r="I2613" s="124"/>
      <c r="J2613" s="124"/>
      <c r="K2613" s="124"/>
      <c r="L2613" s="124"/>
      <c r="M2613" s="124"/>
      <c r="N2613" s="124"/>
      <c r="O2613" s="124"/>
      <c r="P2613" s="124"/>
      <c r="Q2613" s="124"/>
      <c r="R2613" s="124"/>
      <c r="S2613" s="124"/>
      <c r="T2613" s="124"/>
      <c r="U2613" s="124"/>
      <c r="V2613" s="124"/>
      <c r="W2613" s="124"/>
      <c r="X2613" s="124"/>
      <c r="Y2613" s="124"/>
    </row>
    <row r="2614" spans="2:25" x14ac:dyDescent="0.25">
      <c r="B2614" s="124"/>
      <c r="C2614" s="124"/>
      <c r="D2614" s="124"/>
      <c r="E2614" s="124"/>
      <c r="F2614" s="124"/>
      <c r="G2614" s="124"/>
      <c r="H2614" s="124"/>
      <c r="I2614" s="124"/>
      <c r="J2614" s="124"/>
      <c r="K2614" s="124"/>
      <c r="L2614" s="124"/>
      <c r="M2614" s="124"/>
      <c r="N2614" s="124"/>
      <c r="O2614" s="124"/>
      <c r="P2614" s="124"/>
      <c r="Q2614" s="124"/>
      <c r="R2614" s="124"/>
      <c r="S2614" s="124"/>
      <c r="T2614" s="124"/>
      <c r="U2614" s="124"/>
      <c r="V2614" s="124"/>
      <c r="W2614" s="124"/>
      <c r="X2614" s="124"/>
      <c r="Y2614" s="124"/>
    </row>
    <row r="2615" spans="2:25" x14ac:dyDescent="0.25">
      <c r="B2615" s="124"/>
      <c r="C2615" s="124"/>
      <c r="D2615" s="124"/>
      <c r="E2615" s="124"/>
      <c r="F2615" s="124"/>
      <c r="G2615" s="124"/>
      <c r="H2615" s="124"/>
      <c r="I2615" s="124"/>
      <c r="J2615" s="124"/>
      <c r="K2615" s="124"/>
      <c r="L2615" s="124"/>
      <c r="M2615" s="124"/>
      <c r="N2615" s="124"/>
      <c r="O2615" s="124"/>
      <c r="P2615" s="124"/>
      <c r="Q2615" s="124"/>
      <c r="R2615" s="124"/>
      <c r="S2615" s="124"/>
      <c r="T2615" s="124"/>
      <c r="U2615" s="124"/>
      <c r="V2615" s="124"/>
      <c r="W2615" s="124"/>
      <c r="X2615" s="124"/>
      <c r="Y2615" s="124"/>
    </row>
    <row r="2616" spans="2:25" x14ac:dyDescent="0.25">
      <c r="B2616" s="124"/>
      <c r="C2616" s="124"/>
      <c r="D2616" s="124"/>
      <c r="E2616" s="124"/>
      <c r="F2616" s="124"/>
      <c r="G2616" s="124"/>
      <c r="H2616" s="124"/>
      <c r="I2616" s="124"/>
      <c r="J2616" s="124"/>
      <c r="K2616" s="124"/>
      <c r="L2616" s="124"/>
      <c r="M2616" s="124"/>
      <c r="N2616" s="124"/>
      <c r="O2616" s="124"/>
      <c r="P2616" s="124"/>
      <c r="Q2616" s="124"/>
      <c r="R2616" s="124"/>
      <c r="S2616" s="124"/>
      <c r="T2616" s="124"/>
      <c r="U2616" s="124"/>
      <c r="V2616" s="124"/>
      <c r="W2616" s="124"/>
      <c r="X2616" s="124"/>
      <c r="Y2616" s="124"/>
    </row>
    <row r="2617" spans="2:25" x14ac:dyDescent="0.25">
      <c r="B2617" s="124"/>
      <c r="C2617" s="124"/>
      <c r="D2617" s="124"/>
      <c r="E2617" s="124"/>
      <c r="F2617" s="124"/>
      <c r="G2617" s="124"/>
      <c r="H2617" s="124"/>
      <c r="I2617" s="124"/>
      <c r="J2617" s="124"/>
      <c r="K2617" s="124"/>
      <c r="L2617" s="124"/>
      <c r="M2617" s="124"/>
      <c r="N2617" s="124"/>
      <c r="O2617" s="124"/>
      <c r="P2617" s="124"/>
      <c r="Q2617" s="124"/>
      <c r="R2617" s="124"/>
      <c r="S2617" s="124"/>
      <c r="T2617" s="124"/>
      <c r="U2617" s="124"/>
      <c r="V2617" s="124"/>
      <c r="W2617" s="124"/>
      <c r="X2617" s="124"/>
      <c r="Y2617" s="124"/>
    </row>
    <row r="2618" spans="2:25" x14ac:dyDescent="0.25">
      <c r="B2618" s="124"/>
      <c r="C2618" s="124"/>
      <c r="D2618" s="124"/>
      <c r="E2618" s="124"/>
      <c r="F2618" s="124"/>
      <c r="G2618" s="124"/>
      <c r="H2618" s="124"/>
      <c r="I2618" s="124"/>
      <c r="J2618" s="124"/>
      <c r="K2618" s="124"/>
      <c r="L2618" s="124"/>
      <c r="M2618" s="124"/>
      <c r="N2618" s="124"/>
      <c r="O2618" s="124"/>
      <c r="P2618" s="124"/>
      <c r="Q2618" s="124"/>
      <c r="R2618" s="124"/>
      <c r="S2618" s="124"/>
      <c r="T2618" s="124"/>
      <c r="U2618" s="124"/>
      <c r="V2618" s="124"/>
      <c r="W2618" s="124"/>
      <c r="X2618" s="124"/>
      <c r="Y2618" s="124"/>
    </row>
    <row r="2619" spans="2:25" x14ac:dyDescent="0.25">
      <c r="B2619" s="124"/>
      <c r="C2619" s="124"/>
      <c r="D2619" s="124"/>
      <c r="E2619" s="124"/>
      <c r="F2619" s="124"/>
      <c r="G2619" s="124"/>
      <c r="H2619" s="124"/>
      <c r="I2619" s="124"/>
      <c r="J2619" s="124"/>
      <c r="K2619" s="124"/>
      <c r="L2619" s="124"/>
      <c r="M2619" s="124"/>
      <c r="N2619" s="124"/>
      <c r="O2619" s="124"/>
      <c r="P2619" s="124"/>
      <c r="Q2619" s="124"/>
      <c r="R2619" s="124"/>
      <c r="S2619" s="124"/>
      <c r="T2619" s="124"/>
      <c r="U2619" s="124"/>
      <c r="V2619" s="124"/>
      <c r="W2619" s="124"/>
      <c r="X2619" s="124"/>
      <c r="Y2619" s="124"/>
    </row>
    <row r="2620" spans="2:25" x14ac:dyDescent="0.25">
      <c r="B2620" s="124"/>
      <c r="C2620" s="124"/>
      <c r="D2620" s="124"/>
      <c r="E2620" s="124"/>
      <c r="F2620" s="124"/>
      <c r="G2620" s="124"/>
      <c r="H2620" s="124"/>
      <c r="I2620" s="124"/>
      <c r="J2620" s="124"/>
      <c r="K2620" s="124"/>
      <c r="L2620" s="124"/>
      <c r="M2620" s="124"/>
      <c r="N2620" s="124"/>
      <c r="O2620" s="124"/>
      <c r="P2620" s="124"/>
      <c r="Q2620" s="124"/>
      <c r="R2620" s="124"/>
      <c r="S2620" s="124"/>
      <c r="T2620" s="124"/>
      <c r="U2620" s="124"/>
      <c r="V2620" s="124"/>
      <c r="W2620" s="124"/>
      <c r="X2620" s="124"/>
      <c r="Y2620" s="124"/>
    </row>
    <row r="2621" spans="2:25" x14ac:dyDescent="0.25">
      <c r="B2621" s="124"/>
      <c r="C2621" s="124"/>
      <c r="D2621" s="124"/>
      <c r="E2621" s="124"/>
      <c r="F2621" s="124"/>
      <c r="G2621" s="124"/>
      <c r="H2621" s="124"/>
      <c r="I2621" s="124"/>
      <c r="J2621" s="124"/>
      <c r="K2621" s="124"/>
      <c r="L2621" s="124"/>
      <c r="M2621" s="124"/>
      <c r="N2621" s="124"/>
      <c r="O2621" s="124"/>
      <c r="P2621" s="124"/>
      <c r="Q2621" s="124"/>
      <c r="R2621" s="124"/>
      <c r="S2621" s="124"/>
      <c r="T2621" s="124"/>
      <c r="U2621" s="124"/>
      <c r="V2621" s="124"/>
      <c r="W2621" s="124"/>
      <c r="X2621" s="124"/>
      <c r="Y2621" s="124"/>
    </row>
    <row r="2622" spans="2:25" x14ac:dyDescent="0.25">
      <c r="B2622" s="124"/>
      <c r="C2622" s="124"/>
      <c r="D2622" s="124"/>
      <c r="E2622" s="124"/>
      <c r="F2622" s="124"/>
      <c r="G2622" s="124"/>
      <c r="H2622" s="124"/>
      <c r="I2622" s="124"/>
      <c r="J2622" s="124"/>
      <c r="K2622" s="124"/>
      <c r="L2622" s="124"/>
      <c r="M2622" s="124"/>
      <c r="N2622" s="124"/>
      <c r="O2622" s="124"/>
      <c r="P2622" s="124"/>
      <c r="Q2622" s="124"/>
      <c r="R2622" s="124"/>
      <c r="S2622" s="124"/>
      <c r="T2622" s="124"/>
      <c r="U2622" s="124"/>
      <c r="V2622" s="124"/>
      <c r="W2622" s="124"/>
      <c r="X2622" s="124"/>
      <c r="Y2622" s="124"/>
    </row>
    <row r="2623" spans="2:25" x14ac:dyDescent="0.25">
      <c r="B2623" s="124"/>
      <c r="C2623" s="124"/>
      <c r="D2623" s="124"/>
      <c r="E2623" s="124"/>
      <c r="F2623" s="124"/>
      <c r="G2623" s="124"/>
      <c r="H2623" s="124"/>
      <c r="I2623" s="124"/>
      <c r="J2623" s="124"/>
      <c r="K2623" s="124"/>
      <c r="L2623" s="124"/>
      <c r="M2623" s="124"/>
      <c r="N2623" s="124"/>
      <c r="O2623" s="124"/>
      <c r="P2623" s="124"/>
      <c r="Q2623" s="124"/>
      <c r="R2623" s="124"/>
      <c r="S2623" s="124"/>
      <c r="T2623" s="124"/>
      <c r="U2623" s="124"/>
      <c r="V2623" s="124"/>
      <c r="W2623" s="124"/>
      <c r="X2623" s="124"/>
      <c r="Y2623" s="124"/>
    </row>
    <row r="2624" spans="2:25" x14ac:dyDescent="0.25">
      <c r="B2624" s="124"/>
      <c r="C2624" s="124"/>
      <c r="D2624" s="124"/>
      <c r="E2624" s="124"/>
      <c r="F2624" s="124"/>
      <c r="G2624" s="124"/>
      <c r="H2624" s="124"/>
      <c r="I2624" s="124"/>
      <c r="J2624" s="124"/>
      <c r="K2624" s="124"/>
      <c r="L2624" s="124"/>
      <c r="M2624" s="124"/>
      <c r="N2624" s="124"/>
      <c r="O2624" s="124"/>
      <c r="P2624" s="124"/>
      <c r="Q2624" s="124"/>
      <c r="R2624" s="124"/>
      <c r="S2624" s="124"/>
      <c r="T2624" s="124"/>
      <c r="U2624" s="124"/>
      <c r="V2624" s="124"/>
      <c r="W2624" s="124"/>
      <c r="X2624" s="124"/>
      <c r="Y2624" s="124"/>
    </row>
    <row r="2625" spans="2:25" x14ac:dyDescent="0.25">
      <c r="B2625" s="124"/>
      <c r="C2625" s="124"/>
      <c r="D2625" s="124"/>
      <c r="E2625" s="124"/>
      <c r="F2625" s="124"/>
      <c r="G2625" s="124"/>
      <c r="H2625" s="124"/>
      <c r="I2625" s="124"/>
      <c r="J2625" s="124"/>
      <c r="K2625" s="124"/>
      <c r="L2625" s="124"/>
      <c r="M2625" s="124"/>
      <c r="N2625" s="124"/>
      <c r="O2625" s="124"/>
      <c r="P2625" s="124"/>
      <c r="Q2625" s="124"/>
      <c r="R2625" s="124"/>
      <c r="S2625" s="124"/>
      <c r="T2625" s="124"/>
      <c r="U2625" s="124"/>
      <c r="V2625" s="124"/>
      <c r="W2625" s="124"/>
      <c r="X2625" s="124"/>
      <c r="Y2625" s="124"/>
    </row>
    <row r="2626" spans="2:25" x14ac:dyDescent="0.25">
      <c r="B2626" s="124"/>
      <c r="C2626" s="124"/>
      <c r="D2626" s="124"/>
      <c r="E2626" s="124"/>
      <c r="F2626" s="124"/>
      <c r="G2626" s="124"/>
      <c r="H2626" s="124"/>
      <c r="I2626" s="124"/>
      <c r="J2626" s="124"/>
      <c r="K2626" s="124"/>
      <c r="L2626" s="124"/>
      <c r="M2626" s="124"/>
      <c r="N2626" s="124"/>
      <c r="O2626" s="124"/>
      <c r="P2626" s="124"/>
      <c r="Q2626" s="124"/>
      <c r="R2626" s="124"/>
      <c r="S2626" s="124"/>
      <c r="T2626" s="124"/>
      <c r="U2626" s="124"/>
      <c r="V2626" s="124"/>
      <c r="W2626" s="124"/>
      <c r="X2626" s="124"/>
      <c r="Y2626" s="124"/>
    </row>
    <row r="2627" spans="2:25" x14ac:dyDescent="0.25">
      <c r="B2627" s="124"/>
      <c r="C2627" s="124"/>
      <c r="D2627" s="124"/>
      <c r="E2627" s="124"/>
      <c r="F2627" s="124"/>
      <c r="G2627" s="124"/>
      <c r="H2627" s="124"/>
      <c r="I2627" s="124"/>
      <c r="J2627" s="124"/>
      <c r="K2627" s="124"/>
      <c r="L2627" s="124"/>
      <c r="M2627" s="124"/>
      <c r="N2627" s="124"/>
      <c r="O2627" s="124"/>
      <c r="P2627" s="124"/>
      <c r="Q2627" s="124"/>
      <c r="R2627" s="124"/>
      <c r="S2627" s="124"/>
      <c r="T2627" s="124"/>
      <c r="U2627" s="124"/>
      <c r="V2627" s="124"/>
      <c r="W2627" s="124"/>
      <c r="X2627" s="124"/>
      <c r="Y2627" s="124"/>
    </row>
    <row r="2628" spans="2:25" x14ac:dyDescent="0.25">
      <c r="B2628" s="124"/>
      <c r="C2628" s="124"/>
      <c r="D2628" s="124"/>
      <c r="E2628" s="124"/>
      <c r="F2628" s="124"/>
      <c r="G2628" s="124"/>
      <c r="H2628" s="124"/>
      <c r="I2628" s="124"/>
      <c r="J2628" s="124"/>
      <c r="K2628" s="124"/>
      <c r="L2628" s="124"/>
      <c r="M2628" s="124"/>
      <c r="N2628" s="124"/>
      <c r="O2628" s="124"/>
      <c r="P2628" s="124"/>
      <c r="Q2628" s="124"/>
      <c r="R2628" s="124"/>
      <c r="S2628" s="124"/>
      <c r="T2628" s="124"/>
      <c r="U2628" s="124"/>
      <c r="V2628" s="124"/>
      <c r="W2628" s="124"/>
      <c r="X2628" s="124"/>
      <c r="Y2628" s="124"/>
    </row>
    <row r="2629" spans="2:25" x14ac:dyDescent="0.25">
      <c r="B2629" s="124"/>
      <c r="C2629" s="124"/>
      <c r="D2629" s="124"/>
      <c r="E2629" s="124"/>
      <c r="F2629" s="124"/>
      <c r="G2629" s="124"/>
      <c r="H2629" s="124"/>
      <c r="I2629" s="124"/>
      <c r="J2629" s="124"/>
      <c r="K2629" s="124"/>
      <c r="L2629" s="124"/>
      <c r="M2629" s="124"/>
      <c r="N2629" s="124"/>
      <c r="O2629" s="124"/>
      <c r="P2629" s="124"/>
      <c r="Q2629" s="124"/>
      <c r="R2629" s="124"/>
      <c r="S2629" s="124"/>
      <c r="T2629" s="124"/>
      <c r="U2629" s="124"/>
      <c r="V2629" s="124"/>
      <c r="W2629" s="124"/>
      <c r="X2629" s="124"/>
      <c r="Y2629" s="124"/>
    </row>
    <row r="2630" spans="2:25" x14ac:dyDescent="0.25">
      <c r="B2630" s="124"/>
      <c r="C2630" s="124"/>
      <c r="D2630" s="124"/>
      <c r="E2630" s="124"/>
      <c r="F2630" s="124"/>
      <c r="G2630" s="124"/>
      <c r="H2630" s="124"/>
      <c r="I2630" s="124"/>
      <c r="J2630" s="124"/>
      <c r="K2630" s="124"/>
      <c r="L2630" s="124"/>
      <c r="M2630" s="124"/>
      <c r="N2630" s="124"/>
      <c r="O2630" s="124"/>
      <c r="P2630" s="124"/>
      <c r="Q2630" s="124"/>
      <c r="R2630" s="124"/>
      <c r="S2630" s="124"/>
      <c r="T2630" s="124"/>
      <c r="U2630" s="124"/>
      <c r="V2630" s="124"/>
      <c r="W2630" s="124"/>
      <c r="X2630" s="124"/>
      <c r="Y2630" s="124"/>
    </row>
    <row r="2631" spans="2:25" x14ac:dyDescent="0.25">
      <c r="B2631" s="124"/>
      <c r="C2631" s="124"/>
      <c r="D2631" s="124"/>
      <c r="E2631" s="124"/>
      <c r="F2631" s="124"/>
      <c r="G2631" s="124"/>
      <c r="H2631" s="124"/>
      <c r="I2631" s="124"/>
      <c r="J2631" s="124"/>
      <c r="K2631" s="124"/>
      <c r="L2631" s="124"/>
      <c r="M2631" s="124"/>
      <c r="N2631" s="124"/>
      <c r="O2631" s="124"/>
      <c r="P2631" s="124"/>
      <c r="Q2631" s="124"/>
      <c r="R2631" s="124"/>
      <c r="S2631" s="124"/>
      <c r="T2631" s="124"/>
      <c r="U2631" s="124"/>
      <c r="V2631" s="124"/>
      <c r="W2631" s="124"/>
      <c r="X2631" s="124"/>
      <c r="Y2631" s="124"/>
    </row>
    <row r="2632" spans="2:25" x14ac:dyDescent="0.25">
      <c r="B2632" s="124"/>
      <c r="C2632" s="124"/>
      <c r="D2632" s="124"/>
      <c r="E2632" s="124"/>
      <c r="F2632" s="124"/>
      <c r="G2632" s="124"/>
      <c r="H2632" s="124"/>
      <c r="I2632" s="124"/>
      <c r="J2632" s="124"/>
      <c r="K2632" s="124"/>
      <c r="L2632" s="124"/>
      <c r="M2632" s="124"/>
      <c r="N2632" s="124"/>
      <c r="O2632" s="124"/>
      <c r="P2632" s="124"/>
      <c r="Q2632" s="124"/>
      <c r="R2632" s="124"/>
      <c r="S2632" s="124"/>
      <c r="T2632" s="124"/>
      <c r="U2632" s="124"/>
      <c r="V2632" s="124"/>
      <c r="W2632" s="124"/>
      <c r="X2632" s="124"/>
      <c r="Y2632" s="124"/>
    </row>
    <row r="2633" spans="2:25" x14ac:dyDescent="0.25">
      <c r="B2633" s="124"/>
      <c r="C2633" s="124"/>
      <c r="D2633" s="124"/>
      <c r="E2633" s="124"/>
      <c r="F2633" s="124"/>
      <c r="G2633" s="124"/>
      <c r="H2633" s="124"/>
      <c r="I2633" s="124"/>
      <c r="J2633" s="124"/>
      <c r="K2633" s="124"/>
      <c r="L2633" s="124"/>
      <c r="M2633" s="124"/>
      <c r="N2633" s="124"/>
      <c r="O2633" s="124"/>
      <c r="P2633" s="124"/>
      <c r="Q2633" s="124"/>
      <c r="R2633" s="124"/>
      <c r="S2633" s="124"/>
      <c r="T2633" s="124"/>
      <c r="U2633" s="124"/>
      <c r="V2633" s="124"/>
      <c r="W2633" s="124"/>
      <c r="X2633" s="124"/>
      <c r="Y2633" s="124"/>
    </row>
    <row r="2634" spans="2:25" x14ac:dyDescent="0.25">
      <c r="B2634" s="124"/>
      <c r="C2634" s="124"/>
      <c r="D2634" s="124"/>
      <c r="E2634" s="124"/>
      <c r="F2634" s="124"/>
      <c r="G2634" s="124"/>
      <c r="H2634" s="124"/>
      <c r="I2634" s="124"/>
      <c r="J2634" s="124"/>
      <c r="K2634" s="124"/>
      <c r="L2634" s="124"/>
      <c r="M2634" s="124"/>
      <c r="N2634" s="124"/>
      <c r="O2634" s="124"/>
      <c r="P2634" s="124"/>
      <c r="Q2634" s="124"/>
      <c r="R2634" s="124"/>
      <c r="S2634" s="124"/>
      <c r="T2634" s="124"/>
      <c r="U2634" s="124"/>
      <c r="V2634" s="124"/>
      <c r="W2634" s="124"/>
      <c r="X2634" s="124"/>
      <c r="Y2634" s="124"/>
    </row>
    <row r="2635" spans="2:25" x14ac:dyDescent="0.25">
      <c r="B2635" s="124"/>
      <c r="C2635" s="124"/>
      <c r="D2635" s="124"/>
      <c r="E2635" s="124"/>
      <c r="F2635" s="124"/>
      <c r="G2635" s="124"/>
      <c r="H2635" s="124"/>
      <c r="I2635" s="124"/>
      <c r="J2635" s="124"/>
      <c r="K2635" s="124"/>
      <c r="L2635" s="124"/>
      <c r="M2635" s="124"/>
      <c r="N2635" s="124"/>
      <c r="O2635" s="124"/>
      <c r="P2635" s="124"/>
      <c r="Q2635" s="124"/>
      <c r="R2635" s="124"/>
      <c r="S2635" s="124"/>
      <c r="T2635" s="124"/>
      <c r="U2635" s="124"/>
      <c r="V2635" s="124"/>
      <c r="W2635" s="124"/>
      <c r="X2635" s="124"/>
      <c r="Y2635" s="124"/>
    </row>
    <row r="2636" spans="2:25" x14ac:dyDescent="0.25">
      <c r="B2636" s="124"/>
      <c r="C2636" s="124"/>
      <c r="D2636" s="124"/>
      <c r="E2636" s="124"/>
      <c r="F2636" s="124"/>
      <c r="G2636" s="124"/>
      <c r="H2636" s="124"/>
      <c r="I2636" s="124"/>
      <c r="J2636" s="124"/>
      <c r="K2636" s="124"/>
      <c r="L2636" s="124"/>
      <c r="M2636" s="124"/>
      <c r="N2636" s="124"/>
      <c r="O2636" s="124"/>
      <c r="P2636" s="124"/>
      <c r="Q2636" s="124"/>
      <c r="R2636" s="124"/>
      <c r="S2636" s="124"/>
      <c r="T2636" s="124"/>
      <c r="U2636" s="124"/>
      <c r="V2636" s="124"/>
      <c r="W2636" s="124"/>
      <c r="X2636" s="124"/>
      <c r="Y2636" s="124"/>
    </row>
    <row r="2637" spans="2:25" x14ac:dyDescent="0.25">
      <c r="B2637" s="124"/>
      <c r="C2637" s="124"/>
      <c r="D2637" s="124"/>
      <c r="E2637" s="124"/>
      <c r="F2637" s="124"/>
      <c r="G2637" s="124"/>
      <c r="H2637" s="124"/>
      <c r="I2637" s="124"/>
      <c r="J2637" s="124"/>
      <c r="K2637" s="124"/>
      <c r="L2637" s="124"/>
      <c r="M2637" s="124"/>
      <c r="N2637" s="124"/>
      <c r="O2637" s="124"/>
      <c r="P2637" s="124"/>
      <c r="Q2637" s="124"/>
      <c r="R2637" s="124"/>
      <c r="S2637" s="124"/>
      <c r="T2637" s="124"/>
      <c r="U2637" s="124"/>
      <c r="V2637" s="124"/>
      <c r="W2637" s="124"/>
      <c r="X2637" s="124"/>
      <c r="Y2637" s="124"/>
    </row>
    <row r="2638" spans="2:25" x14ac:dyDescent="0.25">
      <c r="B2638" s="124"/>
      <c r="C2638" s="124"/>
      <c r="D2638" s="124"/>
      <c r="E2638" s="124"/>
      <c r="F2638" s="124"/>
      <c r="G2638" s="124"/>
      <c r="H2638" s="124"/>
      <c r="I2638" s="124"/>
      <c r="J2638" s="124"/>
      <c r="K2638" s="124"/>
      <c r="L2638" s="124"/>
      <c r="M2638" s="124"/>
      <c r="N2638" s="124"/>
      <c r="O2638" s="124"/>
      <c r="P2638" s="124"/>
      <c r="Q2638" s="124"/>
      <c r="R2638" s="124"/>
      <c r="S2638" s="124"/>
      <c r="T2638" s="124"/>
      <c r="U2638" s="124"/>
      <c r="V2638" s="124"/>
      <c r="W2638" s="124"/>
      <c r="X2638" s="124"/>
      <c r="Y2638" s="124"/>
    </row>
    <row r="2639" spans="2:25" x14ac:dyDescent="0.25">
      <c r="B2639" s="124"/>
      <c r="C2639" s="124"/>
      <c r="D2639" s="124"/>
      <c r="E2639" s="124"/>
      <c r="F2639" s="124"/>
      <c r="G2639" s="124"/>
      <c r="H2639" s="124"/>
      <c r="I2639" s="124"/>
      <c r="J2639" s="124"/>
      <c r="K2639" s="124"/>
      <c r="L2639" s="124"/>
      <c r="M2639" s="124"/>
      <c r="N2639" s="124"/>
      <c r="O2639" s="124"/>
      <c r="P2639" s="124"/>
      <c r="Q2639" s="124"/>
      <c r="R2639" s="124"/>
      <c r="S2639" s="124"/>
      <c r="T2639" s="124"/>
      <c r="U2639" s="124"/>
      <c r="V2639" s="124"/>
      <c r="W2639" s="124"/>
      <c r="X2639" s="124"/>
      <c r="Y2639" s="124"/>
    </row>
    <row r="2640" spans="2:25" x14ac:dyDescent="0.25">
      <c r="B2640" s="124"/>
      <c r="C2640" s="124"/>
      <c r="D2640" s="124"/>
      <c r="E2640" s="124"/>
      <c r="F2640" s="124"/>
      <c r="G2640" s="124"/>
      <c r="H2640" s="124"/>
      <c r="I2640" s="124"/>
      <c r="J2640" s="124"/>
      <c r="K2640" s="124"/>
      <c r="L2640" s="124"/>
      <c r="M2640" s="124"/>
      <c r="N2640" s="124"/>
      <c r="O2640" s="124"/>
      <c r="P2640" s="124"/>
      <c r="Q2640" s="124"/>
      <c r="R2640" s="124"/>
      <c r="S2640" s="124"/>
      <c r="T2640" s="124"/>
      <c r="U2640" s="124"/>
      <c r="V2640" s="124"/>
      <c r="W2640" s="124"/>
      <c r="X2640" s="124"/>
      <c r="Y2640" s="124"/>
    </row>
    <row r="2641" spans="2:25" x14ac:dyDescent="0.25">
      <c r="B2641" s="124"/>
      <c r="C2641" s="124"/>
      <c r="D2641" s="124"/>
      <c r="E2641" s="124"/>
      <c r="F2641" s="124"/>
      <c r="G2641" s="124"/>
      <c r="H2641" s="124"/>
      <c r="I2641" s="124"/>
      <c r="J2641" s="124"/>
      <c r="K2641" s="124"/>
      <c r="L2641" s="124"/>
      <c r="M2641" s="124"/>
      <c r="N2641" s="124"/>
      <c r="O2641" s="124"/>
      <c r="P2641" s="124"/>
      <c r="Q2641" s="124"/>
      <c r="R2641" s="124"/>
      <c r="S2641" s="124"/>
      <c r="T2641" s="124"/>
      <c r="U2641" s="124"/>
      <c r="V2641" s="124"/>
      <c r="W2641" s="124"/>
      <c r="X2641" s="124"/>
      <c r="Y2641" s="124"/>
    </row>
    <row r="2642" spans="2:25" x14ac:dyDescent="0.25">
      <c r="B2642" s="124"/>
      <c r="C2642" s="124"/>
      <c r="D2642" s="124"/>
      <c r="E2642" s="124"/>
      <c r="F2642" s="124"/>
      <c r="G2642" s="124"/>
      <c r="H2642" s="124"/>
      <c r="I2642" s="124"/>
      <c r="J2642" s="124"/>
      <c r="K2642" s="124"/>
      <c r="L2642" s="124"/>
      <c r="M2642" s="124"/>
      <c r="N2642" s="124"/>
      <c r="O2642" s="124"/>
      <c r="P2642" s="124"/>
      <c r="Q2642" s="124"/>
      <c r="R2642" s="124"/>
      <c r="S2642" s="124"/>
      <c r="T2642" s="124"/>
      <c r="U2642" s="124"/>
      <c r="V2642" s="124"/>
      <c r="W2642" s="124"/>
      <c r="X2642" s="124"/>
      <c r="Y2642" s="124"/>
    </row>
    <row r="2643" spans="2:25" x14ac:dyDescent="0.25">
      <c r="B2643" s="124"/>
      <c r="C2643" s="124"/>
      <c r="D2643" s="124"/>
      <c r="E2643" s="124"/>
      <c r="F2643" s="124"/>
      <c r="G2643" s="124"/>
      <c r="H2643" s="124"/>
      <c r="I2643" s="124"/>
      <c r="J2643" s="124"/>
      <c r="K2643" s="124"/>
      <c r="L2643" s="124"/>
      <c r="M2643" s="124"/>
      <c r="N2643" s="124"/>
      <c r="O2643" s="124"/>
      <c r="P2643" s="124"/>
      <c r="Q2643" s="124"/>
      <c r="R2643" s="124"/>
      <c r="S2643" s="124"/>
      <c r="T2643" s="124"/>
      <c r="U2643" s="124"/>
      <c r="V2643" s="124"/>
      <c r="W2643" s="124"/>
      <c r="X2643" s="124"/>
      <c r="Y2643" s="124"/>
    </row>
    <row r="2644" spans="2:25" x14ac:dyDescent="0.25">
      <c r="B2644" s="124"/>
      <c r="C2644" s="124"/>
      <c r="D2644" s="124"/>
      <c r="E2644" s="124"/>
      <c r="F2644" s="124"/>
      <c r="G2644" s="124"/>
      <c r="H2644" s="124"/>
      <c r="I2644" s="124"/>
      <c r="J2644" s="124"/>
      <c r="K2644" s="124"/>
      <c r="L2644" s="124"/>
      <c r="M2644" s="124"/>
      <c r="N2644" s="124"/>
      <c r="O2644" s="124"/>
      <c r="P2644" s="124"/>
      <c r="Q2644" s="124"/>
      <c r="R2644" s="124"/>
      <c r="S2644" s="124"/>
      <c r="T2644" s="124"/>
      <c r="U2644" s="124"/>
      <c r="V2644" s="124"/>
      <c r="W2644" s="124"/>
      <c r="X2644" s="124"/>
      <c r="Y2644" s="124"/>
    </row>
    <row r="2645" spans="2:25" x14ac:dyDescent="0.25">
      <c r="B2645" s="124"/>
      <c r="C2645" s="124"/>
      <c r="D2645" s="124"/>
      <c r="E2645" s="124"/>
      <c r="F2645" s="124"/>
      <c r="G2645" s="124"/>
      <c r="H2645" s="124"/>
      <c r="I2645" s="124"/>
      <c r="J2645" s="124"/>
      <c r="K2645" s="124"/>
      <c r="L2645" s="124"/>
      <c r="M2645" s="124"/>
      <c r="N2645" s="124"/>
      <c r="O2645" s="124"/>
      <c r="P2645" s="124"/>
      <c r="Q2645" s="124"/>
      <c r="R2645" s="124"/>
      <c r="S2645" s="124"/>
      <c r="T2645" s="124"/>
      <c r="U2645" s="124"/>
      <c r="V2645" s="124"/>
      <c r="W2645" s="124"/>
      <c r="X2645" s="124"/>
      <c r="Y2645" s="124"/>
    </row>
    <row r="2646" spans="2:25" x14ac:dyDescent="0.25">
      <c r="B2646" s="124"/>
      <c r="C2646" s="124"/>
      <c r="D2646" s="124"/>
      <c r="E2646" s="124"/>
      <c r="F2646" s="124"/>
      <c r="G2646" s="124"/>
      <c r="H2646" s="124"/>
      <c r="I2646" s="124"/>
      <c r="J2646" s="124"/>
      <c r="K2646" s="124"/>
      <c r="L2646" s="124"/>
      <c r="M2646" s="124"/>
      <c r="N2646" s="124"/>
      <c r="O2646" s="124"/>
      <c r="P2646" s="124"/>
      <c r="Q2646" s="124"/>
      <c r="R2646" s="124"/>
      <c r="S2646" s="124"/>
      <c r="T2646" s="124"/>
      <c r="U2646" s="124"/>
      <c r="V2646" s="124"/>
      <c r="W2646" s="124"/>
      <c r="X2646" s="124"/>
      <c r="Y2646" s="124"/>
    </row>
    <row r="2647" spans="2:25" x14ac:dyDescent="0.25">
      <c r="B2647" s="124"/>
      <c r="C2647" s="124"/>
      <c r="D2647" s="124"/>
      <c r="E2647" s="124"/>
      <c r="F2647" s="124"/>
      <c r="G2647" s="124"/>
      <c r="H2647" s="124"/>
      <c r="I2647" s="124"/>
      <c r="J2647" s="124"/>
      <c r="K2647" s="124"/>
      <c r="L2647" s="124"/>
      <c r="M2647" s="124"/>
      <c r="N2647" s="124"/>
      <c r="O2647" s="124"/>
      <c r="P2647" s="124"/>
      <c r="Q2647" s="124"/>
      <c r="R2647" s="124"/>
      <c r="S2647" s="124"/>
      <c r="T2647" s="124"/>
      <c r="U2647" s="124"/>
      <c r="V2647" s="124"/>
      <c r="W2647" s="124"/>
      <c r="X2647" s="124"/>
      <c r="Y2647" s="124"/>
    </row>
    <row r="2648" spans="2:25" x14ac:dyDescent="0.25">
      <c r="B2648" s="124"/>
      <c r="C2648" s="124"/>
      <c r="D2648" s="124"/>
      <c r="E2648" s="124"/>
      <c r="F2648" s="124"/>
      <c r="G2648" s="124"/>
      <c r="H2648" s="124"/>
      <c r="I2648" s="124"/>
      <c r="J2648" s="124"/>
      <c r="K2648" s="124"/>
      <c r="L2648" s="124"/>
      <c r="M2648" s="124"/>
      <c r="N2648" s="124"/>
      <c r="O2648" s="124"/>
      <c r="P2648" s="124"/>
      <c r="Q2648" s="124"/>
      <c r="R2648" s="124"/>
      <c r="S2648" s="124"/>
      <c r="T2648" s="124"/>
      <c r="U2648" s="124"/>
      <c r="V2648" s="124"/>
      <c r="W2648" s="124"/>
      <c r="X2648" s="124"/>
      <c r="Y2648" s="124"/>
    </row>
    <row r="2649" spans="2:25" x14ac:dyDescent="0.25">
      <c r="B2649" s="124"/>
      <c r="C2649" s="124"/>
      <c r="D2649" s="124"/>
      <c r="E2649" s="124"/>
      <c r="F2649" s="124"/>
      <c r="G2649" s="124"/>
      <c r="H2649" s="124"/>
      <c r="I2649" s="124"/>
      <c r="J2649" s="124"/>
      <c r="K2649" s="124"/>
      <c r="L2649" s="124"/>
      <c r="M2649" s="124"/>
      <c r="N2649" s="124"/>
      <c r="O2649" s="124"/>
      <c r="P2649" s="124"/>
      <c r="Q2649" s="124"/>
      <c r="R2649" s="124"/>
      <c r="S2649" s="124"/>
      <c r="T2649" s="124"/>
      <c r="U2649" s="124"/>
      <c r="V2649" s="124"/>
      <c r="W2649" s="124"/>
      <c r="X2649" s="124"/>
      <c r="Y2649" s="124"/>
    </row>
    <row r="2650" spans="2:25" x14ac:dyDescent="0.25">
      <c r="B2650" s="124"/>
      <c r="C2650" s="124"/>
      <c r="D2650" s="124"/>
      <c r="E2650" s="124"/>
      <c r="F2650" s="124"/>
      <c r="G2650" s="124"/>
      <c r="H2650" s="124"/>
      <c r="I2650" s="124"/>
      <c r="J2650" s="124"/>
      <c r="K2650" s="124"/>
      <c r="L2650" s="124"/>
      <c r="M2650" s="124"/>
      <c r="N2650" s="124"/>
      <c r="O2650" s="124"/>
      <c r="P2650" s="124"/>
      <c r="Q2650" s="124"/>
      <c r="R2650" s="124"/>
      <c r="S2650" s="124"/>
      <c r="T2650" s="124"/>
      <c r="U2650" s="124"/>
      <c r="V2650" s="124"/>
      <c r="W2650" s="124"/>
      <c r="X2650" s="124"/>
      <c r="Y2650" s="124"/>
    </row>
    <row r="2651" spans="2:25" x14ac:dyDescent="0.25">
      <c r="B2651" s="124"/>
      <c r="C2651" s="124"/>
      <c r="D2651" s="124"/>
      <c r="E2651" s="124"/>
      <c r="F2651" s="124"/>
      <c r="G2651" s="124"/>
      <c r="H2651" s="124"/>
      <c r="I2651" s="124"/>
      <c r="J2651" s="124"/>
      <c r="K2651" s="124"/>
      <c r="L2651" s="124"/>
      <c r="M2651" s="124"/>
      <c r="N2651" s="124"/>
      <c r="O2651" s="124"/>
      <c r="P2651" s="124"/>
      <c r="Q2651" s="124"/>
      <c r="R2651" s="124"/>
      <c r="S2651" s="124"/>
      <c r="T2651" s="124"/>
      <c r="U2651" s="124"/>
      <c r="V2651" s="124"/>
      <c r="W2651" s="124"/>
      <c r="X2651" s="124"/>
      <c r="Y2651" s="124"/>
    </row>
    <row r="2652" spans="2:25" x14ac:dyDescent="0.25">
      <c r="B2652" s="124"/>
      <c r="C2652" s="124"/>
      <c r="D2652" s="124"/>
      <c r="E2652" s="124"/>
      <c r="F2652" s="124"/>
      <c r="G2652" s="124"/>
      <c r="H2652" s="124"/>
      <c r="I2652" s="124"/>
      <c r="J2652" s="124"/>
      <c r="K2652" s="124"/>
      <c r="L2652" s="124"/>
      <c r="M2652" s="124"/>
      <c r="N2652" s="124"/>
      <c r="O2652" s="124"/>
      <c r="P2652" s="124"/>
      <c r="Q2652" s="124"/>
      <c r="R2652" s="124"/>
      <c r="S2652" s="124"/>
      <c r="T2652" s="124"/>
      <c r="U2652" s="124"/>
      <c r="V2652" s="124"/>
      <c r="W2652" s="124"/>
      <c r="X2652" s="124"/>
      <c r="Y2652" s="124"/>
    </row>
    <row r="2653" spans="2:25" x14ac:dyDescent="0.25">
      <c r="B2653" s="124"/>
      <c r="C2653" s="124"/>
      <c r="D2653" s="124"/>
      <c r="E2653" s="124"/>
      <c r="F2653" s="124"/>
      <c r="G2653" s="124"/>
      <c r="H2653" s="124"/>
      <c r="I2653" s="124"/>
      <c r="J2653" s="124"/>
      <c r="K2653" s="124"/>
      <c r="L2653" s="124"/>
      <c r="M2653" s="124"/>
      <c r="N2653" s="124"/>
      <c r="O2653" s="124"/>
      <c r="P2653" s="124"/>
      <c r="Q2653" s="124"/>
      <c r="R2653" s="124"/>
      <c r="S2653" s="124"/>
      <c r="T2653" s="124"/>
      <c r="U2653" s="124"/>
      <c r="V2653" s="124"/>
      <c r="W2653" s="124"/>
      <c r="X2653" s="124"/>
      <c r="Y2653" s="124"/>
    </row>
    <row r="2654" spans="2:25" x14ac:dyDescent="0.25">
      <c r="B2654" s="124"/>
      <c r="C2654" s="124"/>
      <c r="D2654" s="124"/>
      <c r="E2654" s="124"/>
      <c r="F2654" s="124"/>
      <c r="G2654" s="124"/>
      <c r="H2654" s="124"/>
      <c r="I2654" s="124"/>
      <c r="J2654" s="124"/>
      <c r="K2654" s="124"/>
      <c r="L2654" s="124"/>
      <c r="M2654" s="124"/>
      <c r="N2654" s="124"/>
      <c r="O2654" s="124"/>
      <c r="P2654" s="124"/>
      <c r="Q2654" s="124"/>
      <c r="R2654" s="124"/>
      <c r="S2654" s="124"/>
      <c r="T2654" s="124"/>
      <c r="U2654" s="124"/>
      <c r="V2654" s="124"/>
      <c r="W2654" s="124"/>
      <c r="X2654" s="124"/>
      <c r="Y2654" s="124"/>
    </row>
    <row r="2655" spans="2:25" x14ac:dyDescent="0.25">
      <c r="B2655" s="124"/>
      <c r="C2655" s="124"/>
      <c r="D2655" s="124"/>
      <c r="E2655" s="124"/>
      <c r="F2655" s="124"/>
      <c r="G2655" s="124"/>
      <c r="H2655" s="124"/>
      <c r="I2655" s="124"/>
      <c r="J2655" s="124"/>
      <c r="K2655" s="124"/>
      <c r="L2655" s="124"/>
      <c r="M2655" s="124"/>
      <c r="N2655" s="124"/>
      <c r="O2655" s="124"/>
      <c r="P2655" s="124"/>
      <c r="Q2655" s="124"/>
      <c r="R2655" s="124"/>
      <c r="S2655" s="124"/>
      <c r="T2655" s="124"/>
      <c r="U2655" s="124"/>
      <c r="V2655" s="124"/>
      <c r="W2655" s="124"/>
      <c r="X2655" s="124"/>
      <c r="Y2655" s="124"/>
    </row>
    <row r="2656" spans="2:25" x14ac:dyDescent="0.25">
      <c r="B2656" s="124"/>
      <c r="C2656" s="124"/>
      <c r="D2656" s="124"/>
      <c r="E2656" s="124"/>
      <c r="F2656" s="124"/>
      <c r="G2656" s="124"/>
      <c r="H2656" s="124"/>
      <c r="I2656" s="124"/>
      <c r="J2656" s="124"/>
      <c r="K2656" s="124"/>
      <c r="L2656" s="124"/>
      <c r="M2656" s="124"/>
      <c r="N2656" s="124"/>
      <c r="O2656" s="124"/>
      <c r="P2656" s="124"/>
      <c r="Q2656" s="124"/>
      <c r="R2656" s="124"/>
      <c r="S2656" s="124"/>
      <c r="T2656" s="124"/>
      <c r="U2656" s="124"/>
      <c r="V2656" s="124"/>
      <c r="W2656" s="124"/>
      <c r="X2656" s="124"/>
      <c r="Y2656" s="124"/>
    </row>
    <row r="2657" spans="2:25" x14ac:dyDescent="0.25">
      <c r="B2657" s="124"/>
      <c r="C2657" s="124"/>
      <c r="D2657" s="124"/>
      <c r="E2657" s="124"/>
      <c r="F2657" s="124"/>
      <c r="G2657" s="124"/>
      <c r="H2657" s="124"/>
      <c r="I2657" s="124"/>
      <c r="J2657" s="124"/>
      <c r="K2657" s="124"/>
      <c r="L2657" s="124"/>
      <c r="M2657" s="124"/>
      <c r="N2657" s="124"/>
      <c r="O2657" s="124"/>
      <c r="P2657" s="124"/>
      <c r="Q2657" s="124"/>
      <c r="R2657" s="124"/>
      <c r="S2657" s="124"/>
      <c r="T2657" s="124"/>
      <c r="U2657" s="124"/>
      <c r="V2657" s="124"/>
      <c r="W2657" s="124"/>
      <c r="X2657" s="124"/>
      <c r="Y2657" s="124"/>
    </row>
    <row r="2658" spans="2:25" x14ac:dyDescent="0.25">
      <c r="B2658" s="124"/>
      <c r="C2658" s="124"/>
      <c r="D2658" s="124"/>
      <c r="E2658" s="124"/>
      <c r="F2658" s="124"/>
      <c r="G2658" s="124"/>
      <c r="H2658" s="124"/>
      <c r="I2658" s="124"/>
      <c r="J2658" s="124"/>
      <c r="K2658" s="124"/>
      <c r="L2658" s="124"/>
      <c r="M2658" s="124"/>
      <c r="N2658" s="124"/>
      <c r="O2658" s="124"/>
      <c r="P2658" s="124"/>
      <c r="Q2658" s="124"/>
      <c r="R2658" s="124"/>
      <c r="S2658" s="124"/>
      <c r="T2658" s="124"/>
      <c r="U2658" s="124"/>
      <c r="V2658" s="124"/>
      <c r="W2658" s="124"/>
      <c r="X2658" s="124"/>
      <c r="Y2658" s="124"/>
    </row>
    <row r="2659" spans="2:25" x14ac:dyDescent="0.25">
      <c r="B2659" s="124"/>
      <c r="C2659" s="124"/>
      <c r="D2659" s="124"/>
      <c r="E2659" s="124"/>
      <c r="F2659" s="124"/>
      <c r="G2659" s="124"/>
      <c r="H2659" s="124"/>
      <c r="I2659" s="124"/>
      <c r="J2659" s="124"/>
      <c r="K2659" s="124"/>
      <c r="L2659" s="124"/>
      <c r="M2659" s="124"/>
      <c r="N2659" s="124"/>
      <c r="O2659" s="124"/>
      <c r="P2659" s="124"/>
      <c r="Q2659" s="124"/>
      <c r="R2659" s="124"/>
      <c r="S2659" s="124"/>
      <c r="T2659" s="124"/>
      <c r="U2659" s="124"/>
      <c r="V2659" s="124"/>
      <c r="W2659" s="124"/>
      <c r="X2659" s="124"/>
      <c r="Y2659" s="124"/>
    </row>
    <row r="2660" spans="2:25" x14ac:dyDescent="0.25">
      <c r="B2660" s="124"/>
      <c r="C2660" s="124"/>
      <c r="D2660" s="124"/>
      <c r="E2660" s="124"/>
      <c r="F2660" s="124"/>
      <c r="G2660" s="124"/>
      <c r="H2660" s="124"/>
      <c r="I2660" s="124"/>
      <c r="J2660" s="124"/>
      <c r="K2660" s="124"/>
      <c r="L2660" s="124"/>
      <c r="M2660" s="124"/>
      <c r="N2660" s="124"/>
      <c r="O2660" s="124"/>
      <c r="P2660" s="124"/>
      <c r="Q2660" s="124"/>
      <c r="R2660" s="124"/>
      <c r="S2660" s="124"/>
      <c r="T2660" s="124"/>
      <c r="U2660" s="124"/>
      <c r="V2660" s="124"/>
      <c r="W2660" s="124"/>
      <c r="X2660" s="124"/>
      <c r="Y2660" s="124"/>
    </row>
    <row r="2661" spans="2:25" x14ac:dyDescent="0.25">
      <c r="B2661" s="124"/>
      <c r="C2661" s="124"/>
      <c r="D2661" s="124"/>
      <c r="E2661" s="124"/>
      <c r="F2661" s="124"/>
      <c r="G2661" s="124"/>
      <c r="H2661" s="124"/>
      <c r="I2661" s="124"/>
      <c r="J2661" s="124"/>
      <c r="K2661" s="124"/>
      <c r="L2661" s="124"/>
      <c r="M2661" s="124"/>
      <c r="N2661" s="124"/>
      <c r="O2661" s="124"/>
      <c r="P2661" s="124"/>
      <c r="Q2661" s="124"/>
      <c r="R2661" s="124"/>
      <c r="S2661" s="124"/>
      <c r="T2661" s="124"/>
      <c r="U2661" s="124"/>
      <c r="V2661" s="124"/>
      <c r="W2661" s="124"/>
      <c r="X2661" s="124"/>
      <c r="Y2661" s="124"/>
    </row>
    <row r="2662" spans="2:25" x14ac:dyDescent="0.25">
      <c r="B2662" s="124"/>
      <c r="C2662" s="124"/>
      <c r="D2662" s="124"/>
      <c r="E2662" s="124"/>
      <c r="F2662" s="124"/>
      <c r="G2662" s="124"/>
      <c r="H2662" s="124"/>
      <c r="I2662" s="124"/>
      <c r="J2662" s="124"/>
      <c r="K2662" s="124"/>
      <c r="L2662" s="124"/>
      <c r="M2662" s="124"/>
      <c r="N2662" s="124"/>
      <c r="O2662" s="124"/>
      <c r="P2662" s="124"/>
      <c r="Q2662" s="124"/>
      <c r="R2662" s="124"/>
      <c r="S2662" s="124"/>
      <c r="T2662" s="124"/>
      <c r="U2662" s="124"/>
      <c r="V2662" s="124"/>
      <c r="W2662" s="124"/>
      <c r="X2662" s="124"/>
      <c r="Y2662" s="124"/>
    </row>
    <row r="2663" spans="2:25" x14ac:dyDescent="0.25">
      <c r="B2663" s="124"/>
      <c r="C2663" s="124"/>
      <c r="D2663" s="124"/>
      <c r="E2663" s="124"/>
      <c r="F2663" s="124"/>
      <c r="G2663" s="124"/>
      <c r="H2663" s="124"/>
      <c r="I2663" s="124"/>
      <c r="J2663" s="124"/>
      <c r="K2663" s="124"/>
      <c r="L2663" s="124"/>
      <c r="M2663" s="124"/>
      <c r="N2663" s="124"/>
      <c r="O2663" s="124"/>
      <c r="P2663" s="124"/>
      <c r="Q2663" s="124"/>
      <c r="R2663" s="124"/>
      <c r="S2663" s="124"/>
      <c r="T2663" s="124"/>
      <c r="U2663" s="124"/>
      <c r="V2663" s="124"/>
      <c r="W2663" s="124"/>
      <c r="X2663" s="124"/>
      <c r="Y2663" s="124"/>
    </row>
    <row r="2664" spans="2:25" x14ac:dyDescent="0.25">
      <c r="B2664" s="124"/>
      <c r="C2664" s="124"/>
      <c r="D2664" s="124"/>
      <c r="E2664" s="124"/>
      <c r="F2664" s="124"/>
      <c r="G2664" s="124"/>
      <c r="H2664" s="124"/>
      <c r="I2664" s="124"/>
      <c r="J2664" s="124"/>
      <c r="K2664" s="124"/>
      <c r="L2664" s="124"/>
      <c r="M2664" s="124"/>
      <c r="N2664" s="124"/>
      <c r="O2664" s="124"/>
      <c r="P2664" s="124"/>
      <c r="Q2664" s="124"/>
      <c r="R2664" s="124"/>
      <c r="S2664" s="124"/>
      <c r="T2664" s="124"/>
      <c r="U2664" s="124"/>
      <c r="V2664" s="124"/>
      <c r="W2664" s="124"/>
      <c r="X2664" s="124"/>
      <c r="Y2664" s="124"/>
    </row>
    <row r="2665" spans="2:25" x14ac:dyDescent="0.25">
      <c r="B2665" s="124"/>
      <c r="C2665" s="124"/>
      <c r="D2665" s="124"/>
      <c r="E2665" s="124"/>
      <c r="F2665" s="124"/>
      <c r="G2665" s="124"/>
      <c r="H2665" s="124"/>
      <c r="I2665" s="124"/>
      <c r="J2665" s="124"/>
      <c r="K2665" s="124"/>
      <c r="L2665" s="124"/>
      <c r="M2665" s="124"/>
      <c r="N2665" s="124"/>
      <c r="O2665" s="124"/>
      <c r="P2665" s="124"/>
      <c r="Q2665" s="124"/>
      <c r="R2665" s="124"/>
      <c r="S2665" s="124"/>
      <c r="T2665" s="124"/>
      <c r="U2665" s="124"/>
      <c r="V2665" s="124"/>
      <c r="W2665" s="124"/>
      <c r="X2665" s="124"/>
      <c r="Y2665" s="124"/>
    </row>
    <row r="2666" spans="2:25" x14ac:dyDescent="0.25">
      <c r="B2666" s="124"/>
      <c r="C2666" s="124"/>
      <c r="D2666" s="124"/>
      <c r="E2666" s="124"/>
      <c r="F2666" s="124"/>
      <c r="G2666" s="124"/>
      <c r="H2666" s="124"/>
      <c r="I2666" s="124"/>
      <c r="J2666" s="124"/>
      <c r="K2666" s="124"/>
      <c r="L2666" s="124"/>
      <c r="M2666" s="124"/>
      <c r="N2666" s="124"/>
      <c r="O2666" s="124"/>
      <c r="P2666" s="124"/>
      <c r="Q2666" s="124"/>
      <c r="R2666" s="124"/>
      <c r="S2666" s="124"/>
      <c r="T2666" s="124"/>
      <c r="U2666" s="124"/>
      <c r="V2666" s="124"/>
      <c r="W2666" s="124"/>
      <c r="X2666" s="124"/>
      <c r="Y2666" s="124"/>
    </row>
    <row r="2667" spans="2:25" x14ac:dyDescent="0.25">
      <c r="B2667" s="124"/>
      <c r="C2667" s="124"/>
      <c r="D2667" s="124"/>
      <c r="E2667" s="124"/>
      <c r="F2667" s="124"/>
      <c r="G2667" s="124"/>
      <c r="H2667" s="124"/>
      <c r="I2667" s="124"/>
      <c r="J2667" s="124"/>
      <c r="K2667" s="124"/>
      <c r="L2667" s="124"/>
      <c r="M2667" s="124"/>
      <c r="N2667" s="124"/>
      <c r="O2667" s="124"/>
      <c r="P2667" s="124"/>
      <c r="Q2667" s="124"/>
      <c r="R2667" s="124"/>
      <c r="S2667" s="124"/>
      <c r="T2667" s="124"/>
      <c r="U2667" s="124"/>
      <c r="V2667" s="124"/>
      <c r="W2667" s="124"/>
      <c r="X2667" s="124"/>
      <c r="Y2667" s="124"/>
    </row>
    <row r="2668" spans="2:25" x14ac:dyDescent="0.25">
      <c r="B2668" s="124"/>
      <c r="C2668" s="124"/>
      <c r="D2668" s="124"/>
      <c r="E2668" s="124"/>
      <c r="F2668" s="124"/>
      <c r="G2668" s="124"/>
      <c r="H2668" s="124"/>
      <c r="I2668" s="124"/>
      <c r="J2668" s="124"/>
      <c r="K2668" s="124"/>
      <c r="L2668" s="124"/>
      <c r="M2668" s="124"/>
      <c r="N2668" s="124"/>
      <c r="O2668" s="124"/>
      <c r="P2668" s="124"/>
      <c r="Q2668" s="124"/>
      <c r="R2668" s="124"/>
      <c r="S2668" s="124"/>
      <c r="T2668" s="124"/>
      <c r="U2668" s="124"/>
      <c r="V2668" s="124"/>
      <c r="W2668" s="124"/>
      <c r="X2668" s="124"/>
      <c r="Y2668" s="124"/>
    </row>
    <row r="2669" spans="2:25" x14ac:dyDescent="0.25">
      <c r="B2669" s="124"/>
      <c r="C2669" s="124"/>
      <c r="D2669" s="124"/>
      <c r="E2669" s="124"/>
      <c r="F2669" s="124"/>
      <c r="G2669" s="124"/>
      <c r="H2669" s="124"/>
      <c r="I2669" s="124"/>
      <c r="J2669" s="124"/>
      <c r="K2669" s="124"/>
      <c r="L2669" s="124"/>
      <c r="M2669" s="124"/>
      <c r="N2669" s="124"/>
      <c r="O2669" s="124"/>
      <c r="P2669" s="124"/>
      <c r="Q2669" s="124"/>
      <c r="R2669" s="124"/>
      <c r="S2669" s="124"/>
      <c r="T2669" s="124"/>
      <c r="U2669" s="124"/>
      <c r="V2669" s="124"/>
      <c r="W2669" s="124"/>
      <c r="X2669" s="124"/>
      <c r="Y2669" s="124"/>
    </row>
    <row r="2670" spans="2:25" x14ac:dyDescent="0.25">
      <c r="B2670" s="124"/>
      <c r="C2670" s="124"/>
      <c r="D2670" s="124"/>
      <c r="E2670" s="124"/>
      <c r="F2670" s="124"/>
      <c r="G2670" s="124"/>
      <c r="H2670" s="124"/>
      <c r="I2670" s="124"/>
      <c r="J2670" s="124"/>
      <c r="K2670" s="124"/>
      <c r="L2670" s="124"/>
      <c r="M2670" s="124"/>
      <c r="N2670" s="124"/>
      <c r="O2670" s="124"/>
      <c r="P2670" s="124"/>
      <c r="Q2670" s="124"/>
      <c r="R2670" s="124"/>
      <c r="S2670" s="124"/>
      <c r="T2670" s="124"/>
      <c r="U2670" s="124"/>
      <c r="V2670" s="124"/>
      <c r="W2670" s="124"/>
      <c r="X2670" s="124"/>
      <c r="Y2670" s="124"/>
    </row>
    <row r="2671" spans="2:25" x14ac:dyDescent="0.25">
      <c r="B2671" s="124"/>
      <c r="C2671" s="124"/>
      <c r="D2671" s="124"/>
      <c r="E2671" s="124"/>
      <c r="F2671" s="124"/>
      <c r="G2671" s="124"/>
      <c r="H2671" s="124"/>
      <c r="I2671" s="124"/>
      <c r="J2671" s="124"/>
      <c r="K2671" s="124"/>
      <c r="L2671" s="124"/>
      <c r="M2671" s="124"/>
      <c r="N2671" s="124"/>
      <c r="O2671" s="124"/>
      <c r="P2671" s="124"/>
      <c r="Q2671" s="124"/>
      <c r="R2671" s="124"/>
      <c r="S2671" s="124"/>
      <c r="T2671" s="124"/>
      <c r="U2671" s="124"/>
      <c r="V2671" s="124"/>
      <c r="W2671" s="124"/>
      <c r="X2671" s="124"/>
      <c r="Y2671" s="124"/>
    </row>
    <row r="2672" spans="2:25" x14ac:dyDescent="0.25">
      <c r="B2672" s="124"/>
      <c r="C2672" s="124"/>
      <c r="D2672" s="124"/>
      <c r="E2672" s="124"/>
      <c r="F2672" s="124"/>
      <c r="G2672" s="124"/>
      <c r="H2672" s="124"/>
      <c r="I2672" s="124"/>
      <c r="J2672" s="124"/>
      <c r="K2672" s="124"/>
      <c r="L2672" s="124"/>
      <c r="M2672" s="124"/>
      <c r="N2672" s="124"/>
      <c r="O2672" s="124"/>
      <c r="P2672" s="124"/>
      <c r="Q2672" s="124"/>
      <c r="R2672" s="124"/>
      <c r="S2672" s="124"/>
      <c r="T2672" s="124"/>
      <c r="U2672" s="124"/>
      <c r="V2672" s="124"/>
      <c r="W2672" s="124"/>
      <c r="X2672" s="124"/>
      <c r="Y2672" s="124"/>
    </row>
    <row r="2673" spans="2:25" x14ac:dyDescent="0.25">
      <c r="B2673" s="124"/>
      <c r="C2673" s="124"/>
      <c r="D2673" s="124"/>
      <c r="E2673" s="124"/>
      <c r="F2673" s="124"/>
      <c r="G2673" s="124"/>
      <c r="H2673" s="124"/>
      <c r="I2673" s="124"/>
      <c r="J2673" s="124"/>
      <c r="K2673" s="124"/>
      <c r="L2673" s="124"/>
      <c r="M2673" s="124"/>
      <c r="N2673" s="124"/>
      <c r="O2673" s="124"/>
      <c r="P2673" s="124"/>
      <c r="Q2673" s="124"/>
      <c r="R2673" s="124"/>
      <c r="S2673" s="124"/>
      <c r="T2673" s="124"/>
      <c r="U2673" s="124"/>
      <c r="V2673" s="124"/>
      <c r="W2673" s="124"/>
      <c r="X2673" s="124"/>
      <c r="Y2673" s="124"/>
    </row>
    <row r="2674" spans="2:25" x14ac:dyDescent="0.25">
      <c r="B2674" s="124"/>
      <c r="C2674" s="124"/>
      <c r="D2674" s="124"/>
      <c r="E2674" s="124"/>
      <c r="F2674" s="124"/>
      <c r="G2674" s="124"/>
      <c r="H2674" s="124"/>
      <c r="I2674" s="124"/>
      <c r="J2674" s="124"/>
      <c r="K2674" s="124"/>
      <c r="L2674" s="124"/>
      <c r="M2674" s="124"/>
      <c r="N2674" s="124"/>
      <c r="O2674" s="124"/>
      <c r="P2674" s="124"/>
      <c r="Q2674" s="124"/>
      <c r="R2674" s="124"/>
      <c r="S2674" s="124"/>
      <c r="T2674" s="124"/>
      <c r="U2674" s="124"/>
      <c r="V2674" s="124"/>
      <c r="W2674" s="124"/>
      <c r="X2674" s="124"/>
      <c r="Y2674" s="124"/>
    </row>
    <row r="2675" spans="2:25" x14ac:dyDescent="0.25">
      <c r="B2675" s="124"/>
      <c r="C2675" s="124"/>
      <c r="D2675" s="124"/>
      <c r="E2675" s="124"/>
      <c r="F2675" s="124"/>
      <c r="G2675" s="124"/>
      <c r="H2675" s="124"/>
      <c r="I2675" s="124"/>
      <c r="J2675" s="124"/>
      <c r="K2675" s="124"/>
      <c r="L2675" s="124"/>
      <c r="M2675" s="124"/>
      <c r="N2675" s="124"/>
      <c r="O2675" s="124"/>
      <c r="P2675" s="124"/>
      <c r="Q2675" s="124"/>
      <c r="R2675" s="124"/>
      <c r="S2675" s="124"/>
      <c r="T2675" s="124"/>
      <c r="U2675" s="124"/>
      <c r="V2675" s="124"/>
      <c r="W2675" s="124"/>
      <c r="X2675" s="124"/>
      <c r="Y2675" s="124"/>
    </row>
    <row r="2676" spans="2:25" x14ac:dyDescent="0.25">
      <c r="B2676" s="124"/>
      <c r="C2676" s="124"/>
      <c r="D2676" s="124"/>
      <c r="E2676" s="124"/>
      <c r="F2676" s="124"/>
      <c r="G2676" s="124"/>
      <c r="H2676" s="124"/>
      <c r="I2676" s="124"/>
      <c r="J2676" s="124"/>
      <c r="K2676" s="124"/>
      <c r="L2676" s="124"/>
      <c r="M2676" s="124"/>
      <c r="N2676" s="124"/>
      <c r="O2676" s="124"/>
      <c r="P2676" s="124"/>
      <c r="Q2676" s="124"/>
      <c r="R2676" s="124"/>
      <c r="S2676" s="124"/>
      <c r="T2676" s="124"/>
      <c r="U2676" s="124"/>
      <c r="V2676" s="124"/>
      <c r="W2676" s="124"/>
      <c r="X2676" s="124"/>
      <c r="Y2676" s="124"/>
    </row>
    <row r="2677" spans="2:25" x14ac:dyDescent="0.25">
      <c r="B2677" s="124"/>
      <c r="C2677" s="124"/>
      <c r="D2677" s="124"/>
      <c r="E2677" s="124"/>
      <c r="F2677" s="124"/>
      <c r="G2677" s="124"/>
      <c r="H2677" s="124"/>
      <c r="I2677" s="124"/>
      <c r="J2677" s="124"/>
      <c r="K2677" s="124"/>
      <c r="L2677" s="124"/>
      <c r="M2677" s="124"/>
      <c r="N2677" s="124"/>
      <c r="O2677" s="124"/>
      <c r="P2677" s="124"/>
      <c r="Q2677" s="124"/>
      <c r="R2677" s="124"/>
      <c r="S2677" s="124"/>
      <c r="T2677" s="124"/>
      <c r="U2677" s="124"/>
      <c r="V2677" s="124"/>
      <c r="W2677" s="124"/>
      <c r="X2677" s="124"/>
      <c r="Y2677" s="124"/>
    </row>
    <row r="2678" spans="2:25" x14ac:dyDescent="0.25">
      <c r="B2678" s="124"/>
      <c r="C2678" s="124"/>
      <c r="D2678" s="124"/>
      <c r="E2678" s="124"/>
      <c r="F2678" s="124"/>
      <c r="G2678" s="124"/>
      <c r="H2678" s="124"/>
      <c r="I2678" s="124"/>
      <c r="J2678" s="124"/>
      <c r="K2678" s="124"/>
      <c r="L2678" s="124"/>
      <c r="M2678" s="124"/>
      <c r="N2678" s="124"/>
      <c r="O2678" s="124"/>
      <c r="P2678" s="124"/>
      <c r="Q2678" s="124"/>
      <c r="R2678" s="124"/>
      <c r="S2678" s="124"/>
      <c r="T2678" s="124"/>
      <c r="U2678" s="124"/>
      <c r="V2678" s="124"/>
      <c r="W2678" s="124"/>
      <c r="X2678" s="124"/>
      <c r="Y2678" s="124"/>
    </row>
    <row r="2679" spans="2:25" x14ac:dyDescent="0.25">
      <c r="B2679" s="124"/>
      <c r="C2679" s="124"/>
      <c r="D2679" s="124"/>
      <c r="E2679" s="124"/>
      <c r="F2679" s="124"/>
      <c r="G2679" s="124"/>
      <c r="H2679" s="124"/>
      <c r="I2679" s="124"/>
      <c r="J2679" s="124"/>
      <c r="K2679" s="124"/>
      <c r="L2679" s="124"/>
      <c r="M2679" s="124"/>
      <c r="N2679" s="124"/>
      <c r="O2679" s="124"/>
      <c r="P2679" s="124"/>
      <c r="Q2679" s="124"/>
      <c r="R2679" s="124"/>
      <c r="S2679" s="124"/>
      <c r="T2679" s="124"/>
      <c r="U2679" s="124"/>
      <c r="V2679" s="124"/>
      <c r="W2679" s="124"/>
      <c r="X2679" s="124"/>
      <c r="Y2679" s="124"/>
    </row>
    <row r="2680" spans="2:25" x14ac:dyDescent="0.25">
      <c r="B2680" s="124"/>
      <c r="C2680" s="124"/>
      <c r="D2680" s="124"/>
      <c r="E2680" s="124"/>
      <c r="F2680" s="124"/>
      <c r="G2680" s="124"/>
      <c r="H2680" s="124"/>
      <c r="I2680" s="124"/>
      <c r="J2680" s="124"/>
      <c r="K2680" s="124"/>
      <c r="L2680" s="124"/>
      <c r="M2680" s="124"/>
      <c r="N2680" s="124"/>
      <c r="O2680" s="124"/>
      <c r="P2680" s="124"/>
      <c r="Q2680" s="124"/>
      <c r="R2680" s="124"/>
      <c r="S2680" s="124"/>
      <c r="T2680" s="124"/>
      <c r="U2680" s="124"/>
      <c r="V2680" s="124"/>
      <c r="W2680" s="124"/>
      <c r="X2680" s="124"/>
      <c r="Y2680" s="124"/>
    </row>
    <row r="2681" spans="2:25" x14ac:dyDescent="0.25">
      <c r="B2681" s="124"/>
      <c r="C2681" s="124"/>
      <c r="D2681" s="124"/>
      <c r="E2681" s="124"/>
      <c r="F2681" s="124"/>
      <c r="G2681" s="124"/>
      <c r="H2681" s="124"/>
      <c r="I2681" s="124"/>
      <c r="J2681" s="124"/>
      <c r="K2681" s="124"/>
      <c r="L2681" s="124"/>
      <c r="M2681" s="124"/>
      <c r="N2681" s="124"/>
      <c r="O2681" s="124"/>
      <c r="P2681" s="124"/>
      <c r="Q2681" s="124"/>
      <c r="R2681" s="124"/>
      <c r="S2681" s="124"/>
      <c r="T2681" s="124"/>
      <c r="U2681" s="124"/>
      <c r="V2681" s="124"/>
      <c r="W2681" s="124"/>
      <c r="X2681" s="124"/>
      <c r="Y2681" s="124"/>
    </row>
    <row r="2682" spans="2:25" x14ac:dyDescent="0.25">
      <c r="B2682" s="124"/>
      <c r="C2682" s="124"/>
      <c r="D2682" s="124"/>
      <c r="E2682" s="124"/>
      <c r="F2682" s="124"/>
      <c r="G2682" s="124"/>
      <c r="H2682" s="124"/>
      <c r="I2682" s="124"/>
      <c r="J2682" s="124"/>
      <c r="K2682" s="124"/>
      <c r="L2682" s="124"/>
      <c r="M2682" s="124"/>
      <c r="N2682" s="124"/>
      <c r="O2682" s="124"/>
      <c r="P2682" s="124"/>
      <c r="Q2682" s="124"/>
      <c r="R2682" s="124"/>
      <c r="S2682" s="124"/>
      <c r="T2682" s="124"/>
      <c r="U2682" s="124"/>
      <c r="V2682" s="124"/>
      <c r="W2682" s="124"/>
      <c r="X2682" s="124"/>
      <c r="Y2682" s="124"/>
    </row>
    <row r="2683" spans="2:25" x14ac:dyDescent="0.25">
      <c r="B2683" s="124"/>
      <c r="C2683" s="124"/>
      <c r="D2683" s="124"/>
      <c r="E2683" s="124"/>
      <c r="F2683" s="124"/>
      <c r="G2683" s="124"/>
      <c r="H2683" s="124"/>
      <c r="I2683" s="124"/>
      <c r="J2683" s="124"/>
      <c r="K2683" s="124"/>
      <c r="L2683" s="124"/>
      <c r="M2683" s="124"/>
      <c r="N2683" s="124"/>
      <c r="O2683" s="124"/>
      <c r="P2683" s="124"/>
      <c r="Q2683" s="124"/>
      <c r="R2683" s="124"/>
      <c r="S2683" s="124"/>
      <c r="T2683" s="124"/>
      <c r="U2683" s="124"/>
      <c r="V2683" s="124"/>
      <c r="W2683" s="124"/>
      <c r="X2683" s="124"/>
      <c r="Y2683" s="124"/>
    </row>
    <row r="2684" spans="2:25" x14ac:dyDescent="0.25">
      <c r="B2684" s="124"/>
      <c r="C2684" s="124"/>
      <c r="D2684" s="124"/>
      <c r="E2684" s="124"/>
      <c r="F2684" s="124"/>
      <c r="G2684" s="124"/>
      <c r="H2684" s="124"/>
      <c r="I2684" s="124"/>
      <c r="J2684" s="124"/>
      <c r="K2684" s="124"/>
      <c r="L2684" s="124"/>
      <c r="M2684" s="124"/>
      <c r="N2684" s="124"/>
      <c r="O2684" s="124"/>
      <c r="P2684" s="124"/>
      <c r="Q2684" s="124"/>
      <c r="R2684" s="124"/>
      <c r="S2684" s="124"/>
      <c r="T2684" s="124"/>
      <c r="U2684" s="124"/>
      <c r="V2684" s="124"/>
      <c r="W2684" s="124"/>
      <c r="X2684" s="124"/>
      <c r="Y2684" s="124"/>
    </row>
    <row r="2685" spans="2:25" x14ac:dyDescent="0.25">
      <c r="B2685" s="124"/>
      <c r="C2685" s="124"/>
      <c r="D2685" s="124"/>
      <c r="E2685" s="124"/>
      <c r="F2685" s="124"/>
      <c r="G2685" s="124"/>
      <c r="H2685" s="124"/>
      <c r="I2685" s="124"/>
      <c r="J2685" s="124"/>
      <c r="K2685" s="124"/>
      <c r="L2685" s="124"/>
      <c r="M2685" s="124"/>
      <c r="N2685" s="124"/>
      <c r="O2685" s="124"/>
      <c r="P2685" s="124"/>
      <c r="Q2685" s="124"/>
      <c r="R2685" s="124"/>
      <c r="S2685" s="124"/>
      <c r="T2685" s="124"/>
      <c r="U2685" s="124"/>
      <c r="V2685" s="124"/>
      <c r="W2685" s="124"/>
      <c r="X2685" s="124"/>
      <c r="Y2685" s="124"/>
    </row>
    <row r="2686" spans="2:25" x14ac:dyDescent="0.25">
      <c r="B2686" s="124"/>
      <c r="C2686" s="124"/>
      <c r="D2686" s="124"/>
      <c r="E2686" s="124"/>
      <c r="F2686" s="124"/>
      <c r="G2686" s="124"/>
      <c r="H2686" s="124"/>
      <c r="I2686" s="124"/>
      <c r="J2686" s="124"/>
      <c r="K2686" s="124"/>
      <c r="L2686" s="124"/>
      <c r="M2686" s="124"/>
      <c r="N2686" s="124"/>
      <c r="O2686" s="124"/>
      <c r="P2686" s="124"/>
      <c r="Q2686" s="124"/>
      <c r="R2686" s="124"/>
      <c r="S2686" s="124"/>
      <c r="T2686" s="124"/>
      <c r="U2686" s="124"/>
      <c r="V2686" s="124"/>
      <c r="W2686" s="124"/>
      <c r="X2686" s="124"/>
      <c r="Y2686" s="124"/>
    </row>
    <row r="2687" spans="2:25" x14ac:dyDescent="0.25">
      <c r="B2687" s="124"/>
      <c r="C2687" s="124"/>
      <c r="D2687" s="124"/>
      <c r="E2687" s="124"/>
      <c r="F2687" s="124"/>
      <c r="G2687" s="124"/>
      <c r="H2687" s="124"/>
      <c r="I2687" s="124"/>
      <c r="J2687" s="124"/>
      <c r="K2687" s="124"/>
      <c r="L2687" s="124"/>
      <c r="M2687" s="124"/>
      <c r="N2687" s="124"/>
      <c r="O2687" s="124"/>
      <c r="P2687" s="124"/>
      <c r="Q2687" s="124"/>
      <c r="R2687" s="124"/>
      <c r="S2687" s="124"/>
      <c r="T2687" s="124"/>
      <c r="U2687" s="124"/>
      <c r="V2687" s="124"/>
      <c r="W2687" s="124"/>
      <c r="X2687" s="124"/>
      <c r="Y2687" s="124"/>
    </row>
    <row r="2688" spans="2:25" x14ac:dyDescent="0.25">
      <c r="B2688" s="124"/>
      <c r="C2688" s="124"/>
      <c r="D2688" s="124"/>
      <c r="E2688" s="124"/>
      <c r="F2688" s="124"/>
      <c r="G2688" s="124"/>
      <c r="H2688" s="124"/>
      <c r="I2688" s="124"/>
      <c r="J2688" s="124"/>
      <c r="K2688" s="124"/>
      <c r="L2688" s="124"/>
      <c r="M2688" s="124"/>
      <c r="N2688" s="124"/>
      <c r="O2688" s="124"/>
      <c r="P2688" s="124"/>
      <c r="Q2688" s="124"/>
      <c r="R2688" s="124"/>
      <c r="S2688" s="124"/>
      <c r="T2688" s="124"/>
      <c r="U2688" s="124"/>
      <c r="V2688" s="124"/>
      <c r="W2688" s="124"/>
      <c r="X2688" s="124"/>
      <c r="Y2688" s="124"/>
    </row>
    <row r="2689" spans="2:25" x14ac:dyDescent="0.25">
      <c r="B2689" s="124"/>
      <c r="C2689" s="124"/>
      <c r="D2689" s="124"/>
      <c r="E2689" s="124"/>
      <c r="F2689" s="124"/>
      <c r="G2689" s="124"/>
      <c r="H2689" s="124"/>
      <c r="I2689" s="124"/>
      <c r="J2689" s="124"/>
      <c r="K2689" s="124"/>
      <c r="L2689" s="124"/>
      <c r="M2689" s="124"/>
      <c r="N2689" s="124"/>
      <c r="O2689" s="124"/>
      <c r="P2689" s="124"/>
      <c r="Q2689" s="124"/>
      <c r="R2689" s="124"/>
      <c r="S2689" s="124"/>
      <c r="T2689" s="124"/>
      <c r="U2689" s="124"/>
      <c r="V2689" s="124"/>
      <c r="W2689" s="124"/>
      <c r="X2689" s="124"/>
      <c r="Y2689" s="124"/>
    </row>
    <row r="2690" spans="2:25" x14ac:dyDescent="0.25">
      <c r="B2690" s="124"/>
      <c r="C2690" s="124"/>
      <c r="D2690" s="124"/>
      <c r="E2690" s="124"/>
      <c r="F2690" s="124"/>
      <c r="G2690" s="124"/>
      <c r="H2690" s="124"/>
      <c r="I2690" s="124"/>
      <c r="J2690" s="124"/>
      <c r="K2690" s="124"/>
      <c r="L2690" s="124"/>
      <c r="M2690" s="124"/>
      <c r="N2690" s="124"/>
      <c r="O2690" s="124"/>
      <c r="P2690" s="124"/>
      <c r="Q2690" s="124"/>
      <c r="R2690" s="124"/>
      <c r="S2690" s="124"/>
      <c r="T2690" s="124"/>
      <c r="U2690" s="124"/>
      <c r="V2690" s="124"/>
      <c r="W2690" s="124"/>
      <c r="X2690" s="124"/>
      <c r="Y2690" s="124"/>
    </row>
    <row r="2691" spans="2:25" x14ac:dyDescent="0.25">
      <c r="B2691" s="124"/>
      <c r="C2691" s="124"/>
      <c r="D2691" s="124"/>
      <c r="E2691" s="124"/>
      <c r="F2691" s="124"/>
      <c r="G2691" s="124"/>
      <c r="H2691" s="124"/>
      <c r="I2691" s="124"/>
      <c r="J2691" s="124"/>
      <c r="K2691" s="124"/>
      <c r="L2691" s="124"/>
      <c r="M2691" s="124"/>
      <c r="N2691" s="124"/>
      <c r="O2691" s="124"/>
      <c r="P2691" s="124"/>
      <c r="Q2691" s="124"/>
      <c r="R2691" s="124"/>
      <c r="S2691" s="124"/>
      <c r="T2691" s="124"/>
      <c r="U2691" s="124"/>
      <c r="V2691" s="124"/>
      <c r="W2691" s="124"/>
      <c r="X2691" s="124"/>
      <c r="Y2691" s="124"/>
    </row>
    <row r="2692" spans="2:25" x14ac:dyDescent="0.25">
      <c r="B2692" s="124"/>
      <c r="C2692" s="124"/>
      <c r="D2692" s="124"/>
      <c r="E2692" s="124"/>
      <c r="F2692" s="124"/>
      <c r="G2692" s="124"/>
      <c r="H2692" s="124"/>
      <c r="I2692" s="124"/>
      <c r="J2692" s="124"/>
      <c r="K2692" s="124"/>
      <c r="L2692" s="124"/>
      <c r="M2692" s="124"/>
      <c r="N2692" s="124"/>
      <c r="O2692" s="124"/>
      <c r="P2692" s="124"/>
      <c r="Q2692" s="124"/>
      <c r="R2692" s="124"/>
      <c r="S2692" s="124"/>
      <c r="T2692" s="124"/>
      <c r="U2692" s="124"/>
      <c r="V2692" s="124"/>
      <c r="W2692" s="124"/>
      <c r="X2692" s="124"/>
      <c r="Y2692" s="124"/>
    </row>
    <row r="2693" spans="2:25" x14ac:dyDescent="0.25">
      <c r="B2693" s="124"/>
      <c r="C2693" s="124"/>
      <c r="D2693" s="124"/>
      <c r="E2693" s="124"/>
      <c r="F2693" s="124"/>
      <c r="G2693" s="124"/>
      <c r="H2693" s="124"/>
      <c r="I2693" s="124"/>
      <c r="J2693" s="124"/>
      <c r="K2693" s="124"/>
      <c r="L2693" s="124"/>
      <c r="M2693" s="124"/>
      <c r="N2693" s="124"/>
      <c r="O2693" s="124"/>
      <c r="P2693" s="124"/>
      <c r="Q2693" s="124"/>
      <c r="R2693" s="124"/>
      <c r="S2693" s="124"/>
      <c r="T2693" s="124"/>
      <c r="U2693" s="124"/>
      <c r="V2693" s="124"/>
      <c r="W2693" s="124"/>
      <c r="X2693" s="124"/>
      <c r="Y2693" s="124"/>
    </row>
    <row r="2694" spans="2:25" x14ac:dyDescent="0.25">
      <c r="B2694" s="124"/>
      <c r="C2694" s="124"/>
      <c r="D2694" s="124"/>
      <c r="E2694" s="124"/>
      <c r="F2694" s="124"/>
      <c r="G2694" s="124"/>
      <c r="H2694" s="124"/>
      <c r="I2694" s="124"/>
      <c r="J2694" s="124"/>
      <c r="K2694" s="124"/>
      <c r="L2694" s="124"/>
      <c r="M2694" s="124"/>
      <c r="N2694" s="124"/>
      <c r="O2694" s="124"/>
      <c r="P2694" s="124"/>
      <c r="Q2694" s="124"/>
      <c r="R2694" s="124"/>
      <c r="S2694" s="124"/>
      <c r="T2694" s="124"/>
      <c r="U2694" s="124"/>
      <c r="V2694" s="124"/>
      <c r="W2694" s="124"/>
      <c r="X2694" s="124"/>
      <c r="Y2694" s="124"/>
    </row>
    <row r="2695" spans="2:25" x14ac:dyDescent="0.25">
      <c r="B2695" s="124"/>
      <c r="C2695" s="124"/>
      <c r="D2695" s="124"/>
      <c r="E2695" s="124"/>
      <c r="F2695" s="124"/>
      <c r="G2695" s="124"/>
      <c r="H2695" s="124"/>
      <c r="I2695" s="124"/>
      <c r="J2695" s="124"/>
      <c r="K2695" s="124"/>
      <c r="L2695" s="124"/>
      <c r="M2695" s="124"/>
      <c r="N2695" s="124"/>
      <c r="O2695" s="124"/>
      <c r="P2695" s="124"/>
      <c r="Q2695" s="124"/>
      <c r="R2695" s="124"/>
      <c r="S2695" s="124"/>
      <c r="T2695" s="124"/>
      <c r="U2695" s="124"/>
      <c r="V2695" s="124"/>
      <c r="W2695" s="124"/>
      <c r="X2695" s="124"/>
      <c r="Y2695" s="124"/>
    </row>
    <row r="2696" spans="2:25" x14ac:dyDescent="0.25">
      <c r="B2696" s="124"/>
      <c r="C2696" s="124"/>
      <c r="D2696" s="124"/>
      <c r="E2696" s="124"/>
      <c r="F2696" s="124"/>
      <c r="G2696" s="124"/>
      <c r="H2696" s="124"/>
      <c r="I2696" s="124"/>
      <c r="J2696" s="124"/>
      <c r="K2696" s="124"/>
      <c r="L2696" s="124"/>
      <c r="M2696" s="124"/>
      <c r="N2696" s="124"/>
      <c r="O2696" s="124"/>
      <c r="P2696" s="124"/>
      <c r="Q2696" s="124"/>
      <c r="R2696" s="124"/>
      <c r="S2696" s="124"/>
      <c r="T2696" s="124"/>
      <c r="U2696" s="124"/>
      <c r="V2696" s="124"/>
      <c r="W2696" s="124"/>
      <c r="X2696" s="124"/>
      <c r="Y2696" s="124"/>
    </row>
    <row r="2697" spans="2:25" x14ac:dyDescent="0.25">
      <c r="B2697" s="124"/>
      <c r="C2697" s="124"/>
      <c r="D2697" s="124"/>
      <c r="E2697" s="124"/>
      <c r="F2697" s="124"/>
      <c r="G2697" s="124"/>
      <c r="H2697" s="124"/>
      <c r="I2697" s="124"/>
      <c r="J2697" s="124"/>
      <c r="K2697" s="124"/>
      <c r="L2697" s="124"/>
      <c r="M2697" s="124"/>
      <c r="N2697" s="124"/>
      <c r="O2697" s="124"/>
      <c r="P2697" s="124"/>
      <c r="Q2697" s="124"/>
      <c r="R2697" s="124"/>
      <c r="S2697" s="124"/>
      <c r="T2697" s="124"/>
      <c r="U2697" s="124"/>
      <c r="V2697" s="124"/>
      <c r="W2697" s="124"/>
      <c r="X2697" s="124"/>
      <c r="Y2697" s="124"/>
    </row>
    <row r="2698" spans="2:25" x14ac:dyDescent="0.25">
      <c r="B2698" s="124"/>
      <c r="C2698" s="124"/>
      <c r="D2698" s="124"/>
      <c r="E2698" s="124"/>
      <c r="F2698" s="124"/>
      <c r="G2698" s="124"/>
      <c r="H2698" s="124"/>
      <c r="I2698" s="124"/>
      <c r="J2698" s="124"/>
      <c r="K2698" s="124"/>
      <c r="L2698" s="124"/>
      <c r="M2698" s="124"/>
      <c r="N2698" s="124"/>
      <c r="O2698" s="124"/>
      <c r="P2698" s="124"/>
      <c r="Q2698" s="124"/>
      <c r="R2698" s="124"/>
      <c r="S2698" s="124"/>
      <c r="T2698" s="124"/>
      <c r="U2698" s="124"/>
      <c r="V2698" s="124"/>
      <c r="W2698" s="124"/>
      <c r="X2698" s="124"/>
      <c r="Y2698" s="124"/>
    </row>
    <row r="2699" spans="2:25" x14ac:dyDescent="0.25">
      <c r="B2699" s="124"/>
      <c r="C2699" s="124"/>
      <c r="D2699" s="124"/>
      <c r="E2699" s="124"/>
      <c r="F2699" s="124"/>
      <c r="G2699" s="124"/>
      <c r="H2699" s="124"/>
      <c r="I2699" s="124"/>
      <c r="J2699" s="124"/>
      <c r="K2699" s="124"/>
      <c r="L2699" s="124"/>
      <c r="M2699" s="124"/>
      <c r="N2699" s="124"/>
      <c r="O2699" s="124"/>
      <c r="P2699" s="124"/>
      <c r="Q2699" s="124"/>
      <c r="R2699" s="124"/>
      <c r="S2699" s="124"/>
      <c r="T2699" s="124"/>
      <c r="U2699" s="124"/>
      <c r="V2699" s="124"/>
      <c r="W2699" s="124"/>
      <c r="X2699" s="124"/>
      <c r="Y2699" s="124"/>
    </row>
    <row r="2700" spans="2:25" x14ac:dyDescent="0.25">
      <c r="B2700" s="124"/>
      <c r="C2700" s="124"/>
      <c r="D2700" s="124"/>
      <c r="E2700" s="124"/>
      <c r="F2700" s="124"/>
      <c r="G2700" s="124"/>
      <c r="H2700" s="124"/>
      <c r="I2700" s="124"/>
      <c r="J2700" s="124"/>
      <c r="K2700" s="124"/>
      <c r="L2700" s="124"/>
      <c r="M2700" s="124"/>
      <c r="N2700" s="124"/>
      <c r="O2700" s="124"/>
      <c r="P2700" s="124"/>
      <c r="Q2700" s="124"/>
      <c r="R2700" s="124"/>
      <c r="S2700" s="124"/>
      <c r="T2700" s="124"/>
      <c r="U2700" s="124"/>
      <c r="V2700" s="124"/>
      <c r="W2700" s="124"/>
      <c r="X2700" s="124"/>
      <c r="Y2700" s="124"/>
    </row>
    <row r="2701" spans="2:25" x14ac:dyDescent="0.25">
      <c r="B2701" s="124"/>
      <c r="C2701" s="124"/>
      <c r="D2701" s="124"/>
      <c r="E2701" s="124"/>
      <c r="F2701" s="124"/>
      <c r="G2701" s="124"/>
      <c r="H2701" s="124"/>
      <c r="I2701" s="124"/>
      <c r="J2701" s="124"/>
      <c r="K2701" s="124"/>
      <c r="L2701" s="124"/>
      <c r="M2701" s="124"/>
      <c r="N2701" s="124"/>
      <c r="O2701" s="124"/>
      <c r="P2701" s="124"/>
      <c r="Q2701" s="124"/>
      <c r="R2701" s="124"/>
      <c r="S2701" s="124"/>
      <c r="T2701" s="124"/>
      <c r="U2701" s="124"/>
      <c r="V2701" s="124"/>
      <c r="W2701" s="124"/>
      <c r="X2701" s="124"/>
      <c r="Y2701" s="124"/>
    </row>
    <row r="2702" spans="2:25" x14ac:dyDescent="0.25">
      <c r="B2702" s="124"/>
      <c r="C2702" s="124"/>
      <c r="D2702" s="124"/>
      <c r="E2702" s="124"/>
      <c r="F2702" s="124"/>
      <c r="G2702" s="124"/>
      <c r="H2702" s="124"/>
      <c r="I2702" s="124"/>
      <c r="J2702" s="124"/>
      <c r="K2702" s="124"/>
      <c r="L2702" s="124"/>
      <c r="M2702" s="124"/>
      <c r="N2702" s="124"/>
      <c r="O2702" s="124"/>
      <c r="P2702" s="124"/>
      <c r="Q2702" s="124"/>
      <c r="R2702" s="124"/>
      <c r="S2702" s="124"/>
      <c r="T2702" s="124"/>
      <c r="U2702" s="124"/>
      <c r="V2702" s="124"/>
      <c r="W2702" s="124"/>
      <c r="X2702" s="124"/>
      <c r="Y2702" s="124"/>
    </row>
    <row r="2703" spans="2:25" x14ac:dyDescent="0.25">
      <c r="B2703" s="124"/>
      <c r="C2703" s="124"/>
      <c r="D2703" s="124"/>
      <c r="E2703" s="124"/>
      <c r="F2703" s="124"/>
      <c r="G2703" s="124"/>
      <c r="H2703" s="124"/>
      <c r="I2703" s="124"/>
      <c r="J2703" s="124"/>
      <c r="K2703" s="124"/>
      <c r="L2703" s="124"/>
      <c r="M2703" s="124"/>
      <c r="N2703" s="124"/>
      <c r="O2703" s="124"/>
      <c r="P2703" s="124"/>
      <c r="Q2703" s="124"/>
      <c r="R2703" s="124"/>
      <c r="S2703" s="124"/>
      <c r="T2703" s="124"/>
      <c r="U2703" s="124"/>
      <c r="V2703" s="124"/>
      <c r="W2703" s="124"/>
      <c r="X2703" s="124"/>
      <c r="Y2703" s="124"/>
    </row>
    <row r="2704" spans="2:25" x14ac:dyDescent="0.25">
      <c r="B2704" s="124"/>
      <c r="C2704" s="124"/>
      <c r="D2704" s="124"/>
      <c r="E2704" s="124"/>
      <c r="F2704" s="124"/>
      <c r="G2704" s="124"/>
      <c r="H2704" s="124"/>
      <c r="I2704" s="124"/>
      <c r="J2704" s="124"/>
      <c r="K2704" s="124"/>
      <c r="L2704" s="124"/>
      <c r="M2704" s="124"/>
      <c r="N2704" s="124"/>
      <c r="O2704" s="124"/>
      <c r="P2704" s="124"/>
      <c r="Q2704" s="124"/>
      <c r="R2704" s="124"/>
      <c r="S2704" s="124"/>
      <c r="T2704" s="124"/>
      <c r="U2704" s="124"/>
      <c r="V2704" s="124"/>
      <c r="W2704" s="124"/>
      <c r="X2704" s="124"/>
      <c r="Y2704" s="124"/>
    </row>
    <row r="2705" spans="2:25" x14ac:dyDescent="0.25">
      <c r="B2705" s="124"/>
      <c r="C2705" s="124"/>
      <c r="D2705" s="124"/>
      <c r="E2705" s="124"/>
      <c r="F2705" s="124"/>
      <c r="G2705" s="124"/>
      <c r="H2705" s="124"/>
      <c r="I2705" s="124"/>
      <c r="J2705" s="124"/>
      <c r="K2705" s="124"/>
      <c r="L2705" s="124"/>
      <c r="M2705" s="124"/>
      <c r="N2705" s="124"/>
      <c r="O2705" s="124"/>
      <c r="P2705" s="124"/>
      <c r="Q2705" s="124"/>
      <c r="R2705" s="124"/>
      <c r="S2705" s="124"/>
      <c r="T2705" s="124"/>
      <c r="U2705" s="124"/>
      <c r="V2705" s="124"/>
      <c r="W2705" s="124"/>
      <c r="X2705" s="124"/>
      <c r="Y2705" s="124"/>
    </row>
    <row r="2706" spans="2:25" x14ac:dyDescent="0.25">
      <c r="B2706" s="124"/>
      <c r="C2706" s="124"/>
      <c r="D2706" s="124"/>
      <c r="E2706" s="124"/>
      <c r="F2706" s="124"/>
      <c r="G2706" s="124"/>
      <c r="H2706" s="124"/>
      <c r="I2706" s="124"/>
      <c r="J2706" s="124"/>
      <c r="K2706" s="124"/>
      <c r="L2706" s="124"/>
      <c r="M2706" s="124"/>
      <c r="N2706" s="124"/>
      <c r="O2706" s="124"/>
      <c r="P2706" s="124"/>
      <c r="Q2706" s="124"/>
      <c r="R2706" s="124"/>
      <c r="S2706" s="124"/>
      <c r="T2706" s="124"/>
      <c r="U2706" s="124"/>
      <c r="V2706" s="124"/>
      <c r="W2706" s="124"/>
      <c r="X2706" s="124"/>
      <c r="Y2706" s="124"/>
    </row>
    <row r="2707" spans="2:25" x14ac:dyDescent="0.25">
      <c r="B2707" s="124"/>
      <c r="C2707" s="124"/>
      <c r="D2707" s="124"/>
      <c r="E2707" s="124"/>
      <c r="F2707" s="124"/>
      <c r="G2707" s="124"/>
      <c r="H2707" s="124"/>
      <c r="I2707" s="124"/>
      <c r="J2707" s="124"/>
      <c r="K2707" s="124"/>
      <c r="L2707" s="124"/>
      <c r="M2707" s="124"/>
      <c r="N2707" s="124"/>
      <c r="O2707" s="124"/>
      <c r="P2707" s="124"/>
      <c r="Q2707" s="124"/>
      <c r="R2707" s="124"/>
      <c r="S2707" s="124"/>
      <c r="T2707" s="124"/>
      <c r="U2707" s="124"/>
      <c r="V2707" s="124"/>
      <c r="W2707" s="124"/>
      <c r="X2707" s="124"/>
      <c r="Y2707" s="124"/>
    </row>
    <row r="2708" spans="2:25" x14ac:dyDescent="0.25">
      <c r="B2708" s="124"/>
      <c r="C2708" s="124"/>
      <c r="D2708" s="124"/>
      <c r="E2708" s="124"/>
      <c r="F2708" s="124"/>
      <c r="G2708" s="124"/>
      <c r="H2708" s="124"/>
      <c r="I2708" s="124"/>
      <c r="J2708" s="124"/>
      <c r="K2708" s="124"/>
      <c r="L2708" s="124"/>
      <c r="M2708" s="124"/>
      <c r="N2708" s="124"/>
      <c r="O2708" s="124"/>
      <c r="P2708" s="124"/>
      <c r="Q2708" s="124"/>
      <c r="R2708" s="124"/>
      <c r="S2708" s="124"/>
      <c r="T2708" s="124"/>
      <c r="U2708" s="124"/>
      <c r="V2708" s="124"/>
      <c r="W2708" s="124"/>
      <c r="X2708" s="124"/>
      <c r="Y2708" s="124"/>
    </row>
    <row r="2709" spans="2:25" x14ac:dyDescent="0.25">
      <c r="B2709" s="124"/>
      <c r="C2709" s="124"/>
      <c r="D2709" s="124"/>
      <c r="E2709" s="124"/>
      <c r="F2709" s="124"/>
      <c r="G2709" s="124"/>
      <c r="H2709" s="124"/>
      <c r="I2709" s="124"/>
      <c r="J2709" s="124"/>
      <c r="K2709" s="124"/>
      <c r="L2709" s="124"/>
      <c r="M2709" s="124"/>
      <c r="N2709" s="124"/>
      <c r="O2709" s="124"/>
      <c r="P2709" s="124"/>
      <c r="Q2709" s="124"/>
      <c r="R2709" s="124"/>
      <c r="S2709" s="124"/>
      <c r="T2709" s="124"/>
      <c r="U2709" s="124"/>
      <c r="V2709" s="124"/>
      <c r="W2709" s="124"/>
      <c r="X2709" s="124"/>
      <c r="Y2709" s="124"/>
    </row>
    <row r="2710" spans="2:25" x14ac:dyDescent="0.25">
      <c r="B2710" s="124"/>
      <c r="C2710" s="124"/>
      <c r="D2710" s="124"/>
      <c r="E2710" s="124"/>
      <c r="F2710" s="124"/>
      <c r="G2710" s="124"/>
      <c r="H2710" s="124"/>
      <c r="I2710" s="124"/>
      <c r="J2710" s="124"/>
      <c r="K2710" s="124"/>
      <c r="L2710" s="124"/>
      <c r="M2710" s="124"/>
      <c r="N2710" s="124"/>
      <c r="O2710" s="124"/>
      <c r="P2710" s="124"/>
      <c r="Q2710" s="124"/>
      <c r="R2710" s="124"/>
      <c r="S2710" s="124"/>
      <c r="T2710" s="124"/>
      <c r="U2710" s="124"/>
      <c r="V2710" s="124"/>
      <c r="W2710" s="124"/>
      <c r="X2710" s="124"/>
      <c r="Y2710" s="124"/>
    </row>
    <row r="2711" spans="2:25" x14ac:dyDescent="0.25">
      <c r="B2711" s="124"/>
      <c r="C2711" s="124"/>
      <c r="D2711" s="124"/>
      <c r="E2711" s="124"/>
      <c r="F2711" s="124"/>
      <c r="G2711" s="124"/>
      <c r="H2711" s="124"/>
      <c r="I2711" s="124"/>
      <c r="J2711" s="124"/>
      <c r="K2711" s="124"/>
      <c r="L2711" s="124"/>
      <c r="M2711" s="124"/>
      <c r="N2711" s="124"/>
      <c r="O2711" s="124"/>
      <c r="P2711" s="124"/>
      <c r="Q2711" s="124"/>
      <c r="R2711" s="124"/>
      <c r="S2711" s="124"/>
      <c r="T2711" s="124"/>
      <c r="U2711" s="124"/>
      <c r="V2711" s="124"/>
      <c r="W2711" s="124"/>
      <c r="X2711" s="124"/>
      <c r="Y2711" s="124"/>
    </row>
    <row r="2712" spans="2:25" x14ac:dyDescent="0.25">
      <c r="B2712" s="124"/>
      <c r="C2712" s="124"/>
      <c r="D2712" s="124"/>
      <c r="E2712" s="124"/>
      <c r="F2712" s="124"/>
      <c r="G2712" s="124"/>
      <c r="H2712" s="124"/>
      <c r="I2712" s="124"/>
      <c r="J2712" s="124"/>
      <c r="K2712" s="124"/>
      <c r="L2712" s="124"/>
      <c r="M2712" s="124"/>
      <c r="N2712" s="124"/>
      <c r="O2712" s="124"/>
      <c r="P2712" s="124"/>
      <c r="Q2712" s="124"/>
      <c r="R2712" s="124"/>
      <c r="S2712" s="124"/>
      <c r="T2712" s="124"/>
      <c r="U2712" s="124"/>
      <c r="V2712" s="124"/>
      <c r="W2712" s="124"/>
      <c r="X2712" s="124"/>
      <c r="Y2712" s="124"/>
    </row>
    <row r="2713" spans="2:25" x14ac:dyDescent="0.25">
      <c r="B2713" s="124"/>
      <c r="C2713" s="124"/>
      <c r="D2713" s="124"/>
      <c r="E2713" s="124"/>
      <c r="F2713" s="124"/>
      <c r="G2713" s="124"/>
      <c r="H2713" s="124"/>
      <c r="I2713" s="124"/>
      <c r="J2713" s="124"/>
      <c r="K2713" s="124"/>
      <c r="L2713" s="124"/>
      <c r="M2713" s="124"/>
      <c r="N2713" s="124"/>
      <c r="O2713" s="124"/>
      <c r="P2713" s="124"/>
      <c r="Q2713" s="124"/>
      <c r="R2713" s="124"/>
      <c r="S2713" s="124"/>
      <c r="T2713" s="124"/>
      <c r="U2713" s="124"/>
      <c r="V2713" s="124"/>
      <c r="W2713" s="124"/>
      <c r="X2713" s="124"/>
      <c r="Y2713" s="124"/>
    </row>
    <row r="2714" spans="2:25" x14ac:dyDescent="0.25">
      <c r="B2714" s="124"/>
      <c r="C2714" s="124"/>
      <c r="D2714" s="124"/>
      <c r="E2714" s="124"/>
      <c r="F2714" s="124"/>
      <c r="G2714" s="124"/>
      <c r="H2714" s="124"/>
      <c r="I2714" s="124"/>
      <c r="J2714" s="124"/>
      <c r="K2714" s="124"/>
      <c r="L2714" s="124"/>
      <c r="M2714" s="124"/>
      <c r="N2714" s="124"/>
      <c r="O2714" s="124"/>
      <c r="P2714" s="124"/>
      <c r="Q2714" s="124"/>
      <c r="R2714" s="124"/>
      <c r="S2714" s="124"/>
      <c r="T2714" s="124"/>
      <c r="U2714" s="124"/>
      <c r="V2714" s="124"/>
      <c r="W2714" s="124"/>
      <c r="X2714" s="124"/>
      <c r="Y2714" s="124"/>
    </row>
    <row r="2715" spans="2:25" x14ac:dyDescent="0.25">
      <c r="B2715" s="124"/>
      <c r="C2715" s="124"/>
      <c r="D2715" s="124"/>
      <c r="E2715" s="124"/>
      <c r="F2715" s="124"/>
      <c r="G2715" s="124"/>
      <c r="H2715" s="124"/>
      <c r="I2715" s="124"/>
      <c r="J2715" s="124"/>
      <c r="K2715" s="124"/>
      <c r="L2715" s="124"/>
      <c r="M2715" s="124"/>
      <c r="N2715" s="124"/>
      <c r="O2715" s="124"/>
      <c r="P2715" s="124"/>
      <c r="Q2715" s="124"/>
      <c r="R2715" s="124"/>
      <c r="S2715" s="124"/>
      <c r="T2715" s="124"/>
      <c r="U2715" s="124"/>
      <c r="V2715" s="124"/>
      <c r="W2715" s="124"/>
      <c r="X2715" s="124"/>
      <c r="Y2715" s="124"/>
    </row>
    <row r="2716" spans="2:25" x14ac:dyDescent="0.25">
      <c r="B2716" s="124"/>
      <c r="C2716" s="124"/>
      <c r="D2716" s="124"/>
      <c r="E2716" s="124"/>
      <c r="F2716" s="124"/>
      <c r="G2716" s="124"/>
      <c r="H2716" s="124"/>
      <c r="I2716" s="124"/>
      <c r="J2716" s="124"/>
      <c r="K2716" s="124"/>
      <c r="L2716" s="124"/>
      <c r="M2716" s="124"/>
      <c r="N2716" s="124"/>
      <c r="O2716" s="124"/>
      <c r="P2716" s="124"/>
      <c r="Q2716" s="124"/>
      <c r="R2716" s="124"/>
      <c r="S2716" s="124"/>
      <c r="T2716" s="124"/>
      <c r="U2716" s="124"/>
      <c r="V2716" s="124"/>
      <c r="W2716" s="124"/>
      <c r="X2716" s="124"/>
      <c r="Y2716" s="124"/>
    </row>
    <row r="2717" spans="2:25" x14ac:dyDescent="0.25">
      <c r="B2717" s="124"/>
      <c r="C2717" s="124"/>
      <c r="D2717" s="124"/>
      <c r="E2717" s="124"/>
      <c r="F2717" s="124"/>
      <c r="G2717" s="124"/>
      <c r="H2717" s="124"/>
      <c r="I2717" s="124"/>
      <c r="J2717" s="124"/>
      <c r="K2717" s="124"/>
      <c r="L2717" s="124"/>
      <c r="M2717" s="124"/>
      <c r="N2717" s="124"/>
      <c r="O2717" s="124"/>
      <c r="P2717" s="124"/>
      <c r="Q2717" s="124"/>
      <c r="R2717" s="124"/>
      <c r="S2717" s="124"/>
      <c r="T2717" s="124"/>
      <c r="U2717" s="124"/>
      <c r="V2717" s="124"/>
      <c r="W2717" s="124"/>
      <c r="X2717" s="124"/>
      <c r="Y2717" s="124"/>
    </row>
    <row r="2718" spans="2:25" x14ac:dyDescent="0.25">
      <c r="B2718" s="124"/>
      <c r="C2718" s="124"/>
      <c r="D2718" s="124"/>
      <c r="E2718" s="124"/>
      <c r="F2718" s="124"/>
      <c r="G2718" s="124"/>
      <c r="H2718" s="124"/>
      <c r="I2718" s="124"/>
      <c r="J2718" s="124"/>
      <c r="K2718" s="124"/>
      <c r="L2718" s="124"/>
      <c r="M2718" s="124"/>
      <c r="N2718" s="124"/>
      <c r="O2718" s="124"/>
      <c r="P2718" s="124"/>
      <c r="Q2718" s="124"/>
      <c r="R2718" s="124"/>
      <c r="S2718" s="124"/>
      <c r="T2718" s="124"/>
      <c r="U2718" s="124"/>
      <c r="V2718" s="124"/>
      <c r="W2718" s="124"/>
      <c r="X2718" s="124"/>
      <c r="Y2718" s="124"/>
    </row>
    <row r="2719" spans="2:25" x14ac:dyDescent="0.25">
      <c r="B2719" s="124"/>
      <c r="C2719" s="124"/>
      <c r="D2719" s="124"/>
      <c r="E2719" s="124"/>
      <c r="F2719" s="124"/>
      <c r="G2719" s="124"/>
      <c r="H2719" s="124"/>
      <c r="I2719" s="124"/>
      <c r="J2719" s="124"/>
      <c r="K2719" s="124"/>
      <c r="L2719" s="124"/>
      <c r="M2719" s="124"/>
      <c r="N2719" s="124"/>
      <c r="O2719" s="124"/>
      <c r="P2719" s="124"/>
      <c r="Q2719" s="124"/>
      <c r="R2719" s="124"/>
      <c r="S2719" s="124"/>
      <c r="T2719" s="124"/>
      <c r="U2719" s="124"/>
      <c r="V2719" s="124"/>
      <c r="W2719" s="124"/>
      <c r="X2719" s="124"/>
      <c r="Y2719" s="124"/>
    </row>
    <row r="2720" spans="2:25" x14ac:dyDescent="0.25">
      <c r="B2720" s="124"/>
      <c r="C2720" s="124"/>
      <c r="D2720" s="124"/>
      <c r="E2720" s="124"/>
      <c r="F2720" s="124"/>
      <c r="G2720" s="124"/>
      <c r="H2720" s="124"/>
      <c r="I2720" s="124"/>
      <c r="J2720" s="124"/>
      <c r="K2720" s="124"/>
      <c r="L2720" s="124"/>
      <c r="M2720" s="124"/>
      <c r="N2720" s="124"/>
      <c r="O2720" s="124"/>
      <c r="P2720" s="124"/>
      <c r="Q2720" s="124"/>
      <c r="R2720" s="124"/>
      <c r="S2720" s="124"/>
      <c r="T2720" s="124"/>
      <c r="U2720" s="124"/>
      <c r="V2720" s="124"/>
      <c r="W2720" s="124"/>
      <c r="X2720" s="124"/>
      <c r="Y2720" s="124"/>
    </row>
    <row r="2721" spans="2:25" x14ac:dyDescent="0.25">
      <c r="B2721" s="124"/>
      <c r="C2721" s="124"/>
      <c r="D2721" s="124"/>
      <c r="E2721" s="124"/>
      <c r="F2721" s="124"/>
      <c r="G2721" s="124"/>
      <c r="H2721" s="124"/>
      <c r="I2721" s="124"/>
      <c r="J2721" s="124"/>
      <c r="K2721" s="124"/>
      <c r="L2721" s="124"/>
      <c r="M2721" s="124"/>
      <c r="N2721" s="124"/>
      <c r="O2721" s="124"/>
      <c r="P2721" s="124"/>
      <c r="Q2721" s="124"/>
      <c r="R2721" s="124"/>
      <c r="S2721" s="124"/>
      <c r="T2721" s="124"/>
      <c r="U2721" s="124"/>
      <c r="V2721" s="124"/>
      <c r="W2721" s="124"/>
      <c r="X2721" s="124"/>
      <c r="Y2721" s="124"/>
    </row>
    <row r="2722" spans="2:25" x14ac:dyDescent="0.25">
      <c r="B2722" s="124"/>
      <c r="C2722" s="124"/>
      <c r="D2722" s="124"/>
      <c r="E2722" s="124"/>
      <c r="F2722" s="124"/>
      <c r="G2722" s="124"/>
      <c r="H2722" s="124"/>
      <c r="I2722" s="124"/>
      <c r="J2722" s="124"/>
      <c r="K2722" s="124"/>
      <c r="L2722" s="124"/>
      <c r="M2722" s="124"/>
      <c r="N2722" s="124"/>
      <c r="O2722" s="124"/>
      <c r="P2722" s="124"/>
      <c r="Q2722" s="124"/>
      <c r="R2722" s="124"/>
      <c r="S2722" s="124"/>
      <c r="T2722" s="124"/>
      <c r="U2722" s="124"/>
      <c r="V2722" s="124"/>
      <c r="W2722" s="124"/>
      <c r="X2722" s="124"/>
      <c r="Y2722" s="124"/>
    </row>
    <row r="2723" spans="2:25" x14ac:dyDescent="0.25">
      <c r="B2723" s="124"/>
      <c r="C2723" s="124"/>
      <c r="D2723" s="124"/>
      <c r="E2723" s="124"/>
      <c r="F2723" s="124"/>
      <c r="G2723" s="124"/>
      <c r="H2723" s="124"/>
      <c r="I2723" s="124"/>
      <c r="J2723" s="124"/>
      <c r="K2723" s="124"/>
      <c r="L2723" s="124"/>
      <c r="M2723" s="124"/>
      <c r="N2723" s="124"/>
      <c r="O2723" s="124"/>
      <c r="P2723" s="124"/>
      <c r="Q2723" s="124"/>
      <c r="R2723" s="124"/>
      <c r="S2723" s="124"/>
      <c r="T2723" s="124"/>
      <c r="U2723" s="124"/>
      <c r="V2723" s="124"/>
      <c r="W2723" s="124"/>
      <c r="X2723" s="124"/>
      <c r="Y2723" s="124"/>
    </row>
    <row r="2724" spans="2:25" x14ac:dyDescent="0.25">
      <c r="B2724" s="124"/>
      <c r="C2724" s="124"/>
      <c r="D2724" s="124"/>
      <c r="E2724" s="124"/>
      <c r="F2724" s="124"/>
      <c r="G2724" s="124"/>
      <c r="H2724" s="124"/>
      <c r="I2724" s="124"/>
      <c r="J2724" s="124"/>
      <c r="K2724" s="124"/>
      <c r="L2724" s="124"/>
      <c r="M2724" s="124"/>
      <c r="N2724" s="124"/>
      <c r="O2724" s="124"/>
      <c r="P2724" s="124"/>
      <c r="Q2724" s="124"/>
      <c r="R2724" s="124"/>
      <c r="S2724" s="124"/>
      <c r="T2724" s="124"/>
      <c r="U2724" s="124"/>
      <c r="V2724" s="124"/>
      <c r="W2724" s="124"/>
      <c r="X2724" s="124"/>
      <c r="Y2724" s="124"/>
    </row>
    <row r="2725" spans="2:25" x14ac:dyDescent="0.25">
      <c r="B2725" s="124"/>
      <c r="C2725" s="124"/>
      <c r="D2725" s="124"/>
      <c r="E2725" s="124"/>
      <c r="F2725" s="124"/>
      <c r="G2725" s="124"/>
      <c r="H2725" s="124"/>
      <c r="I2725" s="124"/>
      <c r="J2725" s="124"/>
      <c r="K2725" s="124"/>
      <c r="L2725" s="124"/>
      <c r="M2725" s="124"/>
      <c r="N2725" s="124"/>
      <c r="O2725" s="124"/>
      <c r="P2725" s="124"/>
      <c r="Q2725" s="124"/>
      <c r="R2725" s="124"/>
      <c r="S2725" s="124"/>
      <c r="T2725" s="124"/>
      <c r="U2725" s="124"/>
      <c r="V2725" s="124"/>
      <c r="W2725" s="124"/>
      <c r="X2725" s="124"/>
      <c r="Y2725" s="124"/>
    </row>
    <row r="2726" spans="2:25" x14ac:dyDescent="0.25">
      <c r="B2726" s="124"/>
      <c r="C2726" s="124"/>
      <c r="D2726" s="124"/>
      <c r="E2726" s="124"/>
      <c r="F2726" s="124"/>
      <c r="G2726" s="124"/>
      <c r="H2726" s="124"/>
      <c r="I2726" s="124"/>
      <c r="J2726" s="124"/>
      <c r="K2726" s="124"/>
      <c r="L2726" s="124"/>
      <c r="M2726" s="124"/>
      <c r="N2726" s="124"/>
      <c r="O2726" s="124"/>
      <c r="P2726" s="124"/>
      <c r="Q2726" s="124"/>
      <c r="R2726" s="124"/>
      <c r="S2726" s="124"/>
      <c r="T2726" s="124"/>
      <c r="U2726" s="124"/>
      <c r="V2726" s="124"/>
      <c r="W2726" s="124"/>
      <c r="X2726" s="124"/>
      <c r="Y2726" s="124"/>
    </row>
    <row r="2727" spans="2:25" x14ac:dyDescent="0.25">
      <c r="B2727" s="124"/>
      <c r="C2727" s="124"/>
      <c r="D2727" s="124"/>
      <c r="E2727" s="124"/>
      <c r="F2727" s="124"/>
      <c r="G2727" s="124"/>
      <c r="H2727" s="124"/>
      <c r="I2727" s="124"/>
      <c r="J2727" s="124"/>
      <c r="K2727" s="124"/>
      <c r="L2727" s="124"/>
      <c r="M2727" s="124"/>
      <c r="N2727" s="124"/>
      <c r="O2727" s="124"/>
      <c r="P2727" s="124"/>
      <c r="Q2727" s="124"/>
      <c r="R2727" s="124"/>
      <c r="S2727" s="124"/>
      <c r="T2727" s="124"/>
      <c r="U2727" s="124"/>
      <c r="V2727" s="124"/>
      <c r="W2727" s="124"/>
      <c r="X2727" s="124"/>
      <c r="Y2727" s="124"/>
    </row>
    <row r="2728" spans="2:25" x14ac:dyDescent="0.25">
      <c r="B2728" s="124"/>
      <c r="C2728" s="124"/>
      <c r="D2728" s="124"/>
      <c r="E2728" s="124"/>
      <c r="F2728" s="124"/>
      <c r="G2728" s="124"/>
      <c r="H2728" s="124"/>
      <c r="I2728" s="124"/>
      <c r="J2728" s="124"/>
      <c r="K2728" s="124"/>
      <c r="L2728" s="124"/>
      <c r="M2728" s="124"/>
      <c r="N2728" s="124"/>
      <c r="O2728" s="124"/>
      <c r="P2728" s="124"/>
      <c r="Q2728" s="124"/>
      <c r="R2728" s="124"/>
      <c r="S2728" s="124"/>
      <c r="T2728" s="124"/>
      <c r="U2728" s="124"/>
      <c r="V2728" s="124"/>
      <c r="W2728" s="124"/>
      <c r="X2728" s="124"/>
      <c r="Y2728" s="124"/>
    </row>
    <row r="2729" spans="2:25" x14ac:dyDescent="0.25">
      <c r="B2729" s="124"/>
      <c r="C2729" s="124"/>
      <c r="D2729" s="124"/>
      <c r="E2729" s="124"/>
      <c r="F2729" s="124"/>
      <c r="G2729" s="124"/>
      <c r="H2729" s="124"/>
      <c r="I2729" s="124"/>
      <c r="J2729" s="124"/>
      <c r="K2729" s="124"/>
      <c r="L2729" s="124"/>
      <c r="M2729" s="124"/>
      <c r="N2729" s="124"/>
      <c r="O2729" s="124"/>
      <c r="P2729" s="124"/>
      <c r="Q2729" s="124"/>
      <c r="R2729" s="124"/>
      <c r="S2729" s="124"/>
      <c r="T2729" s="124"/>
      <c r="U2729" s="124"/>
      <c r="V2729" s="124"/>
      <c r="W2729" s="124"/>
      <c r="X2729" s="124"/>
      <c r="Y2729" s="124"/>
    </row>
    <row r="2730" spans="2:25" x14ac:dyDescent="0.25">
      <c r="B2730" s="124"/>
      <c r="C2730" s="124"/>
      <c r="D2730" s="124"/>
      <c r="E2730" s="124"/>
      <c r="F2730" s="124"/>
      <c r="G2730" s="124"/>
      <c r="H2730" s="124"/>
      <c r="I2730" s="124"/>
      <c r="J2730" s="124"/>
      <c r="K2730" s="124"/>
      <c r="L2730" s="124"/>
      <c r="M2730" s="124"/>
      <c r="N2730" s="124"/>
      <c r="O2730" s="124"/>
      <c r="P2730" s="124"/>
      <c r="Q2730" s="124"/>
      <c r="R2730" s="124"/>
      <c r="S2730" s="124"/>
      <c r="T2730" s="124"/>
      <c r="U2730" s="124"/>
      <c r="V2730" s="124"/>
      <c r="W2730" s="124"/>
      <c r="X2730" s="124"/>
      <c r="Y2730" s="124"/>
    </row>
    <row r="2731" spans="2:25" x14ac:dyDescent="0.25">
      <c r="B2731" s="124"/>
      <c r="C2731" s="124"/>
      <c r="D2731" s="124"/>
      <c r="E2731" s="124"/>
      <c r="F2731" s="124"/>
      <c r="G2731" s="124"/>
      <c r="H2731" s="124"/>
      <c r="I2731" s="124"/>
      <c r="J2731" s="124"/>
      <c r="K2731" s="124"/>
      <c r="L2731" s="124"/>
      <c r="M2731" s="124"/>
      <c r="N2731" s="124"/>
      <c r="O2731" s="124"/>
      <c r="P2731" s="124"/>
      <c r="Q2731" s="124"/>
      <c r="R2731" s="124"/>
      <c r="S2731" s="124"/>
      <c r="T2731" s="124"/>
      <c r="U2731" s="124"/>
      <c r="V2731" s="124"/>
      <c r="W2731" s="124"/>
      <c r="X2731" s="124"/>
      <c r="Y2731" s="124"/>
    </row>
    <row r="2732" spans="2:25" x14ac:dyDescent="0.25">
      <c r="B2732" s="124"/>
      <c r="C2732" s="124"/>
      <c r="D2732" s="124"/>
      <c r="E2732" s="124"/>
      <c r="F2732" s="124"/>
      <c r="G2732" s="124"/>
      <c r="H2732" s="124"/>
      <c r="I2732" s="124"/>
      <c r="J2732" s="124"/>
      <c r="K2732" s="124"/>
      <c r="L2732" s="124"/>
      <c r="M2732" s="124"/>
      <c r="N2732" s="124"/>
      <c r="O2732" s="124"/>
      <c r="P2732" s="124"/>
      <c r="Q2732" s="124"/>
      <c r="R2732" s="124"/>
      <c r="S2732" s="124"/>
      <c r="T2732" s="124"/>
      <c r="U2732" s="124"/>
      <c r="V2732" s="124"/>
      <c r="W2732" s="124"/>
      <c r="X2732" s="124"/>
      <c r="Y2732" s="124"/>
    </row>
    <row r="2733" spans="2:25" x14ac:dyDescent="0.25">
      <c r="B2733" s="124"/>
      <c r="C2733" s="124"/>
      <c r="D2733" s="124"/>
      <c r="E2733" s="124"/>
      <c r="F2733" s="124"/>
      <c r="G2733" s="124"/>
      <c r="H2733" s="124"/>
      <c r="I2733" s="124"/>
      <c r="J2733" s="124"/>
      <c r="K2733" s="124"/>
      <c r="L2733" s="124"/>
      <c r="M2733" s="124"/>
      <c r="N2733" s="124"/>
      <c r="O2733" s="124"/>
      <c r="P2733" s="124"/>
      <c r="Q2733" s="124"/>
      <c r="R2733" s="124"/>
      <c r="S2733" s="124"/>
      <c r="T2733" s="124"/>
      <c r="U2733" s="124"/>
      <c r="V2733" s="124"/>
      <c r="W2733" s="124"/>
      <c r="X2733" s="124"/>
      <c r="Y2733" s="124"/>
    </row>
    <row r="2734" spans="2:25" x14ac:dyDescent="0.25">
      <c r="B2734" s="124"/>
      <c r="C2734" s="124"/>
      <c r="D2734" s="124"/>
      <c r="E2734" s="124"/>
      <c r="F2734" s="124"/>
      <c r="G2734" s="124"/>
      <c r="H2734" s="124"/>
      <c r="I2734" s="124"/>
      <c r="J2734" s="124"/>
      <c r="K2734" s="124"/>
      <c r="L2734" s="124"/>
      <c r="M2734" s="124"/>
      <c r="N2734" s="124"/>
      <c r="O2734" s="124"/>
      <c r="P2734" s="124"/>
      <c r="Q2734" s="124"/>
      <c r="R2734" s="124"/>
      <c r="S2734" s="124"/>
      <c r="T2734" s="124"/>
      <c r="U2734" s="124"/>
      <c r="V2734" s="124"/>
      <c r="W2734" s="124"/>
      <c r="X2734" s="124"/>
      <c r="Y2734" s="124"/>
    </row>
    <row r="2735" spans="2:25" x14ac:dyDescent="0.25">
      <c r="B2735" s="124"/>
      <c r="C2735" s="124"/>
      <c r="D2735" s="124"/>
      <c r="E2735" s="124"/>
      <c r="F2735" s="124"/>
      <c r="G2735" s="124"/>
      <c r="H2735" s="124"/>
      <c r="I2735" s="124"/>
      <c r="J2735" s="124"/>
      <c r="K2735" s="124"/>
      <c r="L2735" s="124"/>
      <c r="M2735" s="124"/>
      <c r="N2735" s="124"/>
      <c r="O2735" s="124"/>
      <c r="P2735" s="124"/>
      <c r="Q2735" s="124"/>
      <c r="R2735" s="124"/>
      <c r="S2735" s="124"/>
      <c r="T2735" s="124"/>
      <c r="U2735" s="124"/>
      <c r="V2735" s="124"/>
      <c r="W2735" s="124"/>
      <c r="X2735" s="124"/>
      <c r="Y2735" s="124"/>
    </row>
    <row r="2736" spans="2:25" x14ac:dyDescent="0.25">
      <c r="B2736" s="124"/>
      <c r="C2736" s="124"/>
      <c r="D2736" s="124"/>
      <c r="E2736" s="124"/>
      <c r="F2736" s="124"/>
      <c r="G2736" s="124"/>
      <c r="H2736" s="124"/>
      <c r="I2736" s="124"/>
      <c r="J2736" s="124"/>
      <c r="K2736" s="124"/>
      <c r="L2736" s="124"/>
      <c r="M2736" s="124"/>
      <c r="N2736" s="124"/>
      <c r="O2736" s="124"/>
      <c r="P2736" s="124"/>
      <c r="Q2736" s="124"/>
      <c r="R2736" s="124"/>
      <c r="S2736" s="124"/>
      <c r="T2736" s="124"/>
      <c r="U2736" s="124"/>
      <c r="V2736" s="124"/>
      <c r="W2736" s="124"/>
      <c r="X2736" s="124"/>
      <c r="Y2736" s="124"/>
    </row>
    <row r="2737" spans="2:25" x14ac:dyDescent="0.25">
      <c r="B2737" s="124"/>
      <c r="C2737" s="124"/>
      <c r="D2737" s="124"/>
      <c r="E2737" s="124"/>
      <c r="F2737" s="124"/>
      <c r="G2737" s="124"/>
      <c r="H2737" s="124"/>
      <c r="I2737" s="124"/>
      <c r="J2737" s="124"/>
      <c r="K2737" s="124"/>
      <c r="L2737" s="124"/>
      <c r="M2737" s="124"/>
      <c r="N2737" s="124"/>
      <c r="O2737" s="124"/>
      <c r="P2737" s="124"/>
      <c r="Q2737" s="124"/>
      <c r="R2737" s="124"/>
      <c r="S2737" s="124"/>
      <c r="T2737" s="124"/>
      <c r="U2737" s="124"/>
      <c r="V2737" s="124"/>
      <c r="W2737" s="124"/>
      <c r="X2737" s="124"/>
      <c r="Y2737" s="124"/>
    </row>
    <row r="2738" spans="2:25" x14ac:dyDescent="0.25">
      <c r="B2738" s="124"/>
      <c r="C2738" s="124"/>
      <c r="D2738" s="124"/>
      <c r="E2738" s="124"/>
      <c r="F2738" s="124"/>
      <c r="G2738" s="124"/>
      <c r="H2738" s="124"/>
      <c r="I2738" s="124"/>
      <c r="J2738" s="124"/>
      <c r="K2738" s="124"/>
      <c r="L2738" s="124"/>
      <c r="M2738" s="124"/>
      <c r="N2738" s="124"/>
      <c r="O2738" s="124"/>
      <c r="P2738" s="124"/>
      <c r="Q2738" s="124"/>
      <c r="R2738" s="124"/>
      <c r="S2738" s="124"/>
      <c r="T2738" s="124"/>
      <c r="U2738" s="124"/>
      <c r="V2738" s="124"/>
      <c r="W2738" s="124"/>
      <c r="X2738" s="124"/>
      <c r="Y2738" s="124"/>
    </row>
    <row r="2739" spans="2:25" x14ac:dyDescent="0.25">
      <c r="B2739" s="124"/>
      <c r="C2739" s="124"/>
      <c r="D2739" s="124"/>
      <c r="E2739" s="124"/>
      <c r="F2739" s="124"/>
      <c r="G2739" s="124"/>
      <c r="H2739" s="124"/>
      <c r="I2739" s="124"/>
      <c r="J2739" s="124"/>
      <c r="K2739" s="124"/>
      <c r="L2739" s="124"/>
      <c r="M2739" s="124"/>
      <c r="N2739" s="124"/>
      <c r="O2739" s="124"/>
      <c r="P2739" s="124"/>
      <c r="Q2739" s="124"/>
      <c r="R2739" s="124"/>
      <c r="S2739" s="124"/>
      <c r="T2739" s="124"/>
      <c r="U2739" s="124"/>
      <c r="V2739" s="124"/>
      <c r="W2739" s="124"/>
      <c r="X2739" s="124"/>
      <c r="Y2739" s="124"/>
    </row>
    <row r="2740" spans="2:25" x14ac:dyDescent="0.25">
      <c r="B2740" s="124"/>
      <c r="C2740" s="124"/>
      <c r="D2740" s="124"/>
      <c r="E2740" s="124"/>
      <c r="F2740" s="124"/>
      <c r="G2740" s="124"/>
      <c r="H2740" s="124"/>
      <c r="I2740" s="124"/>
      <c r="J2740" s="124"/>
      <c r="K2740" s="124"/>
      <c r="L2740" s="124"/>
      <c r="M2740" s="124"/>
      <c r="N2740" s="124"/>
      <c r="O2740" s="124"/>
      <c r="P2740" s="124"/>
      <c r="Q2740" s="124"/>
      <c r="R2740" s="124"/>
      <c r="S2740" s="124"/>
      <c r="T2740" s="124"/>
      <c r="U2740" s="124"/>
      <c r="V2740" s="124"/>
      <c r="W2740" s="124"/>
      <c r="X2740" s="124"/>
      <c r="Y2740" s="124"/>
    </row>
    <row r="2741" spans="2:25" x14ac:dyDescent="0.25">
      <c r="B2741" s="124"/>
      <c r="C2741" s="124"/>
      <c r="D2741" s="124"/>
      <c r="E2741" s="124"/>
      <c r="F2741" s="124"/>
      <c r="G2741" s="124"/>
      <c r="H2741" s="124"/>
      <c r="I2741" s="124"/>
      <c r="J2741" s="124"/>
      <c r="K2741" s="124"/>
      <c r="L2741" s="124"/>
      <c r="M2741" s="124"/>
      <c r="N2741" s="124"/>
      <c r="O2741" s="124"/>
      <c r="P2741" s="124"/>
      <c r="Q2741" s="124"/>
      <c r="R2741" s="124"/>
      <c r="S2741" s="124"/>
      <c r="T2741" s="124"/>
      <c r="U2741" s="124"/>
      <c r="V2741" s="124"/>
      <c r="W2741" s="124"/>
      <c r="X2741" s="124"/>
      <c r="Y2741" s="124"/>
    </row>
    <row r="2742" spans="2:25" x14ac:dyDescent="0.25">
      <c r="B2742" s="124"/>
      <c r="C2742" s="124"/>
      <c r="D2742" s="124"/>
      <c r="E2742" s="124"/>
      <c r="F2742" s="124"/>
      <c r="G2742" s="124"/>
      <c r="H2742" s="124"/>
      <c r="I2742" s="124"/>
      <c r="J2742" s="124"/>
      <c r="K2742" s="124"/>
      <c r="L2742" s="124"/>
      <c r="M2742" s="124"/>
      <c r="N2742" s="124"/>
      <c r="O2742" s="124"/>
      <c r="P2742" s="124"/>
      <c r="Q2742" s="124"/>
      <c r="R2742" s="124"/>
      <c r="S2742" s="124"/>
      <c r="T2742" s="124"/>
      <c r="U2742" s="124"/>
      <c r="V2742" s="124"/>
      <c r="W2742" s="124"/>
      <c r="X2742" s="124"/>
      <c r="Y2742" s="124"/>
    </row>
    <row r="2743" spans="2:25" x14ac:dyDescent="0.25">
      <c r="B2743" s="124"/>
      <c r="C2743" s="124"/>
      <c r="D2743" s="124"/>
      <c r="E2743" s="124"/>
      <c r="F2743" s="124"/>
      <c r="G2743" s="124"/>
      <c r="H2743" s="124"/>
      <c r="I2743" s="124"/>
      <c r="J2743" s="124"/>
      <c r="K2743" s="124"/>
      <c r="L2743" s="124"/>
      <c r="M2743" s="124"/>
      <c r="N2743" s="124"/>
      <c r="O2743" s="124"/>
      <c r="P2743" s="124"/>
      <c r="Q2743" s="124"/>
      <c r="R2743" s="124"/>
      <c r="S2743" s="124"/>
      <c r="T2743" s="124"/>
      <c r="U2743" s="124"/>
      <c r="V2743" s="124"/>
      <c r="W2743" s="124"/>
      <c r="X2743" s="124"/>
      <c r="Y2743" s="124"/>
    </row>
    <row r="2744" spans="2:25" x14ac:dyDescent="0.25">
      <c r="B2744" s="124"/>
      <c r="C2744" s="124"/>
      <c r="D2744" s="124"/>
      <c r="E2744" s="124"/>
      <c r="F2744" s="124"/>
      <c r="G2744" s="124"/>
      <c r="H2744" s="124"/>
      <c r="I2744" s="124"/>
      <c r="J2744" s="124"/>
      <c r="K2744" s="124"/>
      <c r="L2744" s="124"/>
      <c r="M2744" s="124"/>
      <c r="N2744" s="124"/>
      <c r="O2744" s="124"/>
      <c r="P2744" s="124"/>
      <c r="Q2744" s="124"/>
      <c r="R2744" s="124"/>
      <c r="S2744" s="124"/>
      <c r="T2744" s="124"/>
      <c r="U2744" s="124"/>
      <c r="V2744" s="124"/>
      <c r="W2744" s="124"/>
      <c r="X2744" s="124"/>
      <c r="Y2744" s="124"/>
    </row>
    <row r="2745" spans="2:25" x14ac:dyDescent="0.25">
      <c r="B2745" s="124"/>
      <c r="C2745" s="124"/>
      <c r="D2745" s="124"/>
      <c r="E2745" s="124"/>
      <c r="F2745" s="124"/>
      <c r="G2745" s="124"/>
      <c r="H2745" s="124"/>
      <c r="I2745" s="124"/>
      <c r="J2745" s="124"/>
      <c r="K2745" s="124"/>
      <c r="L2745" s="124"/>
      <c r="M2745" s="124"/>
      <c r="N2745" s="124"/>
      <c r="O2745" s="124"/>
      <c r="P2745" s="124"/>
      <c r="Q2745" s="124"/>
      <c r="R2745" s="124"/>
      <c r="S2745" s="124"/>
      <c r="T2745" s="124"/>
      <c r="U2745" s="124"/>
      <c r="V2745" s="124"/>
      <c r="W2745" s="124"/>
      <c r="X2745" s="124"/>
      <c r="Y2745" s="124"/>
    </row>
    <row r="2746" spans="2:25" x14ac:dyDescent="0.25">
      <c r="B2746" s="124"/>
      <c r="C2746" s="124"/>
      <c r="D2746" s="124"/>
      <c r="E2746" s="124"/>
      <c r="F2746" s="124"/>
      <c r="G2746" s="124"/>
      <c r="H2746" s="124"/>
      <c r="I2746" s="124"/>
      <c r="J2746" s="124"/>
      <c r="K2746" s="124"/>
      <c r="L2746" s="124"/>
      <c r="M2746" s="124"/>
      <c r="N2746" s="124"/>
      <c r="O2746" s="124"/>
      <c r="P2746" s="124"/>
      <c r="Q2746" s="124"/>
      <c r="R2746" s="124"/>
      <c r="S2746" s="124"/>
      <c r="T2746" s="124"/>
      <c r="U2746" s="124"/>
      <c r="V2746" s="124"/>
      <c r="W2746" s="124"/>
      <c r="X2746" s="124"/>
      <c r="Y2746" s="124"/>
    </row>
    <row r="2747" spans="2:25" x14ac:dyDescent="0.25">
      <c r="B2747" s="124"/>
      <c r="C2747" s="124"/>
      <c r="D2747" s="124"/>
      <c r="E2747" s="124"/>
      <c r="F2747" s="124"/>
      <c r="G2747" s="124"/>
      <c r="H2747" s="124"/>
      <c r="I2747" s="124"/>
      <c r="J2747" s="124"/>
      <c r="K2747" s="124"/>
      <c r="L2747" s="124"/>
      <c r="M2747" s="124"/>
      <c r="N2747" s="124"/>
      <c r="O2747" s="124"/>
      <c r="P2747" s="124"/>
      <c r="Q2747" s="124"/>
      <c r="R2747" s="124"/>
      <c r="S2747" s="124"/>
      <c r="T2747" s="124"/>
      <c r="U2747" s="124"/>
      <c r="V2747" s="124"/>
      <c r="W2747" s="124"/>
      <c r="X2747" s="124"/>
      <c r="Y2747" s="124"/>
    </row>
    <row r="2748" spans="2:25" x14ac:dyDescent="0.25">
      <c r="B2748" s="124"/>
      <c r="C2748" s="124"/>
      <c r="D2748" s="124"/>
      <c r="E2748" s="124"/>
      <c r="F2748" s="124"/>
      <c r="G2748" s="124"/>
      <c r="H2748" s="124"/>
      <c r="I2748" s="124"/>
      <c r="J2748" s="124"/>
      <c r="K2748" s="124"/>
      <c r="L2748" s="124"/>
      <c r="M2748" s="124"/>
      <c r="N2748" s="124"/>
      <c r="O2748" s="124"/>
      <c r="P2748" s="124"/>
      <c r="Q2748" s="124"/>
      <c r="R2748" s="124"/>
      <c r="S2748" s="124"/>
      <c r="T2748" s="124"/>
      <c r="U2748" s="124"/>
      <c r="V2748" s="124"/>
      <c r="W2748" s="124"/>
      <c r="X2748" s="124"/>
      <c r="Y2748" s="124"/>
    </row>
    <row r="2749" spans="2:25" x14ac:dyDescent="0.25">
      <c r="B2749" s="124"/>
      <c r="C2749" s="124"/>
      <c r="D2749" s="124"/>
      <c r="E2749" s="124"/>
      <c r="F2749" s="124"/>
      <c r="G2749" s="124"/>
      <c r="H2749" s="124"/>
      <c r="I2749" s="124"/>
      <c r="J2749" s="124"/>
      <c r="K2749" s="124"/>
      <c r="L2749" s="124"/>
      <c r="M2749" s="124"/>
      <c r="N2749" s="124"/>
      <c r="O2749" s="124"/>
      <c r="P2749" s="124"/>
      <c r="Q2749" s="124"/>
      <c r="R2749" s="124"/>
      <c r="S2749" s="124"/>
      <c r="T2749" s="124"/>
      <c r="U2749" s="124"/>
      <c r="V2749" s="124"/>
      <c r="W2749" s="124"/>
      <c r="X2749" s="124"/>
      <c r="Y2749" s="124"/>
    </row>
    <row r="2750" spans="2:25" x14ac:dyDescent="0.25">
      <c r="B2750" s="124"/>
      <c r="C2750" s="124"/>
      <c r="D2750" s="124"/>
      <c r="E2750" s="124"/>
      <c r="F2750" s="124"/>
      <c r="G2750" s="124"/>
      <c r="H2750" s="124"/>
      <c r="I2750" s="124"/>
      <c r="J2750" s="124"/>
      <c r="K2750" s="124"/>
      <c r="L2750" s="124"/>
      <c r="M2750" s="124"/>
      <c r="N2750" s="124"/>
      <c r="O2750" s="124"/>
      <c r="P2750" s="124"/>
      <c r="Q2750" s="124"/>
      <c r="R2750" s="124"/>
      <c r="S2750" s="124"/>
      <c r="T2750" s="124"/>
      <c r="U2750" s="124"/>
      <c r="V2750" s="124"/>
      <c r="W2750" s="124"/>
      <c r="X2750" s="124"/>
      <c r="Y2750" s="124"/>
    </row>
    <row r="2751" spans="2:25" x14ac:dyDescent="0.25">
      <c r="B2751" s="124"/>
      <c r="C2751" s="124"/>
      <c r="D2751" s="124"/>
      <c r="E2751" s="124"/>
      <c r="F2751" s="124"/>
      <c r="G2751" s="124"/>
      <c r="H2751" s="124"/>
      <c r="I2751" s="124"/>
      <c r="J2751" s="124"/>
      <c r="K2751" s="124"/>
      <c r="L2751" s="124"/>
      <c r="M2751" s="124"/>
      <c r="N2751" s="124"/>
      <c r="O2751" s="124"/>
      <c r="P2751" s="124"/>
      <c r="Q2751" s="124"/>
      <c r="R2751" s="124"/>
      <c r="S2751" s="124"/>
      <c r="T2751" s="124"/>
      <c r="U2751" s="124"/>
      <c r="V2751" s="124"/>
      <c r="W2751" s="124"/>
      <c r="X2751" s="124"/>
      <c r="Y2751" s="124"/>
    </row>
    <row r="2752" spans="2:25" x14ac:dyDescent="0.25">
      <c r="B2752" s="124"/>
      <c r="C2752" s="124"/>
      <c r="D2752" s="124"/>
      <c r="E2752" s="124"/>
      <c r="F2752" s="124"/>
      <c r="G2752" s="124"/>
      <c r="H2752" s="124"/>
      <c r="I2752" s="124"/>
      <c r="J2752" s="124"/>
      <c r="K2752" s="124"/>
      <c r="L2752" s="124"/>
      <c r="M2752" s="124"/>
      <c r="N2752" s="124"/>
      <c r="O2752" s="124"/>
      <c r="P2752" s="124"/>
      <c r="Q2752" s="124"/>
      <c r="R2752" s="124"/>
      <c r="S2752" s="124"/>
      <c r="T2752" s="124"/>
      <c r="U2752" s="124"/>
      <c r="V2752" s="124"/>
      <c r="W2752" s="124"/>
      <c r="X2752" s="124"/>
      <c r="Y2752" s="124"/>
    </row>
    <row r="2753" spans="2:25" x14ac:dyDescent="0.25">
      <c r="B2753" s="124"/>
      <c r="C2753" s="124"/>
      <c r="D2753" s="124"/>
      <c r="E2753" s="124"/>
      <c r="F2753" s="124"/>
      <c r="G2753" s="124"/>
      <c r="H2753" s="124"/>
      <c r="I2753" s="124"/>
      <c r="J2753" s="124"/>
      <c r="K2753" s="124"/>
      <c r="L2753" s="124"/>
      <c r="M2753" s="124"/>
      <c r="N2753" s="124"/>
      <c r="O2753" s="124"/>
      <c r="P2753" s="124"/>
      <c r="Q2753" s="124"/>
      <c r="R2753" s="124"/>
      <c r="S2753" s="124"/>
      <c r="T2753" s="124"/>
      <c r="U2753" s="124"/>
      <c r="V2753" s="124"/>
      <c r="W2753" s="124"/>
      <c r="X2753" s="124"/>
      <c r="Y2753" s="124"/>
    </row>
    <row r="2754" spans="2:25" x14ac:dyDescent="0.25">
      <c r="B2754" s="124"/>
      <c r="C2754" s="124"/>
      <c r="D2754" s="124"/>
      <c r="E2754" s="124"/>
      <c r="F2754" s="124"/>
      <c r="G2754" s="124"/>
      <c r="H2754" s="124"/>
      <c r="I2754" s="124"/>
      <c r="J2754" s="124"/>
      <c r="K2754" s="124"/>
      <c r="L2754" s="124"/>
      <c r="M2754" s="124"/>
      <c r="N2754" s="124"/>
      <c r="O2754" s="124"/>
      <c r="P2754" s="124"/>
      <c r="Q2754" s="124"/>
      <c r="R2754" s="124"/>
      <c r="S2754" s="124"/>
      <c r="T2754" s="124"/>
      <c r="U2754" s="124"/>
      <c r="V2754" s="124"/>
      <c r="W2754" s="124"/>
      <c r="X2754" s="124"/>
      <c r="Y2754" s="124"/>
    </row>
    <row r="2755" spans="2:25" x14ac:dyDescent="0.25">
      <c r="B2755" s="124"/>
      <c r="C2755" s="124"/>
      <c r="D2755" s="124"/>
      <c r="E2755" s="124"/>
      <c r="F2755" s="124"/>
      <c r="G2755" s="124"/>
      <c r="H2755" s="124"/>
      <c r="I2755" s="124"/>
      <c r="J2755" s="124"/>
      <c r="K2755" s="124"/>
      <c r="L2755" s="124"/>
      <c r="M2755" s="124"/>
      <c r="N2755" s="124"/>
      <c r="O2755" s="124"/>
      <c r="P2755" s="124"/>
      <c r="Q2755" s="124"/>
      <c r="R2755" s="124"/>
      <c r="S2755" s="124"/>
      <c r="T2755" s="124"/>
      <c r="U2755" s="124"/>
      <c r="V2755" s="124"/>
      <c r="W2755" s="124"/>
      <c r="X2755" s="124"/>
      <c r="Y2755" s="124"/>
    </row>
    <row r="2756" spans="2:25" x14ac:dyDescent="0.25">
      <c r="B2756" s="124"/>
      <c r="C2756" s="124"/>
      <c r="D2756" s="124"/>
      <c r="E2756" s="124"/>
      <c r="F2756" s="124"/>
      <c r="G2756" s="124"/>
      <c r="H2756" s="124"/>
      <c r="I2756" s="124"/>
      <c r="J2756" s="124"/>
      <c r="K2756" s="124"/>
      <c r="L2756" s="124"/>
      <c r="M2756" s="124"/>
      <c r="N2756" s="124"/>
      <c r="O2756" s="124"/>
      <c r="P2756" s="124"/>
      <c r="Q2756" s="124"/>
      <c r="R2756" s="124"/>
      <c r="S2756" s="124"/>
      <c r="T2756" s="124"/>
      <c r="U2756" s="124"/>
      <c r="V2756" s="124"/>
      <c r="W2756" s="124"/>
      <c r="X2756" s="124"/>
      <c r="Y2756" s="124"/>
    </row>
    <row r="2757" spans="2:25" x14ac:dyDescent="0.25">
      <c r="B2757" s="124"/>
      <c r="C2757" s="124"/>
      <c r="D2757" s="124"/>
      <c r="E2757" s="124"/>
      <c r="F2757" s="124"/>
      <c r="G2757" s="124"/>
      <c r="H2757" s="124"/>
      <c r="I2757" s="124"/>
      <c r="J2757" s="124"/>
      <c r="K2757" s="124"/>
      <c r="L2757" s="124"/>
      <c r="M2757" s="124"/>
      <c r="N2757" s="124"/>
      <c r="O2757" s="124"/>
      <c r="P2757" s="124"/>
      <c r="Q2757" s="124"/>
      <c r="R2757" s="124"/>
      <c r="S2757" s="124"/>
      <c r="T2757" s="124"/>
      <c r="U2757" s="124"/>
      <c r="V2757" s="124"/>
      <c r="W2757" s="124"/>
      <c r="X2757" s="124"/>
      <c r="Y2757" s="124"/>
    </row>
    <row r="2758" spans="2:25" x14ac:dyDescent="0.25">
      <c r="B2758" s="124"/>
      <c r="C2758" s="124"/>
      <c r="D2758" s="124"/>
      <c r="E2758" s="124"/>
      <c r="F2758" s="124"/>
      <c r="G2758" s="124"/>
      <c r="H2758" s="124"/>
      <c r="I2758" s="124"/>
      <c r="J2758" s="124"/>
      <c r="K2758" s="124"/>
      <c r="L2758" s="124"/>
      <c r="M2758" s="124"/>
      <c r="N2758" s="124"/>
      <c r="O2758" s="124"/>
      <c r="P2758" s="124"/>
      <c r="Q2758" s="124"/>
      <c r="R2758" s="124"/>
      <c r="S2758" s="124"/>
      <c r="T2758" s="124"/>
      <c r="U2758" s="124"/>
      <c r="V2758" s="124"/>
      <c r="W2758" s="124"/>
      <c r="X2758" s="124"/>
      <c r="Y2758" s="124"/>
    </row>
    <row r="2759" spans="2:25" x14ac:dyDescent="0.25">
      <c r="B2759" s="124"/>
      <c r="C2759" s="124"/>
      <c r="D2759" s="124"/>
      <c r="E2759" s="124"/>
      <c r="F2759" s="124"/>
      <c r="G2759" s="124"/>
      <c r="H2759" s="124"/>
      <c r="I2759" s="124"/>
      <c r="J2759" s="124"/>
      <c r="K2759" s="124"/>
      <c r="L2759" s="124"/>
      <c r="M2759" s="124"/>
      <c r="N2759" s="124"/>
      <c r="O2759" s="124"/>
      <c r="P2759" s="124"/>
      <c r="Q2759" s="124"/>
      <c r="R2759" s="124"/>
      <c r="S2759" s="124"/>
      <c r="T2759" s="124"/>
      <c r="U2759" s="124"/>
      <c r="V2759" s="124"/>
      <c r="W2759" s="124"/>
      <c r="X2759" s="124"/>
      <c r="Y2759" s="124"/>
    </row>
    <row r="2760" spans="2:25" x14ac:dyDescent="0.25">
      <c r="B2760" s="124"/>
      <c r="C2760" s="124"/>
      <c r="D2760" s="124"/>
      <c r="E2760" s="124"/>
      <c r="F2760" s="124"/>
      <c r="G2760" s="124"/>
      <c r="H2760" s="124"/>
      <c r="I2760" s="124"/>
      <c r="J2760" s="124"/>
      <c r="K2760" s="124"/>
      <c r="L2760" s="124"/>
      <c r="M2760" s="124"/>
      <c r="N2760" s="124"/>
      <c r="O2760" s="124"/>
      <c r="P2760" s="124"/>
      <c r="Q2760" s="124"/>
      <c r="R2760" s="124"/>
      <c r="S2760" s="124"/>
      <c r="T2760" s="124"/>
      <c r="U2760" s="124"/>
      <c r="V2760" s="124"/>
      <c r="W2760" s="124"/>
      <c r="X2760" s="124"/>
      <c r="Y2760" s="124"/>
    </row>
    <row r="2761" spans="2:25" x14ac:dyDescent="0.25">
      <c r="B2761" s="124"/>
      <c r="C2761" s="124"/>
      <c r="D2761" s="124"/>
      <c r="E2761" s="124"/>
      <c r="F2761" s="124"/>
      <c r="G2761" s="124"/>
      <c r="H2761" s="124"/>
      <c r="I2761" s="124"/>
      <c r="J2761" s="124"/>
      <c r="K2761" s="124"/>
      <c r="L2761" s="124"/>
      <c r="M2761" s="124"/>
      <c r="N2761" s="124"/>
      <c r="O2761" s="124"/>
      <c r="P2761" s="124"/>
      <c r="Q2761" s="124"/>
      <c r="R2761" s="124"/>
      <c r="S2761" s="124"/>
      <c r="T2761" s="124"/>
      <c r="U2761" s="124"/>
      <c r="V2761" s="124"/>
      <c r="W2761" s="124"/>
      <c r="X2761" s="124"/>
      <c r="Y2761" s="124"/>
    </row>
    <row r="2762" spans="2:25" x14ac:dyDescent="0.25">
      <c r="B2762" s="124"/>
      <c r="C2762" s="124"/>
      <c r="D2762" s="124"/>
      <c r="E2762" s="124"/>
      <c r="F2762" s="124"/>
      <c r="G2762" s="124"/>
      <c r="H2762" s="124"/>
      <c r="I2762" s="124"/>
      <c r="J2762" s="124"/>
      <c r="K2762" s="124"/>
      <c r="L2762" s="124"/>
      <c r="M2762" s="124"/>
      <c r="N2762" s="124"/>
      <c r="O2762" s="124"/>
      <c r="P2762" s="124"/>
      <c r="Q2762" s="124"/>
      <c r="R2762" s="124"/>
      <c r="S2762" s="124"/>
      <c r="T2762" s="124"/>
      <c r="U2762" s="124"/>
      <c r="V2762" s="124"/>
      <c r="W2762" s="124"/>
      <c r="X2762" s="124"/>
      <c r="Y2762" s="124"/>
    </row>
    <row r="2763" spans="2:25" x14ac:dyDescent="0.25">
      <c r="B2763" s="124"/>
      <c r="C2763" s="124"/>
      <c r="D2763" s="124"/>
      <c r="E2763" s="124"/>
      <c r="F2763" s="124"/>
      <c r="G2763" s="124"/>
      <c r="H2763" s="124"/>
      <c r="I2763" s="124"/>
      <c r="J2763" s="124"/>
      <c r="K2763" s="124"/>
      <c r="L2763" s="124"/>
      <c r="M2763" s="124"/>
      <c r="N2763" s="124"/>
      <c r="O2763" s="124"/>
      <c r="P2763" s="124"/>
      <c r="Q2763" s="124"/>
      <c r="R2763" s="124"/>
      <c r="S2763" s="124"/>
      <c r="T2763" s="124"/>
      <c r="U2763" s="124"/>
      <c r="V2763" s="124"/>
      <c r="W2763" s="124"/>
      <c r="X2763" s="124"/>
      <c r="Y2763" s="124"/>
    </row>
    <row r="2764" spans="2:25" x14ac:dyDescent="0.25">
      <c r="B2764" s="124"/>
      <c r="C2764" s="124"/>
      <c r="D2764" s="124"/>
      <c r="E2764" s="124"/>
      <c r="F2764" s="124"/>
      <c r="G2764" s="124"/>
      <c r="H2764" s="124"/>
      <c r="I2764" s="124"/>
      <c r="J2764" s="124"/>
      <c r="K2764" s="124"/>
      <c r="L2764" s="124"/>
      <c r="M2764" s="124"/>
      <c r="N2764" s="124"/>
      <c r="O2764" s="124"/>
      <c r="P2764" s="124"/>
      <c r="Q2764" s="124"/>
      <c r="R2764" s="124"/>
      <c r="S2764" s="124"/>
      <c r="T2764" s="124"/>
      <c r="U2764" s="124"/>
      <c r="V2764" s="124"/>
      <c r="W2764" s="124"/>
      <c r="X2764" s="124"/>
      <c r="Y2764" s="124"/>
    </row>
    <row r="2765" spans="2:25" x14ac:dyDescent="0.25">
      <c r="B2765" s="124"/>
      <c r="C2765" s="124"/>
      <c r="D2765" s="124"/>
      <c r="E2765" s="124"/>
      <c r="F2765" s="124"/>
      <c r="G2765" s="124"/>
      <c r="H2765" s="124"/>
      <c r="I2765" s="124"/>
      <c r="J2765" s="124"/>
      <c r="K2765" s="124"/>
      <c r="L2765" s="124"/>
      <c r="M2765" s="124"/>
      <c r="N2765" s="124"/>
      <c r="O2765" s="124"/>
      <c r="P2765" s="124"/>
      <c r="Q2765" s="124"/>
      <c r="R2765" s="124"/>
      <c r="S2765" s="124"/>
      <c r="T2765" s="124"/>
      <c r="U2765" s="124"/>
      <c r="V2765" s="124"/>
      <c r="W2765" s="124"/>
      <c r="X2765" s="124"/>
      <c r="Y2765" s="124"/>
    </row>
    <row r="2766" spans="2:25" x14ac:dyDescent="0.25">
      <c r="B2766" s="124"/>
      <c r="C2766" s="124"/>
      <c r="D2766" s="124"/>
      <c r="E2766" s="124"/>
      <c r="F2766" s="124"/>
      <c r="G2766" s="124"/>
      <c r="H2766" s="124"/>
      <c r="I2766" s="124"/>
      <c r="J2766" s="124"/>
      <c r="K2766" s="124"/>
      <c r="L2766" s="124"/>
      <c r="M2766" s="124"/>
      <c r="N2766" s="124"/>
      <c r="O2766" s="124"/>
      <c r="P2766" s="124"/>
      <c r="Q2766" s="124"/>
      <c r="R2766" s="124"/>
      <c r="S2766" s="124"/>
      <c r="T2766" s="124"/>
      <c r="U2766" s="124"/>
      <c r="V2766" s="124"/>
      <c r="W2766" s="124"/>
      <c r="X2766" s="124"/>
      <c r="Y2766" s="124"/>
    </row>
    <row r="2767" spans="2:25" x14ac:dyDescent="0.25">
      <c r="B2767" s="124"/>
      <c r="C2767" s="124"/>
      <c r="D2767" s="124"/>
      <c r="E2767" s="124"/>
      <c r="F2767" s="124"/>
      <c r="G2767" s="124"/>
      <c r="H2767" s="124"/>
      <c r="I2767" s="124"/>
      <c r="J2767" s="124"/>
      <c r="K2767" s="124"/>
      <c r="L2767" s="124"/>
      <c r="M2767" s="124"/>
      <c r="N2767" s="124"/>
      <c r="O2767" s="124"/>
      <c r="P2767" s="124"/>
      <c r="Q2767" s="124"/>
      <c r="R2767" s="124"/>
      <c r="S2767" s="124"/>
      <c r="T2767" s="124"/>
      <c r="U2767" s="124"/>
      <c r="V2767" s="124"/>
      <c r="W2767" s="124"/>
      <c r="X2767" s="124"/>
      <c r="Y2767" s="124"/>
    </row>
    <row r="2768" spans="2:25" x14ac:dyDescent="0.25">
      <c r="B2768" s="124"/>
      <c r="C2768" s="124"/>
      <c r="D2768" s="124"/>
      <c r="E2768" s="124"/>
      <c r="F2768" s="124"/>
      <c r="G2768" s="124"/>
      <c r="H2768" s="124"/>
      <c r="I2768" s="124"/>
      <c r="J2768" s="124"/>
      <c r="K2768" s="124"/>
      <c r="L2768" s="124"/>
      <c r="M2768" s="124"/>
      <c r="N2768" s="124"/>
      <c r="O2768" s="124"/>
      <c r="P2768" s="124"/>
      <c r="Q2768" s="124"/>
      <c r="R2768" s="124"/>
      <c r="S2768" s="124"/>
      <c r="T2768" s="124"/>
      <c r="U2768" s="124"/>
      <c r="V2768" s="124"/>
      <c r="W2768" s="124"/>
      <c r="X2768" s="124"/>
      <c r="Y2768" s="124"/>
    </row>
    <row r="2769" spans="2:25" x14ac:dyDescent="0.25">
      <c r="B2769" s="124"/>
      <c r="C2769" s="124"/>
      <c r="D2769" s="124"/>
      <c r="E2769" s="124"/>
      <c r="F2769" s="124"/>
      <c r="G2769" s="124"/>
      <c r="H2769" s="124"/>
      <c r="I2769" s="124"/>
      <c r="J2769" s="124"/>
      <c r="K2769" s="124"/>
      <c r="L2769" s="124"/>
      <c r="M2769" s="124"/>
      <c r="N2769" s="124"/>
      <c r="O2769" s="124"/>
      <c r="P2769" s="124"/>
      <c r="Q2769" s="124"/>
      <c r="R2769" s="124"/>
      <c r="S2769" s="124"/>
      <c r="T2769" s="124"/>
      <c r="U2769" s="124"/>
      <c r="V2769" s="124"/>
      <c r="W2769" s="124"/>
      <c r="X2769" s="124"/>
      <c r="Y2769" s="124"/>
    </row>
    <row r="2770" spans="2:25" x14ac:dyDescent="0.25">
      <c r="B2770" s="124"/>
      <c r="C2770" s="124"/>
      <c r="D2770" s="124"/>
      <c r="E2770" s="124"/>
      <c r="F2770" s="124"/>
      <c r="G2770" s="124"/>
      <c r="H2770" s="124"/>
      <c r="I2770" s="124"/>
      <c r="J2770" s="124"/>
      <c r="K2770" s="124"/>
      <c r="L2770" s="124"/>
      <c r="M2770" s="124"/>
      <c r="N2770" s="124"/>
      <c r="O2770" s="124"/>
      <c r="P2770" s="124"/>
      <c r="Q2770" s="124"/>
      <c r="R2770" s="124"/>
      <c r="S2770" s="124"/>
      <c r="T2770" s="124"/>
      <c r="U2770" s="124"/>
      <c r="V2770" s="124"/>
      <c r="W2770" s="124"/>
      <c r="X2770" s="124"/>
      <c r="Y2770" s="124"/>
    </row>
    <row r="2771" spans="2:25" x14ac:dyDescent="0.25">
      <c r="B2771" s="124"/>
      <c r="C2771" s="124"/>
      <c r="D2771" s="124"/>
      <c r="E2771" s="124"/>
      <c r="F2771" s="124"/>
      <c r="G2771" s="124"/>
      <c r="H2771" s="124"/>
      <c r="I2771" s="124"/>
      <c r="J2771" s="124"/>
      <c r="K2771" s="124"/>
      <c r="L2771" s="124"/>
      <c r="M2771" s="124"/>
      <c r="N2771" s="124"/>
      <c r="O2771" s="124"/>
      <c r="P2771" s="124"/>
      <c r="Q2771" s="124"/>
      <c r="R2771" s="124"/>
      <c r="S2771" s="124"/>
      <c r="T2771" s="124"/>
      <c r="U2771" s="124"/>
      <c r="V2771" s="124"/>
      <c r="W2771" s="124"/>
      <c r="X2771" s="124"/>
      <c r="Y2771" s="124"/>
    </row>
    <row r="2772" spans="2:25" x14ac:dyDescent="0.25">
      <c r="B2772" s="124"/>
      <c r="C2772" s="124"/>
      <c r="D2772" s="124"/>
      <c r="E2772" s="124"/>
      <c r="F2772" s="124"/>
      <c r="G2772" s="124"/>
      <c r="H2772" s="124"/>
      <c r="I2772" s="124"/>
      <c r="J2772" s="124"/>
      <c r="K2772" s="124"/>
      <c r="L2772" s="124"/>
      <c r="M2772" s="124"/>
      <c r="N2772" s="124"/>
      <c r="O2772" s="124"/>
      <c r="P2772" s="124"/>
      <c r="Q2772" s="124"/>
      <c r="R2772" s="124"/>
      <c r="S2772" s="124"/>
      <c r="T2772" s="124"/>
      <c r="U2772" s="124"/>
      <c r="V2772" s="124"/>
      <c r="W2772" s="124"/>
      <c r="X2772" s="124"/>
      <c r="Y2772" s="124"/>
    </row>
    <row r="2773" spans="2:25" x14ac:dyDescent="0.25">
      <c r="B2773" s="124"/>
      <c r="C2773" s="124"/>
      <c r="D2773" s="124"/>
      <c r="E2773" s="124"/>
      <c r="F2773" s="124"/>
      <c r="G2773" s="124"/>
      <c r="H2773" s="124"/>
      <c r="I2773" s="124"/>
      <c r="J2773" s="124"/>
      <c r="K2773" s="124"/>
      <c r="L2773" s="124"/>
      <c r="M2773" s="124"/>
      <c r="N2773" s="124"/>
      <c r="O2773" s="124"/>
      <c r="P2773" s="124"/>
      <c r="Q2773" s="124"/>
      <c r="R2773" s="124"/>
      <c r="S2773" s="124"/>
      <c r="T2773" s="124"/>
      <c r="U2773" s="124"/>
      <c r="V2773" s="124"/>
      <c r="W2773" s="124"/>
      <c r="X2773" s="124"/>
      <c r="Y2773" s="124"/>
    </row>
    <row r="2774" spans="2:25" x14ac:dyDescent="0.25">
      <c r="B2774" s="124"/>
      <c r="C2774" s="124"/>
      <c r="D2774" s="124"/>
      <c r="E2774" s="124"/>
      <c r="F2774" s="124"/>
      <c r="G2774" s="124"/>
      <c r="H2774" s="124"/>
      <c r="I2774" s="124"/>
      <c r="J2774" s="124"/>
      <c r="K2774" s="124"/>
      <c r="L2774" s="124"/>
      <c r="M2774" s="124"/>
      <c r="N2774" s="124"/>
      <c r="O2774" s="124"/>
      <c r="P2774" s="124"/>
      <c r="Q2774" s="124"/>
      <c r="R2774" s="124"/>
      <c r="S2774" s="124"/>
      <c r="T2774" s="124"/>
      <c r="U2774" s="124"/>
      <c r="V2774" s="124"/>
      <c r="W2774" s="124"/>
      <c r="X2774" s="124"/>
      <c r="Y2774" s="124"/>
    </row>
    <row r="2775" spans="2:25" x14ac:dyDescent="0.25">
      <c r="B2775" s="124"/>
      <c r="C2775" s="124"/>
      <c r="D2775" s="124"/>
      <c r="E2775" s="124"/>
      <c r="F2775" s="124"/>
      <c r="G2775" s="124"/>
      <c r="H2775" s="124"/>
      <c r="I2775" s="124"/>
      <c r="J2775" s="124"/>
      <c r="K2775" s="124"/>
      <c r="L2775" s="124"/>
      <c r="M2775" s="124"/>
      <c r="N2775" s="124"/>
      <c r="O2775" s="124"/>
      <c r="P2775" s="124"/>
      <c r="Q2775" s="124"/>
      <c r="R2775" s="124"/>
      <c r="S2775" s="124"/>
      <c r="T2775" s="124"/>
      <c r="U2775" s="124"/>
      <c r="V2775" s="124"/>
      <c r="W2775" s="124"/>
      <c r="X2775" s="124"/>
      <c r="Y2775" s="124"/>
    </row>
    <row r="2776" spans="2:25" x14ac:dyDescent="0.25">
      <c r="B2776" s="124"/>
      <c r="C2776" s="124"/>
      <c r="D2776" s="124"/>
      <c r="E2776" s="124"/>
      <c r="F2776" s="124"/>
      <c r="G2776" s="124"/>
      <c r="H2776" s="124"/>
      <c r="I2776" s="124"/>
      <c r="J2776" s="124"/>
      <c r="K2776" s="124"/>
      <c r="L2776" s="124"/>
      <c r="M2776" s="124"/>
      <c r="N2776" s="124"/>
      <c r="O2776" s="124"/>
      <c r="P2776" s="124"/>
      <c r="Q2776" s="124"/>
      <c r="R2776" s="124"/>
      <c r="S2776" s="124"/>
      <c r="T2776" s="124"/>
      <c r="U2776" s="124"/>
      <c r="V2776" s="124"/>
      <c r="W2776" s="124"/>
      <c r="X2776" s="124"/>
      <c r="Y2776" s="124"/>
    </row>
    <row r="2777" spans="2:25" x14ac:dyDescent="0.25">
      <c r="B2777" s="124"/>
      <c r="C2777" s="124"/>
      <c r="D2777" s="124"/>
      <c r="E2777" s="124"/>
      <c r="F2777" s="124"/>
      <c r="G2777" s="124"/>
      <c r="H2777" s="124"/>
      <c r="I2777" s="124"/>
      <c r="J2777" s="124"/>
      <c r="K2777" s="124"/>
      <c r="L2777" s="124"/>
      <c r="M2777" s="124"/>
      <c r="N2777" s="124"/>
      <c r="O2777" s="124"/>
      <c r="P2777" s="124"/>
      <c r="Q2777" s="124"/>
      <c r="R2777" s="124"/>
      <c r="S2777" s="124"/>
      <c r="T2777" s="124"/>
      <c r="U2777" s="124"/>
      <c r="V2777" s="124"/>
      <c r="W2777" s="124"/>
      <c r="X2777" s="124"/>
      <c r="Y2777" s="124"/>
    </row>
    <row r="2778" spans="2:25" x14ac:dyDescent="0.25">
      <c r="B2778" s="124"/>
      <c r="C2778" s="124"/>
      <c r="D2778" s="124"/>
      <c r="E2778" s="124"/>
      <c r="F2778" s="124"/>
      <c r="G2778" s="124"/>
      <c r="H2778" s="124"/>
      <c r="I2778" s="124"/>
      <c r="J2778" s="124"/>
      <c r="K2778" s="124"/>
      <c r="L2778" s="124"/>
      <c r="M2778" s="124"/>
      <c r="N2778" s="124"/>
      <c r="O2778" s="124"/>
      <c r="P2778" s="124"/>
      <c r="Q2778" s="124"/>
      <c r="R2778" s="124"/>
      <c r="S2778" s="124"/>
      <c r="T2778" s="124"/>
      <c r="U2778" s="124"/>
      <c r="V2778" s="124"/>
      <c r="W2778" s="124"/>
      <c r="X2778" s="124"/>
      <c r="Y2778" s="124"/>
    </row>
    <row r="2779" spans="2:25" x14ac:dyDescent="0.25">
      <c r="B2779" s="124"/>
      <c r="C2779" s="124"/>
      <c r="D2779" s="124"/>
      <c r="E2779" s="124"/>
      <c r="F2779" s="124"/>
      <c r="G2779" s="124"/>
      <c r="H2779" s="124"/>
      <c r="I2779" s="124"/>
      <c r="J2779" s="124"/>
      <c r="K2779" s="124"/>
      <c r="L2779" s="124"/>
      <c r="M2779" s="124"/>
      <c r="N2779" s="124"/>
      <c r="O2779" s="124"/>
      <c r="P2779" s="124"/>
      <c r="Q2779" s="124"/>
      <c r="R2779" s="124"/>
      <c r="S2779" s="124"/>
      <c r="T2779" s="124"/>
      <c r="U2779" s="124"/>
      <c r="V2779" s="124"/>
      <c r="W2779" s="124"/>
      <c r="X2779" s="124"/>
      <c r="Y2779" s="124"/>
    </row>
    <row r="2780" spans="2:25" x14ac:dyDescent="0.25">
      <c r="B2780" s="124"/>
      <c r="C2780" s="124"/>
      <c r="D2780" s="124"/>
      <c r="E2780" s="124"/>
      <c r="F2780" s="124"/>
      <c r="G2780" s="124"/>
      <c r="H2780" s="124"/>
      <c r="I2780" s="124"/>
      <c r="J2780" s="124"/>
      <c r="K2780" s="124"/>
      <c r="L2780" s="124"/>
      <c r="M2780" s="124"/>
      <c r="N2780" s="124"/>
      <c r="O2780" s="124"/>
      <c r="P2780" s="124"/>
      <c r="Q2780" s="124"/>
      <c r="R2780" s="124"/>
      <c r="S2780" s="124"/>
      <c r="T2780" s="124"/>
      <c r="U2780" s="124"/>
      <c r="V2780" s="124"/>
      <c r="W2780" s="124"/>
      <c r="X2780" s="124"/>
      <c r="Y2780" s="124"/>
    </row>
    <row r="2781" spans="2:25" x14ac:dyDescent="0.25">
      <c r="B2781" s="124"/>
      <c r="C2781" s="124"/>
      <c r="D2781" s="124"/>
      <c r="E2781" s="124"/>
      <c r="F2781" s="124"/>
      <c r="G2781" s="124"/>
      <c r="H2781" s="124"/>
      <c r="I2781" s="124"/>
      <c r="J2781" s="124"/>
      <c r="K2781" s="124"/>
      <c r="L2781" s="124"/>
      <c r="M2781" s="124"/>
      <c r="N2781" s="124"/>
      <c r="O2781" s="124"/>
      <c r="P2781" s="124"/>
      <c r="Q2781" s="124"/>
      <c r="R2781" s="124"/>
      <c r="S2781" s="124"/>
      <c r="T2781" s="124"/>
      <c r="U2781" s="124"/>
      <c r="V2781" s="124"/>
      <c r="W2781" s="124"/>
      <c r="X2781" s="124"/>
      <c r="Y2781" s="124"/>
    </row>
    <row r="2782" spans="2:25" x14ac:dyDescent="0.25">
      <c r="B2782" s="124"/>
      <c r="C2782" s="124"/>
      <c r="D2782" s="124"/>
      <c r="E2782" s="124"/>
      <c r="F2782" s="124"/>
      <c r="G2782" s="124"/>
      <c r="H2782" s="124"/>
      <c r="I2782" s="124"/>
      <c r="J2782" s="124"/>
      <c r="K2782" s="124"/>
      <c r="L2782" s="124"/>
      <c r="M2782" s="124"/>
      <c r="N2782" s="124"/>
      <c r="O2782" s="124"/>
      <c r="P2782" s="124"/>
      <c r="Q2782" s="124"/>
      <c r="R2782" s="124"/>
      <c r="S2782" s="124"/>
      <c r="T2782" s="124"/>
      <c r="U2782" s="124"/>
      <c r="V2782" s="124"/>
      <c r="W2782" s="124"/>
      <c r="X2782" s="124"/>
      <c r="Y2782" s="124"/>
    </row>
    <row r="2783" spans="2:25" x14ac:dyDescent="0.25">
      <c r="B2783" s="124"/>
      <c r="C2783" s="124"/>
      <c r="D2783" s="124"/>
      <c r="E2783" s="124"/>
      <c r="F2783" s="124"/>
      <c r="G2783" s="124"/>
      <c r="H2783" s="124"/>
      <c r="I2783" s="124"/>
      <c r="J2783" s="124"/>
      <c r="K2783" s="124"/>
      <c r="L2783" s="124"/>
      <c r="M2783" s="124"/>
      <c r="N2783" s="124"/>
      <c r="O2783" s="124"/>
      <c r="P2783" s="124"/>
      <c r="Q2783" s="124"/>
      <c r="R2783" s="124"/>
      <c r="S2783" s="124"/>
      <c r="T2783" s="124"/>
      <c r="U2783" s="124"/>
      <c r="V2783" s="124"/>
      <c r="W2783" s="124"/>
      <c r="X2783" s="124"/>
      <c r="Y2783" s="124"/>
    </row>
    <row r="2784" spans="2:25" x14ac:dyDescent="0.25">
      <c r="B2784" s="124"/>
      <c r="C2784" s="124"/>
      <c r="D2784" s="124"/>
      <c r="E2784" s="124"/>
      <c r="F2784" s="124"/>
      <c r="G2784" s="124"/>
      <c r="H2784" s="124"/>
      <c r="I2784" s="124"/>
      <c r="J2784" s="124"/>
      <c r="K2784" s="124"/>
      <c r="L2784" s="124"/>
      <c r="M2784" s="124"/>
      <c r="N2784" s="124"/>
      <c r="O2784" s="124"/>
      <c r="P2784" s="124"/>
      <c r="Q2784" s="124"/>
      <c r="R2784" s="124"/>
      <c r="S2784" s="124"/>
      <c r="T2784" s="124"/>
      <c r="U2784" s="124"/>
      <c r="V2784" s="124"/>
      <c r="W2784" s="124"/>
      <c r="X2784" s="124"/>
      <c r="Y2784" s="124"/>
    </row>
    <row r="2785" spans="2:25" x14ac:dyDescent="0.25">
      <c r="B2785" s="124"/>
      <c r="C2785" s="124"/>
      <c r="D2785" s="124"/>
      <c r="E2785" s="124"/>
      <c r="F2785" s="124"/>
      <c r="G2785" s="124"/>
      <c r="H2785" s="124"/>
      <c r="I2785" s="124"/>
      <c r="J2785" s="124"/>
      <c r="K2785" s="124"/>
      <c r="L2785" s="124"/>
      <c r="M2785" s="124"/>
      <c r="N2785" s="124"/>
      <c r="O2785" s="124"/>
      <c r="P2785" s="124"/>
      <c r="Q2785" s="124"/>
      <c r="R2785" s="124"/>
      <c r="S2785" s="124"/>
      <c r="T2785" s="124"/>
      <c r="U2785" s="124"/>
      <c r="V2785" s="124"/>
      <c r="W2785" s="124"/>
      <c r="X2785" s="124"/>
      <c r="Y2785" s="124"/>
    </row>
    <row r="2786" spans="2:25" x14ac:dyDescent="0.25">
      <c r="B2786" s="124"/>
      <c r="C2786" s="124"/>
      <c r="D2786" s="124"/>
      <c r="E2786" s="124"/>
      <c r="F2786" s="124"/>
      <c r="G2786" s="124"/>
      <c r="H2786" s="124"/>
      <c r="I2786" s="124"/>
      <c r="J2786" s="124"/>
      <c r="K2786" s="124"/>
      <c r="L2786" s="124"/>
      <c r="M2786" s="124"/>
      <c r="N2786" s="124"/>
      <c r="O2786" s="124"/>
      <c r="P2786" s="124"/>
      <c r="Q2786" s="124"/>
      <c r="R2786" s="124"/>
      <c r="S2786" s="124"/>
      <c r="T2786" s="124"/>
      <c r="U2786" s="124"/>
      <c r="V2786" s="124"/>
      <c r="W2786" s="124"/>
      <c r="X2786" s="124"/>
      <c r="Y2786" s="124"/>
    </row>
    <row r="2787" spans="2:25" x14ac:dyDescent="0.25">
      <c r="B2787" s="124"/>
      <c r="C2787" s="124"/>
      <c r="D2787" s="124"/>
      <c r="E2787" s="124"/>
      <c r="F2787" s="124"/>
      <c r="G2787" s="124"/>
      <c r="H2787" s="124"/>
      <c r="I2787" s="124"/>
      <c r="J2787" s="124"/>
      <c r="K2787" s="124"/>
      <c r="L2787" s="124"/>
      <c r="M2787" s="124"/>
      <c r="N2787" s="124"/>
      <c r="O2787" s="124"/>
      <c r="P2787" s="124"/>
      <c r="Q2787" s="124"/>
      <c r="R2787" s="124"/>
      <c r="S2787" s="124"/>
      <c r="T2787" s="124"/>
      <c r="U2787" s="124"/>
      <c r="V2787" s="124"/>
      <c r="W2787" s="124"/>
      <c r="X2787" s="124"/>
      <c r="Y2787" s="124"/>
    </row>
    <row r="2788" spans="2:25" x14ac:dyDescent="0.25">
      <c r="B2788" s="124"/>
      <c r="C2788" s="124"/>
      <c r="D2788" s="124"/>
      <c r="E2788" s="124"/>
      <c r="F2788" s="124"/>
      <c r="G2788" s="124"/>
      <c r="H2788" s="124"/>
      <c r="I2788" s="124"/>
      <c r="J2788" s="124"/>
      <c r="K2788" s="124"/>
      <c r="L2788" s="124"/>
      <c r="M2788" s="124"/>
      <c r="N2788" s="124"/>
      <c r="O2788" s="124"/>
      <c r="P2788" s="124"/>
      <c r="Q2788" s="124"/>
      <c r="R2788" s="124"/>
      <c r="S2788" s="124"/>
      <c r="T2788" s="124"/>
      <c r="U2788" s="124"/>
      <c r="V2788" s="124"/>
      <c r="W2788" s="124"/>
      <c r="X2788" s="124"/>
      <c r="Y2788" s="124"/>
    </row>
    <row r="2789" spans="2:25" x14ac:dyDescent="0.25">
      <c r="B2789" s="124"/>
      <c r="C2789" s="124"/>
      <c r="D2789" s="124"/>
      <c r="E2789" s="124"/>
      <c r="F2789" s="124"/>
      <c r="G2789" s="124"/>
      <c r="H2789" s="124"/>
      <c r="I2789" s="124"/>
      <c r="J2789" s="124"/>
      <c r="K2789" s="124"/>
      <c r="L2789" s="124"/>
      <c r="M2789" s="124"/>
      <c r="N2789" s="124"/>
      <c r="O2789" s="124"/>
      <c r="P2789" s="124"/>
      <c r="Q2789" s="124"/>
      <c r="R2789" s="124"/>
      <c r="S2789" s="124"/>
      <c r="T2789" s="124"/>
      <c r="U2789" s="124"/>
      <c r="V2789" s="124"/>
      <c r="W2789" s="124"/>
      <c r="X2789" s="124"/>
      <c r="Y2789" s="124"/>
    </row>
    <row r="2790" spans="2:25" x14ac:dyDescent="0.25">
      <c r="B2790" s="124"/>
      <c r="C2790" s="124"/>
      <c r="D2790" s="124"/>
      <c r="E2790" s="124"/>
      <c r="F2790" s="124"/>
      <c r="G2790" s="124"/>
      <c r="H2790" s="124"/>
      <c r="I2790" s="124"/>
      <c r="J2790" s="124"/>
      <c r="K2790" s="124"/>
      <c r="L2790" s="124"/>
      <c r="M2790" s="124"/>
      <c r="N2790" s="124"/>
      <c r="O2790" s="124"/>
      <c r="P2790" s="124"/>
      <c r="Q2790" s="124"/>
      <c r="R2790" s="124"/>
      <c r="S2790" s="124"/>
      <c r="T2790" s="124"/>
      <c r="U2790" s="124"/>
      <c r="V2790" s="124"/>
      <c r="W2790" s="124"/>
      <c r="X2790" s="124"/>
      <c r="Y2790" s="124"/>
    </row>
    <row r="2791" spans="2:25" x14ac:dyDescent="0.25">
      <c r="B2791" s="124"/>
      <c r="C2791" s="124"/>
      <c r="D2791" s="124"/>
      <c r="E2791" s="124"/>
      <c r="F2791" s="124"/>
      <c r="G2791" s="124"/>
      <c r="H2791" s="124"/>
      <c r="I2791" s="124"/>
      <c r="J2791" s="124"/>
      <c r="K2791" s="124"/>
      <c r="L2791" s="124"/>
      <c r="M2791" s="124"/>
      <c r="N2791" s="124"/>
      <c r="O2791" s="124"/>
      <c r="P2791" s="124"/>
      <c r="Q2791" s="124"/>
      <c r="R2791" s="124"/>
      <c r="S2791" s="124"/>
      <c r="T2791" s="124"/>
      <c r="U2791" s="124"/>
      <c r="V2791" s="124"/>
      <c r="W2791" s="124"/>
      <c r="X2791" s="124"/>
      <c r="Y2791" s="124"/>
    </row>
    <row r="2792" spans="2:25" x14ac:dyDescent="0.25">
      <c r="B2792" s="124"/>
      <c r="C2792" s="124"/>
      <c r="D2792" s="124"/>
      <c r="E2792" s="124"/>
      <c r="F2792" s="124"/>
      <c r="G2792" s="124"/>
      <c r="H2792" s="124"/>
      <c r="I2792" s="124"/>
      <c r="J2792" s="124"/>
      <c r="K2792" s="124"/>
      <c r="L2792" s="124"/>
      <c r="M2792" s="124"/>
      <c r="N2792" s="124"/>
      <c r="O2792" s="124"/>
      <c r="P2792" s="124"/>
      <c r="Q2792" s="124"/>
      <c r="R2792" s="124"/>
      <c r="S2792" s="124"/>
      <c r="T2792" s="124"/>
      <c r="U2792" s="124"/>
      <c r="V2792" s="124"/>
      <c r="W2792" s="124"/>
      <c r="X2792" s="124"/>
      <c r="Y2792" s="124"/>
    </row>
    <row r="2793" spans="2:25" x14ac:dyDescent="0.25">
      <c r="B2793" s="124"/>
      <c r="C2793" s="124"/>
      <c r="D2793" s="124"/>
      <c r="E2793" s="124"/>
      <c r="F2793" s="124"/>
      <c r="G2793" s="124"/>
      <c r="H2793" s="124"/>
      <c r="I2793" s="124"/>
      <c r="J2793" s="124"/>
      <c r="K2793" s="124"/>
      <c r="L2793" s="124"/>
      <c r="M2793" s="124"/>
      <c r="N2793" s="124"/>
      <c r="O2793" s="124"/>
      <c r="P2793" s="124"/>
      <c r="Q2793" s="124"/>
      <c r="R2793" s="124"/>
      <c r="S2793" s="124"/>
      <c r="T2793" s="124"/>
      <c r="U2793" s="124"/>
      <c r="V2793" s="124"/>
      <c r="W2793" s="124"/>
      <c r="X2793" s="124"/>
      <c r="Y2793" s="124"/>
    </row>
    <row r="2794" spans="2:25" x14ac:dyDescent="0.25">
      <c r="B2794" s="124"/>
      <c r="C2794" s="124"/>
      <c r="D2794" s="124"/>
      <c r="E2794" s="124"/>
      <c r="F2794" s="124"/>
      <c r="G2794" s="124"/>
      <c r="H2794" s="124"/>
      <c r="I2794" s="124"/>
      <c r="J2794" s="124"/>
      <c r="K2794" s="124"/>
      <c r="L2794" s="124"/>
      <c r="M2794" s="124"/>
      <c r="N2794" s="124"/>
      <c r="O2794" s="124"/>
      <c r="P2794" s="124"/>
      <c r="Q2794" s="124"/>
      <c r="R2794" s="124"/>
      <c r="S2794" s="124"/>
      <c r="T2794" s="124"/>
      <c r="U2794" s="124"/>
      <c r="V2794" s="124"/>
      <c r="W2794" s="124"/>
      <c r="X2794" s="124"/>
      <c r="Y2794" s="124"/>
    </row>
    <row r="2795" spans="2:25" x14ac:dyDescent="0.25">
      <c r="B2795" s="124"/>
      <c r="C2795" s="124"/>
      <c r="D2795" s="124"/>
      <c r="E2795" s="124"/>
      <c r="F2795" s="124"/>
      <c r="G2795" s="124"/>
      <c r="H2795" s="124"/>
      <c r="I2795" s="124"/>
      <c r="J2795" s="124"/>
      <c r="K2795" s="124"/>
      <c r="L2795" s="124"/>
      <c r="M2795" s="124"/>
      <c r="N2795" s="124"/>
      <c r="O2795" s="124"/>
      <c r="P2795" s="124"/>
      <c r="Q2795" s="124"/>
      <c r="R2795" s="124"/>
      <c r="S2795" s="124"/>
      <c r="T2795" s="124"/>
      <c r="U2795" s="124"/>
      <c r="V2795" s="124"/>
      <c r="W2795" s="124"/>
      <c r="X2795" s="124"/>
      <c r="Y2795" s="124"/>
    </row>
    <row r="2796" spans="2:25" x14ac:dyDescent="0.25">
      <c r="B2796" s="124"/>
      <c r="C2796" s="124"/>
      <c r="D2796" s="124"/>
      <c r="E2796" s="124"/>
      <c r="F2796" s="124"/>
      <c r="G2796" s="124"/>
      <c r="H2796" s="124"/>
      <c r="I2796" s="124"/>
      <c r="J2796" s="124"/>
      <c r="K2796" s="124"/>
      <c r="L2796" s="124"/>
      <c r="M2796" s="124"/>
      <c r="N2796" s="124"/>
      <c r="O2796" s="124"/>
      <c r="P2796" s="124"/>
      <c r="Q2796" s="124"/>
      <c r="R2796" s="124"/>
      <c r="S2796" s="124"/>
      <c r="T2796" s="124"/>
      <c r="U2796" s="124"/>
      <c r="V2796" s="124"/>
      <c r="W2796" s="124"/>
      <c r="X2796" s="124"/>
      <c r="Y2796" s="124"/>
    </row>
    <row r="2797" spans="2:25" x14ac:dyDescent="0.25">
      <c r="B2797" s="124"/>
      <c r="C2797" s="124"/>
      <c r="D2797" s="124"/>
      <c r="E2797" s="124"/>
      <c r="F2797" s="124"/>
      <c r="G2797" s="124"/>
      <c r="H2797" s="124"/>
      <c r="I2797" s="124"/>
      <c r="J2797" s="124"/>
      <c r="K2797" s="124"/>
      <c r="L2797" s="124"/>
      <c r="M2797" s="124"/>
      <c r="N2797" s="124"/>
      <c r="O2797" s="124"/>
      <c r="P2797" s="124"/>
      <c r="Q2797" s="124"/>
      <c r="R2797" s="124"/>
      <c r="S2797" s="124"/>
      <c r="T2797" s="124"/>
      <c r="U2797" s="124"/>
      <c r="V2797" s="124"/>
      <c r="W2797" s="124"/>
      <c r="X2797" s="124"/>
      <c r="Y2797" s="124"/>
    </row>
    <row r="2798" spans="2:25" x14ac:dyDescent="0.25">
      <c r="B2798" s="124"/>
      <c r="C2798" s="124"/>
      <c r="D2798" s="124"/>
      <c r="E2798" s="124"/>
      <c r="F2798" s="124"/>
      <c r="G2798" s="124"/>
      <c r="H2798" s="124"/>
      <c r="I2798" s="124"/>
      <c r="J2798" s="124"/>
      <c r="K2798" s="124"/>
      <c r="L2798" s="124"/>
      <c r="M2798" s="124"/>
      <c r="N2798" s="124"/>
      <c r="O2798" s="124"/>
      <c r="P2798" s="124"/>
      <c r="Q2798" s="124"/>
      <c r="R2798" s="124"/>
      <c r="S2798" s="124"/>
      <c r="T2798" s="124"/>
      <c r="U2798" s="124"/>
      <c r="V2798" s="124"/>
      <c r="W2798" s="124"/>
      <c r="X2798" s="124"/>
      <c r="Y2798" s="124"/>
    </row>
    <row r="2799" spans="2:25" x14ac:dyDescent="0.25">
      <c r="B2799" s="124"/>
      <c r="C2799" s="124"/>
      <c r="D2799" s="124"/>
      <c r="E2799" s="124"/>
      <c r="F2799" s="124"/>
      <c r="G2799" s="124"/>
      <c r="H2799" s="124"/>
      <c r="I2799" s="124"/>
      <c r="J2799" s="124"/>
      <c r="K2799" s="124"/>
      <c r="L2799" s="124"/>
      <c r="M2799" s="124"/>
      <c r="N2799" s="124"/>
      <c r="O2799" s="124"/>
      <c r="P2799" s="124"/>
      <c r="Q2799" s="124"/>
      <c r="R2799" s="124"/>
      <c r="S2799" s="124"/>
      <c r="T2799" s="124"/>
      <c r="U2799" s="124"/>
      <c r="V2799" s="124"/>
      <c r="W2799" s="124"/>
      <c r="X2799" s="124"/>
      <c r="Y2799" s="124"/>
    </row>
    <row r="2800" spans="2:25" x14ac:dyDescent="0.25">
      <c r="B2800" s="124"/>
      <c r="C2800" s="124"/>
      <c r="D2800" s="124"/>
      <c r="E2800" s="124"/>
      <c r="F2800" s="124"/>
      <c r="G2800" s="124"/>
      <c r="H2800" s="124"/>
      <c r="I2800" s="124"/>
      <c r="J2800" s="124"/>
      <c r="K2800" s="124"/>
      <c r="L2800" s="124"/>
      <c r="M2800" s="124"/>
      <c r="N2800" s="124"/>
      <c r="O2800" s="124"/>
      <c r="P2800" s="124"/>
      <c r="Q2800" s="124"/>
      <c r="R2800" s="124"/>
      <c r="S2800" s="124"/>
      <c r="T2800" s="124"/>
      <c r="U2800" s="124"/>
      <c r="V2800" s="124"/>
      <c r="W2800" s="124"/>
      <c r="X2800" s="124"/>
      <c r="Y2800" s="124"/>
    </row>
    <row r="2801" spans="2:25" x14ac:dyDescent="0.25">
      <c r="B2801" s="124"/>
      <c r="C2801" s="124"/>
      <c r="D2801" s="124"/>
      <c r="E2801" s="124"/>
      <c r="F2801" s="124"/>
      <c r="G2801" s="124"/>
      <c r="H2801" s="124"/>
      <c r="I2801" s="124"/>
      <c r="J2801" s="124"/>
      <c r="K2801" s="124"/>
      <c r="L2801" s="124"/>
      <c r="M2801" s="124"/>
      <c r="N2801" s="124"/>
      <c r="O2801" s="124"/>
      <c r="P2801" s="124"/>
      <c r="Q2801" s="124"/>
      <c r="R2801" s="124"/>
      <c r="S2801" s="124"/>
      <c r="T2801" s="124"/>
      <c r="U2801" s="124"/>
      <c r="V2801" s="124"/>
      <c r="W2801" s="124"/>
      <c r="X2801" s="124"/>
      <c r="Y2801" s="124"/>
    </row>
    <row r="2802" spans="2:25" x14ac:dyDescent="0.25">
      <c r="B2802" s="124"/>
      <c r="C2802" s="124"/>
      <c r="D2802" s="124"/>
      <c r="E2802" s="124"/>
      <c r="F2802" s="124"/>
      <c r="G2802" s="124"/>
      <c r="H2802" s="124"/>
      <c r="I2802" s="124"/>
      <c r="J2802" s="124"/>
      <c r="K2802" s="124"/>
      <c r="L2802" s="124"/>
      <c r="M2802" s="124"/>
      <c r="N2802" s="124"/>
      <c r="O2802" s="124"/>
      <c r="P2802" s="124"/>
      <c r="Q2802" s="124"/>
      <c r="R2802" s="124"/>
      <c r="S2802" s="124"/>
      <c r="T2802" s="124"/>
      <c r="U2802" s="124"/>
      <c r="V2802" s="124"/>
      <c r="W2802" s="124"/>
      <c r="X2802" s="124"/>
      <c r="Y2802" s="124"/>
    </row>
    <row r="2803" spans="2:25" x14ac:dyDescent="0.25">
      <c r="B2803" s="124"/>
      <c r="C2803" s="124"/>
      <c r="D2803" s="124"/>
      <c r="E2803" s="124"/>
      <c r="F2803" s="124"/>
      <c r="G2803" s="124"/>
      <c r="H2803" s="124"/>
      <c r="I2803" s="124"/>
      <c r="J2803" s="124"/>
      <c r="K2803" s="124"/>
      <c r="L2803" s="124"/>
      <c r="M2803" s="124"/>
      <c r="N2803" s="124"/>
      <c r="O2803" s="124"/>
      <c r="P2803" s="124"/>
      <c r="Q2803" s="124"/>
      <c r="R2803" s="124"/>
      <c r="S2803" s="124"/>
      <c r="T2803" s="124"/>
      <c r="U2803" s="124"/>
      <c r="V2803" s="124"/>
      <c r="W2803" s="124"/>
      <c r="X2803" s="124"/>
      <c r="Y2803" s="124"/>
    </row>
    <row r="2804" spans="2:25" x14ac:dyDescent="0.25">
      <c r="B2804" s="124"/>
      <c r="C2804" s="124"/>
      <c r="D2804" s="124"/>
      <c r="E2804" s="124"/>
      <c r="F2804" s="124"/>
      <c r="G2804" s="124"/>
      <c r="H2804" s="124"/>
      <c r="I2804" s="124"/>
      <c r="J2804" s="124"/>
      <c r="K2804" s="124"/>
      <c r="L2804" s="124"/>
      <c r="M2804" s="124"/>
      <c r="N2804" s="124"/>
      <c r="O2804" s="124"/>
      <c r="P2804" s="124"/>
      <c r="Q2804" s="124"/>
      <c r="R2804" s="124"/>
      <c r="S2804" s="124"/>
      <c r="T2804" s="124"/>
      <c r="U2804" s="124"/>
      <c r="V2804" s="124"/>
      <c r="W2804" s="124"/>
      <c r="X2804" s="124"/>
      <c r="Y2804" s="124"/>
    </row>
    <row r="2805" spans="2:25" x14ac:dyDescent="0.25">
      <c r="B2805" s="124"/>
      <c r="C2805" s="124"/>
      <c r="D2805" s="124"/>
      <c r="E2805" s="124"/>
      <c r="F2805" s="124"/>
      <c r="G2805" s="124"/>
      <c r="H2805" s="124"/>
      <c r="I2805" s="124"/>
      <c r="J2805" s="124"/>
      <c r="K2805" s="124"/>
      <c r="L2805" s="124"/>
      <c r="M2805" s="124"/>
      <c r="N2805" s="124"/>
      <c r="O2805" s="124"/>
      <c r="P2805" s="124"/>
      <c r="Q2805" s="124"/>
      <c r="R2805" s="124"/>
      <c r="S2805" s="124"/>
      <c r="T2805" s="124"/>
      <c r="U2805" s="124"/>
      <c r="V2805" s="124"/>
      <c r="W2805" s="124"/>
      <c r="X2805" s="124"/>
      <c r="Y2805" s="124"/>
    </row>
    <row r="2806" spans="2:25" x14ac:dyDescent="0.25">
      <c r="B2806" s="124"/>
      <c r="C2806" s="124"/>
      <c r="D2806" s="124"/>
      <c r="E2806" s="124"/>
      <c r="F2806" s="124"/>
      <c r="G2806" s="124"/>
      <c r="H2806" s="124"/>
      <c r="I2806" s="124"/>
      <c r="J2806" s="124"/>
      <c r="K2806" s="124"/>
      <c r="L2806" s="124"/>
      <c r="M2806" s="124"/>
      <c r="N2806" s="124"/>
      <c r="O2806" s="124"/>
      <c r="P2806" s="124"/>
      <c r="Q2806" s="124"/>
      <c r="R2806" s="124"/>
      <c r="S2806" s="124"/>
      <c r="T2806" s="124"/>
      <c r="U2806" s="124"/>
      <c r="V2806" s="124"/>
      <c r="W2806" s="124"/>
      <c r="X2806" s="124"/>
      <c r="Y2806" s="124"/>
    </row>
    <row r="2807" spans="2:25" x14ac:dyDescent="0.25">
      <c r="B2807" s="124"/>
      <c r="C2807" s="124"/>
      <c r="D2807" s="124"/>
      <c r="E2807" s="124"/>
      <c r="F2807" s="124"/>
      <c r="G2807" s="124"/>
      <c r="H2807" s="124"/>
      <c r="I2807" s="124"/>
      <c r="J2807" s="124"/>
      <c r="K2807" s="124"/>
      <c r="L2807" s="124"/>
      <c r="M2807" s="124"/>
      <c r="N2807" s="124"/>
      <c r="O2807" s="124"/>
      <c r="P2807" s="124"/>
      <c r="Q2807" s="124"/>
      <c r="R2807" s="124"/>
      <c r="S2807" s="124"/>
      <c r="T2807" s="124"/>
      <c r="U2807" s="124"/>
      <c r="V2807" s="124"/>
      <c r="W2807" s="124"/>
      <c r="X2807" s="124"/>
      <c r="Y2807" s="124"/>
    </row>
    <row r="2808" spans="2:25" x14ac:dyDescent="0.25">
      <c r="B2808" s="124"/>
      <c r="C2808" s="124"/>
      <c r="D2808" s="124"/>
      <c r="E2808" s="124"/>
      <c r="F2808" s="124"/>
      <c r="G2808" s="124"/>
      <c r="H2808" s="124"/>
      <c r="I2808" s="124"/>
      <c r="J2808" s="124"/>
      <c r="K2808" s="124"/>
      <c r="L2808" s="124"/>
      <c r="M2808" s="124"/>
      <c r="N2808" s="124"/>
      <c r="O2808" s="124"/>
      <c r="P2808" s="124"/>
      <c r="Q2808" s="124"/>
      <c r="R2808" s="124"/>
      <c r="S2808" s="124"/>
      <c r="T2808" s="124"/>
      <c r="U2808" s="124"/>
      <c r="V2808" s="124"/>
      <c r="W2808" s="124"/>
      <c r="X2808" s="124"/>
      <c r="Y2808" s="124"/>
    </row>
    <row r="2809" spans="2:25" x14ac:dyDescent="0.25">
      <c r="B2809" s="124"/>
      <c r="C2809" s="124"/>
      <c r="D2809" s="124"/>
      <c r="E2809" s="124"/>
      <c r="F2809" s="124"/>
      <c r="G2809" s="124"/>
      <c r="H2809" s="124"/>
      <c r="I2809" s="124"/>
      <c r="J2809" s="124"/>
      <c r="K2809" s="124"/>
      <c r="L2809" s="124"/>
      <c r="M2809" s="124"/>
      <c r="N2809" s="124"/>
      <c r="O2809" s="124"/>
      <c r="P2809" s="124"/>
      <c r="Q2809" s="124"/>
      <c r="R2809" s="124"/>
      <c r="S2809" s="124"/>
      <c r="T2809" s="124"/>
      <c r="U2809" s="124"/>
      <c r="V2809" s="124"/>
      <c r="W2809" s="124"/>
      <c r="X2809" s="124"/>
      <c r="Y2809" s="124"/>
    </row>
    <row r="2810" spans="2:25" x14ac:dyDescent="0.25">
      <c r="B2810" s="124"/>
      <c r="C2810" s="124"/>
      <c r="D2810" s="124"/>
      <c r="E2810" s="124"/>
      <c r="F2810" s="124"/>
      <c r="G2810" s="124"/>
      <c r="H2810" s="124"/>
      <c r="I2810" s="124"/>
      <c r="J2810" s="124"/>
      <c r="K2810" s="124"/>
      <c r="L2810" s="124"/>
      <c r="M2810" s="124"/>
      <c r="N2810" s="124"/>
      <c r="O2810" s="124"/>
      <c r="P2810" s="124"/>
      <c r="Q2810" s="124"/>
      <c r="R2810" s="124"/>
      <c r="S2810" s="124"/>
      <c r="T2810" s="124"/>
      <c r="U2810" s="124"/>
      <c r="V2810" s="124"/>
      <c r="W2810" s="124"/>
      <c r="X2810" s="124"/>
      <c r="Y2810" s="124"/>
    </row>
    <row r="2811" spans="2:25" x14ac:dyDescent="0.25">
      <c r="B2811" s="124"/>
      <c r="C2811" s="124"/>
      <c r="D2811" s="124"/>
      <c r="E2811" s="124"/>
      <c r="F2811" s="124"/>
      <c r="G2811" s="124"/>
      <c r="H2811" s="124"/>
      <c r="I2811" s="124"/>
      <c r="J2811" s="124"/>
      <c r="K2811" s="124"/>
      <c r="L2811" s="124"/>
      <c r="M2811" s="124"/>
      <c r="N2811" s="124"/>
      <c r="O2811" s="124"/>
      <c r="P2811" s="124"/>
      <c r="Q2811" s="124"/>
      <c r="R2811" s="124"/>
      <c r="S2811" s="124"/>
      <c r="T2811" s="124"/>
      <c r="U2811" s="124"/>
      <c r="V2811" s="124"/>
      <c r="W2811" s="124"/>
      <c r="X2811" s="124"/>
      <c r="Y2811" s="124"/>
    </row>
    <row r="2812" spans="2:25" x14ac:dyDescent="0.25">
      <c r="B2812" s="124"/>
      <c r="C2812" s="124"/>
      <c r="D2812" s="124"/>
      <c r="E2812" s="124"/>
      <c r="F2812" s="124"/>
      <c r="G2812" s="124"/>
      <c r="H2812" s="124"/>
      <c r="I2812" s="124"/>
      <c r="J2812" s="124"/>
      <c r="K2812" s="124"/>
      <c r="L2812" s="124"/>
      <c r="M2812" s="124"/>
      <c r="N2812" s="124"/>
      <c r="O2812" s="124"/>
      <c r="P2812" s="124"/>
      <c r="Q2812" s="124"/>
      <c r="R2812" s="124"/>
      <c r="S2812" s="124"/>
      <c r="T2812" s="124"/>
      <c r="U2812" s="124"/>
      <c r="V2812" s="124"/>
      <c r="W2812" s="124"/>
      <c r="X2812" s="124"/>
      <c r="Y2812" s="124"/>
    </row>
    <row r="2813" spans="2:25" x14ac:dyDescent="0.25">
      <c r="B2813" s="124"/>
      <c r="C2813" s="124"/>
      <c r="D2813" s="124"/>
      <c r="E2813" s="124"/>
      <c r="F2813" s="124"/>
      <c r="G2813" s="124"/>
      <c r="H2813" s="124"/>
      <c r="I2813" s="124"/>
      <c r="J2813" s="124"/>
      <c r="K2813" s="124"/>
      <c r="L2813" s="124"/>
      <c r="M2813" s="124"/>
      <c r="N2813" s="124"/>
      <c r="O2813" s="124"/>
      <c r="P2813" s="124"/>
      <c r="Q2813" s="124"/>
      <c r="R2813" s="124"/>
      <c r="S2813" s="124"/>
      <c r="T2813" s="124"/>
      <c r="U2813" s="124"/>
      <c r="V2813" s="124"/>
      <c r="W2813" s="124"/>
      <c r="X2813" s="124"/>
      <c r="Y2813" s="124"/>
    </row>
    <row r="2814" spans="2:25" x14ac:dyDescent="0.25">
      <c r="B2814" s="124"/>
      <c r="C2814" s="124"/>
      <c r="D2814" s="124"/>
      <c r="E2814" s="124"/>
      <c r="F2814" s="124"/>
      <c r="G2814" s="124"/>
      <c r="H2814" s="124"/>
      <c r="I2814" s="124"/>
      <c r="J2814" s="124"/>
      <c r="K2814" s="124"/>
      <c r="L2814" s="124"/>
      <c r="M2814" s="124"/>
      <c r="N2814" s="124"/>
      <c r="O2814" s="124"/>
      <c r="P2814" s="124"/>
      <c r="Q2814" s="124"/>
      <c r="R2814" s="124"/>
      <c r="S2814" s="124"/>
      <c r="T2814" s="124"/>
      <c r="U2814" s="124"/>
      <c r="V2814" s="124"/>
      <c r="W2814" s="124"/>
      <c r="X2814" s="124"/>
      <c r="Y2814" s="124"/>
    </row>
    <row r="2815" spans="2:25" x14ac:dyDescent="0.25">
      <c r="B2815" s="124"/>
      <c r="C2815" s="124"/>
      <c r="D2815" s="124"/>
      <c r="E2815" s="124"/>
      <c r="F2815" s="124"/>
      <c r="G2815" s="124"/>
      <c r="H2815" s="124"/>
      <c r="I2815" s="124"/>
      <c r="J2815" s="124"/>
      <c r="K2815" s="124"/>
      <c r="L2815" s="124"/>
      <c r="M2815" s="124"/>
      <c r="N2815" s="124"/>
      <c r="O2815" s="124"/>
      <c r="P2815" s="124"/>
      <c r="Q2815" s="124"/>
      <c r="R2815" s="124"/>
      <c r="S2815" s="124"/>
      <c r="T2815" s="124"/>
      <c r="U2815" s="124"/>
      <c r="V2815" s="124"/>
      <c r="W2815" s="124"/>
      <c r="X2815" s="124"/>
      <c r="Y2815" s="124"/>
    </row>
    <row r="2816" spans="2:25" x14ac:dyDescent="0.25">
      <c r="B2816" s="124"/>
      <c r="C2816" s="124"/>
      <c r="D2816" s="124"/>
      <c r="E2816" s="124"/>
      <c r="F2816" s="124"/>
      <c r="G2816" s="124"/>
      <c r="H2816" s="124"/>
      <c r="I2816" s="124"/>
      <c r="J2816" s="124"/>
      <c r="K2816" s="124"/>
      <c r="L2816" s="124"/>
      <c r="M2816" s="124"/>
      <c r="N2816" s="124"/>
      <c r="O2816" s="124"/>
      <c r="P2816" s="124"/>
      <c r="Q2816" s="124"/>
      <c r="R2816" s="124"/>
      <c r="S2816" s="124"/>
      <c r="T2816" s="124"/>
      <c r="U2816" s="124"/>
      <c r="V2816" s="124"/>
      <c r="W2816" s="124"/>
      <c r="X2816" s="124"/>
      <c r="Y2816" s="124"/>
    </row>
    <row r="2817" spans="2:25" x14ac:dyDescent="0.25">
      <c r="B2817" s="124"/>
      <c r="C2817" s="124"/>
      <c r="D2817" s="124"/>
      <c r="E2817" s="124"/>
      <c r="F2817" s="124"/>
      <c r="G2817" s="124"/>
      <c r="H2817" s="124"/>
      <c r="I2817" s="124"/>
      <c r="J2817" s="124"/>
      <c r="K2817" s="124"/>
      <c r="L2817" s="124"/>
      <c r="M2817" s="124"/>
      <c r="N2817" s="124"/>
      <c r="O2817" s="124"/>
      <c r="P2817" s="124"/>
      <c r="Q2817" s="124"/>
      <c r="R2817" s="124"/>
      <c r="S2817" s="124"/>
      <c r="T2817" s="124"/>
      <c r="U2817" s="124"/>
      <c r="V2817" s="124"/>
      <c r="W2817" s="124"/>
      <c r="X2817" s="124"/>
      <c r="Y2817" s="124"/>
    </row>
    <row r="2818" spans="2:25" x14ac:dyDescent="0.25">
      <c r="B2818" s="124"/>
      <c r="C2818" s="124"/>
      <c r="D2818" s="124"/>
      <c r="E2818" s="124"/>
      <c r="F2818" s="124"/>
      <c r="G2818" s="124"/>
      <c r="H2818" s="124"/>
      <c r="I2818" s="124"/>
      <c r="J2818" s="124"/>
      <c r="K2818" s="124"/>
      <c r="L2818" s="124"/>
      <c r="M2818" s="124"/>
      <c r="N2818" s="124"/>
      <c r="O2818" s="124"/>
      <c r="P2818" s="124"/>
      <c r="Q2818" s="124"/>
      <c r="R2818" s="124"/>
      <c r="S2818" s="124"/>
      <c r="T2818" s="124"/>
      <c r="U2818" s="124"/>
      <c r="V2818" s="124"/>
      <c r="W2818" s="124"/>
      <c r="X2818" s="124"/>
      <c r="Y2818" s="124"/>
    </row>
    <row r="2819" spans="2:25" x14ac:dyDescent="0.25">
      <c r="B2819" s="124"/>
      <c r="C2819" s="124"/>
      <c r="D2819" s="124"/>
      <c r="E2819" s="124"/>
      <c r="F2819" s="124"/>
      <c r="G2819" s="124"/>
      <c r="H2819" s="124"/>
      <c r="I2819" s="124"/>
      <c r="J2819" s="124"/>
      <c r="K2819" s="124"/>
      <c r="L2819" s="124"/>
      <c r="M2819" s="124"/>
      <c r="N2819" s="124"/>
      <c r="O2819" s="124"/>
      <c r="P2819" s="124"/>
      <c r="Q2819" s="124"/>
      <c r="R2819" s="124"/>
      <c r="S2819" s="124"/>
      <c r="T2819" s="124"/>
      <c r="U2819" s="124"/>
      <c r="V2819" s="124"/>
      <c r="W2819" s="124"/>
      <c r="X2819" s="124"/>
      <c r="Y2819" s="124"/>
    </row>
    <row r="2820" spans="2:25" x14ac:dyDescent="0.25">
      <c r="B2820" s="124"/>
      <c r="C2820" s="124"/>
      <c r="D2820" s="124"/>
      <c r="E2820" s="124"/>
      <c r="F2820" s="124"/>
      <c r="G2820" s="124"/>
      <c r="H2820" s="124"/>
      <c r="I2820" s="124"/>
      <c r="J2820" s="124"/>
      <c r="K2820" s="124"/>
      <c r="L2820" s="124"/>
      <c r="M2820" s="124"/>
      <c r="N2820" s="124"/>
      <c r="O2820" s="124"/>
      <c r="P2820" s="124"/>
      <c r="Q2820" s="124"/>
      <c r="R2820" s="124"/>
      <c r="S2820" s="124"/>
      <c r="T2820" s="124"/>
      <c r="U2820" s="124"/>
      <c r="V2820" s="124"/>
      <c r="W2820" s="124"/>
      <c r="X2820" s="124"/>
      <c r="Y2820" s="124"/>
    </row>
    <row r="2821" spans="2:25" x14ac:dyDescent="0.25">
      <c r="B2821" s="124"/>
      <c r="C2821" s="124"/>
      <c r="D2821" s="124"/>
      <c r="E2821" s="124"/>
      <c r="F2821" s="124"/>
      <c r="G2821" s="124"/>
      <c r="H2821" s="124"/>
      <c r="I2821" s="124"/>
      <c r="J2821" s="124"/>
      <c r="K2821" s="124"/>
      <c r="L2821" s="124"/>
      <c r="M2821" s="124"/>
      <c r="N2821" s="124"/>
      <c r="O2821" s="124"/>
      <c r="P2821" s="124"/>
      <c r="Q2821" s="124"/>
      <c r="R2821" s="124"/>
      <c r="S2821" s="124"/>
      <c r="T2821" s="124"/>
      <c r="U2821" s="124"/>
      <c r="V2821" s="124"/>
      <c r="W2821" s="124"/>
      <c r="X2821" s="124"/>
      <c r="Y2821" s="124"/>
    </row>
    <row r="2822" spans="2:25" x14ac:dyDescent="0.25">
      <c r="B2822" s="124"/>
      <c r="C2822" s="124"/>
      <c r="D2822" s="124"/>
      <c r="E2822" s="124"/>
      <c r="F2822" s="124"/>
      <c r="G2822" s="124"/>
      <c r="H2822" s="124"/>
      <c r="I2822" s="124"/>
      <c r="J2822" s="124"/>
      <c r="K2822" s="124"/>
      <c r="L2822" s="124"/>
      <c r="M2822" s="124"/>
      <c r="N2822" s="124"/>
      <c r="O2822" s="124"/>
      <c r="P2822" s="124"/>
      <c r="Q2822" s="124"/>
      <c r="R2822" s="124"/>
      <c r="S2822" s="124"/>
      <c r="T2822" s="124"/>
      <c r="U2822" s="124"/>
      <c r="V2822" s="124"/>
      <c r="W2822" s="124"/>
      <c r="X2822" s="124"/>
      <c r="Y2822" s="124"/>
    </row>
    <row r="2823" spans="2:25" x14ac:dyDescent="0.25">
      <c r="B2823" s="124"/>
      <c r="C2823" s="124"/>
      <c r="D2823" s="124"/>
      <c r="E2823" s="124"/>
      <c r="F2823" s="124"/>
      <c r="G2823" s="124"/>
      <c r="H2823" s="124"/>
      <c r="I2823" s="124"/>
      <c r="J2823" s="124"/>
      <c r="K2823" s="124"/>
      <c r="L2823" s="124"/>
      <c r="M2823" s="124"/>
      <c r="N2823" s="124"/>
      <c r="O2823" s="124"/>
      <c r="P2823" s="124"/>
      <c r="Q2823" s="124"/>
      <c r="R2823" s="124"/>
      <c r="S2823" s="124"/>
      <c r="T2823" s="124"/>
      <c r="U2823" s="124"/>
      <c r="V2823" s="124"/>
      <c r="W2823" s="124"/>
      <c r="X2823" s="124"/>
      <c r="Y2823" s="124"/>
    </row>
    <row r="2824" spans="2:25" x14ac:dyDescent="0.25">
      <c r="B2824" s="124"/>
      <c r="C2824" s="124"/>
      <c r="D2824" s="124"/>
      <c r="E2824" s="124"/>
      <c r="F2824" s="124"/>
      <c r="G2824" s="124"/>
      <c r="H2824" s="124"/>
      <c r="I2824" s="124"/>
      <c r="J2824" s="124"/>
      <c r="K2824" s="124"/>
      <c r="L2824" s="124"/>
      <c r="M2824" s="124"/>
      <c r="N2824" s="124"/>
      <c r="O2824" s="124"/>
      <c r="P2824" s="124"/>
      <c r="Q2824" s="124"/>
      <c r="R2824" s="124"/>
      <c r="S2824" s="124"/>
      <c r="T2824" s="124"/>
      <c r="U2824" s="124"/>
      <c r="V2824" s="124"/>
      <c r="W2824" s="124"/>
      <c r="X2824" s="124"/>
      <c r="Y2824" s="124"/>
    </row>
    <row r="2825" spans="2:25" x14ac:dyDescent="0.25">
      <c r="B2825" s="124"/>
      <c r="C2825" s="124"/>
      <c r="D2825" s="124"/>
      <c r="E2825" s="124"/>
      <c r="F2825" s="124"/>
      <c r="G2825" s="124"/>
      <c r="H2825" s="124"/>
      <c r="I2825" s="124"/>
      <c r="J2825" s="124"/>
      <c r="K2825" s="124"/>
      <c r="L2825" s="124"/>
      <c r="M2825" s="124"/>
      <c r="N2825" s="124"/>
      <c r="O2825" s="124"/>
      <c r="P2825" s="124"/>
      <c r="Q2825" s="124"/>
      <c r="R2825" s="124"/>
      <c r="S2825" s="124"/>
      <c r="T2825" s="124"/>
      <c r="U2825" s="124"/>
      <c r="V2825" s="124"/>
      <c r="W2825" s="124"/>
      <c r="X2825" s="124"/>
      <c r="Y2825" s="124"/>
    </row>
    <row r="2826" spans="2:25" x14ac:dyDescent="0.25">
      <c r="B2826" s="124"/>
      <c r="C2826" s="124"/>
      <c r="D2826" s="124"/>
      <c r="E2826" s="124"/>
      <c r="F2826" s="124"/>
      <c r="G2826" s="124"/>
      <c r="H2826" s="124"/>
      <c r="I2826" s="124"/>
      <c r="J2826" s="124"/>
      <c r="K2826" s="124"/>
      <c r="L2826" s="124"/>
      <c r="M2826" s="124"/>
      <c r="N2826" s="124"/>
      <c r="O2826" s="124"/>
      <c r="P2826" s="124"/>
      <c r="Q2826" s="124"/>
      <c r="R2826" s="124"/>
      <c r="S2826" s="124"/>
      <c r="T2826" s="124"/>
      <c r="U2826" s="124"/>
      <c r="V2826" s="124"/>
      <c r="W2826" s="124"/>
      <c r="X2826" s="124"/>
      <c r="Y2826" s="124"/>
    </row>
    <row r="2827" spans="2:25" x14ac:dyDescent="0.25">
      <c r="B2827" s="124"/>
      <c r="C2827" s="124"/>
      <c r="D2827" s="124"/>
      <c r="E2827" s="124"/>
      <c r="F2827" s="124"/>
      <c r="G2827" s="124"/>
      <c r="H2827" s="124"/>
      <c r="I2827" s="124"/>
      <c r="J2827" s="124"/>
      <c r="K2827" s="124"/>
      <c r="L2827" s="124"/>
      <c r="M2827" s="124"/>
      <c r="N2827" s="124"/>
      <c r="O2827" s="124"/>
      <c r="P2827" s="124"/>
      <c r="Q2827" s="124"/>
      <c r="R2827" s="124"/>
      <c r="S2827" s="124"/>
      <c r="T2827" s="124"/>
      <c r="U2827" s="124"/>
      <c r="V2827" s="124"/>
      <c r="W2827" s="124"/>
      <c r="X2827" s="124"/>
      <c r="Y2827" s="124"/>
    </row>
    <row r="2828" spans="2:25" x14ac:dyDescent="0.25">
      <c r="B2828" s="124"/>
      <c r="C2828" s="124"/>
      <c r="D2828" s="124"/>
      <c r="E2828" s="124"/>
      <c r="F2828" s="124"/>
      <c r="G2828" s="124"/>
      <c r="H2828" s="124"/>
      <c r="I2828" s="124"/>
      <c r="J2828" s="124"/>
      <c r="K2828" s="124"/>
      <c r="L2828" s="124"/>
      <c r="M2828" s="124"/>
      <c r="N2828" s="124"/>
      <c r="O2828" s="124"/>
      <c r="P2828" s="124"/>
      <c r="Q2828" s="124"/>
      <c r="R2828" s="124"/>
      <c r="S2828" s="124"/>
      <c r="T2828" s="124"/>
      <c r="U2828" s="124"/>
      <c r="V2828" s="124"/>
      <c r="W2828" s="124"/>
      <c r="X2828" s="124"/>
      <c r="Y2828" s="124"/>
    </row>
    <row r="2829" spans="2:25" x14ac:dyDescent="0.25">
      <c r="B2829" s="124"/>
      <c r="C2829" s="124"/>
      <c r="D2829" s="124"/>
      <c r="E2829" s="124"/>
      <c r="F2829" s="124"/>
      <c r="G2829" s="124"/>
      <c r="H2829" s="124"/>
      <c r="I2829" s="124"/>
      <c r="J2829" s="124"/>
      <c r="K2829" s="124"/>
      <c r="L2829" s="124"/>
      <c r="M2829" s="124"/>
      <c r="N2829" s="124"/>
      <c r="O2829" s="124"/>
      <c r="P2829" s="124"/>
      <c r="Q2829" s="124"/>
      <c r="R2829" s="124"/>
      <c r="S2829" s="124"/>
      <c r="T2829" s="124"/>
      <c r="U2829" s="124"/>
      <c r="V2829" s="124"/>
      <c r="W2829" s="124"/>
      <c r="X2829" s="124"/>
      <c r="Y2829" s="124"/>
    </row>
    <row r="2830" spans="2:25" x14ac:dyDescent="0.25">
      <c r="B2830" s="124"/>
      <c r="C2830" s="124"/>
      <c r="D2830" s="124"/>
      <c r="E2830" s="124"/>
      <c r="F2830" s="124"/>
      <c r="G2830" s="124"/>
      <c r="H2830" s="124"/>
      <c r="I2830" s="124"/>
      <c r="J2830" s="124"/>
      <c r="K2830" s="124"/>
      <c r="L2830" s="124"/>
      <c r="M2830" s="124"/>
      <c r="N2830" s="124"/>
      <c r="O2830" s="124"/>
      <c r="P2830" s="124"/>
      <c r="Q2830" s="124"/>
      <c r="R2830" s="124"/>
      <c r="S2830" s="124"/>
      <c r="T2830" s="124"/>
      <c r="U2830" s="124"/>
      <c r="V2830" s="124"/>
      <c r="W2830" s="124"/>
      <c r="X2830" s="124"/>
      <c r="Y2830" s="124"/>
    </row>
    <row r="2831" spans="2:25" x14ac:dyDescent="0.25">
      <c r="B2831" s="124"/>
      <c r="C2831" s="124"/>
      <c r="D2831" s="124"/>
      <c r="E2831" s="124"/>
      <c r="F2831" s="124"/>
      <c r="G2831" s="124"/>
      <c r="H2831" s="124"/>
      <c r="I2831" s="124"/>
      <c r="J2831" s="124"/>
      <c r="K2831" s="124"/>
      <c r="L2831" s="124"/>
      <c r="M2831" s="124"/>
      <c r="N2831" s="124"/>
      <c r="O2831" s="124"/>
      <c r="P2831" s="124"/>
      <c r="Q2831" s="124"/>
      <c r="R2831" s="124"/>
      <c r="S2831" s="124"/>
      <c r="T2831" s="124"/>
      <c r="U2831" s="124"/>
      <c r="V2831" s="124"/>
      <c r="W2831" s="124"/>
      <c r="X2831" s="124"/>
      <c r="Y2831" s="124"/>
    </row>
    <row r="2832" spans="2:25" x14ac:dyDescent="0.25">
      <c r="B2832" s="124"/>
      <c r="C2832" s="124"/>
      <c r="D2832" s="124"/>
      <c r="E2832" s="124"/>
      <c r="F2832" s="124"/>
      <c r="G2832" s="124"/>
      <c r="H2832" s="124"/>
      <c r="I2832" s="124"/>
      <c r="J2832" s="124"/>
      <c r="K2832" s="124"/>
      <c r="L2832" s="124"/>
      <c r="M2832" s="124"/>
      <c r="N2832" s="124"/>
      <c r="O2832" s="124"/>
      <c r="P2832" s="124"/>
      <c r="Q2832" s="124"/>
      <c r="R2832" s="124"/>
      <c r="S2832" s="124"/>
      <c r="T2832" s="124"/>
      <c r="U2832" s="124"/>
      <c r="V2832" s="124"/>
      <c r="W2832" s="124"/>
      <c r="X2832" s="124"/>
      <c r="Y2832" s="124"/>
    </row>
    <row r="2833" spans="2:25" x14ac:dyDescent="0.25">
      <c r="B2833" s="124"/>
      <c r="C2833" s="124"/>
      <c r="D2833" s="124"/>
      <c r="E2833" s="124"/>
      <c r="F2833" s="124"/>
      <c r="G2833" s="124"/>
      <c r="H2833" s="124"/>
      <c r="I2833" s="124"/>
      <c r="J2833" s="124"/>
      <c r="K2833" s="124"/>
      <c r="L2833" s="124"/>
      <c r="M2833" s="124"/>
      <c r="N2833" s="124"/>
      <c r="O2833" s="124"/>
      <c r="P2833" s="124"/>
      <c r="Q2833" s="124"/>
      <c r="R2833" s="124"/>
      <c r="S2833" s="124"/>
      <c r="T2833" s="124"/>
      <c r="U2833" s="124"/>
      <c r="V2833" s="124"/>
      <c r="W2833" s="124"/>
      <c r="X2833" s="124"/>
      <c r="Y2833" s="124"/>
    </row>
    <row r="2834" spans="2:25" x14ac:dyDescent="0.25">
      <c r="B2834" s="124"/>
      <c r="C2834" s="124"/>
      <c r="D2834" s="124"/>
      <c r="E2834" s="124"/>
      <c r="F2834" s="124"/>
      <c r="G2834" s="124"/>
      <c r="H2834" s="124"/>
      <c r="I2834" s="124"/>
      <c r="J2834" s="124"/>
      <c r="K2834" s="124"/>
      <c r="L2834" s="124"/>
      <c r="M2834" s="124"/>
      <c r="N2834" s="124"/>
      <c r="O2834" s="124"/>
      <c r="P2834" s="124"/>
      <c r="Q2834" s="124"/>
      <c r="R2834" s="124"/>
      <c r="S2834" s="124"/>
      <c r="T2834" s="124"/>
      <c r="U2834" s="124"/>
      <c r="V2834" s="124"/>
      <c r="W2834" s="124"/>
      <c r="X2834" s="124"/>
      <c r="Y2834" s="124"/>
    </row>
    <row r="2835" spans="2:25" x14ac:dyDescent="0.25">
      <c r="B2835" s="124"/>
      <c r="C2835" s="124"/>
      <c r="D2835" s="124"/>
      <c r="E2835" s="124"/>
      <c r="F2835" s="124"/>
      <c r="G2835" s="124"/>
      <c r="H2835" s="124"/>
      <c r="I2835" s="124"/>
      <c r="J2835" s="124"/>
      <c r="K2835" s="124"/>
      <c r="L2835" s="124"/>
      <c r="M2835" s="124"/>
      <c r="N2835" s="124"/>
      <c r="O2835" s="124"/>
      <c r="P2835" s="124"/>
      <c r="Q2835" s="124"/>
      <c r="R2835" s="124"/>
      <c r="S2835" s="124"/>
      <c r="T2835" s="124"/>
      <c r="U2835" s="124"/>
      <c r="V2835" s="124"/>
      <c r="W2835" s="124"/>
      <c r="X2835" s="124"/>
      <c r="Y2835" s="124"/>
    </row>
    <row r="2836" spans="2:25" x14ac:dyDescent="0.25">
      <c r="B2836" s="124"/>
      <c r="C2836" s="124"/>
      <c r="D2836" s="124"/>
      <c r="E2836" s="124"/>
      <c r="F2836" s="124"/>
      <c r="G2836" s="124"/>
      <c r="H2836" s="124"/>
      <c r="I2836" s="124"/>
      <c r="J2836" s="124"/>
      <c r="K2836" s="124"/>
      <c r="L2836" s="124"/>
      <c r="M2836" s="124"/>
      <c r="N2836" s="124"/>
      <c r="O2836" s="124"/>
      <c r="P2836" s="124"/>
      <c r="Q2836" s="124"/>
      <c r="R2836" s="124"/>
      <c r="S2836" s="124"/>
      <c r="T2836" s="124"/>
      <c r="U2836" s="124"/>
      <c r="V2836" s="124"/>
      <c r="W2836" s="124"/>
      <c r="X2836" s="124"/>
      <c r="Y2836" s="124"/>
    </row>
    <row r="2837" spans="2:25" x14ac:dyDescent="0.25">
      <c r="B2837" s="124"/>
      <c r="C2837" s="124"/>
      <c r="D2837" s="124"/>
      <c r="E2837" s="124"/>
      <c r="F2837" s="124"/>
      <c r="G2837" s="124"/>
      <c r="H2837" s="124"/>
      <c r="I2837" s="124"/>
      <c r="J2837" s="124"/>
      <c r="K2837" s="124"/>
      <c r="L2837" s="124"/>
      <c r="M2837" s="124"/>
      <c r="N2837" s="124"/>
      <c r="O2837" s="124"/>
      <c r="P2837" s="124"/>
      <c r="Q2837" s="124"/>
      <c r="R2837" s="124"/>
      <c r="S2837" s="124"/>
      <c r="T2837" s="124"/>
      <c r="U2837" s="124"/>
      <c r="V2837" s="124"/>
      <c r="W2837" s="124"/>
      <c r="X2837" s="124"/>
      <c r="Y2837" s="124"/>
    </row>
    <row r="2838" spans="2:25" x14ac:dyDescent="0.25">
      <c r="B2838" s="124"/>
      <c r="C2838" s="124"/>
      <c r="D2838" s="124"/>
      <c r="E2838" s="124"/>
      <c r="F2838" s="124"/>
      <c r="G2838" s="124"/>
      <c r="H2838" s="124"/>
      <c r="I2838" s="124"/>
      <c r="J2838" s="124"/>
      <c r="K2838" s="124"/>
      <c r="L2838" s="124"/>
      <c r="M2838" s="124"/>
      <c r="N2838" s="124"/>
      <c r="O2838" s="124"/>
      <c r="P2838" s="124"/>
      <c r="Q2838" s="124"/>
      <c r="R2838" s="124"/>
      <c r="S2838" s="124"/>
      <c r="T2838" s="124"/>
      <c r="U2838" s="124"/>
      <c r="V2838" s="124"/>
      <c r="W2838" s="124"/>
      <c r="X2838" s="124"/>
      <c r="Y2838" s="124"/>
    </row>
    <row r="2839" spans="2:25" x14ac:dyDescent="0.25">
      <c r="B2839" s="124"/>
      <c r="C2839" s="124"/>
      <c r="D2839" s="124"/>
      <c r="E2839" s="124"/>
      <c r="F2839" s="124"/>
      <c r="G2839" s="124"/>
      <c r="H2839" s="124"/>
      <c r="I2839" s="124"/>
      <c r="J2839" s="124"/>
      <c r="K2839" s="124"/>
      <c r="L2839" s="124"/>
      <c r="M2839" s="124"/>
      <c r="N2839" s="124"/>
      <c r="O2839" s="124"/>
      <c r="P2839" s="124"/>
      <c r="Q2839" s="124"/>
      <c r="R2839" s="124"/>
      <c r="S2839" s="124"/>
      <c r="T2839" s="124"/>
      <c r="U2839" s="124"/>
      <c r="V2839" s="124"/>
      <c r="W2839" s="124"/>
      <c r="X2839" s="124"/>
      <c r="Y2839" s="124"/>
    </row>
    <row r="2840" spans="2:25" x14ac:dyDescent="0.25">
      <c r="B2840" s="124"/>
      <c r="C2840" s="124"/>
      <c r="D2840" s="124"/>
      <c r="E2840" s="124"/>
      <c r="F2840" s="124"/>
      <c r="G2840" s="124"/>
      <c r="H2840" s="124"/>
      <c r="I2840" s="124"/>
      <c r="J2840" s="124"/>
      <c r="K2840" s="124"/>
      <c r="L2840" s="124"/>
      <c r="M2840" s="124"/>
      <c r="N2840" s="124"/>
      <c r="O2840" s="124"/>
      <c r="P2840" s="124"/>
      <c r="Q2840" s="124"/>
      <c r="R2840" s="124"/>
      <c r="S2840" s="124"/>
      <c r="T2840" s="124"/>
      <c r="U2840" s="124"/>
      <c r="V2840" s="124"/>
      <c r="W2840" s="124"/>
      <c r="X2840" s="124"/>
      <c r="Y2840" s="124"/>
    </row>
    <row r="2841" spans="2:25" x14ac:dyDescent="0.25">
      <c r="B2841" s="124"/>
      <c r="C2841" s="124"/>
      <c r="D2841" s="124"/>
      <c r="E2841" s="124"/>
      <c r="F2841" s="124"/>
      <c r="G2841" s="124"/>
      <c r="H2841" s="124"/>
      <c r="I2841" s="124"/>
      <c r="J2841" s="124"/>
      <c r="K2841" s="124"/>
      <c r="L2841" s="124"/>
      <c r="M2841" s="124"/>
      <c r="N2841" s="124"/>
      <c r="O2841" s="124"/>
      <c r="P2841" s="124"/>
      <c r="Q2841" s="124"/>
      <c r="R2841" s="124"/>
      <c r="S2841" s="124"/>
      <c r="T2841" s="124"/>
      <c r="U2841" s="124"/>
      <c r="V2841" s="124"/>
      <c r="W2841" s="124"/>
      <c r="X2841" s="124"/>
      <c r="Y2841" s="124"/>
    </row>
    <row r="2842" spans="2:25" x14ac:dyDescent="0.25">
      <c r="B2842" s="124"/>
      <c r="C2842" s="124"/>
      <c r="D2842" s="124"/>
      <c r="E2842" s="124"/>
      <c r="F2842" s="124"/>
      <c r="G2842" s="124"/>
      <c r="H2842" s="124"/>
      <c r="I2842" s="124"/>
      <c r="J2842" s="124"/>
      <c r="K2842" s="124"/>
      <c r="L2842" s="124"/>
      <c r="M2842" s="124"/>
      <c r="N2842" s="124"/>
      <c r="O2842" s="124"/>
      <c r="P2842" s="124"/>
      <c r="Q2842" s="124"/>
      <c r="R2842" s="124"/>
      <c r="S2842" s="124"/>
      <c r="T2842" s="124"/>
      <c r="U2842" s="124"/>
      <c r="V2842" s="124"/>
      <c r="W2842" s="124"/>
      <c r="X2842" s="124"/>
      <c r="Y2842" s="124"/>
    </row>
    <row r="2843" spans="2:25" x14ac:dyDescent="0.25">
      <c r="B2843" s="124"/>
      <c r="C2843" s="124"/>
      <c r="D2843" s="124"/>
      <c r="E2843" s="124"/>
      <c r="F2843" s="124"/>
      <c r="G2843" s="124"/>
      <c r="H2843" s="124"/>
      <c r="I2843" s="124"/>
      <c r="J2843" s="124"/>
      <c r="K2843" s="124"/>
      <c r="L2843" s="124"/>
      <c r="M2843" s="124"/>
      <c r="N2843" s="124"/>
      <c r="O2843" s="124"/>
      <c r="P2843" s="124"/>
      <c r="Q2843" s="124"/>
      <c r="R2843" s="124"/>
      <c r="S2843" s="124"/>
      <c r="T2843" s="124"/>
      <c r="U2843" s="124"/>
      <c r="V2843" s="124"/>
      <c r="W2843" s="124"/>
      <c r="X2843" s="124"/>
      <c r="Y2843" s="124"/>
    </row>
    <row r="2844" spans="2:25" x14ac:dyDescent="0.25">
      <c r="B2844" s="124"/>
      <c r="C2844" s="124"/>
      <c r="D2844" s="124"/>
      <c r="E2844" s="124"/>
      <c r="F2844" s="124"/>
      <c r="G2844" s="124"/>
      <c r="H2844" s="124"/>
      <c r="I2844" s="124"/>
      <c r="J2844" s="124"/>
      <c r="K2844" s="124"/>
      <c r="L2844" s="124"/>
      <c r="M2844" s="124"/>
      <c r="N2844" s="124"/>
      <c r="O2844" s="124"/>
      <c r="P2844" s="124"/>
      <c r="Q2844" s="124"/>
      <c r="R2844" s="124"/>
      <c r="S2844" s="124"/>
      <c r="T2844" s="124"/>
      <c r="U2844" s="124"/>
      <c r="V2844" s="124"/>
      <c r="W2844" s="124"/>
      <c r="X2844" s="124"/>
      <c r="Y2844" s="124"/>
    </row>
    <row r="2845" spans="2:25" x14ac:dyDescent="0.25">
      <c r="B2845" s="124"/>
      <c r="C2845" s="124"/>
      <c r="D2845" s="124"/>
      <c r="E2845" s="124"/>
      <c r="F2845" s="124"/>
      <c r="G2845" s="124"/>
      <c r="H2845" s="124"/>
      <c r="I2845" s="124"/>
      <c r="J2845" s="124"/>
      <c r="K2845" s="124"/>
      <c r="L2845" s="124"/>
      <c r="M2845" s="124"/>
      <c r="N2845" s="124"/>
      <c r="O2845" s="124"/>
      <c r="P2845" s="124"/>
      <c r="Q2845" s="124"/>
      <c r="R2845" s="124"/>
      <c r="S2845" s="124"/>
      <c r="T2845" s="124"/>
      <c r="U2845" s="124"/>
      <c r="V2845" s="124"/>
      <c r="W2845" s="124"/>
      <c r="X2845" s="124"/>
      <c r="Y2845" s="124"/>
    </row>
    <row r="2846" spans="2:25" x14ac:dyDescent="0.25">
      <c r="B2846" s="124"/>
      <c r="C2846" s="124"/>
      <c r="D2846" s="124"/>
      <c r="E2846" s="124"/>
      <c r="F2846" s="124"/>
      <c r="G2846" s="124"/>
      <c r="H2846" s="124"/>
      <c r="I2846" s="124"/>
      <c r="J2846" s="124"/>
      <c r="K2846" s="124"/>
      <c r="L2846" s="124"/>
      <c r="M2846" s="124"/>
      <c r="N2846" s="124"/>
      <c r="O2846" s="124"/>
      <c r="P2846" s="124"/>
      <c r="Q2846" s="124"/>
      <c r="R2846" s="124"/>
      <c r="S2846" s="124"/>
      <c r="T2846" s="124"/>
      <c r="U2846" s="124"/>
      <c r="V2846" s="124"/>
      <c r="W2846" s="124"/>
      <c r="X2846" s="124"/>
      <c r="Y2846" s="124"/>
    </row>
    <row r="2847" spans="2:25" x14ac:dyDescent="0.25">
      <c r="B2847" s="124"/>
      <c r="C2847" s="124"/>
      <c r="D2847" s="124"/>
      <c r="E2847" s="124"/>
      <c r="F2847" s="124"/>
      <c r="G2847" s="124"/>
      <c r="H2847" s="124"/>
      <c r="I2847" s="124"/>
      <c r="J2847" s="124"/>
      <c r="K2847" s="124"/>
      <c r="L2847" s="124"/>
      <c r="M2847" s="124"/>
      <c r="N2847" s="124"/>
      <c r="O2847" s="124"/>
      <c r="P2847" s="124"/>
      <c r="Q2847" s="124"/>
      <c r="R2847" s="124"/>
      <c r="S2847" s="124"/>
      <c r="T2847" s="124"/>
      <c r="U2847" s="124"/>
      <c r="V2847" s="124"/>
      <c r="W2847" s="124"/>
      <c r="X2847" s="124"/>
      <c r="Y2847" s="124"/>
    </row>
    <row r="2848" spans="2:25" x14ac:dyDescent="0.25">
      <c r="B2848" s="124"/>
      <c r="C2848" s="124"/>
      <c r="D2848" s="124"/>
      <c r="E2848" s="124"/>
      <c r="F2848" s="124"/>
      <c r="G2848" s="124"/>
      <c r="H2848" s="124"/>
      <c r="I2848" s="124"/>
      <c r="J2848" s="124"/>
      <c r="K2848" s="124"/>
      <c r="L2848" s="124"/>
      <c r="M2848" s="124"/>
      <c r="N2848" s="124"/>
      <c r="O2848" s="124"/>
      <c r="P2848" s="124"/>
      <c r="Q2848" s="124"/>
      <c r="R2848" s="124"/>
      <c r="S2848" s="124"/>
      <c r="T2848" s="124"/>
      <c r="U2848" s="124"/>
      <c r="V2848" s="124"/>
      <c r="W2848" s="124"/>
      <c r="X2848" s="124"/>
      <c r="Y2848" s="124"/>
    </row>
    <row r="2849" spans="2:25" x14ac:dyDescent="0.25">
      <c r="B2849" s="124"/>
      <c r="C2849" s="124"/>
      <c r="D2849" s="124"/>
      <c r="E2849" s="124"/>
      <c r="F2849" s="124"/>
      <c r="G2849" s="124"/>
      <c r="H2849" s="124"/>
      <c r="I2849" s="124"/>
      <c r="J2849" s="124"/>
      <c r="K2849" s="124"/>
      <c r="L2849" s="124"/>
      <c r="M2849" s="124"/>
      <c r="N2849" s="124"/>
      <c r="O2849" s="124"/>
      <c r="P2849" s="124"/>
      <c r="Q2849" s="124"/>
      <c r="R2849" s="124"/>
      <c r="S2849" s="124"/>
      <c r="T2849" s="124"/>
      <c r="U2849" s="124"/>
      <c r="V2849" s="124"/>
      <c r="W2849" s="124"/>
      <c r="X2849" s="124"/>
      <c r="Y2849" s="124"/>
    </row>
    <row r="2850" spans="2:25" x14ac:dyDescent="0.25">
      <c r="B2850" s="124"/>
      <c r="C2850" s="124"/>
      <c r="D2850" s="124"/>
      <c r="E2850" s="124"/>
      <c r="F2850" s="124"/>
      <c r="G2850" s="124"/>
      <c r="H2850" s="124"/>
      <c r="I2850" s="124"/>
      <c r="J2850" s="124"/>
      <c r="K2850" s="124"/>
      <c r="L2850" s="124"/>
      <c r="M2850" s="124"/>
      <c r="N2850" s="124"/>
      <c r="O2850" s="124"/>
      <c r="P2850" s="124"/>
      <c r="Q2850" s="124"/>
      <c r="R2850" s="124"/>
      <c r="S2850" s="124"/>
      <c r="T2850" s="124"/>
      <c r="U2850" s="124"/>
      <c r="V2850" s="124"/>
      <c r="W2850" s="124"/>
      <c r="X2850" s="124"/>
      <c r="Y2850" s="124"/>
    </row>
    <row r="2851" spans="2:25" x14ac:dyDescent="0.25">
      <c r="B2851" s="124"/>
      <c r="C2851" s="124"/>
      <c r="D2851" s="124"/>
      <c r="E2851" s="124"/>
      <c r="F2851" s="124"/>
      <c r="G2851" s="124"/>
      <c r="H2851" s="124"/>
      <c r="I2851" s="124"/>
      <c r="J2851" s="124"/>
      <c r="K2851" s="124"/>
      <c r="L2851" s="124"/>
      <c r="M2851" s="124"/>
      <c r="N2851" s="124"/>
      <c r="O2851" s="124"/>
      <c r="P2851" s="124"/>
      <c r="Q2851" s="124"/>
      <c r="R2851" s="124"/>
      <c r="S2851" s="124"/>
      <c r="T2851" s="124"/>
      <c r="U2851" s="124"/>
      <c r="V2851" s="124"/>
      <c r="W2851" s="124"/>
      <c r="X2851" s="124"/>
      <c r="Y2851" s="124"/>
    </row>
    <row r="2852" spans="2:25" x14ac:dyDescent="0.25">
      <c r="B2852" s="124"/>
      <c r="C2852" s="124"/>
      <c r="D2852" s="124"/>
      <c r="E2852" s="124"/>
      <c r="F2852" s="124"/>
      <c r="G2852" s="124"/>
      <c r="H2852" s="124"/>
      <c r="I2852" s="124"/>
      <c r="J2852" s="124"/>
      <c r="K2852" s="124"/>
      <c r="L2852" s="124"/>
      <c r="M2852" s="124"/>
      <c r="N2852" s="124"/>
      <c r="O2852" s="124"/>
      <c r="P2852" s="124"/>
      <c r="Q2852" s="124"/>
      <c r="R2852" s="124"/>
      <c r="S2852" s="124"/>
      <c r="T2852" s="124"/>
      <c r="U2852" s="124"/>
      <c r="V2852" s="124"/>
      <c r="W2852" s="124"/>
      <c r="X2852" s="124"/>
      <c r="Y2852" s="124"/>
    </row>
    <row r="2853" spans="2:25" x14ac:dyDescent="0.25">
      <c r="B2853" s="124"/>
      <c r="C2853" s="124"/>
      <c r="D2853" s="124"/>
      <c r="E2853" s="124"/>
      <c r="F2853" s="124"/>
      <c r="G2853" s="124"/>
      <c r="H2853" s="124"/>
      <c r="I2853" s="124"/>
      <c r="J2853" s="124"/>
      <c r="K2853" s="124"/>
      <c r="L2853" s="124"/>
      <c r="M2853" s="124"/>
      <c r="N2853" s="124"/>
      <c r="O2853" s="124"/>
      <c r="P2853" s="124"/>
      <c r="Q2853" s="124"/>
      <c r="R2853" s="124"/>
      <c r="S2853" s="124"/>
      <c r="T2853" s="124"/>
      <c r="U2853" s="124"/>
      <c r="V2853" s="124"/>
      <c r="W2853" s="124"/>
      <c r="X2853" s="124"/>
      <c r="Y2853" s="124"/>
    </row>
    <row r="2854" spans="2:25" x14ac:dyDescent="0.25">
      <c r="B2854" s="124"/>
      <c r="C2854" s="124"/>
      <c r="D2854" s="124"/>
      <c r="E2854" s="124"/>
      <c r="F2854" s="124"/>
      <c r="G2854" s="124"/>
      <c r="H2854" s="124"/>
      <c r="I2854" s="124"/>
      <c r="J2854" s="124"/>
      <c r="K2854" s="124"/>
      <c r="L2854" s="124"/>
      <c r="M2854" s="124"/>
      <c r="N2854" s="124"/>
      <c r="O2854" s="124"/>
      <c r="P2854" s="124"/>
      <c r="Q2854" s="124"/>
      <c r="R2854" s="124"/>
      <c r="S2854" s="124"/>
      <c r="T2854" s="124"/>
      <c r="U2854" s="124"/>
      <c r="V2854" s="124"/>
      <c r="W2854" s="124"/>
      <c r="X2854" s="124"/>
      <c r="Y2854" s="124"/>
    </row>
    <row r="2855" spans="2:25" x14ac:dyDescent="0.25">
      <c r="B2855" s="124"/>
      <c r="C2855" s="124"/>
      <c r="D2855" s="124"/>
      <c r="E2855" s="124"/>
      <c r="F2855" s="124"/>
      <c r="G2855" s="124"/>
      <c r="H2855" s="124"/>
      <c r="I2855" s="124"/>
      <c r="J2855" s="124"/>
      <c r="K2855" s="124"/>
      <c r="L2855" s="124"/>
      <c r="M2855" s="124"/>
      <c r="N2855" s="124"/>
      <c r="O2855" s="124"/>
      <c r="P2855" s="124"/>
      <c r="Q2855" s="124"/>
      <c r="R2855" s="124"/>
      <c r="S2855" s="124"/>
      <c r="T2855" s="124"/>
      <c r="U2855" s="124"/>
      <c r="V2855" s="124"/>
      <c r="W2855" s="124"/>
      <c r="X2855" s="124"/>
      <c r="Y2855" s="124"/>
    </row>
    <row r="2856" spans="2:25" x14ac:dyDescent="0.25">
      <c r="B2856" s="124"/>
      <c r="C2856" s="124"/>
      <c r="D2856" s="124"/>
      <c r="E2856" s="124"/>
      <c r="F2856" s="124"/>
      <c r="G2856" s="124"/>
      <c r="H2856" s="124"/>
      <c r="I2856" s="124"/>
      <c r="J2856" s="124"/>
      <c r="K2856" s="124"/>
      <c r="L2856" s="124"/>
      <c r="M2856" s="124"/>
      <c r="N2856" s="124"/>
      <c r="O2856" s="124"/>
      <c r="P2856" s="124"/>
      <c r="Q2856" s="124"/>
      <c r="R2856" s="124"/>
      <c r="S2856" s="124"/>
      <c r="T2856" s="124"/>
      <c r="U2856" s="124"/>
      <c r="V2856" s="124"/>
      <c r="W2856" s="124"/>
      <c r="X2856" s="124"/>
      <c r="Y2856" s="124"/>
    </row>
    <row r="2857" spans="2:25" x14ac:dyDescent="0.25">
      <c r="B2857" s="124"/>
      <c r="C2857" s="124"/>
      <c r="D2857" s="124"/>
      <c r="E2857" s="124"/>
      <c r="F2857" s="124"/>
      <c r="G2857" s="124"/>
      <c r="H2857" s="124"/>
      <c r="I2857" s="124"/>
      <c r="J2857" s="124"/>
      <c r="K2857" s="124"/>
      <c r="L2857" s="124"/>
      <c r="M2857" s="124"/>
      <c r="N2857" s="124"/>
      <c r="O2857" s="124"/>
      <c r="P2857" s="124"/>
      <c r="Q2857" s="124"/>
      <c r="R2857" s="124"/>
      <c r="S2857" s="124"/>
      <c r="T2857" s="124"/>
      <c r="U2857" s="124"/>
      <c r="V2857" s="124"/>
      <c r="W2857" s="124"/>
      <c r="X2857" s="124"/>
      <c r="Y2857" s="124"/>
    </row>
    <row r="2858" spans="2:25" x14ac:dyDescent="0.25">
      <c r="B2858" s="124"/>
      <c r="C2858" s="124"/>
      <c r="D2858" s="124"/>
      <c r="E2858" s="124"/>
      <c r="F2858" s="124"/>
      <c r="G2858" s="124"/>
      <c r="H2858" s="124"/>
      <c r="I2858" s="124"/>
      <c r="J2858" s="124"/>
      <c r="K2858" s="124"/>
      <c r="L2858" s="124"/>
      <c r="M2858" s="124"/>
      <c r="N2858" s="124"/>
      <c r="O2858" s="124"/>
      <c r="P2858" s="124"/>
      <c r="Q2858" s="124"/>
      <c r="R2858" s="124"/>
      <c r="S2858" s="124"/>
      <c r="T2858" s="124"/>
      <c r="U2858" s="124"/>
      <c r="V2858" s="124"/>
      <c r="W2858" s="124"/>
      <c r="X2858" s="124"/>
      <c r="Y2858" s="124"/>
    </row>
    <row r="2859" spans="2:25" x14ac:dyDescent="0.25">
      <c r="B2859" s="124"/>
      <c r="C2859" s="124"/>
      <c r="D2859" s="124"/>
      <c r="E2859" s="124"/>
      <c r="F2859" s="124"/>
      <c r="G2859" s="124"/>
      <c r="H2859" s="124"/>
      <c r="I2859" s="124"/>
      <c r="J2859" s="124"/>
      <c r="K2859" s="124"/>
      <c r="L2859" s="124"/>
      <c r="M2859" s="124"/>
      <c r="N2859" s="124"/>
      <c r="O2859" s="124"/>
      <c r="P2859" s="124"/>
      <c r="Q2859" s="124"/>
      <c r="R2859" s="124"/>
      <c r="S2859" s="124"/>
      <c r="T2859" s="124"/>
      <c r="U2859" s="124"/>
      <c r="V2859" s="124"/>
      <c r="W2859" s="124"/>
      <c r="X2859" s="124"/>
      <c r="Y2859" s="124"/>
    </row>
    <row r="2860" spans="2:25" x14ac:dyDescent="0.25">
      <c r="B2860" s="124"/>
      <c r="C2860" s="124"/>
      <c r="D2860" s="124"/>
      <c r="E2860" s="124"/>
      <c r="F2860" s="124"/>
      <c r="G2860" s="124"/>
      <c r="H2860" s="124"/>
      <c r="I2860" s="124"/>
      <c r="J2860" s="124"/>
      <c r="K2860" s="124"/>
      <c r="L2860" s="124"/>
      <c r="M2860" s="124"/>
      <c r="N2860" s="124"/>
      <c r="O2860" s="124"/>
      <c r="P2860" s="124"/>
      <c r="Q2860" s="124"/>
      <c r="R2860" s="124"/>
      <c r="S2860" s="124"/>
      <c r="T2860" s="124"/>
      <c r="U2860" s="124"/>
      <c r="V2860" s="124"/>
      <c r="W2860" s="124"/>
      <c r="X2860" s="124"/>
      <c r="Y2860" s="124"/>
    </row>
    <row r="2861" spans="2:25" x14ac:dyDescent="0.25">
      <c r="B2861" s="124"/>
      <c r="C2861" s="124"/>
      <c r="D2861" s="124"/>
      <c r="E2861" s="124"/>
      <c r="F2861" s="124"/>
      <c r="G2861" s="124"/>
      <c r="H2861" s="124"/>
      <c r="I2861" s="124"/>
      <c r="J2861" s="124"/>
      <c r="K2861" s="124"/>
      <c r="L2861" s="124"/>
      <c r="M2861" s="124"/>
      <c r="N2861" s="124"/>
      <c r="O2861" s="124"/>
      <c r="P2861" s="124"/>
      <c r="Q2861" s="124"/>
      <c r="R2861" s="124"/>
      <c r="S2861" s="124"/>
      <c r="T2861" s="124"/>
      <c r="U2861" s="124"/>
      <c r="V2861" s="124"/>
      <c r="W2861" s="124"/>
      <c r="X2861" s="124"/>
      <c r="Y2861" s="124"/>
    </row>
    <row r="2862" spans="2:25" x14ac:dyDescent="0.25">
      <c r="B2862" s="124"/>
      <c r="C2862" s="124"/>
      <c r="D2862" s="124"/>
      <c r="E2862" s="124"/>
      <c r="F2862" s="124"/>
      <c r="G2862" s="124"/>
      <c r="H2862" s="124"/>
      <c r="I2862" s="124"/>
      <c r="J2862" s="124"/>
      <c r="K2862" s="124"/>
      <c r="L2862" s="124"/>
      <c r="M2862" s="124"/>
      <c r="N2862" s="124"/>
      <c r="O2862" s="124"/>
      <c r="P2862" s="124"/>
      <c r="Q2862" s="124"/>
      <c r="R2862" s="124"/>
      <c r="S2862" s="124"/>
      <c r="T2862" s="124"/>
      <c r="U2862" s="124"/>
      <c r="V2862" s="124"/>
      <c r="W2862" s="124"/>
      <c r="X2862" s="124"/>
      <c r="Y2862" s="124"/>
    </row>
    <row r="2863" spans="2:25" x14ac:dyDescent="0.25">
      <c r="B2863" s="124"/>
      <c r="C2863" s="124"/>
      <c r="D2863" s="124"/>
      <c r="E2863" s="124"/>
      <c r="F2863" s="124"/>
      <c r="G2863" s="124"/>
      <c r="H2863" s="124"/>
      <c r="I2863" s="124"/>
      <c r="J2863" s="124"/>
      <c r="K2863" s="124"/>
      <c r="L2863" s="124"/>
      <c r="M2863" s="124"/>
      <c r="N2863" s="124"/>
      <c r="O2863" s="124"/>
      <c r="P2863" s="124"/>
      <c r="Q2863" s="124"/>
      <c r="R2863" s="124"/>
      <c r="S2863" s="124"/>
      <c r="T2863" s="124"/>
      <c r="U2863" s="124"/>
      <c r="V2863" s="124"/>
      <c r="W2863" s="124"/>
      <c r="X2863" s="124"/>
      <c r="Y2863" s="124"/>
    </row>
    <row r="2864" spans="2:25" x14ac:dyDescent="0.25">
      <c r="B2864" s="124"/>
      <c r="C2864" s="124"/>
      <c r="D2864" s="124"/>
      <c r="E2864" s="124"/>
      <c r="F2864" s="124"/>
      <c r="G2864" s="124"/>
      <c r="H2864" s="124"/>
      <c r="I2864" s="124"/>
      <c r="J2864" s="124"/>
      <c r="K2864" s="124"/>
      <c r="L2864" s="124"/>
      <c r="M2864" s="124"/>
      <c r="N2864" s="124"/>
      <c r="O2864" s="124"/>
      <c r="P2864" s="124"/>
      <c r="Q2864" s="124"/>
      <c r="R2864" s="124"/>
      <c r="S2864" s="124"/>
      <c r="T2864" s="124"/>
      <c r="U2864" s="124"/>
      <c r="V2864" s="124"/>
      <c r="W2864" s="124"/>
      <c r="X2864" s="124"/>
      <c r="Y2864" s="124"/>
    </row>
    <row r="2865" spans="2:25" x14ac:dyDescent="0.25">
      <c r="B2865" s="124"/>
      <c r="C2865" s="124"/>
      <c r="D2865" s="124"/>
      <c r="E2865" s="124"/>
      <c r="F2865" s="124"/>
      <c r="G2865" s="124"/>
      <c r="H2865" s="124"/>
      <c r="I2865" s="124"/>
      <c r="J2865" s="124"/>
      <c r="K2865" s="124"/>
      <c r="L2865" s="124"/>
      <c r="M2865" s="124"/>
      <c r="N2865" s="124"/>
      <c r="O2865" s="124"/>
      <c r="P2865" s="124"/>
      <c r="Q2865" s="124"/>
      <c r="R2865" s="124"/>
      <c r="S2865" s="124"/>
      <c r="T2865" s="124"/>
      <c r="U2865" s="124"/>
      <c r="V2865" s="124"/>
      <c r="W2865" s="124"/>
      <c r="X2865" s="124"/>
      <c r="Y2865" s="124"/>
    </row>
    <row r="2866" spans="2:25" x14ac:dyDescent="0.25">
      <c r="B2866" s="124"/>
      <c r="C2866" s="124"/>
      <c r="D2866" s="124"/>
      <c r="E2866" s="124"/>
      <c r="F2866" s="124"/>
      <c r="G2866" s="124"/>
      <c r="H2866" s="124"/>
      <c r="I2866" s="124"/>
      <c r="J2866" s="124"/>
      <c r="K2866" s="124"/>
      <c r="L2866" s="124"/>
      <c r="M2866" s="124"/>
      <c r="N2866" s="124"/>
      <c r="O2866" s="124"/>
      <c r="P2866" s="124"/>
      <c r="Q2866" s="124"/>
      <c r="R2866" s="124"/>
      <c r="S2866" s="124"/>
      <c r="T2866" s="124"/>
      <c r="U2866" s="124"/>
      <c r="V2866" s="124"/>
      <c r="W2866" s="124"/>
      <c r="X2866" s="124"/>
      <c r="Y2866" s="124"/>
    </row>
    <row r="2867" spans="2:25" x14ac:dyDescent="0.25">
      <c r="B2867" s="124"/>
      <c r="C2867" s="124"/>
      <c r="D2867" s="124"/>
      <c r="E2867" s="124"/>
      <c r="F2867" s="124"/>
      <c r="G2867" s="124"/>
      <c r="H2867" s="124"/>
      <c r="I2867" s="124"/>
      <c r="J2867" s="124"/>
      <c r="K2867" s="124"/>
      <c r="L2867" s="124"/>
      <c r="M2867" s="124"/>
      <c r="N2867" s="124"/>
      <c r="O2867" s="124"/>
      <c r="P2867" s="124"/>
      <c r="Q2867" s="124"/>
      <c r="R2867" s="124"/>
      <c r="S2867" s="124"/>
      <c r="T2867" s="124"/>
      <c r="U2867" s="124"/>
      <c r="V2867" s="124"/>
      <c r="W2867" s="124"/>
      <c r="X2867" s="124"/>
      <c r="Y2867" s="124"/>
    </row>
    <row r="2868" spans="2:25" x14ac:dyDescent="0.25">
      <c r="B2868" s="124"/>
      <c r="C2868" s="124"/>
      <c r="D2868" s="124"/>
      <c r="E2868" s="124"/>
      <c r="F2868" s="124"/>
      <c r="G2868" s="124"/>
      <c r="H2868" s="124"/>
      <c r="I2868" s="124"/>
      <c r="J2868" s="124"/>
      <c r="K2868" s="124"/>
      <c r="L2868" s="124"/>
      <c r="M2868" s="124"/>
      <c r="N2868" s="124"/>
      <c r="O2868" s="124"/>
      <c r="P2868" s="124"/>
      <c r="Q2868" s="124"/>
      <c r="R2868" s="124"/>
      <c r="S2868" s="124"/>
      <c r="T2868" s="124"/>
      <c r="U2868" s="124"/>
      <c r="V2868" s="124"/>
      <c r="W2868" s="124"/>
      <c r="X2868" s="124"/>
      <c r="Y2868" s="124"/>
    </row>
    <row r="2869" spans="2:25" x14ac:dyDescent="0.25">
      <c r="B2869" s="124"/>
      <c r="C2869" s="124"/>
      <c r="D2869" s="124"/>
      <c r="E2869" s="124"/>
      <c r="F2869" s="124"/>
      <c r="G2869" s="124"/>
      <c r="H2869" s="124"/>
      <c r="I2869" s="124"/>
      <c r="J2869" s="124"/>
      <c r="K2869" s="124"/>
      <c r="L2869" s="124"/>
      <c r="M2869" s="124"/>
      <c r="N2869" s="124"/>
      <c r="O2869" s="124"/>
      <c r="P2869" s="124"/>
      <c r="Q2869" s="124"/>
      <c r="R2869" s="124"/>
      <c r="S2869" s="124"/>
      <c r="T2869" s="124"/>
      <c r="U2869" s="124"/>
      <c r="V2869" s="124"/>
      <c r="W2869" s="124"/>
      <c r="X2869" s="124"/>
      <c r="Y2869" s="124"/>
    </row>
    <row r="2870" spans="2:25" x14ac:dyDescent="0.25">
      <c r="B2870" s="124"/>
      <c r="C2870" s="124"/>
      <c r="D2870" s="124"/>
      <c r="E2870" s="124"/>
      <c r="F2870" s="124"/>
      <c r="G2870" s="124"/>
      <c r="H2870" s="124"/>
      <c r="I2870" s="124"/>
      <c r="J2870" s="124"/>
      <c r="K2870" s="124"/>
      <c r="L2870" s="124"/>
      <c r="M2870" s="124"/>
      <c r="N2870" s="124"/>
      <c r="O2870" s="124"/>
      <c r="P2870" s="124"/>
      <c r="Q2870" s="124"/>
      <c r="R2870" s="124"/>
      <c r="S2870" s="124"/>
      <c r="T2870" s="124"/>
      <c r="U2870" s="124"/>
      <c r="V2870" s="124"/>
      <c r="W2870" s="124"/>
      <c r="X2870" s="124"/>
      <c r="Y2870" s="124"/>
    </row>
    <row r="2871" spans="2:25" x14ac:dyDescent="0.25">
      <c r="B2871" s="124"/>
      <c r="C2871" s="124"/>
      <c r="D2871" s="124"/>
      <c r="E2871" s="124"/>
      <c r="F2871" s="124"/>
      <c r="G2871" s="124"/>
      <c r="H2871" s="124"/>
      <c r="I2871" s="124"/>
      <c r="J2871" s="124"/>
      <c r="K2871" s="124"/>
      <c r="L2871" s="124"/>
      <c r="M2871" s="124"/>
      <c r="N2871" s="124"/>
      <c r="O2871" s="124"/>
      <c r="P2871" s="124"/>
      <c r="Q2871" s="124"/>
      <c r="R2871" s="124"/>
      <c r="S2871" s="124"/>
      <c r="T2871" s="124"/>
      <c r="U2871" s="124"/>
      <c r="V2871" s="124"/>
      <c r="W2871" s="124"/>
      <c r="X2871" s="124"/>
      <c r="Y2871" s="124"/>
    </row>
    <row r="2872" spans="2:25" x14ac:dyDescent="0.25">
      <c r="B2872" s="124"/>
      <c r="C2872" s="124"/>
      <c r="D2872" s="124"/>
      <c r="E2872" s="124"/>
      <c r="F2872" s="124"/>
      <c r="G2872" s="124"/>
      <c r="H2872" s="124"/>
      <c r="I2872" s="124"/>
      <c r="J2872" s="124"/>
      <c r="K2872" s="124"/>
      <c r="L2872" s="124"/>
      <c r="M2872" s="124"/>
      <c r="N2872" s="124"/>
      <c r="O2872" s="124"/>
      <c r="P2872" s="124"/>
      <c r="Q2872" s="124"/>
      <c r="R2872" s="124"/>
      <c r="S2872" s="124"/>
      <c r="T2872" s="124"/>
      <c r="U2872" s="124"/>
      <c r="V2872" s="124"/>
      <c r="W2872" s="124"/>
      <c r="X2872" s="124"/>
      <c r="Y2872" s="124"/>
    </row>
    <row r="2873" spans="2:25" x14ac:dyDescent="0.25">
      <c r="B2873" s="124"/>
      <c r="C2873" s="124"/>
      <c r="D2873" s="124"/>
      <c r="E2873" s="124"/>
      <c r="F2873" s="124"/>
      <c r="G2873" s="124"/>
      <c r="H2873" s="124"/>
      <c r="I2873" s="124"/>
      <c r="J2873" s="124"/>
      <c r="K2873" s="124"/>
      <c r="L2873" s="124"/>
      <c r="M2873" s="124"/>
      <c r="N2873" s="124"/>
      <c r="O2873" s="124"/>
      <c r="P2873" s="124"/>
      <c r="Q2873" s="124"/>
      <c r="R2873" s="124"/>
      <c r="S2873" s="124"/>
      <c r="T2873" s="124"/>
      <c r="U2873" s="124"/>
      <c r="V2873" s="124"/>
      <c r="W2873" s="124"/>
      <c r="X2873" s="124"/>
      <c r="Y2873" s="124"/>
    </row>
    <row r="2874" spans="2:25" x14ac:dyDescent="0.25">
      <c r="B2874" s="124"/>
      <c r="C2874" s="124"/>
      <c r="D2874" s="124"/>
      <c r="E2874" s="124"/>
      <c r="F2874" s="124"/>
      <c r="G2874" s="124"/>
      <c r="H2874" s="124"/>
      <c r="I2874" s="124"/>
      <c r="J2874" s="124"/>
      <c r="K2874" s="124"/>
      <c r="L2874" s="124"/>
      <c r="M2874" s="124"/>
      <c r="N2874" s="124"/>
      <c r="O2874" s="124"/>
      <c r="P2874" s="124"/>
      <c r="Q2874" s="124"/>
      <c r="R2874" s="124"/>
      <c r="S2874" s="124"/>
      <c r="T2874" s="124"/>
      <c r="U2874" s="124"/>
      <c r="V2874" s="124"/>
      <c r="W2874" s="124"/>
      <c r="X2874" s="124"/>
      <c r="Y2874" s="124"/>
    </row>
    <row r="2875" spans="2:25" x14ac:dyDescent="0.25">
      <c r="B2875" s="124"/>
      <c r="C2875" s="124"/>
      <c r="D2875" s="124"/>
      <c r="E2875" s="124"/>
      <c r="F2875" s="124"/>
      <c r="G2875" s="124"/>
      <c r="H2875" s="124"/>
      <c r="I2875" s="124"/>
      <c r="J2875" s="124"/>
      <c r="K2875" s="124"/>
      <c r="L2875" s="124"/>
      <c r="M2875" s="124"/>
      <c r="N2875" s="124"/>
      <c r="O2875" s="124"/>
      <c r="P2875" s="124"/>
      <c r="Q2875" s="124"/>
      <c r="R2875" s="124"/>
      <c r="S2875" s="124"/>
      <c r="T2875" s="124"/>
      <c r="U2875" s="124"/>
      <c r="V2875" s="124"/>
      <c r="W2875" s="124"/>
      <c r="X2875" s="124"/>
      <c r="Y2875" s="124"/>
    </row>
    <row r="2876" spans="2:25" x14ac:dyDescent="0.25">
      <c r="B2876" s="124"/>
      <c r="C2876" s="124"/>
      <c r="D2876" s="124"/>
      <c r="E2876" s="124"/>
      <c r="F2876" s="124"/>
      <c r="G2876" s="124"/>
      <c r="H2876" s="124"/>
      <c r="I2876" s="124"/>
      <c r="J2876" s="124"/>
      <c r="K2876" s="124"/>
      <c r="L2876" s="124"/>
      <c r="M2876" s="124"/>
      <c r="N2876" s="124"/>
      <c r="O2876" s="124"/>
      <c r="P2876" s="124"/>
      <c r="Q2876" s="124"/>
      <c r="R2876" s="124"/>
      <c r="S2876" s="124"/>
      <c r="T2876" s="124"/>
      <c r="U2876" s="124"/>
      <c r="V2876" s="124"/>
      <c r="W2876" s="124"/>
      <c r="X2876" s="124"/>
      <c r="Y2876" s="124"/>
    </row>
    <row r="2877" spans="2:25" x14ac:dyDescent="0.25">
      <c r="B2877" s="124"/>
      <c r="C2877" s="124"/>
      <c r="D2877" s="124"/>
      <c r="E2877" s="124"/>
      <c r="F2877" s="124"/>
      <c r="G2877" s="124"/>
      <c r="H2877" s="124"/>
      <c r="I2877" s="124"/>
      <c r="J2877" s="124"/>
      <c r="K2877" s="124"/>
      <c r="L2877" s="124"/>
      <c r="M2877" s="124"/>
      <c r="N2877" s="124"/>
      <c r="O2877" s="124"/>
      <c r="P2877" s="124"/>
      <c r="Q2877" s="124"/>
      <c r="R2877" s="124"/>
      <c r="S2877" s="124"/>
      <c r="T2877" s="124"/>
      <c r="U2877" s="124"/>
      <c r="V2877" s="124"/>
      <c r="W2877" s="124"/>
      <c r="X2877" s="124"/>
      <c r="Y2877" s="124"/>
    </row>
    <row r="2878" spans="2:25" x14ac:dyDescent="0.25">
      <c r="B2878" s="124"/>
      <c r="C2878" s="124"/>
      <c r="D2878" s="124"/>
      <c r="E2878" s="124"/>
      <c r="F2878" s="124"/>
      <c r="G2878" s="124"/>
      <c r="H2878" s="124"/>
      <c r="I2878" s="124"/>
      <c r="J2878" s="124"/>
      <c r="K2878" s="124"/>
      <c r="L2878" s="124"/>
      <c r="M2878" s="124"/>
      <c r="N2878" s="124"/>
      <c r="O2878" s="124"/>
      <c r="P2878" s="124"/>
      <c r="Q2878" s="124"/>
      <c r="R2878" s="124"/>
      <c r="S2878" s="124"/>
      <c r="T2878" s="124"/>
      <c r="U2878" s="124"/>
      <c r="V2878" s="124"/>
      <c r="W2878" s="124"/>
      <c r="X2878" s="124"/>
      <c r="Y2878" s="124"/>
    </row>
    <row r="2879" spans="2:25" x14ac:dyDescent="0.25">
      <c r="B2879" s="124"/>
      <c r="C2879" s="124"/>
      <c r="D2879" s="124"/>
      <c r="E2879" s="124"/>
      <c r="F2879" s="124"/>
      <c r="G2879" s="124"/>
      <c r="H2879" s="124"/>
      <c r="I2879" s="124"/>
      <c r="J2879" s="124"/>
      <c r="K2879" s="124"/>
      <c r="L2879" s="124"/>
      <c r="M2879" s="124"/>
      <c r="N2879" s="124"/>
      <c r="O2879" s="124"/>
      <c r="P2879" s="124"/>
      <c r="Q2879" s="124"/>
      <c r="R2879" s="124"/>
      <c r="S2879" s="124"/>
      <c r="T2879" s="124"/>
      <c r="U2879" s="124"/>
      <c r="V2879" s="124"/>
      <c r="W2879" s="124"/>
      <c r="X2879" s="124"/>
      <c r="Y2879" s="124"/>
    </row>
    <row r="2880" spans="2:25" x14ac:dyDescent="0.25">
      <c r="B2880" s="124"/>
      <c r="C2880" s="124"/>
      <c r="D2880" s="124"/>
      <c r="E2880" s="124"/>
      <c r="F2880" s="124"/>
      <c r="G2880" s="124"/>
      <c r="H2880" s="124"/>
      <c r="I2880" s="124"/>
      <c r="J2880" s="124"/>
      <c r="K2880" s="124"/>
      <c r="L2880" s="124"/>
      <c r="M2880" s="124"/>
      <c r="N2880" s="124"/>
      <c r="O2880" s="124"/>
      <c r="P2880" s="124"/>
      <c r="Q2880" s="124"/>
      <c r="R2880" s="124"/>
      <c r="S2880" s="124"/>
      <c r="T2880" s="124"/>
      <c r="U2880" s="124"/>
      <c r="V2880" s="124"/>
      <c r="W2880" s="124"/>
      <c r="X2880" s="124"/>
      <c r="Y2880" s="124"/>
    </row>
    <row r="2881" spans="2:25" x14ac:dyDescent="0.25">
      <c r="B2881" s="124"/>
      <c r="C2881" s="124"/>
      <c r="D2881" s="124"/>
      <c r="E2881" s="124"/>
      <c r="F2881" s="124"/>
      <c r="G2881" s="124"/>
      <c r="H2881" s="124"/>
      <c r="I2881" s="124"/>
      <c r="J2881" s="124"/>
      <c r="K2881" s="124"/>
      <c r="L2881" s="124"/>
      <c r="M2881" s="124"/>
      <c r="N2881" s="124"/>
      <c r="O2881" s="124"/>
      <c r="P2881" s="124"/>
      <c r="Q2881" s="124"/>
      <c r="R2881" s="124"/>
      <c r="S2881" s="124"/>
      <c r="T2881" s="124"/>
      <c r="U2881" s="124"/>
      <c r="V2881" s="124"/>
      <c r="W2881" s="124"/>
      <c r="X2881" s="124"/>
      <c r="Y2881" s="124"/>
    </row>
    <row r="2882" spans="2:25" x14ac:dyDescent="0.25">
      <c r="B2882" s="124"/>
      <c r="C2882" s="124"/>
      <c r="D2882" s="124"/>
      <c r="E2882" s="124"/>
      <c r="F2882" s="124"/>
      <c r="G2882" s="124"/>
      <c r="H2882" s="124"/>
      <c r="I2882" s="124"/>
      <c r="J2882" s="124"/>
      <c r="K2882" s="124"/>
      <c r="L2882" s="124"/>
      <c r="M2882" s="124"/>
      <c r="N2882" s="124"/>
      <c r="O2882" s="124"/>
      <c r="P2882" s="124"/>
      <c r="Q2882" s="124"/>
      <c r="R2882" s="124"/>
      <c r="S2882" s="124"/>
      <c r="T2882" s="124"/>
      <c r="U2882" s="124"/>
      <c r="V2882" s="124"/>
      <c r="W2882" s="124"/>
      <c r="X2882" s="124"/>
      <c r="Y2882" s="124"/>
    </row>
    <row r="2883" spans="2:25" x14ac:dyDescent="0.25">
      <c r="B2883" s="124"/>
      <c r="C2883" s="124"/>
      <c r="D2883" s="124"/>
      <c r="E2883" s="124"/>
      <c r="F2883" s="124"/>
      <c r="G2883" s="124"/>
      <c r="H2883" s="124"/>
      <c r="I2883" s="124"/>
      <c r="J2883" s="124"/>
      <c r="K2883" s="124"/>
      <c r="L2883" s="124"/>
      <c r="M2883" s="124"/>
      <c r="N2883" s="124"/>
      <c r="O2883" s="124"/>
      <c r="P2883" s="124"/>
      <c r="Q2883" s="124"/>
      <c r="R2883" s="124"/>
      <c r="S2883" s="124"/>
      <c r="T2883" s="124"/>
      <c r="U2883" s="124"/>
      <c r="V2883" s="124"/>
      <c r="W2883" s="124"/>
      <c r="X2883" s="124"/>
      <c r="Y2883" s="124"/>
    </row>
    <row r="2884" spans="2:25" x14ac:dyDescent="0.25">
      <c r="B2884" s="124"/>
      <c r="C2884" s="124"/>
      <c r="D2884" s="124"/>
      <c r="E2884" s="124"/>
      <c r="F2884" s="124"/>
      <c r="G2884" s="124"/>
      <c r="H2884" s="124"/>
      <c r="I2884" s="124"/>
      <c r="J2884" s="124"/>
      <c r="K2884" s="124"/>
      <c r="L2884" s="124"/>
      <c r="M2884" s="124"/>
      <c r="N2884" s="124"/>
      <c r="O2884" s="124"/>
      <c r="P2884" s="124"/>
      <c r="Q2884" s="124"/>
      <c r="R2884" s="124"/>
      <c r="S2884" s="124"/>
      <c r="T2884" s="124"/>
      <c r="U2884" s="124"/>
      <c r="V2884" s="124"/>
      <c r="W2884" s="124"/>
      <c r="X2884" s="124"/>
      <c r="Y2884" s="124"/>
    </row>
    <row r="2885" spans="2:25" x14ac:dyDescent="0.25">
      <c r="B2885" s="124"/>
      <c r="C2885" s="124"/>
      <c r="D2885" s="124"/>
      <c r="E2885" s="124"/>
      <c r="F2885" s="124"/>
      <c r="G2885" s="124"/>
      <c r="H2885" s="124"/>
      <c r="I2885" s="124"/>
      <c r="J2885" s="124"/>
      <c r="K2885" s="124"/>
      <c r="L2885" s="124"/>
      <c r="M2885" s="124"/>
      <c r="N2885" s="124"/>
      <c r="O2885" s="124"/>
      <c r="P2885" s="124"/>
      <c r="Q2885" s="124"/>
      <c r="R2885" s="124"/>
      <c r="S2885" s="124"/>
      <c r="T2885" s="124"/>
      <c r="U2885" s="124"/>
      <c r="V2885" s="124"/>
      <c r="W2885" s="124"/>
      <c r="X2885" s="124"/>
      <c r="Y2885" s="124"/>
    </row>
    <row r="2886" spans="2:25" x14ac:dyDescent="0.25">
      <c r="B2886" s="124"/>
      <c r="C2886" s="124"/>
      <c r="D2886" s="124"/>
      <c r="E2886" s="124"/>
      <c r="F2886" s="124"/>
      <c r="G2886" s="124"/>
      <c r="H2886" s="124"/>
      <c r="I2886" s="124"/>
      <c r="J2886" s="124"/>
      <c r="K2886" s="124"/>
      <c r="L2886" s="124"/>
      <c r="M2886" s="124"/>
      <c r="N2886" s="124"/>
      <c r="O2886" s="124"/>
      <c r="P2886" s="124"/>
      <c r="Q2886" s="124"/>
      <c r="R2886" s="124"/>
      <c r="S2886" s="124"/>
      <c r="T2886" s="124"/>
      <c r="U2886" s="124"/>
      <c r="V2886" s="124"/>
      <c r="W2886" s="124"/>
      <c r="X2886" s="124"/>
      <c r="Y2886" s="124"/>
    </row>
    <row r="2887" spans="2:25" x14ac:dyDescent="0.25">
      <c r="B2887" s="124"/>
      <c r="C2887" s="124"/>
      <c r="D2887" s="124"/>
      <c r="E2887" s="124"/>
      <c r="F2887" s="124"/>
      <c r="G2887" s="124"/>
      <c r="H2887" s="124"/>
      <c r="I2887" s="124"/>
      <c r="J2887" s="124"/>
      <c r="K2887" s="124"/>
      <c r="L2887" s="124"/>
      <c r="M2887" s="124"/>
      <c r="N2887" s="124"/>
      <c r="O2887" s="124"/>
      <c r="P2887" s="124"/>
      <c r="Q2887" s="124"/>
      <c r="R2887" s="124"/>
      <c r="S2887" s="124"/>
      <c r="T2887" s="124"/>
      <c r="U2887" s="124"/>
      <c r="V2887" s="124"/>
      <c r="W2887" s="124"/>
      <c r="X2887" s="124"/>
      <c r="Y2887" s="124"/>
    </row>
    <row r="2888" spans="2:25" x14ac:dyDescent="0.25">
      <c r="B2888" s="124"/>
      <c r="C2888" s="124"/>
      <c r="D2888" s="124"/>
      <c r="E2888" s="124"/>
      <c r="F2888" s="124"/>
      <c r="G2888" s="124"/>
      <c r="H2888" s="124"/>
      <c r="I2888" s="124"/>
      <c r="J2888" s="124"/>
      <c r="K2888" s="124"/>
      <c r="L2888" s="124"/>
      <c r="M2888" s="124"/>
      <c r="N2888" s="124"/>
      <c r="O2888" s="124"/>
      <c r="P2888" s="124"/>
      <c r="Q2888" s="124"/>
      <c r="R2888" s="124"/>
      <c r="S2888" s="124"/>
      <c r="T2888" s="124"/>
      <c r="U2888" s="124"/>
      <c r="V2888" s="124"/>
      <c r="W2888" s="124"/>
      <c r="X2888" s="124"/>
      <c r="Y2888" s="124"/>
    </row>
    <row r="2889" spans="2:25" x14ac:dyDescent="0.25">
      <c r="B2889" s="124"/>
      <c r="C2889" s="124"/>
      <c r="D2889" s="124"/>
      <c r="E2889" s="124"/>
      <c r="F2889" s="124"/>
      <c r="G2889" s="124"/>
      <c r="H2889" s="124"/>
      <c r="I2889" s="124"/>
      <c r="J2889" s="124"/>
      <c r="K2889" s="124"/>
      <c r="L2889" s="124"/>
      <c r="M2889" s="124"/>
      <c r="N2889" s="124"/>
      <c r="O2889" s="124"/>
      <c r="P2889" s="124"/>
      <c r="Q2889" s="124"/>
      <c r="R2889" s="124"/>
      <c r="S2889" s="124"/>
      <c r="T2889" s="124"/>
      <c r="U2889" s="124"/>
      <c r="V2889" s="124"/>
      <c r="W2889" s="124"/>
      <c r="X2889" s="124"/>
      <c r="Y2889" s="124"/>
    </row>
    <row r="2890" spans="2:25" x14ac:dyDescent="0.25">
      <c r="B2890" s="124"/>
      <c r="C2890" s="124"/>
      <c r="D2890" s="124"/>
      <c r="E2890" s="124"/>
      <c r="F2890" s="124"/>
      <c r="G2890" s="124"/>
      <c r="H2890" s="124"/>
      <c r="I2890" s="124"/>
      <c r="J2890" s="124"/>
      <c r="K2890" s="124"/>
      <c r="L2890" s="124"/>
      <c r="M2890" s="124"/>
      <c r="N2890" s="124"/>
      <c r="O2890" s="124"/>
      <c r="P2890" s="124"/>
      <c r="Q2890" s="124"/>
      <c r="R2890" s="124"/>
      <c r="S2890" s="124"/>
      <c r="T2890" s="124"/>
      <c r="U2890" s="124"/>
      <c r="V2890" s="124"/>
      <c r="W2890" s="124"/>
      <c r="X2890" s="124"/>
      <c r="Y2890" s="124"/>
    </row>
    <row r="2891" spans="2:25" x14ac:dyDescent="0.25">
      <c r="B2891" s="124"/>
      <c r="C2891" s="124"/>
      <c r="D2891" s="124"/>
      <c r="E2891" s="124"/>
      <c r="F2891" s="124"/>
      <c r="G2891" s="124"/>
      <c r="H2891" s="124"/>
      <c r="I2891" s="124"/>
      <c r="J2891" s="124"/>
      <c r="K2891" s="124"/>
      <c r="L2891" s="124"/>
      <c r="M2891" s="124"/>
      <c r="N2891" s="124"/>
      <c r="O2891" s="124"/>
      <c r="P2891" s="124"/>
      <c r="Q2891" s="124"/>
      <c r="R2891" s="124"/>
      <c r="S2891" s="124"/>
      <c r="T2891" s="124"/>
      <c r="U2891" s="124"/>
      <c r="V2891" s="124"/>
      <c r="W2891" s="124"/>
      <c r="X2891" s="124"/>
      <c r="Y2891" s="124"/>
    </row>
    <row r="2892" spans="2:25" x14ac:dyDescent="0.25">
      <c r="B2892" s="124"/>
      <c r="C2892" s="124"/>
      <c r="D2892" s="124"/>
      <c r="E2892" s="124"/>
      <c r="F2892" s="124"/>
      <c r="G2892" s="124"/>
      <c r="H2892" s="124"/>
      <c r="I2892" s="124"/>
      <c r="J2892" s="124"/>
      <c r="K2892" s="124"/>
      <c r="L2892" s="124"/>
      <c r="M2892" s="124"/>
      <c r="N2892" s="124"/>
      <c r="O2892" s="124"/>
      <c r="P2892" s="124"/>
      <c r="Q2892" s="124"/>
      <c r="R2892" s="124"/>
      <c r="S2892" s="124"/>
      <c r="T2892" s="124"/>
      <c r="U2892" s="124"/>
      <c r="V2892" s="124"/>
      <c r="W2892" s="124"/>
      <c r="X2892" s="124"/>
      <c r="Y2892" s="124"/>
    </row>
    <row r="2893" spans="2:25" x14ac:dyDescent="0.25">
      <c r="B2893" s="124"/>
      <c r="C2893" s="124"/>
      <c r="D2893" s="124"/>
      <c r="E2893" s="124"/>
      <c r="F2893" s="124"/>
      <c r="G2893" s="124"/>
      <c r="H2893" s="124"/>
      <c r="I2893" s="124"/>
      <c r="J2893" s="124"/>
      <c r="K2893" s="124"/>
      <c r="L2893" s="124"/>
      <c r="M2893" s="124"/>
      <c r="N2893" s="124"/>
      <c r="O2893" s="124"/>
      <c r="P2893" s="124"/>
      <c r="Q2893" s="124"/>
      <c r="R2893" s="124"/>
      <c r="S2893" s="124"/>
      <c r="T2893" s="124"/>
      <c r="U2893" s="124"/>
      <c r="V2893" s="124"/>
      <c r="W2893" s="124"/>
      <c r="X2893" s="124"/>
      <c r="Y2893" s="124"/>
    </row>
    <row r="2894" spans="2:25" x14ac:dyDescent="0.25">
      <c r="B2894" s="124"/>
      <c r="C2894" s="124"/>
      <c r="D2894" s="124"/>
      <c r="E2894" s="124"/>
      <c r="F2894" s="124"/>
      <c r="G2894" s="124"/>
      <c r="H2894" s="124"/>
      <c r="I2894" s="124"/>
      <c r="J2894" s="124"/>
      <c r="K2894" s="124"/>
      <c r="L2894" s="124"/>
      <c r="M2894" s="124"/>
      <c r="N2894" s="124"/>
      <c r="O2894" s="124"/>
      <c r="P2894" s="124"/>
      <c r="Q2894" s="124"/>
      <c r="R2894" s="124"/>
      <c r="S2894" s="124"/>
      <c r="T2894" s="124"/>
      <c r="U2894" s="124"/>
      <c r="V2894" s="124"/>
      <c r="W2894" s="124"/>
      <c r="X2894" s="124"/>
      <c r="Y2894" s="124"/>
    </row>
    <row r="2895" spans="2:25" x14ac:dyDescent="0.25">
      <c r="B2895" s="124"/>
      <c r="C2895" s="124"/>
      <c r="D2895" s="124"/>
      <c r="E2895" s="124"/>
      <c r="F2895" s="124"/>
      <c r="G2895" s="124"/>
      <c r="H2895" s="124"/>
      <c r="I2895" s="124"/>
      <c r="J2895" s="124"/>
      <c r="K2895" s="124"/>
      <c r="L2895" s="124"/>
      <c r="M2895" s="124"/>
      <c r="N2895" s="124"/>
      <c r="O2895" s="124"/>
      <c r="P2895" s="124"/>
      <c r="Q2895" s="124"/>
      <c r="R2895" s="124"/>
      <c r="S2895" s="124"/>
      <c r="T2895" s="124"/>
      <c r="U2895" s="124"/>
      <c r="V2895" s="124"/>
      <c r="W2895" s="124"/>
      <c r="X2895" s="124"/>
      <c r="Y2895" s="124"/>
    </row>
    <row r="2896" spans="2:25" x14ac:dyDescent="0.25">
      <c r="B2896" s="124"/>
      <c r="C2896" s="124"/>
      <c r="D2896" s="124"/>
      <c r="E2896" s="124"/>
      <c r="F2896" s="124"/>
      <c r="G2896" s="124"/>
      <c r="H2896" s="124"/>
      <c r="I2896" s="124"/>
      <c r="J2896" s="124"/>
      <c r="K2896" s="124"/>
      <c r="L2896" s="124"/>
      <c r="M2896" s="124"/>
      <c r="N2896" s="124"/>
      <c r="O2896" s="124"/>
      <c r="P2896" s="124"/>
      <c r="Q2896" s="124"/>
      <c r="R2896" s="124"/>
      <c r="S2896" s="124"/>
      <c r="T2896" s="124"/>
      <c r="U2896" s="124"/>
      <c r="V2896" s="124"/>
      <c r="W2896" s="124"/>
      <c r="X2896" s="124"/>
      <c r="Y2896" s="124"/>
    </row>
    <row r="2897" spans="2:25" x14ac:dyDescent="0.25">
      <c r="B2897" s="124"/>
      <c r="C2897" s="124"/>
      <c r="D2897" s="124"/>
      <c r="E2897" s="124"/>
      <c r="F2897" s="124"/>
      <c r="G2897" s="124"/>
      <c r="H2897" s="124"/>
      <c r="I2897" s="124"/>
      <c r="J2897" s="124"/>
      <c r="K2897" s="124"/>
      <c r="L2897" s="124"/>
      <c r="M2897" s="124"/>
      <c r="N2897" s="124"/>
      <c r="O2897" s="124"/>
      <c r="P2897" s="124"/>
      <c r="Q2897" s="124"/>
      <c r="R2897" s="124"/>
      <c r="S2897" s="124"/>
      <c r="T2897" s="124"/>
      <c r="U2897" s="124"/>
      <c r="V2897" s="124"/>
      <c r="W2897" s="124"/>
      <c r="X2897" s="124"/>
      <c r="Y2897" s="124"/>
    </row>
    <row r="2898" spans="2:25" x14ac:dyDescent="0.25">
      <c r="B2898" s="124"/>
      <c r="C2898" s="124"/>
      <c r="D2898" s="124"/>
      <c r="E2898" s="124"/>
      <c r="F2898" s="124"/>
      <c r="G2898" s="124"/>
      <c r="H2898" s="124"/>
      <c r="I2898" s="124"/>
      <c r="J2898" s="124"/>
      <c r="K2898" s="124"/>
      <c r="L2898" s="124"/>
      <c r="M2898" s="124"/>
      <c r="N2898" s="124"/>
      <c r="O2898" s="124"/>
      <c r="P2898" s="124"/>
      <c r="Q2898" s="124"/>
      <c r="R2898" s="124"/>
      <c r="S2898" s="124"/>
      <c r="T2898" s="124"/>
      <c r="U2898" s="124"/>
      <c r="V2898" s="124"/>
      <c r="W2898" s="124"/>
      <c r="X2898" s="124"/>
      <c r="Y2898" s="124"/>
    </row>
    <row r="2899" spans="2:25" x14ac:dyDescent="0.25">
      <c r="B2899" s="124"/>
      <c r="C2899" s="124"/>
      <c r="D2899" s="124"/>
      <c r="E2899" s="124"/>
      <c r="F2899" s="124"/>
      <c r="G2899" s="124"/>
      <c r="H2899" s="124"/>
      <c r="I2899" s="124"/>
      <c r="J2899" s="124"/>
      <c r="K2899" s="124"/>
      <c r="L2899" s="124"/>
      <c r="M2899" s="124"/>
      <c r="N2899" s="124"/>
      <c r="O2899" s="124"/>
      <c r="P2899" s="124"/>
      <c r="Q2899" s="124"/>
      <c r="R2899" s="124"/>
      <c r="S2899" s="124"/>
      <c r="T2899" s="124"/>
      <c r="U2899" s="124"/>
      <c r="V2899" s="124"/>
      <c r="W2899" s="124"/>
      <c r="X2899" s="124"/>
      <c r="Y2899" s="124"/>
    </row>
    <row r="2900" spans="2:25" x14ac:dyDescent="0.25">
      <c r="B2900" s="124"/>
      <c r="C2900" s="124"/>
      <c r="D2900" s="124"/>
      <c r="E2900" s="124"/>
      <c r="F2900" s="124"/>
      <c r="G2900" s="124"/>
      <c r="H2900" s="124"/>
      <c r="I2900" s="124"/>
      <c r="J2900" s="124"/>
      <c r="K2900" s="124"/>
      <c r="L2900" s="124"/>
      <c r="M2900" s="124"/>
      <c r="N2900" s="124"/>
      <c r="O2900" s="124"/>
      <c r="P2900" s="124"/>
      <c r="Q2900" s="124"/>
      <c r="R2900" s="124"/>
      <c r="S2900" s="124"/>
      <c r="T2900" s="124"/>
      <c r="U2900" s="124"/>
      <c r="V2900" s="124"/>
      <c r="W2900" s="124"/>
      <c r="X2900" s="124"/>
      <c r="Y2900" s="124"/>
    </row>
    <row r="2901" spans="2:25" x14ac:dyDescent="0.25">
      <c r="B2901" s="124"/>
      <c r="C2901" s="124"/>
      <c r="D2901" s="124"/>
      <c r="E2901" s="124"/>
      <c r="F2901" s="124"/>
      <c r="G2901" s="124"/>
      <c r="H2901" s="124"/>
      <c r="I2901" s="124"/>
      <c r="J2901" s="124"/>
      <c r="K2901" s="124"/>
      <c r="L2901" s="124"/>
      <c r="M2901" s="124"/>
      <c r="N2901" s="124"/>
      <c r="O2901" s="124"/>
      <c r="P2901" s="124"/>
      <c r="Q2901" s="124"/>
      <c r="R2901" s="124"/>
      <c r="S2901" s="124"/>
      <c r="T2901" s="124"/>
      <c r="U2901" s="124"/>
      <c r="V2901" s="124"/>
      <c r="W2901" s="124"/>
      <c r="X2901" s="124"/>
      <c r="Y2901" s="124"/>
    </row>
    <row r="2902" spans="2:25" x14ac:dyDescent="0.25">
      <c r="B2902" s="124"/>
      <c r="C2902" s="124"/>
      <c r="D2902" s="124"/>
      <c r="E2902" s="124"/>
      <c r="F2902" s="124"/>
      <c r="G2902" s="124"/>
      <c r="H2902" s="124"/>
      <c r="I2902" s="124"/>
      <c r="J2902" s="124"/>
      <c r="K2902" s="124"/>
      <c r="L2902" s="124"/>
      <c r="M2902" s="124"/>
      <c r="N2902" s="124"/>
      <c r="O2902" s="124"/>
      <c r="P2902" s="124"/>
      <c r="Q2902" s="124"/>
      <c r="R2902" s="124"/>
      <c r="S2902" s="124"/>
      <c r="T2902" s="124"/>
      <c r="U2902" s="124"/>
      <c r="V2902" s="124"/>
      <c r="W2902" s="124"/>
      <c r="X2902" s="124"/>
      <c r="Y2902" s="124"/>
    </row>
    <row r="2903" spans="2:25" x14ac:dyDescent="0.25">
      <c r="B2903" s="124"/>
      <c r="C2903" s="124"/>
      <c r="D2903" s="124"/>
      <c r="E2903" s="124"/>
      <c r="F2903" s="124"/>
      <c r="G2903" s="124"/>
      <c r="H2903" s="124"/>
      <c r="I2903" s="124"/>
      <c r="J2903" s="124"/>
      <c r="K2903" s="124"/>
      <c r="L2903" s="124"/>
      <c r="M2903" s="124"/>
      <c r="N2903" s="124"/>
      <c r="O2903" s="124"/>
      <c r="P2903" s="124"/>
      <c r="Q2903" s="124"/>
      <c r="R2903" s="124"/>
      <c r="S2903" s="124"/>
      <c r="T2903" s="124"/>
      <c r="U2903" s="124"/>
      <c r="V2903" s="124"/>
      <c r="W2903" s="124"/>
      <c r="X2903" s="124"/>
      <c r="Y2903" s="124"/>
    </row>
    <row r="2904" spans="2:25" x14ac:dyDescent="0.25">
      <c r="B2904" s="124"/>
      <c r="C2904" s="124"/>
      <c r="D2904" s="124"/>
      <c r="E2904" s="124"/>
      <c r="F2904" s="124"/>
      <c r="G2904" s="124"/>
      <c r="H2904" s="124"/>
      <c r="I2904" s="124"/>
      <c r="J2904" s="124"/>
      <c r="K2904" s="124"/>
      <c r="L2904" s="124"/>
      <c r="M2904" s="124"/>
      <c r="N2904" s="124"/>
      <c r="O2904" s="124"/>
      <c r="P2904" s="124"/>
      <c r="Q2904" s="124"/>
      <c r="R2904" s="124"/>
      <c r="S2904" s="124"/>
      <c r="T2904" s="124"/>
      <c r="U2904" s="124"/>
      <c r="V2904" s="124"/>
      <c r="W2904" s="124"/>
      <c r="X2904" s="124"/>
      <c r="Y2904" s="124"/>
    </row>
    <row r="2905" spans="2:25" x14ac:dyDescent="0.25">
      <c r="B2905" s="124"/>
      <c r="C2905" s="124"/>
      <c r="D2905" s="124"/>
      <c r="E2905" s="124"/>
      <c r="F2905" s="124"/>
      <c r="G2905" s="124"/>
      <c r="H2905" s="124"/>
      <c r="I2905" s="124"/>
      <c r="J2905" s="124"/>
      <c r="K2905" s="124"/>
      <c r="L2905" s="124"/>
      <c r="M2905" s="124"/>
      <c r="N2905" s="124"/>
      <c r="O2905" s="124"/>
      <c r="P2905" s="124"/>
      <c r="Q2905" s="124"/>
      <c r="R2905" s="124"/>
      <c r="S2905" s="124"/>
      <c r="T2905" s="124"/>
      <c r="U2905" s="124"/>
      <c r="V2905" s="124"/>
      <c r="W2905" s="124"/>
      <c r="X2905" s="124"/>
      <c r="Y2905" s="124"/>
    </row>
    <row r="2906" spans="2:25" x14ac:dyDescent="0.25">
      <c r="B2906" s="124"/>
      <c r="C2906" s="124"/>
      <c r="D2906" s="124"/>
      <c r="E2906" s="124"/>
      <c r="F2906" s="124"/>
      <c r="G2906" s="124"/>
      <c r="H2906" s="124"/>
      <c r="I2906" s="124"/>
      <c r="J2906" s="124"/>
      <c r="K2906" s="124"/>
      <c r="L2906" s="124"/>
      <c r="M2906" s="124"/>
      <c r="N2906" s="124"/>
      <c r="O2906" s="124"/>
      <c r="P2906" s="124"/>
      <c r="Q2906" s="124"/>
      <c r="R2906" s="124"/>
      <c r="S2906" s="124"/>
      <c r="T2906" s="124"/>
      <c r="U2906" s="124"/>
      <c r="V2906" s="124"/>
      <c r="W2906" s="124"/>
      <c r="X2906" s="124"/>
      <c r="Y2906" s="124"/>
    </row>
    <row r="2907" spans="2:25" x14ac:dyDescent="0.25">
      <c r="B2907" s="124"/>
      <c r="C2907" s="124"/>
      <c r="D2907" s="124"/>
      <c r="E2907" s="124"/>
      <c r="F2907" s="124"/>
      <c r="G2907" s="124"/>
      <c r="H2907" s="124"/>
      <c r="I2907" s="124"/>
      <c r="J2907" s="124"/>
      <c r="K2907" s="124"/>
      <c r="L2907" s="124"/>
      <c r="M2907" s="124"/>
      <c r="N2907" s="124"/>
      <c r="O2907" s="124"/>
      <c r="P2907" s="124"/>
      <c r="Q2907" s="124"/>
      <c r="R2907" s="124"/>
      <c r="S2907" s="124"/>
      <c r="T2907" s="124"/>
      <c r="U2907" s="124"/>
      <c r="V2907" s="124"/>
      <c r="W2907" s="124"/>
      <c r="X2907" s="124"/>
      <c r="Y2907" s="124"/>
    </row>
    <row r="2908" spans="2:25" x14ac:dyDescent="0.25">
      <c r="B2908" s="124"/>
      <c r="C2908" s="124"/>
      <c r="D2908" s="124"/>
      <c r="E2908" s="124"/>
      <c r="F2908" s="124"/>
      <c r="G2908" s="124"/>
      <c r="H2908" s="124"/>
      <c r="I2908" s="124"/>
      <c r="J2908" s="124"/>
      <c r="K2908" s="124"/>
      <c r="L2908" s="124"/>
      <c r="M2908" s="124"/>
      <c r="N2908" s="124"/>
      <c r="O2908" s="124"/>
      <c r="P2908" s="124"/>
      <c r="Q2908" s="124"/>
      <c r="R2908" s="124"/>
      <c r="S2908" s="124"/>
      <c r="T2908" s="124"/>
      <c r="U2908" s="124"/>
      <c r="V2908" s="124"/>
      <c r="W2908" s="124"/>
      <c r="X2908" s="124"/>
      <c r="Y2908" s="124"/>
    </row>
    <row r="2909" spans="2:25" x14ac:dyDescent="0.25">
      <c r="B2909" s="124"/>
      <c r="C2909" s="124"/>
      <c r="D2909" s="124"/>
      <c r="E2909" s="124"/>
      <c r="F2909" s="124"/>
      <c r="G2909" s="124"/>
      <c r="H2909" s="124"/>
      <c r="I2909" s="124"/>
      <c r="J2909" s="124"/>
      <c r="K2909" s="124"/>
      <c r="L2909" s="124"/>
      <c r="M2909" s="124"/>
      <c r="N2909" s="124"/>
      <c r="O2909" s="124"/>
      <c r="P2909" s="124"/>
      <c r="Q2909" s="124"/>
      <c r="R2909" s="124"/>
      <c r="S2909" s="124"/>
      <c r="T2909" s="124"/>
      <c r="U2909" s="124"/>
      <c r="V2909" s="124"/>
      <c r="W2909" s="124"/>
      <c r="X2909" s="124"/>
      <c r="Y2909" s="124"/>
    </row>
    <row r="2910" spans="2:25" x14ac:dyDescent="0.25">
      <c r="B2910" s="124"/>
      <c r="C2910" s="124"/>
      <c r="D2910" s="124"/>
      <c r="E2910" s="124"/>
      <c r="F2910" s="124"/>
      <c r="G2910" s="124"/>
      <c r="H2910" s="124"/>
      <c r="I2910" s="124"/>
      <c r="J2910" s="124"/>
      <c r="K2910" s="124"/>
      <c r="L2910" s="124"/>
      <c r="M2910" s="124"/>
      <c r="N2910" s="124"/>
      <c r="O2910" s="124"/>
      <c r="P2910" s="124"/>
      <c r="Q2910" s="124"/>
      <c r="R2910" s="124"/>
      <c r="S2910" s="124"/>
      <c r="T2910" s="124"/>
      <c r="U2910" s="124"/>
      <c r="V2910" s="124"/>
      <c r="W2910" s="124"/>
      <c r="X2910" s="124"/>
      <c r="Y2910" s="124"/>
    </row>
    <row r="2911" spans="2:25" x14ac:dyDescent="0.25">
      <c r="B2911" s="124"/>
      <c r="C2911" s="124"/>
      <c r="D2911" s="124"/>
      <c r="E2911" s="124"/>
      <c r="F2911" s="124"/>
      <c r="G2911" s="124"/>
      <c r="H2911" s="124"/>
      <c r="I2911" s="124"/>
      <c r="J2911" s="124"/>
      <c r="K2911" s="124"/>
      <c r="L2911" s="124"/>
      <c r="M2911" s="124"/>
      <c r="N2911" s="124"/>
      <c r="O2911" s="124"/>
      <c r="P2911" s="124"/>
      <c r="Q2911" s="124"/>
      <c r="R2911" s="124"/>
      <c r="S2911" s="124"/>
      <c r="T2911" s="124"/>
      <c r="U2911" s="124"/>
      <c r="V2911" s="124"/>
      <c r="W2911" s="124"/>
      <c r="X2911" s="124"/>
      <c r="Y2911" s="124"/>
    </row>
    <row r="2912" spans="2:25" x14ac:dyDescent="0.25">
      <c r="B2912" s="124"/>
      <c r="C2912" s="124"/>
      <c r="D2912" s="124"/>
      <c r="E2912" s="124"/>
      <c r="F2912" s="124"/>
      <c r="G2912" s="124"/>
      <c r="H2912" s="124"/>
      <c r="I2912" s="124"/>
      <c r="J2912" s="124"/>
      <c r="K2912" s="124"/>
      <c r="L2912" s="124"/>
      <c r="M2912" s="124"/>
      <c r="N2912" s="124"/>
      <c r="O2912" s="124"/>
      <c r="P2912" s="124"/>
      <c r="Q2912" s="124"/>
      <c r="R2912" s="124"/>
      <c r="S2912" s="124"/>
      <c r="T2912" s="124"/>
      <c r="U2912" s="124"/>
      <c r="V2912" s="124"/>
      <c r="W2912" s="124"/>
      <c r="X2912" s="124"/>
      <c r="Y2912" s="124"/>
    </row>
    <row r="2913" spans="2:25" x14ac:dyDescent="0.25">
      <c r="B2913" s="124"/>
      <c r="C2913" s="124"/>
      <c r="D2913" s="124"/>
      <c r="E2913" s="124"/>
      <c r="F2913" s="124"/>
      <c r="G2913" s="124"/>
      <c r="H2913" s="124"/>
      <c r="I2913" s="124"/>
      <c r="J2913" s="124"/>
      <c r="K2913" s="124"/>
      <c r="L2913" s="124"/>
      <c r="M2913" s="124"/>
      <c r="N2913" s="124"/>
      <c r="O2913" s="124"/>
      <c r="P2913" s="124"/>
      <c r="Q2913" s="124"/>
      <c r="R2913" s="124"/>
      <c r="S2913" s="124"/>
      <c r="T2913" s="124"/>
      <c r="U2913" s="124"/>
      <c r="V2913" s="124"/>
      <c r="W2913" s="124"/>
      <c r="X2913" s="124"/>
      <c r="Y2913" s="124"/>
    </row>
    <row r="2914" spans="2:25" x14ac:dyDescent="0.25">
      <c r="B2914" s="124"/>
      <c r="C2914" s="124"/>
      <c r="D2914" s="124"/>
      <c r="E2914" s="124"/>
      <c r="F2914" s="124"/>
      <c r="G2914" s="124"/>
      <c r="H2914" s="124"/>
      <c r="I2914" s="124"/>
      <c r="J2914" s="124"/>
      <c r="K2914" s="124"/>
      <c r="L2914" s="124"/>
      <c r="M2914" s="124"/>
      <c r="N2914" s="124"/>
      <c r="O2914" s="124"/>
      <c r="P2914" s="124"/>
      <c r="Q2914" s="124"/>
      <c r="R2914" s="124"/>
      <c r="S2914" s="124"/>
      <c r="T2914" s="124"/>
      <c r="U2914" s="124"/>
      <c r="V2914" s="124"/>
      <c r="W2914" s="124"/>
      <c r="X2914" s="124"/>
      <c r="Y2914" s="124"/>
    </row>
    <row r="2915" spans="2:25" x14ac:dyDescent="0.25">
      <c r="B2915" s="124"/>
      <c r="C2915" s="124"/>
      <c r="D2915" s="124"/>
      <c r="E2915" s="124"/>
      <c r="F2915" s="124"/>
      <c r="G2915" s="124"/>
      <c r="H2915" s="124"/>
      <c r="I2915" s="124"/>
      <c r="J2915" s="124"/>
      <c r="K2915" s="124"/>
      <c r="L2915" s="124"/>
      <c r="M2915" s="124"/>
      <c r="N2915" s="124"/>
      <c r="O2915" s="124"/>
      <c r="P2915" s="124"/>
      <c r="Q2915" s="124"/>
      <c r="R2915" s="124"/>
      <c r="S2915" s="124"/>
      <c r="T2915" s="124"/>
      <c r="U2915" s="124"/>
      <c r="V2915" s="124"/>
      <c r="W2915" s="124"/>
      <c r="X2915" s="124"/>
      <c r="Y2915" s="124"/>
    </row>
    <row r="2916" spans="2:25" x14ac:dyDescent="0.25">
      <c r="B2916" s="124"/>
      <c r="C2916" s="124"/>
      <c r="D2916" s="124"/>
      <c r="E2916" s="124"/>
      <c r="F2916" s="124"/>
      <c r="G2916" s="124"/>
      <c r="H2916" s="124"/>
      <c r="I2916" s="124"/>
      <c r="J2916" s="124"/>
      <c r="K2916" s="124"/>
      <c r="L2916" s="124"/>
      <c r="M2916" s="124"/>
      <c r="N2916" s="124"/>
      <c r="O2916" s="124"/>
      <c r="P2916" s="124"/>
      <c r="Q2916" s="124"/>
      <c r="R2916" s="124"/>
      <c r="S2916" s="124"/>
      <c r="T2916" s="124"/>
      <c r="U2916" s="124"/>
      <c r="V2916" s="124"/>
      <c r="W2916" s="124"/>
      <c r="X2916" s="124"/>
      <c r="Y2916" s="124"/>
    </row>
    <row r="2917" spans="2:25" x14ac:dyDescent="0.25">
      <c r="B2917" s="124"/>
      <c r="C2917" s="124"/>
      <c r="D2917" s="124"/>
      <c r="E2917" s="124"/>
      <c r="F2917" s="124"/>
      <c r="G2917" s="124"/>
      <c r="H2917" s="124"/>
      <c r="I2917" s="124"/>
      <c r="J2917" s="124"/>
      <c r="K2917" s="124"/>
      <c r="L2917" s="124"/>
      <c r="M2917" s="124"/>
      <c r="N2917" s="124"/>
      <c r="O2917" s="124"/>
      <c r="P2917" s="124"/>
      <c r="Q2917" s="124"/>
      <c r="R2917" s="124"/>
      <c r="S2917" s="124"/>
      <c r="T2917" s="124"/>
      <c r="U2917" s="124"/>
      <c r="V2917" s="124"/>
      <c r="W2917" s="124"/>
      <c r="X2917" s="124"/>
      <c r="Y2917" s="124"/>
    </row>
    <row r="2918" spans="2:25" x14ac:dyDescent="0.25">
      <c r="B2918" s="124"/>
      <c r="C2918" s="124"/>
      <c r="D2918" s="124"/>
      <c r="E2918" s="124"/>
      <c r="F2918" s="124"/>
      <c r="G2918" s="124"/>
      <c r="H2918" s="124"/>
      <c r="I2918" s="124"/>
      <c r="J2918" s="124"/>
      <c r="K2918" s="124"/>
      <c r="L2918" s="124"/>
      <c r="M2918" s="124"/>
      <c r="N2918" s="124"/>
      <c r="O2918" s="124"/>
      <c r="P2918" s="124"/>
      <c r="Q2918" s="124"/>
      <c r="R2918" s="124"/>
      <c r="S2918" s="124"/>
      <c r="T2918" s="124"/>
      <c r="U2918" s="124"/>
      <c r="V2918" s="124"/>
      <c r="W2918" s="124"/>
      <c r="X2918" s="124"/>
      <c r="Y2918" s="124"/>
    </row>
    <row r="2919" spans="2:25" x14ac:dyDescent="0.25">
      <c r="B2919" s="124"/>
      <c r="C2919" s="124"/>
      <c r="D2919" s="124"/>
      <c r="E2919" s="124"/>
      <c r="F2919" s="124"/>
      <c r="G2919" s="124"/>
      <c r="H2919" s="124"/>
      <c r="I2919" s="124"/>
      <c r="J2919" s="124"/>
      <c r="K2919" s="124"/>
      <c r="L2919" s="124"/>
      <c r="M2919" s="124"/>
      <c r="N2919" s="124"/>
      <c r="O2919" s="124"/>
      <c r="P2919" s="124"/>
      <c r="Q2919" s="124"/>
      <c r="R2919" s="124"/>
      <c r="S2919" s="124"/>
      <c r="T2919" s="124"/>
      <c r="U2919" s="124"/>
      <c r="V2919" s="124"/>
      <c r="W2919" s="124"/>
      <c r="X2919" s="124"/>
      <c r="Y2919" s="124"/>
    </row>
    <row r="2920" spans="2:25" x14ac:dyDescent="0.25">
      <c r="B2920" s="124"/>
      <c r="C2920" s="124"/>
      <c r="D2920" s="124"/>
      <c r="E2920" s="124"/>
      <c r="F2920" s="124"/>
      <c r="G2920" s="124"/>
      <c r="H2920" s="124"/>
      <c r="I2920" s="124"/>
      <c r="J2920" s="124"/>
      <c r="K2920" s="124"/>
      <c r="L2920" s="124"/>
      <c r="M2920" s="124"/>
      <c r="N2920" s="124"/>
      <c r="O2920" s="124"/>
      <c r="P2920" s="124"/>
      <c r="Q2920" s="124"/>
      <c r="R2920" s="124"/>
      <c r="S2920" s="124"/>
      <c r="T2920" s="124"/>
      <c r="U2920" s="124"/>
      <c r="V2920" s="124"/>
      <c r="W2920" s="124"/>
      <c r="X2920" s="124"/>
      <c r="Y2920" s="124"/>
    </row>
    <row r="2921" spans="2:25" x14ac:dyDescent="0.25">
      <c r="B2921" s="124"/>
      <c r="C2921" s="124"/>
      <c r="D2921" s="124"/>
      <c r="E2921" s="124"/>
      <c r="F2921" s="124"/>
      <c r="G2921" s="124"/>
      <c r="H2921" s="124"/>
      <c r="I2921" s="124"/>
      <c r="J2921" s="124"/>
      <c r="K2921" s="124"/>
      <c r="L2921" s="124"/>
      <c r="M2921" s="124"/>
      <c r="N2921" s="124"/>
      <c r="O2921" s="124"/>
      <c r="P2921" s="124"/>
      <c r="Q2921" s="124"/>
      <c r="R2921" s="124"/>
      <c r="S2921" s="124"/>
      <c r="T2921" s="124"/>
      <c r="U2921" s="124"/>
      <c r="V2921" s="124"/>
      <c r="W2921" s="124"/>
      <c r="X2921" s="124"/>
      <c r="Y2921" s="124"/>
    </row>
    <row r="2922" spans="2:25" x14ac:dyDescent="0.25">
      <c r="B2922" s="124"/>
      <c r="C2922" s="124"/>
      <c r="D2922" s="124"/>
      <c r="E2922" s="124"/>
      <c r="F2922" s="124"/>
      <c r="G2922" s="124"/>
      <c r="H2922" s="124"/>
      <c r="I2922" s="124"/>
      <c r="J2922" s="124"/>
      <c r="K2922" s="124"/>
      <c r="L2922" s="124"/>
      <c r="M2922" s="124"/>
      <c r="N2922" s="124"/>
      <c r="O2922" s="124"/>
      <c r="P2922" s="124"/>
      <c r="Q2922" s="124"/>
      <c r="R2922" s="124"/>
      <c r="S2922" s="124"/>
      <c r="T2922" s="124"/>
      <c r="U2922" s="124"/>
      <c r="V2922" s="124"/>
      <c r="W2922" s="124"/>
      <c r="X2922" s="124"/>
      <c r="Y2922" s="124"/>
    </row>
    <row r="2923" spans="2:25" x14ac:dyDescent="0.25">
      <c r="B2923" s="124"/>
      <c r="C2923" s="124"/>
      <c r="D2923" s="124"/>
      <c r="E2923" s="124"/>
      <c r="F2923" s="124"/>
      <c r="G2923" s="124"/>
      <c r="H2923" s="124"/>
      <c r="I2923" s="124"/>
      <c r="J2923" s="124"/>
      <c r="K2923" s="124"/>
      <c r="L2923" s="124"/>
      <c r="M2923" s="124"/>
      <c r="N2923" s="124"/>
      <c r="O2923" s="124"/>
      <c r="P2923" s="124"/>
      <c r="Q2923" s="124"/>
      <c r="R2923" s="124"/>
      <c r="S2923" s="124"/>
      <c r="T2923" s="124"/>
      <c r="U2923" s="124"/>
      <c r="V2923" s="124"/>
      <c r="W2923" s="124"/>
      <c r="X2923" s="124"/>
      <c r="Y2923" s="124"/>
    </row>
    <row r="2924" spans="2:25" x14ac:dyDescent="0.25">
      <c r="B2924" s="124"/>
      <c r="C2924" s="124"/>
      <c r="D2924" s="124"/>
      <c r="E2924" s="124"/>
      <c r="F2924" s="124"/>
      <c r="G2924" s="124"/>
      <c r="H2924" s="124"/>
      <c r="I2924" s="124"/>
      <c r="J2924" s="124"/>
      <c r="K2924" s="124"/>
      <c r="L2924" s="124"/>
      <c r="M2924" s="124"/>
      <c r="N2924" s="124"/>
      <c r="O2924" s="124"/>
      <c r="P2924" s="124"/>
      <c r="Q2924" s="124"/>
      <c r="R2924" s="124"/>
      <c r="S2924" s="124"/>
      <c r="T2924" s="124"/>
      <c r="U2924" s="124"/>
      <c r="V2924" s="124"/>
      <c r="W2924" s="124"/>
      <c r="X2924" s="124"/>
      <c r="Y2924" s="124"/>
    </row>
    <row r="2925" spans="2:25" x14ac:dyDescent="0.25">
      <c r="B2925" s="124"/>
      <c r="C2925" s="124"/>
      <c r="D2925" s="124"/>
      <c r="E2925" s="124"/>
      <c r="F2925" s="124"/>
      <c r="G2925" s="124"/>
      <c r="H2925" s="124"/>
      <c r="I2925" s="124"/>
      <c r="J2925" s="124"/>
      <c r="K2925" s="124"/>
      <c r="L2925" s="124"/>
      <c r="M2925" s="124"/>
      <c r="N2925" s="124"/>
      <c r="O2925" s="124"/>
      <c r="P2925" s="124"/>
      <c r="Q2925" s="124"/>
      <c r="R2925" s="124"/>
      <c r="S2925" s="124"/>
      <c r="T2925" s="124"/>
      <c r="U2925" s="124"/>
      <c r="V2925" s="124"/>
      <c r="W2925" s="124"/>
      <c r="X2925" s="124"/>
      <c r="Y2925" s="124"/>
    </row>
    <row r="2926" spans="2:25" x14ac:dyDescent="0.25">
      <c r="B2926" s="124"/>
      <c r="C2926" s="124"/>
      <c r="D2926" s="124"/>
      <c r="E2926" s="124"/>
      <c r="F2926" s="124"/>
      <c r="G2926" s="124"/>
      <c r="H2926" s="124"/>
      <c r="I2926" s="124"/>
      <c r="J2926" s="124"/>
      <c r="K2926" s="124"/>
      <c r="L2926" s="124"/>
      <c r="M2926" s="124"/>
      <c r="N2926" s="124"/>
      <c r="O2926" s="124"/>
      <c r="P2926" s="124"/>
      <c r="Q2926" s="124"/>
      <c r="R2926" s="124"/>
      <c r="S2926" s="124"/>
      <c r="T2926" s="124"/>
      <c r="U2926" s="124"/>
      <c r="V2926" s="124"/>
      <c r="W2926" s="124"/>
      <c r="X2926" s="124"/>
      <c r="Y2926" s="124"/>
    </row>
    <row r="2927" spans="2:25" x14ac:dyDescent="0.25">
      <c r="B2927" s="124"/>
      <c r="C2927" s="124"/>
      <c r="D2927" s="124"/>
      <c r="E2927" s="124"/>
      <c r="F2927" s="124"/>
      <c r="G2927" s="124"/>
      <c r="H2927" s="124"/>
      <c r="I2927" s="124"/>
      <c r="J2927" s="124"/>
      <c r="K2927" s="124"/>
      <c r="L2927" s="124"/>
      <c r="M2927" s="124"/>
      <c r="N2927" s="124"/>
      <c r="O2927" s="124"/>
      <c r="P2927" s="124"/>
      <c r="Q2927" s="124"/>
      <c r="R2927" s="124"/>
      <c r="S2927" s="124"/>
      <c r="T2927" s="124"/>
      <c r="U2927" s="124"/>
      <c r="V2927" s="124"/>
      <c r="W2927" s="124"/>
      <c r="X2927" s="124"/>
      <c r="Y2927" s="124"/>
    </row>
    <row r="2928" spans="2:25" x14ac:dyDescent="0.25">
      <c r="B2928" s="124"/>
      <c r="C2928" s="124"/>
      <c r="D2928" s="124"/>
      <c r="E2928" s="124"/>
      <c r="F2928" s="124"/>
      <c r="G2928" s="124"/>
      <c r="H2928" s="124"/>
      <c r="I2928" s="124"/>
      <c r="J2928" s="124"/>
      <c r="K2928" s="124"/>
      <c r="L2928" s="124"/>
      <c r="M2928" s="124"/>
      <c r="N2928" s="124"/>
      <c r="O2928" s="124"/>
      <c r="P2928" s="124"/>
      <c r="Q2928" s="124"/>
      <c r="R2928" s="124"/>
      <c r="S2928" s="124"/>
      <c r="T2928" s="124"/>
      <c r="U2928" s="124"/>
      <c r="V2928" s="124"/>
      <c r="W2928" s="124"/>
      <c r="X2928" s="124"/>
      <c r="Y2928" s="124"/>
    </row>
    <row r="2929" spans="2:25" x14ac:dyDescent="0.25">
      <c r="B2929" s="124"/>
      <c r="C2929" s="124"/>
      <c r="D2929" s="124"/>
      <c r="E2929" s="124"/>
      <c r="F2929" s="124"/>
      <c r="G2929" s="124"/>
      <c r="H2929" s="124"/>
      <c r="I2929" s="124"/>
      <c r="J2929" s="124"/>
      <c r="K2929" s="124"/>
      <c r="L2929" s="124"/>
      <c r="M2929" s="124"/>
      <c r="N2929" s="124"/>
      <c r="O2929" s="124"/>
      <c r="P2929" s="124"/>
      <c r="Q2929" s="124"/>
      <c r="R2929" s="124"/>
      <c r="S2929" s="124"/>
      <c r="T2929" s="124"/>
      <c r="U2929" s="124"/>
      <c r="V2929" s="124"/>
      <c r="W2929" s="124"/>
      <c r="X2929" s="124"/>
      <c r="Y2929" s="124"/>
    </row>
    <row r="2930" spans="2:25" x14ac:dyDescent="0.25">
      <c r="B2930" s="124"/>
      <c r="C2930" s="124"/>
      <c r="D2930" s="124"/>
      <c r="E2930" s="124"/>
      <c r="F2930" s="124"/>
      <c r="G2930" s="124"/>
      <c r="H2930" s="124"/>
      <c r="I2930" s="124"/>
      <c r="J2930" s="124"/>
      <c r="K2930" s="124"/>
      <c r="L2930" s="124"/>
      <c r="M2930" s="124"/>
      <c r="N2930" s="124"/>
      <c r="O2930" s="124"/>
      <c r="P2930" s="124"/>
      <c r="Q2930" s="124"/>
      <c r="R2930" s="124"/>
      <c r="S2930" s="124"/>
      <c r="T2930" s="124"/>
      <c r="U2930" s="124"/>
      <c r="V2930" s="124"/>
      <c r="W2930" s="124"/>
      <c r="X2930" s="124"/>
      <c r="Y2930" s="124"/>
    </row>
    <row r="2931" spans="2:25" x14ac:dyDescent="0.25">
      <c r="B2931" s="124"/>
      <c r="C2931" s="124"/>
      <c r="D2931" s="124"/>
      <c r="E2931" s="124"/>
      <c r="F2931" s="124"/>
      <c r="G2931" s="124"/>
      <c r="H2931" s="124"/>
      <c r="I2931" s="124"/>
      <c r="J2931" s="124"/>
      <c r="K2931" s="124"/>
      <c r="L2931" s="124"/>
      <c r="M2931" s="124"/>
      <c r="N2931" s="124"/>
      <c r="O2931" s="124"/>
      <c r="P2931" s="124"/>
      <c r="Q2931" s="124"/>
      <c r="R2931" s="124"/>
      <c r="S2931" s="124"/>
      <c r="T2931" s="124"/>
      <c r="U2931" s="124"/>
      <c r="V2931" s="124"/>
      <c r="W2931" s="124"/>
      <c r="X2931" s="124"/>
      <c r="Y2931" s="124"/>
    </row>
    <row r="2932" spans="2:25" x14ac:dyDescent="0.25">
      <c r="B2932" s="124"/>
      <c r="C2932" s="124"/>
      <c r="D2932" s="124"/>
      <c r="E2932" s="124"/>
      <c r="F2932" s="124"/>
      <c r="G2932" s="124"/>
      <c r="H2932" s="124"/>
      <c r="I2932" s="124"/>
      <c r="J2932" s="124"/>
      <c r="K2932" s="124"/>
      <c r="L2932" s="124"/>
      <c r="M2932" s="124"/>
      <c r="N2932" s="124"/>
      <c r="O2932" s="124"/>
      <c r="P2932" s="124"/>
      <c r="Q2932" s="124"/>
      <c r="R2932" s="124"/>
      <c r="S2932" s="124"/>
      <c r="T2932" s="124"/>
      <c r="U2932" s="124"/>
      <c r="V2932" s="124"/>
      <c r="W2932" s="124"/>
      <c r="X2932" s="124"/>
      <c r="Y2932" s="124"/>
    </row>
    <row r="2933" spans="2:25" x14ac:dyDescent="0.25">
      <c r="B2933" s="124"/>
      <c r="C2933" s="124"/>
      <c r="D2933" s="124"/>
      <c r="E2933" s="124"/>
      <c r="F2933" s="124"/>
      <c r="G2933" s="124"/>
      <c r="H2933" s="124"/>
      <c r="I2933" s="124"/>
      <c r="J2933" s="124"/>
      <c r="K2933" s="124"/>
      <c r="L2933" s="124"/>
      <c r="M2933" s="124"/>
      <c r="N2933" s="124"/>
      <c r="O2933" s="124"/>
      <c r="P2933" s="124"/>
      <c r="Q2933" s="124"/>
      <c r="R2933" s="124"/>
      <c r="S2933" s="124"/>
      <c r="T2933" s="124"/>
      <c r="U2933" s="124"/>
      <c r="V2933" s="124"/>
      <c r="W2933" s="124"/>
      <c r="X2933" s="124"/>
      <c r="Y2933" s="124"/>
    </row>
    <row r="2934" spans="2:25" x14ac:dyDescent="0.25">
      <c r="B2934" s="124"/>
      <c r="C2934" s="124"/>
      <c r="D2934" s="124"/>
      <c r="E2934" s="124"/>
      <c r="F2934" s="124"/>
      <c r="G2934" s="124"/>
      <c r="H2934" s="124"/>
      <c r="I2934" s="124"/>
      <c r="J2934" s="124"/>
      <c r="K2934" s="124"/>
      <c r="L2934" s="124"/>
      <c r="M2934" s="124"/>
      <c r="N2934" s="124"/>
      <c r="O2934" s="124"/>
      <c r="P2934" s="124"/>
      <c r="Q2934" s="124"/>
      <c r="R2934" s="124"/>
      <c r="S2934" s="124"/>
      <c r="T2934" s="124"/>
      <c r="U2934" s="124"/>
      <c r="V2934" s="124"/>
      <c r="W2934" s="124"/>
      <c r="X2934" s="124"/>
      <c r="Y2934" s="124"/>
    </row>
    <row r="2935" spans="2:25" x14ac:dyDescent="0.25">
      <c r="B2935" s="124"/>
      <c r="C2935" s="124"/>
      <c r="D2935" s="124"/>
      <c r="E2935" s="124"/>
      <c r="F2935" s="124"/>
      <c r="G2935" s="124"/>
      <c r="H2935" s="124"/>
      <c r="I2935" s="124"/>
      <c r="J2935" s="124"/>
      <c r="K2935" s="124"/>
      <c r="L2935" s="124"/>
      <c r="M2935" s="124"/>
      <c r="N2935" s="124"/>
      <c r="O2935" s="124"/>
      <c r="P2935" s="124"/>
      <c r="Q2935" s="124"/>
      <c r="R2935" s="124"/>
      <c r="S2935" s="124"/>
      <c r="T2935" s="124"/>
      <c r="U2935" s="124"/>
      <c r="V2935" s="124"/>
      <c r="W2935" s="124"/>
      <c r="X2935" s="124"/>
      <c r="Y2935" s="124"/>
    </row>
    <row r="2936" spans="2:25" x14ac:dyDescent="0.25">
      <c r="B2936" s="124"/>
      <c r="C2936" s="124"/>
      <c r="D2936" s="124"/>
      <c r="E2936" s="124"/>
      <c r="F2936" s="124"/>
      <c r="G2936" s="124"/>
      <c r="H2936" s="124"/>
      <c r="I2936" s="124"/>
      <c r="J2936" s="124"/>
      <c r="K2936" s="124"/>
      <c r="L2936" s="124"/>
      <c r="M2936" s="124"/>
      <c r="N2936" s="124"/>
      <c r="O2936" s="124"/>
      <c r="P2936" s="124"/>
      <c r="Q2936" s="124"/>
      <c r="R2936" s="124"/>
      <c r="S2936" s="124"/>
      <c r="T2936" s="124"/>
      <c r="U2936" s="124"/>
      <c r="V2936" s="124"/>
      <c r="W2936" s="124"/>
      <c r="X2936" s="124"/>
      <c r="Y2936" s="124"/>
    </row>
    <row r="2937" spans="2:25" x14ac:dyDescent="0.25">
      <c r="B2937" s="124"/>
      <c r="C2937" s="124"/>
      <c r="D2937" s="124"/>
      <c r="E2937" s="124"/>
      <c r="F2937" s="124"/>
      <c r="G2937" s="124"/>
      <c r="H2937" s="124"/>
      <c r="I2937" s="124"/>
      <c r="J2937" s="124"/>
      <c r="K2937" s="124"/>
      <c r="L2937" s="124"/>
      <c r="M2937" s="124"/>
      <c r="N2937" s="124"/>
      <c r="O2937" s="124"/>
      <c r="P2937" s="124"/>
      <c r="Q2937" s="124"/>
      <c r="R2937" s="124"/>
      <c r="S2937" s="124"/>
      <c r="T2937" s="124"/>
      <c r="U2937" s="124"/>
      <c r="V2937" s="124"/>
      <c r="W2937" s="124"/>
      <c r="X2937" s="124"/>
      <c r="Y2937" s="124"/>
    </row>
    <row r="2938" spans="2:25" x14ac:dyDescent="0.25">
      <c r="B2938" s="124"/>
      <c r="C2938" s="124"/>
      <c r="D2938" s="124"/>
      <c r="E2938" s="124"/>
      <c r="F2938" s="124"/>
      <c r="G2938" s="124"/>
      <c r="H2938" s="124"/>
      <c r="I2938" s="124"/>
      <c r="J2938" s="124"/>
      <c r="K2938" s="124"/>
      <c r="L2938" s="124"/>
      <c r="M2938" s="124"/>
      <c r="N2938" s="124"/>
      <c r="O2938" s="124"/>
      <c r="P2938" s="124"/>
      <c r="Q2938" s="124"/>
      <c r="R2938" s="124"/>
      <c r="S2938" s="124"/>
      <c r="T2938" s="124"/>
      <c r="U2938" s="124"/>
      <c r="V2938" s="124"/>
      <c r="W2938" s="124"/>
      <c r="X2938" s="124"/>
      <c r="Y2938" s="124"/>
    </row>
    <row r="2939" spans="2:25" x14ac:dyDescent="0.25">
      <c r="B2939" s="124"/>
      <c r="C2939" s="124"/>
      <c r="D2939" s="124"/>
      <c r="E2939" s="124"/>
      <c r="F2939" s="124"/>
      <c r="G2939" s="124"/>
      <c r="H2939" s="124"/>
      <c r="I2939" s="124"/>
      <c r="J2939" s="124"/>
      <c r="K2939" s="124"/>
      <c r="L2939" s="124"/>
      <c r="M2939" s="124"/>
      <c r="N2939" s="124"/>
      <c r="O2939" s="124"/>
      <c r="P2939" s="124"/>
      <c r="Q2939" s="124"/>
      <c r="R2939" s="124"/>
      <c r="S2939" s="124"/>
      <c r="T2939" s="124"/>
      <c r="U2939" s="124"/>
      <c r="V2939" s="124"/>
      <c r="W2939" s="124"/>
      <c r="X2939" s="124"/>
      <c r="Y2939" s="124"/>
    </row>
    <row r="2940" spans="2:25" x14ac:dyDescent="0.25">
      <c r="B2940" s="124"/>
      <c r="C2940" s="124"/>
      <c r="D2940" s="124"/>
      <c r="E2940" s="124"/>
      <c r="F2940" s="124"/>
      <c r="G2940" s="124"/>
      <c r="H2940" s="124"/>
      <c r="I2940" s="124"/>
      <c r="J2940" s="124"/>
      <c r="K2940" s="124"/>
      <c r="L2940" s="124"/>
      <c r="M2940" s="124"/>
      <c r="N2940" s="124"/>
      <c r="O2940" s="124"/>
      <c r="P2940" s="124"/>
      <c r="Q2940" s="124"/>
      <c r="R2940" s="124"/>
      <c r="S2940" s="124"/>
      <c r="T2940" s="124"/>
      <c r="U2940" s="124"/>
      <c r="V2940" s="124"/>
      <c r="W2940" s="124"/>
      <c r="X2940" s="124"/>
      <c r="Y2940" s="124"/>
    </row>
    <row r="2941" spans="2:25" x14ac:dyDescent="0.25">
      <c r="B2941" s="124"/>
      <c r="C2941" s="124"/>
      <c r="D2941" s="124"/>
      <c r="E2941" s="124"/>
      <c r="F2941" s="124"/>
      <c r="G2941" s="124"/>
      <c r="H2941" s="124"/>
      <c r="I2941" s="124"/>
      <c r="J2941" s="124"/>
      <c r="K2941" s="124"/>
      <c r="L2941" s="124"/>
      <c r="M2941" s="124"/>
      <c r="N2941" s="124"/>
      <c r="O2941" s="124"/>
      <c r="P2941" s="124"/>
      <c r="Q2941" s="124"/>
      <c r="R2941" s="124"/>
      <c r="S2941" s="124"/>
      <c r="T2941" s="124"/>
      <c r="U2941" s="124"/>
      <c r="V2941" s="124"/>
      <c r="W2941" s="124"/>
      <c r="X2941" s="124"/>
      <c r="Y2941" s="124"/>
    </row>
    <row r="2942" spans="2:25" x14ac:dyDescent="0.25">
      <c r="B2942" s="124"/>
      <c r="C2942" s="124"/>
      <c r="D2942" s="124"/>
      <c r="E2942" s="124"/>
      <c r="F2942" s="124"/>
      <c r="G2942" s="124"/>
      <c r="H2942" s="124"/>
      <c r="I2942" s="124"/>
      <c r="J2942" s="124"/>
      <c r="K2942" s="124"/>
      <c r="L2942" s="124"/>
      <c r="M2942" s="124"/>
      <c r="N2942" s="124"/>
      <c r="O2942" s="124"/>
      <c r="P2942" s="124"/>
      <c r="Q2942" s="124"/>
      <c r="R2942" s="124"/>
      <c r="S2942" s="124"/>
      <c r="T2942" s="124"/>
      <c r="U2942" s="124"/>
      <c r="V2942" s="124"/>
      <c r="W2942" s="124"/>
      <c r="X2942" s="124"/>
      <c r="Y2942" s="124"/>
    </row>
    <row r="2943" spans="2:25" x14ac:dyDescent="0.25">
      <c r="B2943" s="124"/>
      <c r="C2943" s="124"/>
      <c r="D2943" s="124"/>
      <c r="E2943" s="124"/>
      <c r="F2943" s="124"/>
      <c r="G2943" s="124"/>
      <c r="H2943" s="124"/>
      <c r="I2943" s="124"/>
      <c r="J2943" s="124"/>
      <c r="K2943" s="124"/>
      <c r="L2943" s="124"/>
      <c r="M2943" s="124"/>
      <c r="N2943" s="124"/>
      <c r="O2943" s="124"/>
      <c r="P2943" s="124"/>
      <c r="Q2943" s="124"/>
      <c r="R2943" s="124"/>
      <c r="S2943" s="124"/>
      <c r="T2943" s="124"/>
      <c r="U2943" s="124"/>
      <c r="V2943" s="124"/>
      <c r="W2943" s="124"/>
      <c r="X2943" s="124"/>
      <c r="Y2943" s="124"/>
    </row>
    <row r="2944" spans="2:25" x14ac:dyDescent="0.25">
      <c r="B2944" s="124"/>
      <c r="C2944" s="124"/>
      <c r="D2944" s="124"/>
      <c r="E2944" s="124"/>
      <c r="F2944" s="124"/>
      <c r="G2944" s="124"/>
      <c r="H2944" s="124"/>
      <c r="I2944" s="124"/>
      <c r="J2944" s="124"/>
      <c r="K2944" s="124"/>
      <c r="L2944" s="124"/>
      <c r="M2944" s="124"/>
      <c r="N2944" s="124"/>
      <c r="O2944" s="124"/>
      <c r="P2944" s="124"/>
      <c r="Q2944" s="124"/>
      <c r="R2944" s="124"/>
      <c r="S2944" s="124"/>
      <c r="T2944" s="124"/>
      <c r="U2944" s="124"/>
      <c r="V2944" s="124"/>
      <c r="W2944" s="124"/>
      <c r="X2944" s="124"/>
      <c r="Y2944" s="124"/>
    </row>
    <row r="2945" spans="2:25" x14ac:dyDescent="0.25">
      <c r="B2945" s="124"/>
      <c r="C2945" s="124"/>
      <c r="D2945" s="124"/>
      <c r="E2945" s="124"/>
      <c r="F2945" s="124"/>
      <c r="G2945" s="124"/>
      <c r="H2945" s="124"/>
      <c r="I2945" s="124"/>
      <c r="J2945" s="124"/>
      <c r="K2945" s="124"/>
      <c r="L2945" s="124"/>
      <c r="M2945" s="124"/>
      <c r="N2945" s="124"/>
      <c r="O2945" s="124"/>
      <c r="P2945" s="124"/>
      <c r="Q2945" s="124"/>
      <c r="R2945" s="124"/>
      <c r="S2945" s="124"/>
      <c r="T2945" s="124"/>
      <c r="U2945" s="124"/>
      <c r="V2945" s="124"/>
      <c r="W2945" s="124"/>
      <c r="X2945" s="124"/>
      <c r="Y2945" s="124"/>
    </row>
    <row r="2946" spans="2:25" x14ac:dyDescent="0.25">
      <c r="B2946" s="124"/>
      <c r="C2946" s="124"/>
      <c r="D2946" s="124"/>
      <c r="E2946" s="124"/>
      <c r="F2946" s="124"/>
      <c r="G2946" s="124"/>
      <c r="H2946" s="124"/>
      <c r="I2946" s="124"/>
      <c r="J2946" s="124"/>
      <c r="K2946" s="124"/>
      <c r="L2946" s="124"/>
      <c r="M2946" s="124"/>
      <c r="N2946" s="124"/>
      <c r="O2946" s="124"/>
      <c r="P2946" s="124"/>
      <c r="Q2946" s="124"/>
      <c r="R2946" s="124"/>
      <c r="S2946" s="124"/>
      <c r="T2946" s="124"/>
      <c r="U2946" s="124"/>
      <c r="V2946" s="124"/>
      <c r="W2946" s="124"/>
      <c r="X2946" s="124"/>
      <c r="Y2946" s="124"/>
    </row>
    <row r="2947" spans="2:25" x14ac:dyDescent="0.25">
      <c r="B2947" s="124"/>
      <c r="C2947" s="124"/>
      <c r="D2947" s="124"/>
      <c r="E2947" s="124"/>
      <c r="F2947" s="124"/>
      <c r="G2947" s="124"/>
      <c r="H2947" s="124"/>
      <c r="I2947" s="124"/>
      <c r="J2947" s="124"/>
      <c r="K2947" s="124"/>
      <c r="L2947" s="124"/>
      <c r="M2947" s="124"/>
      <c r="N2947" s="124"/>
      <c r="O2947" s="124"/>
      <c r="P2947" s="124"/>
      <c r="Q2947" s="124"/>
      <c r="R2947" s="124"/>
      <c r="S2947" s="124"/>
      <c r="T2947" s="124"/>
      <c r="U2947" s="124"/>
      <c r="V2947" s="124"/>
      <c r="W2947" s="124"/>
      <c r="X2947" s="124"/>
      <c r="Y2947" s="124"/>
    </row>
    <row r="2948" spans="2:25" x14ac:dyDescent="0.25">
      <c r="B2948" s="124"/>
      <c r="C2948" s="124"/>
      <c r="D2948" s="124"/>
      <c r="E2948" s="124"/>
      <c r="F2948" s="124"/>
      <c r="G2948" s="124"/>
      <c r="H2948" s="124"/>
      <c r="I2948" s="124"/>
      <c r="J2948" s="124"/>
      <c r="K2948" s="124"/>
      <c r="L2948" s="124"/>
      <c r="M2948" s="124"/>
      <c r="N2948" s="124"/>
      <c r="O2948" s="124"/>
      <c r="P2948" s="124"/>
      <c r="Q2948" s="124"/>
      <c r="R2948" s="124"/>
      <c r="S2948" s="124"/>
      <c r="T2948" s="124"/>
      <c r="U2948" s="124"/>
      <c r="V2948" s="124"/>
      <c r="W2948" s="124"/>
      <c r="X2948" s="124"/>
      <c r="Y2948" s="124"/>
    </row>
    <row r="2949" spans="2:25" x14ac:dyDescent="0.25">
      <c r="B2949" s="124"/>
      <c r="C2949" s="124"/>
      <c r="D2949" s="124"/>
      <c r="E2949" s="124"/>
      <c r="F2949" s="124"/>
      <c r="G2949" s="124"/>
      <c r="H2949" s="124"/>
      <c r="I2949" s="124"/>
      <c r="J2949" s="124"/>
      <c r="K2949" s="124"/>
      <c r="L2949" s="124"/>
      <c r="M2949" s="124"/>
      <c r="N2949" s="124"/>
      <c r="O2949" s="124"/>
      <c r="P2949" s="124"/>
      <c r="Q2949" s="124"/>
      <c r="R2949" s="124"/>
      <c r="S2949" s="124"/>
      <c r="T2949" s="124"/>
      <c r="U2949" s="124"/>
      <c r="V2949" s="124"/>
      <c r="W2949" s="124"/>
      <c r="X2949" s="124"/>
      <c r="Y2949" s="124"/>
    </row>
    <row r="2950" spans="2:25" x14ac:dyDescent="0.25">
      <c r="B2950" s="124"/>
      <c r="C2950" s="124"/>
      <c r="D2950" s="124"/>
      <c r="E2950" s="124"/>
      <c r="F2950" s="124"/>
      <c r="G2950" s="124"/>
      <c r="H2950" s="124"/>
      <c r="I2950" s="124"/>
      <c r="J2950" s="124"/>
      <c r="K2950" s="124"/>
      <c r="L2950" s="124"/>
      <c r="M2950" s="124"/>
      <c r="N2950" s="124"/>
      <c r="O2950" s="124"/>
      <c r="P2950" s="124"/>
      <c r="Q2950" s="124"/>
      <c r="R2950" s="124"/>
      <c r="S2950" s="124"/>
      <c r="T2950" s="124"/>
      <c r="U2950" s="124"/>
      <c r="V2950" s="124"/>
      <c r="W2950" s="124"/>
      <c r="X2950" s="124"/>
      <c r="Y2950" s="124"/>
    </row>
    <row r="2951" spans="2:25" x14ac:dyDescent="0.25">
      <c r="B2951" s="124"/>
      <c r="C2951" s="124"/>
      <c r="D2951" s="124"/>
      <c r="E2951" s="124"/>
      <c r="F2951" s="124"/>
      <c r="G2951" s="124"/>
      <c r="H2951" s="124"/>
      <c r="I2951" s="124"/>
      <c r="J2951" s="124"/>
      <c r="K2951" s="124"/>
      <c r="L2951" s="124"/>
      <c r="M2951" s="124"/>
      <c r="N2951" s="124"/>
      <c r="O2951" s="124"/>
      <c r="P2951" s="124"/>
      <c r="Q2951" s="124"/>
      <c r="R2951" s="124"/>
      <c r="S2951" s="124"/>
      <c r="T2951" s="124"/>
      <c r="U2951" s="124"/>
      <c r="V2951" s="124"/>
      <c r="W2951" s="124"/>
      <c r="X2951" s="124"/>
      <c r="Y2951" s="124"/>
    </row>
    <row r="2952" spans="2:25" x14ac:dyDescent="0.25">
      <c r="B2952" s="124"/>
      <c r="C2952" s="124"/>
      <c r="D2952" s="124"/>
      <c r="E2952" s="124"/>
      <c r="F2952" s="124"/>
      <c r="G2952" s="124"/>
      <c r="H2952" s="124"/>
      <c r="I2952" s="124"/>
      <c r="J2952" s="124"/>
      <c r="K2952" s="124"/>
      <c r="L2952" s="124"/>
      <c r="M2952" s="124"/>
      <c r="N2952" s="124"/>
      <c r="O2952" s="124"/>
      <c r="P2952" s="124"/>
      <c r="Q2952" s="124"/>
      <c r="R2952" s="124"/>
      <c r="S2952" s="124"/>
      <c r="T2952" s="124"/>
      <c r="U2952" s="124"/>
      <c r="V2952" s="124"/>
      <c r="W2952" s="124"/>
      <c r="X2952" s="124"/>
      <c r="Y2952" s="124"/>
    </row>
    <row r="2953" spans="2:25" x14ac:dyDescent="0.25">
      <c r="B2953" s="124"/>
      <c r="C2953" s="124"/>
      <c r="D2953" s="124"/>
      <c r="E2953" s="124"/>
      <c r="F2953" s="124"/>
      <c r="G2953" s="124"/>
      <c r="H2953" s="124"/>
      <c r="I2953" s="124"/>
      <c r="J2953" s="124"/>
      <c r="K2953" s="124"/>
      <c r="L2953" s="124"/>
      <c r="M2953" s="124"/>
      <c r="N2953" s="124"/>
      <c r="O2953" s="124"/>
      <c r="P2953" s="124"/>
      <c r="Q2953" s="124"/>
      <c r="R2953" s="124"/>
      <c r="S2953" s="124"/>
      <c r="T2953" s="124"/>
      <c r="U2953" s="124"/>
      <c r="V2953" s="124"/>
      <c r="W2953" s="124"/>
      <c r="X2953" s="124"/>
      <c r="Y2953" s="124"/>
    </row>
    <row r="2954" spans="2:25" x14ac:dyDescent="0.25">
      <c r="B2954" s="124"/>
      <c r="C2954" s="124"/>
      <c r="D2954" s="124"/>
      <c r="E2954" s="124"/>
      <c r="F2954" s="124"/>
      <c r="G2954" s="124"/>
      <c r="H2954" s="124"/>
      <c r="I2954" s="124"/>
      <c r="J2954" s="124"/>
      <c r="K2954" s="124"/>
      <c r="L2954" s="124"/>
      <c r="M2954" s="124"/>
      <c r="N2954" s="124"/>
      <c r="O2954" s="124"/>
      <c r="P2954" s="124"/>
      <c r="Q2954" s="124"/>
      <c r="R2954" s="124"/>
      <c r="S2954" s="124"/>
      <c r="T2954" s="124"/>
      <c r="U2954" s="124"/>
      <c r="V2954" s="124"/>
      <c r="W2954" s="124"/>
      <c r="X2954" s="124"/>
      <c r="Y2954" s="124"/>
    </row>
    <row r="2955" spans="2:25" x14ac:dyDescent="0.25">
      <c r="B2955" s="124"/>
      <c r="C2955" s="124"/>
      <c r="D2955" s="124"/>
      <c r="E2955" s="124"/>
      <c r="F2955" s="124"/>
      <c r="G2955" s="124"/>
      <c r="H2955" s="124"/>
      <c r="I2955" s="124"/>
      <c r="J2955" s="124"/>
      <c r="K2955" s="124"/>
      <c r="L2955" s="124"/>
      <c r="M2955" s="124"/>
      <c r="N2955" s="124"/>
      <c r="O2955" s="124"/>
      <c r="P2955" s="124"/>
      <c r="Q2955" s="124"/>
      <c r="R2955" s="124"/>
      <c r="S2955" s="124"/>
      <c r="T2955" s="124"/>
      <c r="U2955" s="124"/>
      <c r="V2955" s="124"/>
      <c r="W2955" s="124"/>
      <c r="X2955" s="124"/>
      <c r="Y2955" s="124"/>
    </row>
    <row r="2956" spans="2:25" x14ac:dyDescent="0.25">
      <c r="B2956" s="124"/>
      <c r="C2956" s="124"/>
      <c r="D2956" s="124"/>
      <c r="E2956" s="124"/>
      <c r="F2956" s="124"/>
      <c r="G2956" s="124"/>
      <c r="H2956" s="124"/>
      <c r="I2956" s="124"/>
      <c r="J2956" s="124"/>
      <c r="K2956" s="124"/>
      <c r="L2956" s="124"/>
      <c r="M2956" s="124"/>
      <c r="N2956" s="124"/>
      <c r="O2956" s="124"/>
      <c r="P2956" s="124"/>
      <c r="Q2956" s="124"/>
      <c r="R2956" s="124"/>
      <c r="S2956" s="124"/>
      <c r="T2956" s="124"/>
      <c r="U2956" s="124"/>
      <c r="V2956" s="124"/>
      <c r="W2956" s="124"/>
      <c r="X2956" s="124"/>
      <c r="Y2956" s="124"/>
    </row>
    <row r="2957" spans="2:25" x14ac:dyDescent="0.25">
      <c r="B2957" s="124"/>
      <c r="C2957" s="124"/>
      <c r="D2957" s="124"/>
      <c r="E2957" s="124"/>
      <c r="F2957" s="124"/>
      <c r="G2957" s="124"/>
      <c r="H2957" s="124"/>
      <c r="I2957" s="124"/>
      <c r="J2957" s="124"/>
      <c r="K2957" s="124"/>
      <c r="L2957" s="124"/>
      <c r="M2957" s="124"/>
      <c r="N2957" s="124"/>
      <c r="O2957" s="124"/>
      <c r="P2957" s="124"/>
      <c r="Q2957" s="124"/>
      <c r="R2957" s="124"/>
      <c r="S2957" s="124"/>
      <c r="T2957" s="124"/>
      <c r="U2957" s="124"/>
      <c r="V2957" s="124"/>
      <c r="W2957" s="124"/>
      <c r="X2957" s="124"/>
      <c r="Y2957" s="124"/>
    </row>
    <row r="2958" spans="2:25" x14ac:dyDescent="0.25">
      <c r="B2958" s="124"/>
      <c r="C2958" s="124"/>
      <c r="D2958" s="124"/>
      <c r="E2958" s="124"/>
      <c r="F2958" s="124"/>
      <c r="G2958" s="124"/>
      <c r="H2958" s="124"/>
      <c r="I2958" s="124"/>
      <c r="J2958" s="124"/>
      <c r="K2958" s="124"/>
      <c r="L2958" s="124"/>
      <c r="M2958" s="124"/>
      <c r="N2958" s="124"/>
      <c r="O2958" s="124"/>
      <c r="P2958" s="124"/>
      <c r="Q2958" s="124"/>
      <c r="R2958" s="124"/>
      <c r="S2958" s="124"/>
      <c r="T2958" s="124"/>
      <c r="U2958" s="124"/>
      <c r="V2958" s="124"/>
      <c r="W2958" s="124"/>
      <c r="X2958" s="124"/>
      <c r="Y2958" s="124"/>
    </row>
    <row r="2959" spans="2:25" x14ac:dyDescent="0.25">
      <c r="B2959" s="124"/>
      <c r="C2959" s="124"/>
      <c r="D2959" s="124"/>
      <c r="E2959" s="124"/>
      <c r="F2959" s="124"/>
      <c r="G2959" s="124"/>
      <c r="H2959" s="124"/>
      <c r="I2959" s="124"/>
      <c r="J2959" s="124"/>
      <c r="K2959" s="124"/>
      <c r="L2959" s="124"/>
      <c r="M2959" s="124"/>
      <c r="N2959" s="124"/>
      <c r="O2959" s="124"/>
      <c r="P2959" s="124"/>
      <c r="Q2959" s="124"/>
      <c r="R2959" s="124"/>
      <c r="S2959" s="124"/>
      <c r="T2959" s="124"/>
      <c r="U2959" s="124"/>
      <c r="V2959" s="124"/>
      <c r="W2959" s="124"/>
      <c r="X2959" s="124"/>
      <c r="Y2959" s="124"/>
    </row>
    <row r="2960" spans="2:25" x14ac:dyDescent="0.25">
      <c r="B2960" s="124"/>
      <c r="C2960" s="124"/>
      <c r="D2960" s="124"/>
      <c r="E2960" s="124"/>
      <c r="F2960" s="124"/>
      <c r="G2960" s="124"/>
      <c r="H2960" s="124"/>
      <c r="I2960" s="124"/>
      <c r="J2960" s="124"/>
      <c r="K2960" s="124"/>
      <c r="L2960" s="124"/>
      <c r="M2960" s="124"/>
      <c r="N2960" s="124"/>
      <c r="O2960" s="124"/>
      <c r="P2960" s="124"/>
      <c r="Q2960" s="124"/>
      <c r="R2960" s="124"/>
      <c r="S2960" s="124"/>
      <c r="T2960" s="124"/>
      <c r="U2960" s="124"/>
      <c r="V2960" s="124"/>
      <c r="W2960" s="124"/>
      <c r="X2960" s="124"/>
      <c r="Y2960" s="124"/>
    </row>
    <row r="2961" spans="2:25" x14ac:dyDescent="0.25">
      <c r="B2961" s="124"/>
      <c r="C2961" s="124"/>
      <c r="D2961" s="124"/>
      <c r="E2961" s="124"/>
      <c r="F2961" s="124"/>
      <c r="G2961" s="124"/>
      <c r="H2961" s="124"/>
      <c r="I2961" s="124"/>
      <c r="J2961" s="124"/>
      <c r="K2961" s="124"/>
      <c r="L2961" s="124"/>
      <c r="M2961" s="124"/>
      <c r="N2961" s="124"/>
      <c r="O2961" s="124"/>
      <c r="P2961" s="124"/>
      <c r="Q2961" s="124"/>
      <c r="R2961" s="124"/>
      <c r="S2961" s="124"/>
      <c r="T2961" s="124"/>
      <c r="U2961" s="124"/>
      <c r="V2961" s="124"/>
      <c r="W2961" s="124"/>
      <c r="X2961" s="124"/>
      <c r="Y2961" s="124"/>
    </row>
    <row r="2962" spans="2:25" x14ac:dyDescent="0.25">
      <c r="B2962" s="124"/>
      <c r="C2962" s="124"/>
      <c r="D2962" s="124"/>
      <c r="E2962" s="124"/>
      <c r="F2962" s="124"/>
      <c r="G2962" s="124"/>
      <c r="H2962" s="124"/>
      <c r="I2962" s="124"/>
      <c r="J2962" s="124"/>
      <c r="K2962" s="124"/>
      <c r="L2962" s="124"/>
      <c r="M2962" s="124"/>
      <c r="N2962" s="124"/>
      <c r="O2962" s="124"/>
      <c r="P2962" s="124"/>
      <c r="Q2962" s="124"/>
      <c r="R2962" s="124"/>
      <c r="S2962" s="124"/>
      <c r="T2962" s="124"/>
      <c r="U2962" s="124"/>
      <c r="V2962" s="124"/>
      <c r="W2962" s="124"/>
      <c r="X2962" s="124"/>
      <c r="Y2962" s="124"/>
    </row>
    <row r="2963" spans="2:25" x14ac:dyDescent="0.25">
      <c r="B2963" s="124"/>
      <c r="C2963" s="124"/>
      <c r="D2963" s="124"/>
      <c r="E2963" s="124"/>
      <c r="F2963" s="124"/>
      <c r="G2963" s="124"/>
      <c r="H2963" s="124"/>
      <c r="I2963" s="124"/>
      <c r="J2963" s="124"/>
      <c r="K2963" s="124"/>
      <c r="L2963" s="124"/>
      <c r="M2963" s="124"/>
      <c r="N2963" s="124"/>
      <c r="O2963" s="124"/>
      <c r="P2963" s="124"/>
      <c r="Q2963" s="124"/>
      <c r="R2963" s="124"/>
      <c r="S2963" s="124"/>
      <c r="T2963" s="124"/>
      <c r="U2963" s="124"/>
      <c r="V2963" s="124"/>
      <c r="W2963" s="124"/>
      <c r="X2963" s="124"/>
      <c r="Y2963" s="124"/>
    </row>
    <row r="2964" spans="2:25" x14ac:dyDescent="0.25">
      <c r="B2964" s="124"/>
      <c r="C2964" s="124"/>
      <c r="D2964" s="124"/>
      <c r="E2964" s="124"/>
      <c r="F2964" s="124"/>
      <c r="G2964" s="124"/>
      <c r="H2964" s="124"/>
      <c r="I2964" s="124"/>
      <c r="J2964" s="124"/>
      <c r="K2964" s="124"/>
      <c r="L2964" s="124"/>
      <c r="M2964" s="124"/>
      <c r="N2964" s="124"/>
      <c r="O2964" s="124"/>
      <c r="P2964" s="124"/>
      <c r="Q2964" s="124"/>
      <c r="R2964" s="124"/>
      <c r="S2964" s="124"/>
      <c r="T2964" s="124"/>
      <c r="U2964" s="124"/>
      <c r="V2964" s="124"/>
      <c r="W2964" s="124"/>
      <c r="X2964" s="124"/>
      <c r="Y2964" s="124"/>
    </row>
    <row r="2965" spans="2:25" x14ac:dyDescent="0.25">
      <c r="B2965" s="124"/>
      <c r="C2965" s="124"/>
      <c r="D2965" s="124"/>
      <c r="E2965" s="124"/>
      <c r="F2965" s="124"/>
      <c r="G2965" s="124"/>
      <c r="H2965" s="124"/>
      <c r="I2965" s="124"/>
      <c r="J2965" s="124"/>
      <c r="K2965" s="124"/>
      <c r="L2965" s="124"/>
      <c r="M2965" s="124"/>
      <c r="N2965" s="124"/>
      <c r="O2965" s="124"/>
      <c r="P2965" s="124"/>
      <c r="Q2965" s="124"/>
      <c r="R2965" s="124"/>
      <c r="S2965" s="124"/>
      <c r="T2965" s="124"/>
      <c r="U2965" s="124"/>
      <c r="V2965" s="124"/>
      <c r="W2965" s="124"/>
      <c r="X2965" s="124"/>
      <c r="Y2965" s="124"/>
    </row>
    <row r="2966" spans="2:25" x14ac:dyDescent="0.25">
      <c r="B2966" s="124"/>
      <c r="C2966" s="124"/>
      <c r="D2966" s="124"/>
      <c r="E2966" s="124"/>
      <c r="F2966" s="124"/>
      <c r="G2966" s="124"/>
      <c r="H2966" s="124"/>
      <c r="I2966" s="124"/>
      <c r="J2966" s="124"/>
      <c r="K2966" s="124"/>
      <c r="L2966" s="124"/>
      <c r="M2966" s="124"/>
      <c r="N2966" s="124"/>
      <c r="O2966" s="124"/>
      <c r="P2966" s="124"/>
      <c r="Q2966" s="124"/>
      <c r="R2966" s="124"/>
      <c r="S2966" s="124"/>
      <c r="T2966" s="124"/>
      <c r="U2966" s="124"/>
      <c r="V2966" s="124"/>
      <c r="W2966" s="124"/>
      <c r="X2966" s="124"/>
      <c r="Y2966" s="124"/>
    </row>
    <row r="2967" spans="2:25" x14ac:dyDescent="0.25">
      <c r="B2967" s="124"/>
      <c r="C2967" s="124"/>
      <c r="D2967" s="124"/>
      <c r="E2967" s="124"/>
      <c r="F2967" s="124"/>
      <c r="G2967" s="124"/>
      <c r="H2967" s="124"/>
      <c r="I2967" s="124"/>
      <c r="J2967" s="124"/>
      <c r="K2967" s="124"/>
      <c r="L2967" s="124"/>
      <c r="M2967" s="124"/>
      <c r="N2967" s="124"/>
      <c r="O2967" s="124"/>
      <c r="P2967" s="124"/>
      <c r="Q2967" s="124"/>
      <c r="R2967" s="124"/>
      <c r="S2967" s="124"/>
      <c r="T2967" s="124"/>
      <c r="U2967" s="124"/>
      <c r="V2967" s="124"/>
      <c r="W2967" s="124"/>
      <c r="X2967" s="124"/>
      <c r="Y2967" s="124"/>
    </row>
    <row r="2968" spans="2:25" x14ac:dyDescent="0.25">
      <c r="B2968" s="124"/>
      <c r="C2968" s="124"/>
      <c r="D2968" s="124"/>
      <c r="E2968" s="124"/>
      <c r="F2968" s="124"/>
      <c r="G2968" s="124"/>
      <c r="H2968" s="124"/>
      <c r="I2968" s="124"/>
      <c r="J2968" s="124"/>
      <c r="K2968" s="124"/>
      <c r="L2968" s="124"/>
      <c r="M2968" s="124"/>
      <c r="N2968" s="124"/>
      <c r="O2968" s="124"/>
      <c r="P2968" s="124"/>
      <c r="Q2968" s="124"/>
      <c r="R2968" s="124"/>
      <c r="S2968" s="124"/>
      <c r="T2968" s="124"/>
      <c r="U2968" s="124"/>
      <c r="V2968" s="124"/>
      <c r="W2968" s="124"/>
      <c r="X2968" s="124"/>
      <c r="Y2968" s="124"/>
    </row>
    <row r="2969" spans="2:25" x14ac:dyDescent="0.25">
      <c r="B2969" s="124"/>
      <c r="C2969" s="124"/>
      <c r="D2969" s="124"/>
      <c r="E2969" s="124"/>
      <c r="F2969" s="124"/>
      <c r="G2969" s="124"/>
      <c r="H2969" s="124"/>
      <c r="I2969" s="124"/>
      <c r="J2969" s="124"/>
      <c r="K2969" s="124"/>
      <c r="L2969" s="124"/>
      <c r="M2969" s="124"/>
      <c r="N2969" s="124"/>
      <c r="O2969" s="124"/>
      <c r="P2969" s="124"/>
      <c r="Q2969" s="124"/>
      <c r="R2969" s="124"/>
      <c r="S2969" s="124"/>
      <c r="T2969" s="124"/>
      <c r="U2969" s="124"/>
      <c r="V2969" s="124"/>
      <c r="W2969" s="124"/>
      <c r="X2969" s="124"/>
      <c r="Y2969" s="124"/>
    </row>
    <row r="2970" spans="2:25" x14ac:dyDescent="0.25">
      <c r="B2970" s="124"/>
      <c r="C2970" s="124"/>
      <c r="D2970" s="124"/>
      <c r="E2970" s="124"/>
      <c r="F2970" s="124"/>
      <c r="G2970" s="124"/>
      <c r="H2970" s="124"/>
      <c r="I2970" s="124"/>
      <c r="J2970" s="124"/>
      <c r="K2970" s="124"/>
      <c r="L2970" s="124"/>
      <c r="M2970" s="124"/>
      <c r="N2970" s="124"/>
      <c r="O2970" s="124"/>
      <c r="P2970" s="124"/>
      <c r="Q2970" s="124"/>
      <c r="R2970" s="124"/>
      <c r="S2970" s="124"/>
      <c r="T2970" s="124"/>
      <c r="U2970" s="124"/>
      <c r="V2970" s="124"/>
      <c r="W2970" s="124"/>
      <c r="X2970" s="124"/>
      <c r="Y2970" s="124"/>
    </row>
    <row r="2971" spans="2:25" x14ac:dyDescent="0.25">
      <c r="B2971" s="124"/>
      <c r="C2971" s="124"/>
      <c r="D2971" s="124"/>
      <c r="E2971" s="124"/>
      <c r="F2971" s="124"/>
      <c r="G2971" s="124"/>
      <c r="H2971" s="124"/>
      <c r="I2971" s="124"/>
      <c r="J2971" s="124"/>
      <c r="K2971" s="124"/>
      <c r="L2971" s="124"/>
      <c r="M2971" s="124"/>
      <c r="N2971" s="124"/>
      <c r="O2971" s="124"/>
      <c r="P2971" s="124"/>
      <c r="Q2971" s="124"/>
      <c r="R2971" s="124"/>
      <c r="S2971" s="124"/>
      <c r="T2971" s="124"/>
      <c r="U2971" s="124"/>
      <c r="V2971" s="124"/>
      <c r="W2971" s="124"/>
      <c r="X2971" s="124"/>
      <c r="Y2971" s="124"/>
    </row>
    <row r="2972" spans="2:25" x14ac:dyDescent="0.25">
      <c r="B2972" s="124"/>
      <c r="C2972" s="124"/>
      <c r="D2972" s="124"/>
      <c r="E2972" s="124"/>
      <c r="F2972" s="124"/>
      <c r="G2972" s="124"/>
      <c r="H2972" s="124"/>
      <c r="I2972" s="124"/>
      <c r="J2972" s="124"/>
      <c r="K2972" s="124"/>
      <c r="L2972" s="124"/>
      <c r="M2972" s="124"/>
      <c r="N2972" s="124"/>
      <c r="O2972" s="124"/>
      <c r="P2972" s="124"/>
      <c r="Q2972" s="124"/>
      <c r="R2972" s="124"/>
      <c r="S2972" s="124"/>
      <c r="T2972" s="124"/>
      <c r="U2972" s="124"/>
      <c r="V2972" s="124"/>
      <c r="W2972" s="124"/>
      <c r="X2972" s="124"/>
      <c r="Y2972" s="124"/>
    </row>
    <row r="2973" spans="2:25" x14ac:dyDescent="0.25">
      <c r="B2973" s="124"/>
      <c r="C2973" s="124"/>
      <c r="D2973" s="124"/>
      <c r="E2973" s="124"/>
      <c r="F2973" s="124"/>
      <c r="G2973" s="124"/>
      <c r="H2973" s="124"/>
      <c r="I2973" s="124"/>
      <c r="J2973" s="124"/>
      <c r="K2973" s="124"/>
      <c r="L2973" s="124"/>
      <c r="M2973" s="124"/>
      <c r="N2973" s="124"/>
      <c r="O2973" s="124"/>
      <c r="P2973" s="124"/>
      <c r="Q2973" s="124"/>
      <c r="R2973" s="124"/>
      <c r="S2973" s="124"/>
      <c r="T2973" s="124"/>
      <c r="U2973" s="124"/>
      <c r="V2973" s="124"/>
      <c r="W2973" s="124"/>
      <c r="X2973" s="124"/>
      <c r="Y2973" s="124"/>
    </row>
    <row r="2974" spans="2:25" x14ac:dyDescent="0.25">
      <c r="B2974" s="124"/>
      <c r="C2974" s="124"/>
      <c r="D2974" s="124"/>
      <c r="E2974" s="124"/>
      <c r="F2974" s="124"/>
      <c r="G2974" s="124"/>
      <c r="H2974" s="124"/>
      <c r="I2974" s="124"/>
      <c r="J2974" s="124"/>
      <c r="K2974" s="124"/>
      <c r="L2974" s="124"/>
      <c r="M2974" s="124"/>
      <c r="N2974" s="124"/>
      <c r="O2974" s="124"/>
      <c r="P2974" s="124"/>
      <c r="Q2974" s="124"/>
      <c r="R2974" s="124"/>
      <c r="S2974" s="124"/>
      <c r="T2974" s="124"/>
      <c r="U2974" s="124"/>
      <c r="V2974" s="124"/>
      <c r="W2974" s="124"/>
      <c r="X2974" s="124"/>
      <c r="Y2974" s="124"/>
    </row>
    <row r="2975" spans="2:25" x14ac:dyDescent="0.25">
      <c r="B2975" s="124"/>
      <c r="C2975" s="124"/>
      <c r="D2975" s="124"/>
      <c r="E2975" s="124"/>
      <c r="F2975" s="124"/>
      <c r="G2975" s="124"/>
      <c r="H2975" s="124"/>
      <c r="I2975" s="124"/>
      <c r="J2975" s="124"/>
      <c r="K2975" s="124"/>
      <c r="L2975" s="124"/>
      <c r="M2975" s="124"/>
      <c r="N2975" s="124"/>
      <c r="O2975" s="124"/>
      <c r="P2975" s="124"/>
      <c r="Q2975" s="124"/>
      <c r="R2975" s="124"/>
      <c r="S2975" s="124"/>
      <c r="T2975" s="124"/>
      <c r="U2975" s="124"/>
      <c r="V2975" s="124"/>
      <c r="W2975" s="124"/>
      <c r="X2975" s="124"/>
      <c r="Y2975" s="124"/>
    </row>
    <row r="2976" spans="2:25" x14ac:dyDescent="0.25">
      <c r="B2976" s="124"/>
      <c r="C2976" s="124"/>
      <c r="D2976" s="124"/>
      <c r="E2976" s="124"/>
      <c r="F2976" s="124"/>
      <c r="G2976" s="124"/>
      <c r="H2976" s="124"/>
      <c r="I2976" s="124"/>
      <c r="J2976" s="124"/>
      <c r="K2976" s="124"/>
      <c r="L2976" s="124"/>
      <c r="M2976" s="124"/>
      <c r="N2976" s="124"/>
      <c r="O2976" s="124"/>
      <c r="P2976" s="124"/>
      <c r="Q2976" s="124"/>
      <c r="R2976" s="124"/>
      <c r="S2976" s="124"/>
      <c r="T2976" s="124"/>
      <c r="U2976" s="124"/>
      <c r="V2976" s="124"/>
      <c r="W2976" s="124"/>
      <c r="X2976" s="124"/>
      <c r="Y2976" s="124"/>
    </row>
    <row r="2977" spans="2:25" x14ac:dyDescent="0.25">
      <c r="B2977" s="124"/>
      <c r="C2977" s="124"/>
      <c r="D2977" s="124"/>
      <c r="E2977" s="124"/>
      <c r="F2977" s="124"/>
      <c r="G2977" s="124"/>
      <c r="H2977" s="124"/>
      <c r="I2977" s="124"/>
      <c r="J2977" s="124"/>
      <c r="K2977" s="124"/>
      <c r="L2977" s="124"/>
      <c r="M2977" s="124"/>
      <c r="N2977" s="124"/>
      <c r="O2977" s="124"/>
      <c r="P2977" s="124"/>
      <c r="Q2977" s="124"/>
      <c r="R2977" s="124"/>
      <c r="S2977" s="124"/>
      <c r="T2977" s="124"/>
      <c r="U2977" s="124"/>
      <c r="V2977" s="124"/>
      <c r="W2977" s="124"/>
      <c r="X2977" s="124"/>
      <c r="Y2977" s="124"/>
    </row>
    <row r="2978" spans="2:25" x14ac:dyDescent="0.25">
      <c r="B2978" s="124"/>
      <c r="C2978" s="124"/>
      <c r="D2978" s="124"/>
      <c r="E2978" s="124"/>
      <c r="F2978" s="124"/>
      <c r="G2978" s="124"/>
      <c r="H2978" s="124"/>
      <c r="I2978" s="124"/>
      <c r="J2978" s="124"/>
      <c r="K2978" s="124"/>
      <c r="L2978" s="124"/>
      <c r="M2978" s="124"/>
      <c r="N2978" s="124"/>
      <c r="O2978" s="124"/>
      <c r="P2978" s="124"/>
      <c r="Q2978" s="124"/>
      <c r="R2978" s="124"/>
      <c r="S2978" s="124"/>
      <c r="T2978" s="124"/>
      <c r="U2978" s="124"/>
      <c r="V2978" s="124"/>
      <c r="W2978" s="124"/>
      <c r="X2978" s="124"/>
      <c r="Y2978" s="124"/>
    </row>
    <row r="2979" spans="2:25" x14ac:dyDescent="0.25">
      <c r="B2979" s="124"/>
      <c r="C2979" s="124"/>
      <c r="D2979" s="124"/>
      <c r="E2979" s="124"/>
      <c r="F2979" s="124"/>
      <c r="G2979" s="124"/>
      <c r="H2979" s="124"/>
      <c r="I2979" s="124"/>
      <c r="J2979" s="124"/>
      <c r="K2979" s="124"/>
      <c r="L2979" s="124"/>
      <c r="M2979" s="124"/>
      <c r="N2979" s="124"/>
      <c r="O2979" s="124"/>
      <c r="P2979" s="124"/>
      <c r="Q2979" s="124"/>
      <c r="R2979" s="124"/>
      <c r="S2979" s="124"/>
      <c r="T2979" s="124"/>
      <c r="U2979" s="124"/>
      <c r="V2979" s="124"/>
      <c r="W2979" s="124"/>
      <c r="X2979" s="124"/>
      <c r="Y2979" s="124"/>
    </row>
    <row r="2980" spans="2:25" x14ac:dyDescent="0.25">
      <c r="B2980" s="124"/>
      <c r="C2980" s="124"/>
      <c r="D2980" s="124"/>
      <c r="E2980" s="124"/>
      <c r="F2980" s="124"/>
      <c r="G2980" s="124"/>
      <c r="H2980" s="124"/>
      <c r="I2980" s="124"/>
      <c r="J2980" s="124"/>
      <c r="K2980" s="124"/>
      <c r="L2980" s="124"/>
      <c r="M2980" s="124"/>
      <c r="N2980" s="124"/>
      <c r="O2980" s="124"/>
      <c r="P2980" s="124"/>
      <c r="Q2980" s="124"/>
      <c r="R2980" s="124"/>
      <c r="S2980" s="124"/>
      <c r="T2980" s="124"/>
      <c r="U2980" s="124"/>
      <c r="V2980" s="124"/>
      <c r="W2980" s="124"/>
      <c r="X2980" s="124"/>
      <c r="Y2980" s="124"/>
    </row>
    <row r="2981" spans="2:25" x14ac:dyDescent="0.25">
      <c r="B2981" s="124"/>
      <c r="C2981" s="124"/>
      <c r="D2981" s="124"/>
      <c r="E2981" s="124"/>
      <c r="F2981" s="124"/>
      <c r="G2981" s="124"/>
      <c r="H2981" s="124"/>
      <c r="I2981" s="124"/>
      <c r="J2981" s="124"/>
      <c r="K2981" s="124"/>
      <c r="L2981" s="124"/>
      <c r="M2981" s="124"/>
      <c r="N2981" s="124"/>
      <c r="O2981" s="124"/>
      <c r="P2981" s="124"/>
      <c r="Q2981" s="124"/>
      <c r="R2981" s="124"/>
      <c r="S2981" s="124"/>
      <c r="T2981" s="124"/>
      <c r="U2981" s="124"/>
      <c r="V2981" s="124"/>
      <c r="W2981" s="124"/>
      <c r="X2981" s="124"/>
      <c r="Y2981" s="124"/>
    </row>
    <row r="2982" spans="2:25" x14ac:dyDescent="0.25">
      <c r="B2982" s="124"/>
      <c r="C2982" s="124"/>
      <c r="D2982" s="124"/>
      <c r="E2982" s="124"/>
      <c r="F2982" s="124"/>
      <c r="G2982" s="124"/>
      <c r="H2982" s="124"/>
      <c r="I2982" s="124"/>
      <c r="J2982" s="124"/>
      <c r="K2982" s="124"/>
      <c r="L2982" s="124"/>
      <c r="M2982" s="124"/>
      <c r="N2982" s="124"/>
      <c r="O2982" s="124"/>
      <c r="P2982" s="124"/>
      <c r="Q2982" s="124"/>
      <c r="R2982" s="124"/>
      <c r="S2982" s="124"/>
      <c r="T2982" s="124"/>
      <c r="U2982" s="124"/>
      <c r="V2982" s="124"/>
      <c r="W2982" s="124"/>
      <c r="X2982" s="124"/>
      <c r="Y2982" s="124"/>
    </row>
    <row r="2983" spans="2:25" x14ac:dyDescent="0.25">
      <c r="B2983" s="124"/>
      <c r="C2983" s="124"/>
      <c r="D2983" s="124"/>
      <c r="E2983" s="124"/>
      <c r="F2983" s="124"/>
      <c r="G2983" s="124"/>
      <c r="H2983" s="124"/>
      <c r="I2983" s="124"/>
      <c r="J2983" s="124"/>
      <c r="K2983" s="124"/>
      <c r="L2983" s="124"/>
      <c r="M2983" s="124"/>
      <c r="N2983" s="124"/>
      <c r="O2983" s="124"/>
      <c r="P2983" s="124"/>
      <c r="Q2983" s="124"/>
      <c r="R2983" s="124"/>
      <c r="S2983" s="124"/>
      <c r="T2983" s="124"/>
      <c r="U2983" s="124"/>
      <c r="V2983" s="124"/>
      <c r="W2983" s="124"/>
      <c r="X2983" s="124"/>
      <c r="Y2983" s="124"/>
    </row>
    <row r="2984" spans="2:25" x14ac:dyDescent="0.25">
      <c r="B2984" s="124"/>
      <c r="C2984" s="124"/>
      <c r="D2984" s="124"/>
      <c r="E2984" s="124"/>
      <c r="F2984" s="124"/>
      <c r="G2984" s="124"/>
      <c r="H2984" s="124"/>
      <c r="I2984" s="124"/>
      <c r="J2984" s="124"/>
      <c r="K2984" s="124"/>
      <c r="L2984" s="124"/>
      <c r="M2984" s="124"/>
      <c r="N2984" s="124"/>
      <c r="O2984" s="124"/>
      <c r="P2984" s="124"/>
      <c r="Q2984" s="124"/>
      <c r="R2984" s="124"/>
      <c r="S2984" s="124"/>
      <c r="T2984" s="124"/>
      <c r="U2984" s="124"/>
      <c r="V2984" s="124"/>
      <c r="W2984" s="124"/>
      <c r="X2984" s="124"/>
      <c r="Y2984" s="124"/>
    </row>
    <row r="2985" spans="2:25" x14ac:dyDescent="0.25">
      <c r="B2985" s="124"/>
      <c r="C2985" s="124"/>
      <c r="D2985" s="124"/>
      <c r="E2985" s="124"/>
      <c r="F2985" s="124"/>
      <c r="G2985" s="124"/>
      <c r="H2985" s="124"/>
      <c r="I2985" s="124"/>
      <c r="J2985" s="124"/>
      <c r="K2985" s="124"/>
      <c r="L2985" s="124"/>
      <c r="M2985" s="124"/>
      <c r="N2985" s="124"/>
      <c r="O2985" s="124"/>
      <c r="P2985" s="124"/>
      <c r="Q2985" s="124"/>
      <c r="R2985" s="124"/>
      <c r="S2985" s="124"/>
      <c r="T2985" s="124"/>
      <c r="U2985" s="124"/>
      <c r="V2985" s="124"/>
      <c r="W2985" s="124"/>
      <c r="X2985" s="124"/>
      <c r="Y2985" s="124"/>
    </row>
    <row r="2986" spans="2:25" x14ac:dyDescent="0.25">
      <c r="B2986" s="124"/>
      <c r="C2986" s="124"/>
      <c r="D2986" s="124"/>
      <c r="E2986" s="124"/>
      <c r="F2986" s="124"/>
      <c r="G2986" s="124"/>
      <c r="H2986" s="124"/>
      <c r="I2986" s="124"/>
      <c r="J2986" s="124"/>
      <c r="K2986" s="124"/>
      <c r="L2986" s="124"/>
      <c r="M2986" s="124"/>
      <c r="N2986" s="124"/>
      <c r="O2986" s="124"/>
      <c r="P2986" s="124"/>
      <c r="Q2986" s="124"/>
      <c r="R2986" s="124"/>
      <c r="S2986" s="124"/>
      <c r="T2986" s="124"/>
      <c r="U2986" s="124"/>
      <c r="V2986" s="124"/>
      <c r="W2986" s="124"/>
      <c r="X2986" s="124"/>
      <c r="Y2986" s="124"/>
    </row>
    <row r="2987" spans="2:25" x14ac:dyDescent="0.25">
      <c r="B2987" s="124"/>
      <c r="C2987" s="124"/>
      <c r="D2987" s="124"/>
      <c r="E2987" s="124"/>
      <c r="F2987" s="124"/>
      <c r="G2987" s="124"/>
      <c r="H2987" s="124"/>
      <c r="I2987" s="124"/>
      <c r="J2987" s="124"/>
      <c r="K2987" s="124"/>
      <c r="L2987" s="124"/>
      <c r="M2987" s="124"/>
      <c r="N2987" s="124"/>
      <c r="O2987" s="124"/>
      <c r="P2987" s="124"/>
      <c r="Q2987" s="124"/>
      <c r="R2987" s="124"/>
      <c r="S2987" s="124"/>
      <c r="T2987" s="124"/>
      <c r="U2987" s="124"/>
      <c r="V2987" s="124"/>
      <c r="W2987" s="124"/>
      <c r="X2987" s="124"/>
      <c r="Y2987" s="124"/>
    </row>
    <row r="2988" spans="2:25" x14ac:dyDescent="0.25">
      <c r="B2988" s="124"/>
      <c r="C2988" s="124"/>
      <c r="D2988" s="124"/>
      <c r="E2988" s="124"/>
      <c r="F2988" s="124"/>
      <c r="G2988" s="124"/>
      <c r="H2988" s="124"/>
      <c r="I2988" s="124"/>
      <c r="J2988" s="124"/>
      <c r="K2988" s="124"/>
      <c r="L2988" s="124"/>
      <c r="M2988" s="124"/>
      <c r="N2988" s="124"/>
      <c r="O2988" s="124"/>
      <c r="P2988" s="124"/>
      <c r="Q2988" s="124"/>
      <c r="R2988" s="124"/>
      <c r="S2988" s="124"/>
      <c r="T2988" s="124"/>
      <c r="U2988" s="124"/>
      <c r="V2988" s="124"/>
      <c r="W2988" s="124"/>
      <c r="X2988" s="124"/>
      <c r="Y2988" s="124"/>
    </row>
    <row r="2989" spans="2:25" x14ac:dyDescent="0.25">
      <c r="B2989" s="124"/>
      <c r="C2989" s="124"/>
      <c r="D2989" s="124"/>
      <c r="E2989" s="124"/>
      <c r="F2989" s="124"/>
      <c r="G2989" s="124"/>
      <c r="H2989" s="124"/>
      <c r="I2989" s="124"/>
      <c r="J2989" s="124"/>
      <c r="K2989" s="124"/>
      <c r="L2989" s="124"/>
      <c r="M2989" s="124"/>
      <c r="N2989" s="124"/>
      <c r="O2989" s="124"/>
      <c r="P2989" s="124"/>
      <c r="Q2989" s="124"/>
      <c r="R2989" s="124"/>
      <c r="S2989" s="124"/>
      <c r="T2989" s="124"/>
      <c r="U2989" s="124"/>
      <c r="V2989" s="124"/>
      <c r="W2989" s="124"/>
      <c r="X2989" s="124"/>
      <c r="Y2989" s="124"/>
    </row>
    <row r="2990" spans="2:25" x14ac:dyDescent="0.25">
      <c r="B2990" s="124"/>
      <c r="C2990" s="124"/>
      <c r="D2990" s="124"/>
      <c r="E2990" s="124"/>
      <c r="F2990" s="124"/>
      <c r="G2990" s="124"/>
      <c r="H2990" s="124"/>
      <c r="I2990" s="124"/>
      <c r="J2990" s="124"/>
      <c r="K2990" s="124"/>
      <c r="L2990" s="124"/>
      <c r="M2990" s="124"/>
      <c r="N2990" s="124"/>
      <c r="O2990" s="124"/>
      <c r="P2990" s="124"/>
      <c r="Q2990" s="124"/>
      <c r="R2990" s="124"/>
      <c r="S2990" s="124"/>
      <c r="T2990" s="124"/>
      <c r="U2990" s="124"/>
      <c r="V2990" s="124"/>
      <c r="W2990" s="124"/>
      <c r="X2990" s="124"/>
      <c r="Y2990" s="124"/>
    </row>
    <row r="2991" spans="2:25" x14ac:dyDescent="0.25">
      <c r="B2991" s="124"/>
      <c r="C2991" s="124"/>
      <c r="D2991" s="124"/>
      <c r="E2991" s="124"/>
      <c r="F2991" s="124"/>
      <c r="G2991" s="124"/>
      <c r="H2991" s="124"/>
      <c r="I2991" s="124"/>
      <c r="J2991" s="124"/>
      <c r="K2991" s="124"/>
      <c r="L2991" s="124"/>
      <c r="M2991" s="124"/>
      <c r="N2991" s="124"/>
      <c r="O2991" s="124"/>
      <c r="P2991" s="124"/>
      <c r="Q2991" s="124"/>
      <c r="R2991" s="124"/>
      <c r="S2991" s="124"/>
      <c r="T2991" s="124"/>
      <c r="U2991" s="124"/>
      <c r="V2991" s="124"/>
      <c r="W2991" s="124"/>
      <c r="X2991" s="124"/>
      <c r="Y2991" s="124"/>
    </row>
    <row r="2992" spans="2:25" x14ac:dyDescent="0.25">
      <c r="B2992" s="124"/>
      <c r="C2992" s="124"/>
      <c r="D2992" s="124"/>
      <c r="E2992" s="124"/>
      <c r="F2992" s="124"/>
      <c r="G2992" s="124"/>
      <c r="H2992" s="124"/>
      <c r="I2992" s="124"/>
      <c r="J2992" s="124"/>
      <c r="K2992" s="124"/>
      <c r="L2992" s="124"/>
      <c r="M2992" s="124"/>
      <c r="N2992" s="124"/>
      <c r="O2992" s="124"/>
      <c r="P2992" s="124"/>
      <c r="Q2992" s="124"/>
      <c r="R2992" s="124"/>
      <c r="S2992" s="124"/>
      <c r="T2992" s="124"/>
      <c r="U2992" s="124"/>
      <c r="V2992" s="124"/>
      <c r="W2992" s="124"/>
      <c r="X2992" s="124"/>
      <c r="Y2992" s="124"/>
    </row>
    <row r="2993" spans="2:25" x14ac:dyDescent="0.25">
      <c r="B2993" s="124"/>
      <c r="C2993" s="124"/>
      <c r="D2993" s="124"/>
      <c r="E2993" s="124"/>
      <c r="F2993" s="124"/>
      <c r="G2993" s="124"/>
      <c r="H2993" s="124"/>
      <c r="I2993" s="124"/>
      <c r="J2993" s="124"/>
      <c r="K2993" s="124"/>
      <c r="L2993" s="124"/>
      <c r="M2993" s="124"/>
      <c r="N2993" s="124"/>
      <c r="O2993" s="124"/>
      <c r="P2993" s="124"/>
      <c r="Q2993" s="124"/>
      <c r="R2993" s="124"/>
      <c r="S2993" s="124"/>
      <c r="T2993" s="124"/>
      <c r="U2993" s="124"/>
      <c r="V2993" s="124"/>
      <c r="W2993" s="124"/>
      <c r="X2993" s="124"/>
      <c r="Y2993" s="124"/>
    </row>
    <row r="2994" spans="2:25" x14ac:dyDescent="0.25">
      <c r="B2994" s="124"/>
      <c r="C2994" s="124"/>
      <c r="D2994" s="124"/>
      <c r="E2994" s="124"/>
      <c r="F2994" s="124"/>
      <c r="G2994" s="124"/>
      <c r="H2994" s="124"/>
      <c r="I2994" s="124"/>
      <c r="J2994" s="124"/>
      <c r="K2994" s="124"/>
      <c r="L2994" s="124"/>
      <c r="M2994" s="124"/>
      <c r="N2994" s="124"/>
      <c r="O2994" s="124"/>
      <c r="P2994" s="124"/>
      <c r="Q2994" s="124"/>
      <c r="R2994" s="124"/>
      <c r="S2994" s="124"/>
      <c r="T2994" s="124"/>
      <c r="U2994" s="124"/>
      <c r="V2994" s="124"/>
      <c r="W2994" s="124"/>
      <c r="X2994" s="124"/>
      <c r="Y2994" s="124"/>
    </row>
    <row r="2995" spans="2:25" x14ac:dyDescent="0.25">
      <c r="B2995" s="124"/>
      <c r="C2995" s="124"/>
      <c r="D2995" s="124"/>
      <c r="E2995" s="124"/>
      <c r="F2995" s="124"/>
      <c r="G2995" s="124"/>
      <c r="H2995" s="124"/>
      <c r="I2995" s="124"/>
      <c r="J2995" s="124"/>
      <c r="K2995" s="124"/>
      <c r="L2995" s="124"/>
      <c r="M2995" s="124"/>
      <c r="N2995" s="124"/>
      <c r="O2995" s="124"/>
      <c r="P2995" s="124"/>
      <c r="Q2995" s="124"/>
      <c r="R2995" s="124"/>
      <c r="S2995" s="124"/>
      <c r="T2995" s="124"/>
      <c r="U2995" s="124"/>
      <c r="V2995" s="124"/>
      <c r="W2995" s="124"/>
      <c r="X2995" s="124"/>
      <c r="Y2995" s="124"/>
    </row>
    <row r="2996" spans="2:25" x14ac:dyDescent="0.25">
      <c r="B2996" s="124"/>
      <c r="C2996" s="124"/>
      <c r="D2996" s="124"/>
      <c r="E2996" s="124"/>
      <c r="F2996" s="124"/>
      <c r="G2996" s="124"/>
      <c r="H2996" s="124"/>
      <c r="I2996" s="124"/>
      <c r="J2996" s="124"/>
      <c r="K2996" s="124"/>
      <c r="L2996" s="124"/>
      <c r="M2996" s="124"/>
      <c r="N2996" s="124"/>
      <c r="O2996" s="124"/>
      <c r="P2996" s="124"/>
      <c r="Q2996" s="124"/>
      <c r="R2996" s="124"/>
      <c r="S2996" s="124"/>
      <c r="T2996" s="124"/>
      <c r="U2996" s="124"/>
      <c r="V2996" s="124"/>
      <c r="W2996" s="124"/>
      <c r="X2996" s="124"/>
      <c r="Y2996" s="124"/>
    </row>
    <row r="2997" spans="2:25" x14ac:dyDescent="0.25">
      <c r="B2997" s="124"/>
      <c r="C2997" s="124"/>
      <c r="D2997" s="124"/>
      <c r="E2997" s="124"/>
      <c r="F2997" s="124"/>
      <c r="G2997" s="124"/>
      <c r="H2997" s="124"/>
      <c r="I2997" s="124"/>
      <c r="J2997" s="124"/>
      <c r="K2997" s="124"/>
      <c r="L2997" s="124"/>
      <c r="M2997" s="124"/>
      <c r="N2997" s="124"/>
      <c r="O2997" s="124"/>
      <c r="P2997" s="124"/>
      <c r="Q2997" s="124"/>
      <c r="R2997" s="124"/>
      <c r="S2997" s="124"/>
      <c r="T2997" s="124"/>
      <c r="U2997" s="124"/>
      <c r="V2997" s="124"/>
      <c r="W2997" s="124"/>
      <c r="X2997" s="124"/>
      <c r="Y2997" s="124"/>
    </row>
    <row r="2998" spans="2:25" x14ac:dyDescent="0.25">
      <c r="B2998" s="124"/>
      <c r="C2998" s="124"/>
      <c r="D2998" s="124"/>
      <c r="E2998" s="124"/>
      <c r="F2998" s="124"/>
      <c r="G2998" s="124"/>
      <c r="H2998" s="124"/>
      <c r="I2998" s="124"/>
      <c r="J2998" s="124"/>
      <c r="K2998" s="124"/>
      <c r="L2998" s="124"/>
      <c r="M2998" s="124"/>
      <c r="N2998" s="124"/>
      <c r="O2998" s="124"/>
      <c r="P2998" s="124"/>
      <c r="Q2998" s="124"/>
      <c r="R2998" s="124"/>
      <c r="S2998" s="124"/>
      <c r="T2998" s="124"/>
      <c r="U2998" s="124"/>
      <c r="V2998" s="124"/>
      <c r="W2998" s="124"/>
      <c r="X2998" s="124"/>
      <c r="Y2998" s="124"/>
    </row>
    <row r="2999" spans="2:25" x14ac:dyDescent="0.25">
      <c r="B2999" s="124"/>
      <c r="C2999" s="124"/>
      <c r="D2999" s="124"/>
      <c r="E2999" s="124"/>
      <c r="F2999" s="124"/>
      <c r="G2999" s="124"/>
      <c r="H2999" s="124"/>
      <c r="I2999" s="124"/>
      <c r="J2999" s="124"/>
      <c r="K2999" s="124"/>
      <c r="L2999" s="124"/>
      <c r="M2999" s="124"/>
      <c r="N2999" s="124"/>
      <c r="O2999" s="124"/>
      <c r="P2999" s="124"/>
      <c r="Q2999" s="124"/>
      <c r="R2999" s="124"/>
      <c r="S2999" s="124"/>
      <c r="T2999" s="124"/>
      <c r="U2999" s="124"/>
      <c r="V2999" s="124"/>
      <c r="W2999" s="124"/>
      <c r="X2999" s="124"/>
      <c r="Y2999" s="124"/>
    </row>
    <row r="3000" spans="2:25" x14ac:dyDescent="0.25">
      <c r="B3000" s="124"/>
      <c r="C3000" s="124"/>
      <c r="D3000" s="124"/>
      <c r="E3000" s="124"/>
      <c r="F3000" s="124"/>
      <c r="G3000" s="124"/>
      <c r="H3000" s="124"/>
      <c r="I3000" s="124"/>
      <c r="J3000" s="124"/>
      <c r="K3000" s="124"/>
      <c r="L3000" s="124"/>
      <c r="M3000" s="124"/>
      <c r="N3000" s="124"/>
      <c r="O3000" s="124"/>
      <c r="P3000" s="124"/>
      <c r="Q3000" s="124"/>
      <c r="R3000" s="124"/>
      <c r="S3000" s="124"/>
      <c r="T3000" s="124"/>
      <c r="U3000" s="124"/>
      <c r="V3000" s="124"/>
      <c r="W3000" s="124"/>
      <c r="X3000" s="124"/>
      <c r="Y3000" s="124"/>
    </row>
    <row r="3001" spans="2:25" x14ac:dyDescent="0.25">
      <c r="B3001" s="124"/>
      <c r="C3001" s="124"/>
      <c r="D3001" s="124"/>
      <c r="E3001" s="124"/>
      <c r="F3001" s="124"/>
      <c r="G3001" s="124"/>
      <c r="H3001" s="124"/>
      <c r="I3001" s="124"/>
      <c r="J3001" s="124"/>
      <c r="K3001" s="124"/>
      <c r="L3001" s="124"/>
      <c r="M3001" s="124"/>
      <c r="N3001" s="124"/>
      <c r="O3001" s="124"/>
      <c r="P3001" s="124"/>
      <c r="Q3001" s="124"/>
      <c r="R3001" s="124"/>
      <c r="S3001" s="124"/>
      <c r="T3001" s="124"/>
      <c r="U3001" s="124"/>
      <c r="V3001" s="124"/>
      <c r="W3001" s="124"/>
      <c r="X3001" s="124"/>
      <c r="Y3001" s="124"/>
    </row>
    <row r="3002" spans="2:25" x14ac:dyDescent="0.25">
      <c r="B3002" s="124"/>
      <c r="C3002" s="124"/>
      <c r="D3002" s="124"/>
      <c r="E3002" s="124"/>
      <c r="F3002" s="124"/>
      <c r="G3002" s="124"/>
      <c r="H3002" s="124"/>
      <c r="I3002" s="124"/>
      <c r="J3002" s="124"/>
      <c r="K3002" s="124"/>
      <c r="L3002" s="124"/>
      <c r="M3002" s="124"/>
      <c r="N3002" s="124"/>
      <c r="O3002" s="124"/>
      <c r="P3002" s="124"/>
      <c r="Q3002" s="124"/>
      <c r="R3002" s="124"/>
      <c r="S3002" s="124"/>
      <c r="T3002" s="124"/>
      <c r="U3002" s="124"/>
      <c r="V3002" s="124"/>
      <c r="W3002" s="124"/>
      <c r="X3002" s="124"/>
      <c r="Y3002" s="124"/>
    </row>
    <row r="3003" spans="2:25" x14ac:dyDescent="0.25">
      <c r="B3003" s="124"/>
      <c r="C3003" s="124"/>
      <c r="D3003" s="124"/>
      <c r="E3003" s="124"/>
      <c r="F3003" s="124"/>
      <c r="G3003" s="124"/>
      <c r="H3003" s="124"/>
      <c r="I3003" s="124"/>
      <c r="J3003" s="124"/>
      <c r="K3003" s="124"/>
      <c r="L3003" s="124"/>
      <c r="M3003" s="124"/>
      <c r="N3003" s="124"/>
      <c r="O3003" s="124"/>
      <c r="P3003" s="124"/>
      <c r="Q3003" s="124"/>
      <c r="R3003" s="124"/>
      <c r="S3003" s="124"/>
      <c r="T3003" s="124"/>
      <c r="U3003" s="124"/>
      <c r="V3003" s="124"/>
      <c r="W3003" s="124"/>
      <c r="X3003" s="124"/>
      <c r="Y3003" s="124"/>
    </row>
    <row r="3004" spans="2:25" x14ac:dyDescent="0.25">
      <c r="B3004" s="124"/>
      <c r="C3004" s="124"/>
      <c r="D3004" s="124"/>
      <c r="E3004" s="124"/>
      <c r="F3004" s="124"/>
      <c r="G3004" s="124"/>
      <c r="H3004" s="124"/>
      <c r="I3004" s="124"/>
      <c r="J3004" s="124"/>
      <c r="K3004" s="124"/>
      <c r="L3004" s="124"/>
      <c r="M3004" s="124"/>
      <c r="N3004" s="124"/>
      <c r="O3004" s="124"/>
      <c r="P3004" s="124"/>
      <c r="Q3004" s="124"/>
      <c r="R3004" s="124"/>
      <c r="S3004" s="124"/>
      <c r="T3004" s="124"/>
      <c r="U3004" s="124"/>
      <c r="V3004" s="124"/>
      <c r="W3004" s="124"/>
      <c r="X3004" s="124"/>
      <c r="Y3004" s="124"/>
    </row>
    <row r="3005" spans="2:25" x14ac:dyDescent="0.25">
      <c r="B3005" s="124"/>
      <c r="C3005" s="124"/>
      <c r="D3005" s="124"/>
      <c r="E3005" s="124"/>
      <c r="F3005" s="124"/>
      <c r="G3005" s="124"/>
      <c r="H3005" s="124"/>
      <c r="I3005" s="124"/>
      <c r="J3005" s="124"/>
      <c r="K3005" s="124"/>
      <c r="L3005" s="124"/>
      <c r="M3005" s="124"/>
      <c r="N3005" s="124"/>
      <c r="O3005" s="124"/>
      <c r="P3005" s="124"/>
      <c r="Q3005" s="124"/>
      <c r="R3005" s="124"/>
      <c r="S3005" s="124"/>
      <c r="T3005" s="124"/>
      <c r="U3005" s="124"/>
      <c r="V3005" s="124"/>
      <c r="W3005" s="124"/>
      <c r="X3005" s="124"/>
      <c r="Y3005" s="124"/>
    </row>
    <row r="3006" spans="2:25" x14ac:dyDescent="0.25">
      <c r="B3006" s="124"/>
      <c r="C3006" s="124"/>
      <c r="D3006" s="124"/>
      <c r="E3006" s="124"/>
      <c r="F3006" s="124"/>
      <c r="G3006" s="124"/>
      <c r="H3006" s="124"/>
      <c r="I3006" s="124"/>
      <c r="J3006" s="124"/>
      <c r="K3006" s="124"/>
      <c r="L3006" s="124"/>
      <c r="M3006" s="124"/>
      <c r="N3006" s="124"/>
      <c r="O3006" s="124"/>
      <c r="P3006" s="124"/>
      <c r="Q3006" s="124"/>
      <c r="R3006" s="124"/>
      <c r="S3006" s="124"/>
      <c r="T3006" s="124"/>
      <c r="U3006" s="124"/>
      <c r="V3006" s="124"/>
      <c r="W3006" s="124"/>
      <c r="X3006" s="124"/>
      <c r="Y3006" s="124"/>
    </row>
    <row r="3007" spans="2:25" x14ac:dyDescent="0.25">
      <c r="B3007" s="124"/>
      <c r="C3007" s="124"/>
      <c r="D3007" s="124"/>
      <c r="E3007" s="124"/>
      <c r="F3007" s="124"/>
      <c r="G3007" s="124"/>
      <c r="H3007" s="124"/>
      <c r="I3007" s="124"/>
      <c r="J3007" s="124"/>
      <c r="K3007" s="124"/>
      <c r="L3007" s="124"/>
      <c r="M3007" s="124"/>
      <c r="N3007" s="124"/>
      <c r="O3007" s="124"/>
      <c r="P3007" s="124"/>
      <c r="Q3007" s="124"/>
      <c r="R3007" s="124"/>
      <c r="S3007" s="124"/>
      <c r="T3007" s="124"/>
      <c r="U3007" s="124"/>
      <c r="V3007" s="124"/>
      <c r="W3007" s="124"/>
      <c r="X3007" s="124"/>
      <c r="Y3007" s="124"/>
    </row>
    <row r="3008" spans="2:25" x14ac:dyDescent="0.25">
      <c r="B3008" s="124"/>
      <c r="C3008" s="124"/>
      <c r="D3008" s="124"/>
      <c r="E3008" s="124"/>
      <c r="F3008" s="124"/>
      <c r="G3008" s="124"/>
      <c r="H3008" s="124"/>
      <c r="I3008" s="124"/>
      <c r="J3008" s="124"/>
      <c r="K3008" s="124"/>
      <c r="L3008" s="124"/>
      <c r="M3008" s="124"/>
      <c r="N3008" s="124"/>
      <c r="O3008" s="124"/>
      <c r="P3008" s="124"/>
      <c r="Q3008" s="124"/>
      <c r="R3008" s="124"/>
      <c r="S3008" s="124"/>
      <c r="T3008" s="124"/>
      <c r="U3008" s="124"/>
      <c r="V3008" s="124"/>
      <c r="W3008" s="124"/>
      <c r="X3008" s="124"/>
      <c r="Y3008" s="124"/>
    </row>
    <row r="3009" spans="2:25" x14ac:dyDescent="0.25">
      <c r="B3009" s="124"/>
      <c r="C3009" s="124"/>
      <c r="D3009" s="124"/>
      <c r="E3009" s="124"/>
      <c r="F3009" s="124"/>
      <c r="G3009" s="124"/>
      <c r="H3009" s="124"/>
      <c r="I3009" s="124"/>
      <c r="J3009" s="124"/>
      <c r="K3009" s="124"/>
      <c r="L3009" s="124"/>
      <c r="M3009" s="124"/>
      <c r="N3009" s="124"/>
      <c r="O3009" s="124"/>
      <c r="P3009" s="124"/>
      <c r="Q3009" s="124"/>
      <c r="R3009" s="124"/>
      <c r="S3009" s="124"/>
      <c r="T3009" s="124"/>
      <c r="U3009" s="124"/>
      <c r="V3009" s="124"/>
      <c r="W3009" s="124"/>
      <c r="X3009" s="124"/>
      <c r="Y3009" s="124"/>
    </row>
    <row r="3010" spans="2:25" x14ac:dyDescent="0.25">
      <c r="B3010" s="124"/>
      <c r="C3010" s="124"/>
      <c r="D3010" s="124"/>
      <c r="E3010" s="124"/>
      <c r="F3010" s="124"/>
      <c r="G3010" s="124"/>
      <c r="H3010" s="124"/>
      <c r="I3010" s="124"/>
      <c r="J3010" s="124"/>
      <c r="K3010" s="124"/>
      <c r="L3010" s="124"/>
      <c r="M3010" s="124"/>
      <c r="N3010" s="124"/>
      <c r="O3010" s="124"/>
      <c r="P3010" s="124"/>
      <c r="Q3010" s="124"/>
      <c r="R3010" s="124"/>
      <c r="S3010" s="124"/>
      <c r="T3010" s="124"/>
      <c r="U3010" s="124"/>
      <c r="V3010" s="124"/>
      <c r="W3010" s="124"/>
      <c r="X3010" s="124"/>
      <c r="Y3010" s="124"/>
    </row>
    <row r="3011" spans="2:25" x14ac:dyDescent="0.25">
      <c r="B3011" s="124"/>
      <c r="C3011" s="124"/>
      <c r="D3011" s="124"/>
      <c r="E3011" s="124"/>
      <c r="F3011" s="124"/>
      <c r="G3011" s="124"/>
      <c r="H3011" s="124"/>
      <c r="I3011" s="124"/>
      <c r="J3011" s="124"/>
      <c r="K3011" s="124"/>
      <c r="L3011" s="124"/>
      <c r="M3011" s="124"/>
      <c r="N3011" s="124"/>
      <c r="O3011" s="124"/>
      <c r="P3011" s="124"/>
      <c r="Q3011" s="124"/>
      <c r="R3011" s="124"/>
      <c r="S3011" s="124"/>
      <c r="T3011" s="124"/>
      <c r="U3011" s="124"/>
      <c r="V3011" s="124"/>
      <c r="W3011" s="124"/>
      <c r="X3011" s="124"/>
      <c r="Y3011" s="124"/>
    </row>
    <row r="3012" spans="2:25" x14ac:dyDescent="0.25">
      <c r="B3012" s="124"/>
      <c r="C3012" s="124"/>
      <c r="D3012" s="124"/>
      <c r="E3012" s="124"/>
      <c r="F3012" s="124"/>
      <c r="G3012" s="124"/>
      <c r="H3012" s="124"/>
      <c r="I3012" s="124"/>
      <c r="J3012" s="124"/>
      <c r="K3012" s="124"/>
      <c r="L3012" s="124"/>
      <c r="M3012" s="124"/>
      <c r="N3012" s="124"/>
      <c r="O3012" s="124"/>
      <c r="P3012" s="124"/>
      <c r="Q3012" s="124"/>
      <c r="R3012" s="124"/>
      <c r="S3012" s="124"/>
      <c r="T3012" s="124"/>
      <c r="U3012" s="124"/>
      <c r="V3012" s="124"/>
      <c r="W3012" s="124"/>
      <c r="X3012" s="124"/>
      <c r="Y3012" s="124"/>
    </row>
    <row r="3013" spans="2:25" x14ac:dyDescent="0.25">
      <c r="B3013" s="124"/>
      <c r="C3013" s="124"/>
      <c r="D3013" s="124"/>
      <c r="E3013" s="124"/>
      <c r="F3013" s="124"/>
      <c r="G3013" s="124"/>
      <c r="H3013" s="124"/>
      <c r="I3013" s="124"/>
      <c r="J3013" s="124"/>
      <c r="K3013" s="124"/>
      <c r="L3013" s="124"/>
      <c r="M3013" s="124"/>
      <c r="N3013" s="124"/>
      <c r="O3013" s="124"/>
      <c r="P3013" s="124"/>
      <c r="Q3013" s="124"/>
      <c r="R3013" s="124"/>
      <c r="S3013" s="124"/>
      <c r="T3013" s="124"/>
      <c r="U3013" s="124"/>
      <c r="V3013" s="124"/>
      <c r="W3013" s="124"/>
      <c r="X3013" s="124"/>
      <c r="Y3013" s="124"/>
    </row>
    <row r="3014" spans="2:25" x14ac:dyDescent="0.25">
      <c r="B3014" s="124"/>
      <c r="C3014" s="124"/>
      <c r="D3014" s="124"/>
      <c r="E3014" s="124"/>
      <c r="F3014" s="124"/>
      <c r="G3014" s="124"/>
      <c r="H3014" s="124"/>
      <c r="I3014" s="124"/>
      <c r="J3014" s="124"/>
      <c r="K3014" s="124"/>
      <c r="L3014" s="124"/>
      <c r="M3014" s="124"/>
      <c r="N3014" s="124"/>
      <c r="O3014" s="124"/>
      <c r="P3014" s="124"/>
      <c r="Q3014" s="124"/>
      <c r="R3014" s="124"/>
      <c r="S3014" s="124"/>
      <c r="T3014" s="124"/>
      <c r="U3014" s="124"/>
      <c r="V3014" s="124"/>
      <c r="W3014" s="124"/>
      <c r="X3014" s="124"/>
      <c r="Y3014" s="124"/>
    </row>
    <row r="3015" spans="2:25" x14ac:dyDescent="0.25">
      <c r="B3015" s="124"/>
      <c r="C3015" s="124"/>
      <c r="D3015" s="124"/>
      <c r="E3015" s="124"/>
      <c r="F3015" s="124"/>
      <c r="G3015" s="124"/>
      <c r="H3015" s="124"/>
      <c r="I3015" s="124"/>
      <c r="J3015" s="124"/>
      <c r="K3015" s="124"/>
      <c r="L3015" s="124"/>
      <c r="M3015" s="124"/>
      <c r="N3015" s="124"/>
      <c r="O3015" s="124"/>
      <c r="P3015" s="124"/>
      <c r="Q3015" s="124"/>
      <c r="R3015" s="124"/>
      <c r="S3015" s="124"/>
      <c r="T3015" s="124"/>
      <c r="U3015" s="124"/>
      <c r="V3015" s="124"/>
      <c r="W3015" s="124"/>
      <c r="X3015" s="124"/>
      <c r="Y3015" s="124"/>
    </row>
    <row r="3016" spans="2:25" x14ac:dyDescent="0.25">
      <c r="B3016" s="124"/>
      <c r="C3016" s="124"/>
      <c r="D3016" s="124"/>
      <c r="E3016" s="124"/>
      <c r="F3016" s="124"/>
      <c r="G3016" s="124"/>
      <c r="H3016" s="124"/>
      <c r="I3016" s="124"/>
      <c r="J3016" s="124"/>
      <c r="K3016" s="124"/>
      <c r="L3016" s="124"/>
      <c r="M3016" s="124"/>
      <c r="N3016" s="124"/>
      <c r="O3016" s="124"/>
      <c r="P3016" s="124"/>
      <c r="Q3016" s="124"/>
      <c r="R3016" s="124"/>
      <c r="S3016" s="124"/>
      <c r="T3016" s="124"/>
      <c r="U3016" s="124"/>
      <c r="V3016" s="124"/>
      <c r="W3016" s="124"/>
      <c r="X3016" s="124"/>
      <c r="Y3016" s="124"/>
    </row>
    <row r="3017" spans="2:25" x14ac:dyDescent="0.25">
      <c r="B3017" s="124"/>
      <c r="C3017" s="124"/>
      <c r="D3017" s="124"/>
      <c r="E3017" s="124"/>
      <c r="F3017" s="124"/>
      <c r="G3017" s="124"/>
      <c r="H3017" s="124"/>
      <c r="I3017" s="124"/>
      <c r="J3017" s="124"/>
      <c r="K3017" s="124"/>
      <c r="L3017" s="124"/>
      <c r="M3017" s="124"/>
      <c r="N3017" s="124"/>
      <c r="O3017" s="124"/>
      <c r="P3017" s="124"/>
      <c r="Q3017" s="124"/>
      <c r="R3017" s="124"/>
      <c r="S3017" s="124"/>
      <c r="T3017" s="124"/>
      <c r="U3017" s="124"/>
      <c r="V3017" s="124"/>
      <c r="W3017" s="124"/>
      <c r="X3017" s="124"/>
      <c r="Y3017" s="124"/>
    </row>
    <row r="3018" spans="2:25" x14ac:dyDescent="0.25">
      <c r="B3018" s="124"/>
      <c r="C3018" s="124"/>
      <c r="D3018" s="124"/>
      <c r="E3018" s="124"/>
      <c r="F3018" s="124"/>
      <c r="G3018" s="124"/>
      <c r="H3018" s="124"/>
      <c r="I3018" s="124"/>
      <c r="J3018" s="124"/>
      <c r="K3018" s="124"/>
      <c r="L3018" s="124"/>
      <c r="M3018" s="124"/>
      <c r="N3018" s="124"/>
      <c r="O3018" s="124"/>
      <c r="P3018" s="124"/>
      <c r="Q3018" s="124"/>
      <c r="R3018" s="124"/>
      <c r="S3018" s="124"/>
      <c r="T3018" s="124"/>
      <c r="U3018" s="124"/>
      <c r="V3018" s="124"/>
      <c r="W3018" s="124"/>
      <c r="X3018" s="124"/>
      <c r="Y3018" s="124"/>
    </row>
    <row r="3019" spans="2:25" x14ac:dyDescent="0.25">
      <c r="B3019" s="124"/>
      <c r="C3019" s="124"/>
      <c r="D3019" s="124"/>
      <c r="E3019" s="124"/>
      <c r="F3019" s="124"/>
      <c r="G3019" s="124"/>
      <c r="H3019" s="124"/>
      <c r="I3019" s="124"/>
      <c r="J3019" s="124"/>
      <c r="K3019" s="124"/>
      <c r="L3019" s="124"/>
      <c r="M3019" s="124"/>
      <c r="N3019" s="124"/>
      <c r="O3019" s="124"/>
      <c r="P3019" s="124"/>
      <c r="Q3019" s="124"/>
      <c r="R3019" s="124"/>
      <c r="S3019" s="124"/>
      <c r="T3019" s="124"/>
      <c r="U3019" s="124"/>
      <c r="V3019" s="124"/>
      <c r="W3019" s="124"/>
      <c r="X3019" s="124"/>
      <c r="Y3019" s="124"/>
    </row>
    <row r="3020" spans="2:25" x14ac:dyDescent="0.25">
      <c r="B3020" s="124"/>
      <c r="C3020" s="124"/>
      <c r="D3020" s="124"/>
      <c r="E3020" s="124"/>
      <c r="F3020" s="124"/>
      <c r="G3020" s="124"/>
      <c r="H3020" s="124"/>
      <c r="I3020" s="124"/>
      <c r="J3020" s="124"/>
      <c r="K3020" s="124"/>
      <c r="L3020" s="124"/>
      <c r="M3020" s="124"/>
      <c r="N3020" s="124"/>
      <c r="O3020" s="124"/>
      <c r="P3020" s="124"/>
      <c r="Q3020" s="124"/>
      <c r="R3020" s="124"/>
      <c r="S3020" s="124"/>
      <c r="T3020" s="124"/>
      <c r="U3020" s="124"/>
      <c r="V3020" s="124"/>
      <c r="W3020" s="124"/>
      <c r="X3020" s="124"/>
      <c r="Y3020" s="124"/>
    </row>
    <row r="3021" spans="2:25" x14ac:dyDescent="0.25">
      <c r="B3021" s="124"/>
      <c r="C3021" s="124"/>
      <c r="D3021" s="124"/>
      <c r="E3021" s="124"/>
      <c r="F3021" s="124"/>
      <c r="G3021" s="124"/>
      <c r="H3021" s="124"/>
      <c r="I3021" s="124"/>
      <c r="J3021" s="124"/>
      <c r="K3021" s="124"/>
      <c r="L3021" s="124"/>
      <c r="M3021" s="124"/>
      <c r="N3021" s="124"/>
      <c r="O3021" s="124"/>
      <c r="P3021" s="124"/>
      <c r="Q3021" s="124"/>
      <c r="R3021" s="124"/>
      <c r="S3021" s="124"/>
      <c r="T3021" s="124"/>
      <c r="U3021" s="124"/>
      <c r="V3021" s="124"/>
      <c r="W3021" s="124"/>
      <c r="X3021" s="124"/>
      <c r="Y3021" s="124"/>
    </row>
    <row r="3022" spans="2:25" x14ac:dyDescent="0.25">
      <c r="B3022" s="124"/>
      <c r="C3022" s="124"/>
      <c r="D3022" s="124"/>
      <c r="E3022" s="124"/>
      <c r="F3022" s="124"/>
      <c r="G3022" s="124"/>
      <c r="H3022" s="124"/>
      <c r="I3022" s="124"/>
      <c r="J3022" s="124"/>
      <c r="K3022" s="124"/>
      <c r="L3022" s="124"/>
      <c r="M3022" s="124"/>
      <c r="N3022" s="124"/>
      <c r="O3022" s="124"/>
      <c r="P3022" s="124"/>
      <c r="Q3022" s="124"/>
      <c r="R3022" s="124"/>
      <c r="S3022" s="124"/>
      <c r="T3022" s="124"/>
      <c r="U3022" s="124"/>
      <c r="V3022" s="124"/>
      <c r="W3022" s="124"/>
      <c r="X3022" s="124"/>
      <c r="Y3022" s="124"/>
    </row>
    <row r="3023" spans="2:25" x14ac:dyDescent="0.25">
      <c r="B3023" s="124"/>
      <c r="C3023" s="124"/>
      <c r="D3023" s="124"/>
      <c r="E3023" s="124"/>
      <c r="F3023" s="124"/>
      <c r="G3023" s="124"/>
      <c r="H3023" s="124"/>
      <c r="I3023" s="124"/>
      <c r="J3023" s="124"/>
      <c r="K3023" s="124"/>
      <c r="L3023" s="124"/>
      <c r="M3023" s="124"/>
      <c r="N3023" s="124"/>
      <c r="O3023" s="124"/>
      <c r="P3023" s="124"/>
      <c r="Q3023" s="124"/>
      <c r="R3023" s="124"/>
      <c r="S3023" s="124"/>
      <c r="T3023" s="124"/>
      <c r="U3023" s="124"/>
      <c r="V3023" s="124"/>
      <c r="W3023" s="124"/>
      <c r="X3023" s="124"/>
      <c r="Y3023" s="124"/>
    </row>
    <row r="3024" spans="2:25" x14ac:dyDescent="0.25">
      <c r="B3024" s="124"/>
      <c r="C3024" s="124"/>
      <c r="D3024" s="124"/>
      <c r="E3024" s="124"/>
      <c r="F3024" s="124"/>
      <c r="G3024" s="124"/>
      <c r="H3024" s="124"/>
      <c r="I3024" s="124"/>
      <c r="J3024" s="124"/>
      <c r="K3024" s="124"/>
      <c r="L3024" s="124"/>
      <c r="M3024" s="124"/>
      <c r="N3024" s="124"/>
      <c r="O3024" s="124"/>
      <c r="P3024" s="124"/>
      <c r="Q3024" s="124"/>
      <c r="R3024" s="124"/>
      <c r="S3024" s="124"/>
      <c r="T3024" s="124"/>
      <c r="U3024" s="124"/>
      <c r="V3024" s="124"/>
      <c r="W3024" s="124"/>
      <c r="X3024" s="124"/>
      <c r="Y3024" s="124"/>
    </row>
    <row r="3025" spans="2:25" x14ac:dyDescent="0.25">
      <c r="B3025" s="124"/>
      <c r="C3025" s="124"/>
      <c r="D3025" s="124"/>
      <c r="E3025" s="124"/>
      <c r="F3025" s="124"/>
      <c r="G3025" s="124"/>
      <c r="H3025" s="124"/>
      <c r="I3025" s="124"/>
      <c r="J3025" s="124"/>
      <c r="K3025" s="124"/>
      <c r="L3025" s="124"/>
      <c r="M3025" s="124"/>
      <c r="N3025" s="124"/>
      <c r="O3025" s="124"/>
      <c r="P3025" s="124"/>
      <c r="Q3025" s="124"/>
      <c r="R3025" s="124"/>
      <c r="S3025" s="124"/>
      <c r="T3025" s="124"/>
      <c r="U3025" s="124"/>
      <c r="V3025" s="124"/>
      <c r="W3025" s="124"/>
      <c r="X3025" s="124"/>
      <c r="Y3025" s="124"/>
    </row>
    <row r="3026" spans="2:25" x14ac:dyDescent="0.25">
      <c r="B3026" s="124"/>
      <c r="C3026" s="124"/>
      <c r="D3026" s="124"/>
      <c r="E3026" s="124"/>
      <c r="F3026" s="124"/>
      <c r="G3026" s="124"/>
      <c r="H3026" s="124"/>
      <c r="I3026" s="124"/>
      <c r="J3026" s="124"/>
      <c r="K3026" s="124"/>
      <c r="L3026" s="124"/>
      <c r="M3026" s="124"/>
      <c r="N3026" s="124"/>
      <c r="O3026" s="124"/>
      <c r="P3026" s="124"/>
      <c r="Q3026" s="124"/>
      <c r="R3026" s="124"/>
      <c r="S3026" s="124"/>
      <c r="T3026" s="124"/>
      <c r="U3026" s="124"/>
      <c r="V3026" s="124"/>
      <c r="W3026" s="124"/>
      <c r="X3026" s="124"/>
      <c r="Y3026" s="124"/>
    </row>
    <row r="3027" spans="2:25" x14ac:dyDescent="0.25">
      <c r="B3027" s="124"/>
      <c r="C3027" s="124"/>
      <c r="D3027" s="124"/>
      <c r="E3027" s="124"/>
      <c r="F3027" s="124"/>
      <c r="G3027" s="124"/>
      <c r="H3027" s="124"/>
      <c r="I3027" s="124"/>
      <c r="J3027" s="124"/>
      <c r="K3027" s="124"/>
      <c r="L3027" s="124"/>
      <c r="M3027" s="124"/>
      <c r="N3027" s="124"/>
      <c r="O3027" s="124"/>
      <c r="P3027" s="124"/>
      <c r="Q3027" s="124"/>
      <c r="R3027" s="124"/>
      <c r="S3027" s="124"/>
      <c r="T3027" s="124"/>
      <c r="U3027" s="124"/>
      <c r="V3027" s="124"/>
      <c r="W3027" s="124"/>
      <c r="X3027" s="124"/>
      <c r="Y3027" s="124"/>
    </row>
    <row r="3028" spans="2:25" x14ac:dyDescent="0.25">
      <c r="B3028" s="124"/>
      <c r="C3028" s="124"/>
      <c r="D3028" s="124"/>
      <c r="E3028" s="124"/>
      <c r="F3028" s="124"/>
      <c r="G3028" s="124"/>
      <c r="H3028" s="124"/>
      <c r="I3028" s="124"/>
      <c r="J3028" s="124"/>
      <c r="K3028" s="124"/>
      <c r="L3028" s="124"/>
      <c r="M3028" s="124"/>
      <c r="N3028" s="124"/>
      <c r="O3028" s="124"/>
      <c r="P3028" s="124"/>
      <c r="Q3028" s="124"/>
      <c r="R3028" s="124"/>
      <c r="S3028" s="124"/>
      <c r="T3028" s="124"/>
      <c r="U3028" s="124"/>
      <c r="V3028" s="124"/>
      <c r="W3028" s="124"/>
      <c r="X3028" s="124"/>
      <c r="Y3028" s="124"/>
    </row>
    <row r="3029" spans="2:25" x14ac:dyDescent="0.25">
      <c r="B3029" s="124"/>
      <c r="C3029" s="124"/>
      <c r="D3029" s="124"/>
      <c r="E3029" s="124"/>
      <c r="F3029" s="124"/>
      <c r="G3029" s="124"/>
      <c r="H3029" s="124"/>
      <c r="I3029" s="124"/>
      <c r="J3029" s="124"/>
      <c r="K3029" s="124"/>
      <c r="L3029" s="124"/>
      <c r="M3029" s="124"/>
      <c r="N3029" s="124"/>
      <c r="O3029" s="124"/>
      <c r="P3029" s="124"/>
      <c r="Q3029" s="124"/>
      <c r="R3029" s="124"/>
      <c r="S3029" s="124"/>
      <c r="T3029" s="124"/>
      <c r="U3029" s="124"/>
      <c r="V3029" s="124"/>
      <c r="W3029" s="124"/>
      <c r="X3029" s="124"/>
      <c r="Y3029" s="124"/>
    </row>
    <row r="3030" spans="2:25" x14ac:dyDescent="0.25">
      <c r="B3030" s="124"/>
      <c r="C3030" s="124"/>
      <c r="D3030" s="124"/>
      <c r="E3030" s="124"/>
      <c r="F3030" s="124"/>
      <c r="G3030" s="124"/>
      <c r="H3030" s="124"/>
      <c r="I3030" s="124"/>
      <c r="J3030" s="124"/>
      <c r="K3030" s="124"/>
      <c r="L3030" s="124"/>
      <c r="M3030" s="124"/>
      <c r="N3030" s="124"/>
      <c r="O3030" s="124"/>
      <c r="P3030" s="124"/>
      <c r="Q3030" s="124"/>
      <c r="R3030" s="124"/>
      <c r="S3030" s="124"/>
      <c r="T3030" s="124"/>
      <c r="U3030" s="124"/>
      <c r="V3030" s="124"/>
      <c r="W3030" s="124"/>
      <c r="X3030" s="124"/>
      <c r="Y3030" s="124"/>
    </row>
    <row r="3031" spans="2:25" x14ac:dyDescent="0.25">
      <c r="B3031" s="124"/>
      <c r="C3031" s="124"/>
      <c r="D3031" s="124"/>
      <c r="E3031" s="124"/>
      <c r="F3031" s="124"/>
      <c r="G3031" s="124"/>
      <c r="H3031" s="124"/>
      <c r="I3031" s="124"/>
      <c r="J3031" s="124"/>
      <c r="K3031" s="124"/>
      <c r="L3031" s="124"/>
      <c r="M3031" s="124"/>
      <c r="N3031" s="124"/>
      <c r="O3031" s="124"/>
      <c r="P3031" s="124"/>
      <c r="Q3031" s="124"/>
      <c r="R3031" s="124"/>
      <c r="S3031" s="124"/>
      <c r="T3031" s="124"/>
      <c r="U3031" s="124"/>
      <c r="V3031" s="124"/>
      <c r="W3031" s="124"/>
      <c r="X3031" s="124"/>
      <c r="Y3031" s="124"/>
    </row>
    <row r="3032" spans="2:25" x14ac:dyDescent="0.25">
      <c r="B3032" s="124"/>
      <c r="C3032" s="124"/>
      <c r="D3032" s="124"/>
      <c r="E3032" s="124"/>
      <c r="F3032" s="124"/>
      <c r="G3032" s="124"/>
      <c r="H3032" s="124"/>
      <c r="I3032" s="124"/>
      <c r="J3032" s="124"/>
      <c r="K3032" s="124"/>
      <c r="L3032" s="124"/>
      <c r="M3032" s="124"/>
      <c r="N3032" s="124"/>
      <c r="O3032" s="124"/>
      <c r="P3032" s="124"/>
      <c r="Q3032" s="124"/>
      <c r="R3032" s="124"/>
      <c r="S3032" s="124"/>
      <c r="T3032" s="124"/>
      <c r="U3032" s="124"/>
      <c r="V3032" s="124"/>
      <c r="W3032" s="124"/>
      <c r="X3032" s="124"/>
      <c r="Y3032" s="124"/>
    </row>
    <row r="3033" spans="2:25" x14ac:dyDescent="0.25">
      <c r="B3033" s="124"/>
      <c r="C3033" s="124"/>
      <c r="D3033" s="124"/>
      <c r="E3033" s="124"/>
      <c r="F3033" s="124"/>
      <c r="G3033" s="124"/>
      <c r="H3033" s="124"/>
      <c r="I3033" s="124"/>
      <c r="J3033" s="124"/>
      <c r="K3033" s="124"/>
      <c r="L3033" s="124"/>
      <c r="M3033" s="124"/>
      <c r="N3033" s="124"/>
      <c r="O3033" s="124"/>
      <c r="P3033" s="124"/>
      <c r="Q3033" s="124"/>
      <c r="R3033" s="124"/>
      <c r="S3033" s="124"/>
      <c r="T3033" s="124"/>
      <c r="U3033" s="124"/>
      <c r="V3033" s="124"/>
      <c r="W3033" s="124"/>
      <c r="X3033" s="124"/>
      <c r="Y3033" s="124"/>
    </row>
    <row r="3034" spans="2:25" x14ac:dyDescent="0.25">
      <c r="B3034" s="124"/>
      <c r="C3034" s="124"/>
      <c r="D3034" s="124"/>
      <c r="E3034" s="124"/>
      <c r="F3034" s="124"/>
      <c r="G3034" s="124"/>
      <c r="H3034" s="124"/>
      <c r="I3034" s="124"/>
      <c r="J3034" s="124"/>
      <c r="K3034" s="124"/>
      <c r="L3034" s="124"/>
      <c r="M3034" s="124"/>
      <c r="N3034" s="124"/>
      <c r="O3034" s="124"/>
      <c r="P3034" s="124"/>
      <c r="Q3034" s="124"/>
      <c r="R3034" s="124"/>
      <c r="S3034" s="124"/>
      <c r="T3034" s="124"/>
      <c r="U3034" s="124"/>
      <c r="V3034" s="124"/>
      <c r="W3034" s="124"/>
      <c r="X3034" s="124"/>
      <c r="Y3034" s="124"/>
    </row>
    <row r="3035" spans="2:25" x14ac:dyDescent="0.25">
      <c r="B3035" s="124"/>
      <c r="C3035" s="124"/>
      <c r="D3035" s="124"/>
      <c r="E3035" s="124"/>
      <c r="F3035" s="124"/>
      <c r="G3035" s="124"/>
      <c r="H3035" s="124"/>
      <c r="I3035" s="124"/>
      <c r="J3035" s="124"/>
      <c r="K3035" s="124"/>
      <c r="L3035" s="124"/>
      <c r="M3035" s="124"/>
      <c r="N3035" s="124"/>
      <c r="O3035" s="124"/>
      <c r="P3035" s="124"/>
      <c r="Q3035" s="124"/>
      <c r="R3035" s="124"/>
      <c r="S3035" s="124"/>
      <c r="T3035" s="124"/>
      <c r="U3035" s="124"/>
      <c r="V3035" s="124"/>
      <c r="W3035" s="124"/>
      <c r="X3035" s="124"/>
      <c r="Y3035" s="124"/>
    </row>
    <row r="3036" spans="2:25" x14ac:dyDescent="0.25">
      <c r="B3036" s="124"/>
      <c r="C3036" s="124"/>
      <c r="D3036" s="124"/>
      <c r="E3036" s="124"/>
      <c r="F3036" s="124"/>
      <c r="G3036" s="124"/>
      <c r="H3036" s="124"/>
      <c r="I3036" s="124"/>
      <c r="J3036" s="124"/>
      <c r="K3036" s="124"/>
      <c r="L3036" s="124"/>
      <c r="M3036" s="124"/>
      <c r="N3036" s="124"/>
      <c r="O3036" s="124"/>
      <c r="P3036" s="124"/>
      <c r="Q3036" s="124"/>
      <c r="R3036" s="124"/>
      <c r="S3036" s="124"/>
      <c r="T3036" s="124"/>
      <c r="U3036" s="124"/>
      <c r="V3036" s="124"/>
      <c r="W3036" s="124"/>
      <c r="X3036" s="124"/>
      <c r="Y3036" s="124"/>
    </row>
    <row r="3037" spans="2:25" x14ac:dyDescent="0.25">
      <c r="B3037" s="124"/>
      <c r="C3037" s="124"/>
      <c r="D3037" s="124"/>
      <c r="E3037" s="124"/>
      <c r="F3037" s="124"/>
      <c r="G3037" s="124"/>
      <c r="H3037" s="124"/>
      <c r="I3037" s="124"/>
      <c r="J3037" s="124"/>
      <c r="K3037" s="124"/>
      <c r="L3037" s="124"/>
      <c r="M3037" s="124"/>
      <c r="N3037" s="124"/>
      <c r="O3037" s="124"/>
      <c r="P3037" s="124"/>
      <c r="Q3037" s="124"/>
      <c r="R3037" s="124"/>
      <c r="S3037" s="124"/>
      <c r="T3037" s="124"/>
      <c r="U3037" s="124"/>
      <c r="V3037" s="124"/>
      <c r="W3037" s="124"/>
      <c r="X3037" s="124"/>
      <c r="Y3037" s="124"/>
    </row>
    <row r="3038" spans="2:25" x14ac:dyDescent="0.25">
      <c r="B3038" s="124"/>
      <c r="C3038" s="124"/>
      <c r="D3038" s="124"/>
      <c r="E3038" s="124"/>
      <c r="F3038" s="124"/>
      <c r="G3038" s="124"/>
      <c r="H3038" s="124"/>
      <c r="I3038" s="124"/>
      <c r="J3038" s="124"/>
      <c r="K3038" s="124"/>
      <c r="L3038" s="124"/>
      <c r="M3038" s="124"/>
      <c r="N3038" s="124"/>
      <c r="O3038" s="124"/>
      <c r="P3038" s="124"/>
      <c r="Q3038" s="124"/>
      <c r="R3038" s="124"/>
      <c r="S3038" s="124"/>
      <c r="T3038" s="124"/>
      <c r="U3038" s="124"/>
      <c r="V3038" s="124"/>
      <c r="W3038" s="124"/>
      <c r="X3038" s="124"/>
      <c r="Y3038" s="124"/>
    </row>
    <row r="3039" spans="2:25" x14ac:dyDescent="0.25">
      <c r="B3039" s="124"/>
      <c r="C3039" s="124"/>
      <c r="D3039" s="124"/>
      <c r="E3039" s="124"/>
      <c r="F3039" s="124"/>
      <c r="G3039" s="124"/>
      <c r="H3039" s="124"/>
      <c r="I3039" s="124"/>
      <c r="J3039" s="124"/>
      <c r="K3039" s="124"/>
      <c r="L3039" s="124"/>
      <c r="M3039" s="124"/>
      <c r="N3039" s="124"/>
      <c r="O3039" s="124"/>
      <c r="P3039" s="124"/>
      <c r="Q3039" s="124"/>
      <c r="R3039" s="124"/>
      <c r="S3039" s="124"/>
      <c r="T3039" s="124"/>
      <c r="U3039" s="124"/>
      <c r="V3039" s="124"/>
      <c r="W3039" s="124"/>
      <c r="X3039" s="124"/>
      <c r="Y3039" s="124"/>
    </row>
    <row r="3040" spans="2:25" x14ac:dyDescent="0.25">
      <c r="B3040" s="124"/>
      <c r="C3040" s="124"/>
      <c r="D3040" s="124"/>
      <c r="E3040" s="124"/>
      <c r="F3040" s="124"/>
      <c r="G3040" s="124"/>
      <c r="H3040" s="124"/>
      <c r="I3040" s="124"/>
      <c r="J3040" s="124"/>
      <c r="K3040" s="124"/>
      <c r="L3040" s="124"/>
      <c r="M3040" s="124"/>
      <c r="N3040" s="124"/>
      <c r="O3040" s="124"/>
      <c r="P3040" s="124"/>
      <c r="Q3040" s="124"/>
      <c r="R3040" s="124"/>
      <c r="S3040" s="124"/>
      <c r="T3040" s="124"/>
      <c r="U3040" s="124"/>
      <c r="V3040" s="124"/>
      <c r="W3040" s="124"/>
      <c r="X3040" s="124"/>
      <c r="Y3040" s="124"/>
    </row>
    <row r="3041" spans="2:25" x14ac:dyDescent="0.25">
      <c r="B3041" s="124"/>
      <c r="C3041" s="124"/>
      <c r="D3041" s="124"/>
      <c r="E3041" s="124"/>
      <c r="F3041" s="124"/>
      <c r="G3041" s="124"/>
      <c r="H3041" s="124"/>
      <c r="I3041" s="124"/>
      <c r="J3041" s="124"/>
      <c r="K3041" s="124"/>
      <c r="L3041" s="124"/>
      <c r="M3041" s="124"/>
      <c r="N3041" s="124"/>
      <c r="O3041" s="124"/>
      <c r="P3041" s="124"/>
      <c r="Q3041" s="124"/>
      <c r="R3041" s="124"/>
      <c r="S3041" s="124"/>
      <c r="T3041" s="124"/>
      <c r="U3041" s="124"/>
      <c r="V3041" s="124"/>
      <c r="W3041" s="124"/>
      <c r="X3041" s="124"/>
      <c r="Y3041" s="124"/>
    </row>
    <row r="3042" spans="2:25" x14ac:dyDescent="0.25">
      <c r="B3042" s="124"/>
      <c r="C3042" s="124"/>
      <c r="D3042" s="124"/>
      <c r="E3042" s="124"/>
      <c r="F3042" s="124"/>
      <c r="G3042" s="124"/>
      <c r="H3042" s="124"/>
      <c r="I3042" s="124"/>
      <c r="J3042" s="124"/>
      <c r="K3042" s="124"/>
      <c r="L3042" s="124"/>
      <c r="M3042" s="124"/>
      <c r="N3042" s="124"/>
      <c r="O3042" s="124"/>
      <c r="P3042" s="124"/>
      <c r="Q3042" s="124"/>
      <c r="R3042" s="124"/>
      <c r="S3042" s="124"/>
      <c r="T3042" s="124"/>
      <c r="U3042" s="124"/>
      <c r="V3042" s="124"/>
      <c r="W3042" s="124"/>
      <c r="X3042" s="124"/>
      <c r="Y3042" s="124"/>
    </row>
    <row r="3043" spans="2:25" x14ac:dyDescent="0.25">
      <c r="B3043" s="124"/>
      <c r="C3043" s="124"/>
      <c r="D3043" s="124"/>
      <c r="E3043" s="124"/>
      <c r="F3043" s="124"/>
      <c r="G3043" s="124"/>
      <c r="H3043" s="124"/>
      <c r="I3043" s="124"/>
      <c r="J3043" s="124"/>
      <c r="K3043" s="124"/>
      <c r="L3043" s="124"/>
      <c r="M3043" s="124"/>
      <c r="N3043" s="124"/>
      <c r="O3043" s="124"/>
      <c r="P3043" s="124"/>
      <c r="Q3043" s="124"/>
      <c r="R3043" s="124"/>
      <c r="S3043" s="124"/>
      <c r="T3043" s="124"/>
      <c r="U3043" s="124"/>
      <c r="V3043" s="124"/>
      <c r="W3043" s="124"/>
      <c r="X3043" s="124"/>
      <c r="Y3043" s="124"/>
    </row>
    <row r="3044" spans="2:25" x14ac:dyDescent="0.25">
      <c r="B3044" s="124"/>
      <c r="C3044" s="124"/>
      <c r="D3044" s="124"/>
      <c r="E3044" s="124"/>
      <c r="F3044" s="124"/>
      <c r="G3044" s="124"/>
      <c r="H3044" s="124"/>
      <c r="I3044" s="124"/>
      <c r="J3044" s="124"/>
      <c r="K3044" s="124"/>
      <c r="L3044" s="124"/>
      <c r="M3044" s="124"/>
      <c r="N3044" s="124"/>
      <c r="O3044" s="124"/>
      <c r="P3044" s="124"/>
      <c r="Q3044" s="124"/>
      <c r="R3044" s="124"/>
      <c r="S3044" s="124"/>
      <c r="T3044" s="124"/>
      <c r="U3044" s="124"/>
      <c r="V3044" s="124"/>
      <c r="W3044" s="124"/>
      <c r="X3044" s="124"/>
      <c r="Y3044" s="124"/>
    </row>
    <row r="3045" spans="2:25" x14ac:dyDescent="0.25">
      <c r="B3045" s="124"/>
      <c r="C3045" s="124"/>
      <c r="D3045" s="124"/>
      <c r="E3045" s="124"/>
      <c r="F3045" s="124"/>
      <c r="G3045" s="124"/>
      <c r="H3045" s="124"/>
      <c r="I3045" s="124"/>
      <c r="J3045" s="124"/>
      <c r="K3045" s="124"/>
      <c r="L3045" s="124"/>
      <c r="M3045" s="124"/>
      <c r="N3045" s="124"/>
      <c r="O3045" s="124"/>
      <c r="P3045" s="124"/>
      <c r="Q3045" s="124"/>
      <c r="R3045" s="124"/>
      <c r="S3045" s="124"/>
      <c r="T3045" s="124"/>
      <c r="U3045" s="124"/>
      <c r="V3045" s="124"/>
      <c r="W3045" s="124"/>
      <c r="X3045" s="124"/>
      <c r="Y3045" s="124"/>
    </row>
    <row r="3046" spans="2:25" x14ac:dyDescent="0.25">
      <c r="B3046" s="124"/>
      <c r="C3046" s="124"/>
      <c r="D3046" s="124"/>
      <c r="E3046" s="124"/>
      <c r="F3046" s="124"/>
      <c r="G3046" s="124"/>
      <c r="H3046" s="124"/>
      <c r="I3046" s="124"/>
      <c r="J3046" s="124"/>
      <c r="K3046" s="124"/>
      <c r="L3046" s="124"/>
      <c r="M3046" s="124"/>
      <c r="N3046" s="124"/>
      <c r="O3046" s="124"/>
      <c r="P3046" s="124"/>
      <c r="Q3046" s="124"/>
      <c r="R3046" s="124"/>
      <c r="S3046" s="124"/>
      <c r="T3046" s="124"/>
      <c r="U3046" s="124"/>
      <c r="V3046" s="124"/>
      <c r="W3046" s="124"/>
      <c r="X3046" s="124"/>
      <c r="Y3046" s="124"/>
    </row>
    <row r="3047" spans="2:25" x14ac:dyDescent="0.25">
      <c r="B3047" s="124"/>
      <c r="C3047" s="124"/>
      <c r="D3047" s="124"/>
      <c r="E3047" s="124"/>
      <c r="F3047" s="124"/>
      <c r="G3047" s="124"/>
      <c r="H3047" s="124"/>
      <c r="I3047" s="124"/>
      <c r="J3047" s="124"/>
      <c r="K3047" s="124"/>
      <c r="L3047" s="124"/>
      <c r="M3047" s="124"/>
      <c r="N3047" s="124"/>
      <c r="O3047" s="124"/>
      <c r="P3047" s="124"/>
      <c r="Q3047" s="124"/>
      <c r="R3047" s="124"/>
      <c r="S3047" s="124"/>
      <c r="T3047" s="124"/>
      <c r="U3047" s="124"/>
      <c r="V3047" s="124"/>
      <c r="W3047" s="124"/>
      <c r="X3047" s="124"/>
      <c r="Y3047" s="124"/>
    </row>
    <row r="3048" spans="2:25" x14ac:dyDescent="0.25">
      <c r="B3048" s="124"/>
      <c r="C3048" s="124"/>
      <c r="D3048" s="124"/>
      <c r="E3048" s="124"/>
      <c r="F3048" s="124"/>
      <c r="G3048" s="124"/>
      <c r="H3048" s="124"/>
      <c r="I3048" s="124"/>
      <c r="J3048" s="124"/>
      <c r="K3048" s="124"/>
      <c r="L3048" s="124"/>
      <c r="M3048" s="124"/>
      <c r="N3048" s="124"/>
      <c r="O3048" s="124"/>
      <c r="P3048" s="124"/>
      <c r="Q3048" s="124"/>
      <c r="R3048" s="124"/>
      <c r="S3048" s="124"/>
      <c r="T3048" s="124"/>
      <c r="U3048" s="124"/>
      <c r="V3048" s="124"/>
      <c r="W3048" s="124"/>
      <c r="X3048" s="124"/>
      <c r="Y3048" s="124"/>
    </row>
    <row r="3049" spans="2:25" x14ac:dyDescent="0.25">
      <c r="B3049" s="124"/>
      <c r="C3049" s="124"/>
      <c r="D3049" s="124"/>
      <c r="E3049" s="124"/>
      <c r="F3049" s="124"/>
      <c r="G3049" s="124"/>
      <c r="H3049" s="124"/>
      <c r="I3049" s="124"/>
      <c r="J3049" s="124"/>
      <c r="K3049" s="124"/>
      <c r="L3049" s="124"/>
      <c r="M3049" s="124"/>
      <c r="N3049" s="124"/>
      <c r="O3049" s="124"/>
      <c r="P3049" s="124"/>
      <c r="Q3049" s="124"/>
      <c r="R3049" s="124"/>
      <c r="S3049" s="124"/>
      <c r="T3049" s="124"/>
      <c r="U3049" s="124"/>
      <c r="V3049" s="124"/>
      <c r="W3049" s="124"/>
      <c r="X3049" s="124"/>
      <c r="Y3049" s="124"/>
    </row>
    <row r="3050" spans="2:25" x14ac:dyDescent="0.25">
      <c r="B3050" s="124"/>
      <c r="C3050" s="124"/>
      <c r="D3050" s="124"/>
      <c r="E3050" s="124"/>
      <c r="F3050" s="124"/>
      <c r="G3050" s="124"/>
      <c r="H3050" s="124"/>
      <c r="I3050" s="124"/>
      <c r="J3050" s="124"/>
      <c r="K3050" s="124"/>
      <c r="L3050" s="124"/>
      <c r="M3050" s="124"/>
      <c r="N3050" s="124"/>
      <c r="O3050" s="124"/>
      <c r="P3050" s="124"/>
      <c r="Q3050" s="124"/>
      <c r="R3050" s="124"/>
      <c r="S3050" s="124"/>
      <c r="T3050" s="124"/>
      <c r="U3050" s="124"/>
      <c r="V3050" s="124"/>
      <c r="W3050" s="124"/>
      <c r="X3050" s="124"/>
      <c r="Y3050" s="124"/>
    </row>
    <row r="3051" spans="2:25" x14ac:dyDescent="0.25">
      <c r="B3051" s="124"/>
      <c r="C3051" s="124"/>
      <c r="D3051" s="124"/>
      <c r="E3051" s="124"/>
      <c r="F3051" s="124"/>
      <c r="G3051" s="124"/>
      <c r="H3051" s="124"/>
      <c r="I3051" s="124"/>
      <c r="J3051" s="124"/>
      <c r="K3051" s="124"/>
      <c r="L3051" s="124"/>
      <c r="M3051" s="124"/>
      <c r="N3051" s="124"/>
      <c r="O3051" s="124"/>
      <c r="P3051" s="124"/>
      <c r="Q3051" s="124"/>
      <c r="R3051" s="124"/>
      <c r="S3051" s="124"/>
      <c r="T3051" s="124"/>
      <c r="U3051" s="124"/>
      <c r="V3051" s="124"/>
      <c r="W3051" s="124"/>
      <c r="X3051" s="124"/>
      <c r="Y3051" s="124"/>
    </row>
    <row r="3052" spans="2:25" x14ac:dyDescent="0.25">
      <c r="B3052" s="124"/>
      <c r="C3052" s="124"/>
      <c r="D3052" s="124"/>
      <c r="E3052" s="124"/>
      <c r="F3052" s="124"/>
      <c r="G3052" s="124"/>
      <c r="H3052" s="124"/>
      <c r="I3052" s="124"/>
      <c r="J3052" s="124"/>
      <c r="K3052" s="124"/>
      <c r="L3052" s="124"/>
      <c r="M3052" s="124"/>
      <c r="N3052" s="124"/>
      <c r="O3052" s="124"/>
      <c r="P3052" s="124"/>
      <c r="Q3052" s="124"/>
      <c r="R3052" s="124"/>
      <c r="S3052" s="124"/>
      <c r="T3052" s="124"/>
      <c r="U3052" s="124"/>
      <c r="V3052" s="124"/>
      <c r="W3052" s="124"/>
      <c r="X3052" s="124"/>
      <c r="Y3052" s="124"/>
    </row>
    <row r="3053" spans="2:25" x14ac:dyDescent="0.25">
      <c r="B3053" s="124"/>
      <c r="C3053" s="124"/>
      <c r="D3053" s="124"/>
      <c r="E3053" s="124"/>
      <c r="F3053" s="124"/>
      <c r="G3053" s="124"/>
      <c r="H3053" s="124"/>
      <c r="I3053" s="124"/>
      <c r="J3053" s="124"/>
      <c r="K3053" s="124"/>
      <c r="L3053" s="124"/>
      <c r="M3053" s="124"/>
      <c r="N3053" s="124"/>
      <c r="O3053" s="124"/>
      <c r="P3053" s="124"/>
      <c r="Q3053" s="124"/>
      <c r="R3053" s="124"/>
      <c r="S3053" s="124"/>
      <c r="T3053" s="124"/>
      <c r="U3053" s="124"/>
      <c r="V3053" s="124"/>
      <c r="W3053" s="124"/>
      <c r="X3053" s="124"/>
      <c r="Y3053" s="124"/>
    </row>
    <row r="3054" spans="2:25" x14ac:dyDescent="0.25">
      <c r="B3054" s="124"/>
      <c r="C3054" s="124"/>
      <c r="D3054" s="124"/>
      <c r="E3054" s="124"/>
      <c r="F3054" s="124"/>
      <c r="G3054" s="124"/>
      <c r="H3054" s="124"/>
      <c r="I3054" s="124"/>
      <c r="J3054" s="124"/>
      <c r="K3054" s="124"/>
      <c r="L3054" s="124"/>
      <c r="M3054" s="124"/>
      <c r="N3054" s="124"/>
      <c r="O3054" s="124"/>
      <c r="P3054" s="124"/>
      <c r="Q3054" s="124"/>
      <c r="R3054" s="124"/>
      <c r="S3054" s="124"/>
      <c r="T3054" s="124"/>
      <c r="U3054" s="124"/>
      <c r="V3054" s="124"/>
      <c r="W3054" s="124"/>
      <c r="X3054" s="124"/>
      <c r="Y3054" s="124"/>
    </row>
    <row r="3055" spans="2:25" x14ac:dyDescent="0.25">
      <c r="B3055" s="124"/>
      <c r="C3055" s="124"/>
      <c r="D3055" s="124"/>
      <c r="E3055" s="124"/>
      <c r="F3055" s="124"/>
      <c r="G3055" s="124"/>
      <c r="H3055" s="124"/>
      <c r="I3055" s="124"/>
      <c r="J3055" s="124"/>
      <c r="K3055" s="124"/>
      <c r="L3055" s="124"/>
      <c r="M3055" s="124"/>
      <c r="N3055" s="124"/>
      <c r="O3055" s="124"/>
      <c r="P3055" s="124"/>
      <c r="Q3055" s="124"/>
      <c r="R3055" s="124"/>
      <c r="S3055" s="124"/>
      <c r="T3055" s="124"/>
      <c r="U3055" s="124"/>
      <c r="V3055" s="124"/>
      <c r="W3055" s="124"/>
      <c r="X3055" s="124"/>
      <c r="Y3055" s="124"/>
    </row>
    <row r="3056" spans="2:25" x14ac:dyDescent="0.25">
      <c r="B3056" s="124"/>
      <c r="C3056" s="124"/>
      <c r="D3056" s="124"/>
      <c r="E3056" s="124"/>
      <c r="F3056" s="124"/>
      <c r="G3056" s="124"/>
      <c r="H3056" s="124"/>
      <c r="I3056" s="124"/>
      <c r="J3056" s="124"/>
      <c r="K3056" s="124"/>
      <c r="L3056" s="124"/>
      <c r="M3056" s="124"/>
      <c r="N3056" s="124"/>
      <c r="O3056" s="124"/>
      <c r="P3056" s="124"/>
      <c r="Q3056" s="124"/>
      <c r="R3056" s="124"/>
      <c r="S3056" s="124"/>
      <c r="T3056" s="124"/>
      <c r="U3056" s="124"/>
      <c r="V3056" s="124"/>
      <c r="W3056" s="124"/>
      <c r="X3056" s="124"/>
      <c r="Y3056" s="124"/>
    </row>
    <row r="3057" spans="2:25" x14ac:dyDescent="0.25">
      <c r="B3057" s="124"/>
      <c r="C3057" s="124"/>
      <c r="D3057" s="124"/>
      <c r="E3057" s="124"/>
      <c r="F3057" s="124"/>
      <c r="G3057" s="124"/>
      <c r="H3057" s="124"/>
      <c r="I3057" s="124"/>
      <c r="J3057" s="124"/>
      <c r="K3057" s="124"/>
      <c r="L3057" s="124"/>
      <c r="M3057" s="124"/>
      <c r="N3057" s="124"/>
      <c r="O3057" s="124"/>
      <c r="P3057" s="124"/>
      <c r="Q3057" s="124"/>
      <c r="R3057" s="124"/>
      <c r="S3057" s="124"/>
      <c r="T3057" s="124"/>
      <c r="U3057" s="124"/>
      <c r="V3057" s="124"/>
      <c r="W3057" s="124"/>
      <c r="X3057" s="124"/>
      <c r="Y3057" s="124"/>
    </row>
    <row r="3058" spans="2:25" x14ac:dyDescent="0.25">
      <c r="B3058" s="124"/>
      <c r="C3058" s="124"/>
      <c r="D3058" s="124"/>
      <c r="E3058" s="124"/>
      <c r="F3058" s="124"/>
      <c r="G3058" s="124"/>
      <c r="H3058" s="124"/>
      <c r="I3058" s="124"/>
      <c r="J3058" s="124"/>
      <c r="K3058" s="124"/>
      <c r="L3058" s="124"/>
      <c r="M3058" s="124"/>
      <c r="N3058" s="124"/>
      <c r="O3058" s="124"/>
      <c r="P3058" s="124"/>
      <c r="Q3058" s="124"/>
      <c r="R3058" s="124"/>
      <c r="S3058" s="124"/>
      <c r="T3058" s="124"/>
      <c r="U3058" s="124"/>
      <c r="V3058" s="124"/>
      <c r="W3058" s="124"/>
      <c r="X3058" s="124"/>
      <c r="Y3058" s="124"/>
    </row>
    <row r="3059" spans="2:25" x14ac:dyDescent="0.25">
      <c r="B3059" s="124"/>
      <c r="C3059" s="124"/>
      <c r="D3059" s="124"/>
      <c r="E3059" s="124"/>
      <c r="F3059" s="124"/>
      <c r="G3059" s="124"/>
      <c r="H3059" s="124"/>
      <c r="I3059" s="124"/>
      <c r="J3059" s="124"/>
      <c r="K3059" s="124"/>
      <c r="L3059" s="124"/>
      <c r="M3059" s="124"/>
      <c r="N3059" s="124"/>
      <c r="O3059" s="124"/>
      <c r="P3059" s="124"/>
      <c r="Q3059" s="124"/>
      <c r="R3059" s="124"/>
      <c r="S3059" s="124"/>
      <c r="T3059" s="124"/>
      <c r="U3059" s="124"/>
      <c r="V3059" s="124"/>
      <c r="W3059" s="124"/>
      <c r="X3059" s="124"/>
      <c r="Y3059" s="124"/>
    </row>
    <row r="3060" spans="2:25" x14ac:dyDescent="0.25">
      <c r="B3060" s="124"/>
      <c r="C3060" s="124"/>
      <c r="D3060" s="124"/>
      <c r="E3060" s="124"/>
      <c r="F3060" s="124"/>
      <c r="G3060" s="124"/>
      <c r="H3060" s="124"/>
      <c r="I3060" s="124"/>
      <c r="J3060" s="124"/>
      <c r="K3060" s="124"/>
      <c r="L3060" s="124"/>
      <c r="M3060" s="124"/>
      <c r="N3060" s="124"/>
      <c r="O3060" s="124"/>
      <c r="P3060" s="124"/>
      <c r="Q3060" s="124"/>
      <c r="R3060" s="124"/>
      <c r="S3060" s="124"/>
      <c r="T3060" s="124"/>
      <c r="U3060" s="124"/>
      <c r="V3060" s="124"/>
      <c r="W3060" s="124"/>
      <c r="X3060" s="124"/>
      <c r="Y3060" s="124"/>
    </row>
    <row r="3061" spans="2:25" x14ac:dyDescent="0.25">
      <c r="B3061" s="124"/>
      <c r="C3061" s="124"/>
      <c r="D3061" s="124"/>
      <c r="E3061" s="124"/>
      <c r="F3061" s="124"/>
      <c r="G3061" s="124"/>
      <c r="H3061" s="124"/>
      <c r="I3061" s="124"/>
      <c r="J3061" s="124"/>
      <c r="K3061" s="124"/>
      <c r="L3061" s="124"/>
      <c r="M3061" s="124"/>
      <c r="N3061" s="124"/>
      <c r="O3061" s="124"/>
      <c r="P3061" s="124"/>
      <c r="Q3061" s="124"/>
      <c r="R3061" s="124"/>
      <c r="S3061" s="124"/>
      <c r="T3061" s="124"/>
      <c r="U3061" s="124"/>
      <c r="V3061" s="124"/>
      <c r="W3061" s="124"/>
      <c r="X3061" s="124"/>
      <c r="Y3061" s="124"/>
    </row>
    <row r="3062" spans="2:25" x14ac:dyDescent="0.25">
      <c r="B3062" s="124"/>
      <c r="C3062" s="124"/>
      <c r="D3062" s="124"/>
      <c r="E3062" s="124"/>
      <c r="F3062" s="124"/>
      <c r="G3062" s="124"/>
      <c r="H3062" s="124"/>
      <c r="I3062" s="124"/>
      <c r="J3062" s="124"/>
      <c r="K3062" s="124"/>
      <c r="L3062" s="124"/>
      <c r="M3062" s="124"/>
      <c r="N3062" s="124"/>
      <c r="O3062" s="124"/>
      <c r="P3062" s="124"/>
      <c r="Q3062" s="124"/>
      <c r="R3062" s="124"/>
      <c r="S3062" s="124"/>
      <c r="T3062" s="124"/>
      <c r="U3062" s="124"/>
      <c r="V3062" s="124"/>
      <c r="W3062" s="124"/>
      <c r="X3062" s="124"/>
      <c r="Y3062" s="124"/>
    </row>
    <row r="3063" spans="2:25" x14ac:dyDescent="0.25">
      <c r="B3063" s="124"/>
      <c r="C3063" s="124"/>
      <c r="D3063" s="124"/>
      <c r="E3063" s="124"/>
      <c r="F3063" s="124"/>
      <c r="G3063" s="124"/>
      <c r="H3063" s="124"/>
      <c r="I3063" s="124"/>
      <c r="J3063" s="124"/>
      <c r="K3063" s="124"/>
      <c r="L3063" s="124"/>
      <c r="M3063" s="124"/>
      <c r="N3063" s="124"/>
      <c r="O3063" s="124"/>
      <c r="P3063" s="124"/>
      <c r="Q3063" s="124"/>
      <c r="R3063" s="124"/>
      <c r="S3063" s="124"/>
      <c r="T3063" s="124"/>
      <c r="U3063" s="124"/>
      <c r="V3063" s="124"/>
      <c r="W3063" s="124"/>
      <c r="X3063" s="124"/>
      <c r="Y3063" s="124"/>
    </row>
    <row r="3064" spans="2:25" x14ac:dyDescent="0.25">
      <c r="B3064" s="124"/>
      <c r="C3064" s="124"/>
      <c r="D3064" s="124"/>
      <c r="E3064" s="124"/>
      <c r="F3064" s="124"/>
      <c r="G3064" s="124"/>
      <c r="H3064" s="124"/>
      <c r="I3064" s="124"/>
      <c r="J3064" s="124"/>
      <c r="K3064" s="124"/>
      <c r="L3064" s="124"/>
      <c r="M3064" s="124"/>
      <c r="N3064" s="124"/>
      <c r="O3064" s="124"/>
      <c r="P3064" s="124"/>
      <c r="Q3064" s="124"/>
      <c r="R3064" s="124"/>
      <c r="S3064" s="124"/>
      <c r="T3064" s="124"/>
      <c r="U3064" s="124"/>
      <c r="V3064" s="124"/>
      <c r="W3064" s="124"/>
      <c r="X3064" s="124"/>
      <c r="Y3064" s="124"/>
    </row>
    <row r="3065" spans="2:25" x14ac:dyDescent="0.25">
      <c r="B3065" s="124"/>
      <c r="C3065" s="124"/>
      <c r="D3065" s="124"/>
      <c r="E3065" s="124"/>
      <c r="F3065" s="124"/>
      <c r="G3065" s="124"/>
      <c r="H3065" s="124"/>
      <c r="I3065" s="124"/>
      <c r="J3065" s="124"/>
      <c r="K3065" s="124"/>
      <c r="L3065" s="124"/>
      <c r="M3065" s="124"/>
      <c r="N3065" s="124"/>
      <c r="O3065" s="124"/>
      <c r="P3065" s="124"/>
      <c r="Q3065" s="124"/>
      <c r="R3065" s="124"/>
      <c r="S3065" s="124"/>
      <c r="T3065" s="124"/>
      <c r="U3065" s="124"/>
      <c r="V3065" s="124"/>
      <c r="W3065" s="124"/>
      <c r="X3065" s="124"/>
      <c r="Y3065" s="124"/>
    </row>
    <row r="3066" spans="2:25" x14ac:dyDescent="0.25">
      <c r="B3066" s="124"/>
      <c r="C3066" s="124"/>
      <c r="D3066" s="124"/>
      <c r="E3066" s="124"/>
      <c r="F3066" s="124"/>
      <c r="G3066" s="124"/>
      <c r="H3066" s="124"/>
      <c r="I3066" s="124"/>
      <c r="J3066" s="124"/>
      <c r="K3066" s="124"/>
      <c r="L3066" s="124"/>
      <c r="M3066" s="124"/>
      <c r="N3066" s="124"/>
      <c r="O3066" s="124"/>
      <c r="P3066" s="124"/>
      <c r="Q3066" s="124"/>
      <c r="R3066" s="124"/>
      <c r="S3066" s="124"/>
      <c r="T3066" s="124"/>
      <c r="U3066" s="124"/>
      <c r="V3066" s="124"/>
      <c r="W3066" s="124"/>
      <c r="X3066" s="124"/>
      <c r="Y3066" s="124"/>
    </row>
    <row r="3067" spans="2:25" x14ac:dyDescent="0.25">
      <c r="B3067" s="124"/>
      <c r="C3067" s="124"/>
      <c r="D3067" s="124"/>
      <c r="E3067" s="124"/>
      <c r="F3067" s="124"/>
      <c r="G3067" s="124"/>
      <c r="H3067" s="124"/>
      <c r="I3067" s="124"/>
      <c r="J3067" s="124"/>
      <c r="K3067" s="124"/>
      <c r="L3067" s="124"/>
      <c r="M3067" s="124"/>
      <c r="N3067" s="124"/>
      <c r="O3067" s="124"/>
      <c r="P3067" s="124"/>
      <c r="Q3067" s="124"/>
      <c r="R3067" s="124"/>
      <c r="S3067" s="124"/>
      <c r="T3067" s="124"/>
      <c r="U3067" s="124"/>
      <c r="V3067" s="124"/>
      <c r="W3067" s="124"/>
      <c r="X3067" s="124"/>
      <c r="Y3067" s="124"/>
    </row>
    <row r="3068" spans="2:25" x14ac:dyDescent="0.25">
      <c r="B3068" s="124"/>
      <c r="C3068" s="124"/>
      <c r="D3068" s="124"/>
      <c r="E3068" s="124"/>
      <c r="F3068" s="124"/>
      <c r="G3068" s="124"/>
      <c r="H3068" s="124"/>
      <c r="I3068" s="124"/>
      <c r="J3068" s="124"/>
      <c r="K3068" s="124"/>
      <c r="L3068" s="124"/>
      <c r="M3068" s="124"/>
      <c r="N3068" s="124"/>
      <c r="O3068" s="124"/>
      <c r="P3068" s="124"/>
      <c r="Q3068" s="124"/>
      <c r="R3068" s="124"/>
      <c r="S3068" s="124"/>
      <c r="T3068" s="124"/>
      <c r="U3068" s="124"/>
      <c r="V3068" s="124"/>
      <c r="W3068" s="124"/>
      <c r="X3068" s="124"/>
      <c r="Y3068" s="124"/>
    </row>
    <row r="3069" spans="2:25" x14ac:dyDescent="0.25">
      <c r="B3069" s="124"/>
      <c r="C3069" s="124"/>
      <c r="D3069" s="124"/>
      <c r="E3069" s="124"/>
      <c r="F3069" s="124"/>
      <c r="G3069" s="124"/>
      <c r="H3069" s="124"/>
      <c r="I3069" s="124"/>
      <c r="J3069" s="124"/>
      <c r="K3069" s="124"/>
      <c r="L3069" s="124"/>
      <c r="M3069" s="124"/>
      <c r="N3069" s="124"/>
      <c r="O3069" s="124"/>
      <c r="P3069" s="124"/>
      <c r="Q3069" s="124"/>
      <c r="R3069" s="124"/>
      <c r="S3069" s="124"/>
      <c r="T3069" s="124"/>
      <c r="U3069" s="124"/>
      <c r="V3069" s="124"/>
      <c r="W3069" s="124"/>
      <c r="X3069" s="124"/>
      <c r="Y3069" s="124"/>
    </row>
    <row r="3070" spans="2:25" x14ac:dyDescent="0.25">
      <c r="B3070" s="124"/>
      <c r="C3070" s="124"/>
      <c r="D3070" s="124"/>
      <c r="E3070" s="124"/>
      <c r="F3070" s="124"/>
      <c r="G3070" s="124"/>
      <c r="H3070" s="124"/>
      <c r="I3070" s="124"/>
      <c r="J3070" s="124"/>
      <c r="K3070" s="124"/>
      <c r="L3070" s="124"/>
      <c r="M3070" s="124"/>
      <c r="N3070" s="124"/>
      <c r="O3070" s="124"/>
      <c r="P3070" s="124"/>
      <c r="Q3070" s="124"/>
      <c r="R3070" s="124"/>
      <c r="S3070" s="124"/>
      <c r="T3070" s="124"/>
      <c r="U3070" s="124"/>
      <c r="V3070" s="124"/>
      <c r="W3070" s="124"/>
      <c r="X3070" s="124"/>
      <c r="Y3070" s="124"/>
    </row>
    <row r="3071" spans="2:25" x14ac:dyDescent="0.25">
      <c r="B3071" s="124"/>
      <c r="C3071" s="124"/>
      <c r="D3071" s="124"/>
      <c r="E3071" s="124"/>
      <c r="F3071" s="124"/>
      <c r="G3071" s="124"/>
      <c r="H3071" s="124"/>
      <c r="I3071" s="124"/>
      <c r="J3071" s="124"/>
      <c r="K3071" s="124"/>
      <c r="L3071" s="124"/>
      <c r="M3071" s="124"/>
      <c r="N3071" s="124"/>
      <c r="O3071" s="124"/>
      <c r="P3071" s="124"/>
      <c r="Q3071" s="124"/>
      <c r="R3071" s="124"/>
      <c r="S3071" s="124"/>
      <c r="T3071" s="124"/>
      <c r="U3071" s="124"/>
      <c r="V3071" s="124"/>
      <c r="W3071" s="124"/>
      <c r="X3071" s="124"/>
      <c r="Y3071" s="124"/>
    </row>
    <row r="3072" spans="2:25" x14ac:dyDescent="0.25">
      <c r="B3072" s="124"/>
      <c r="C3072" s="124"/>
      <c r="D3072" s="124"/>
      <c r="E3072" s="124"/>
      <c r="F3072" s="124"/>
      <c r="G3072" s="124"/>
      <c r="H3072" s="124"/>
      <c r="I3072" s="124"/>
      <c r="J3072" s="124"/>
      <c r="K3072" s="124"/>
      <c r="L3072" s="124"/>
      <c r="M3072" s="124"/>
      <c r="N3072" s="124"/>
      <c r="O3072" s="124"/>
      <c r="P3072" s="124"/>
      <c r="Q3072" s="124"/>
      <c r="R3072" s="124"/>
      <c r="S3072" s="124"/>
      <c r="T3072" s="124"/>
      <c r="U3072" s="124"/>
      <c r="V3072" s="124"/>
      <c r="W3072" s="124"/>
      <c r="X3072" s="124"/>
      <c r="Y3072" s="124"/>
    </row>
    <row r="3073" spans="2:25" x14ac:dyDescent="0.25">
      <c r="B3073" s="124"/>
      <c r="C3073" s="124"/>
      <c r="D3073" s="124"/>
      <c r="E3073" s="124"/>
      <c r="F3073" s="124"/>
      <c r="G3073" s="124"/>
      <c r="H3073" s="124"/>
      <c r="I3073" s="124"/>
      <c r="J3073" s="124"/>
      <c r="K3073" s="124"/>
      <c r="L3073" s="124"/>
      <c r="M3073" s="124"/>
      <c r="N3073" s="124"/>
      <c r="O3073" s="124"/>
      <c r="P3073" s="124"/>
      <c r="Q3073" s="124"/>
      <c r="R3073" s="124"/>
      <c r="S3073" s="124"/>
      <c r="T3073" s="124"/>
      <c r="U3073" s="124"/>
      <c r="V3073" s="124"/>
      <c r="W3073" s="124"/>
      <c r="X3073" s="124"/>
      <c r="Y3073" s="124"/>
    </row>
    <row r="3074" spans="2:25" x14ac:dyDescent="0.25">
      <c r="B3074" s="124"/>
      <c r="C3074" s="124"/>
      <c r="D3074" s="124"/>
      <c r="E3074" s="124"/>
      <c r="F3074" s="124"/>
      <c r="G3074" s="124"/>
      <c r="H3074" s="124"/>
      <c r="I3074" s="124"/>
      <c r="J3074" s="124"/>
      <c r="K3074" s="124"/>
      <c r="L3074" s="124"/>
      <c r="M3074" s="124"/>
      <c r="N3074" s="124"/>
      <c r="O3074" s="124"/>
      <c r="P3074" s="124"/>
      <c r="Q3074" s="124"/>
      <c r="R3074" s="124"/>
      <c r="S3074" s="124"/>
      <c r="T3074" s="124"/>
      <c r="U3074" s="124"/>
      <c r="V3074" s="124"/>
      <c r="W3074" s="124"/>
      <c r="X3074" s="124"/>
      <c r="Y3074" s="124"/>
    </row>
    <row r="3075" spans="2:25" x14ac:dyDescent="0.25">
      <c r="B3075" s="124"/>
      <c r="C3075" s="124"/>
      <c r="D3075" s="124"/>
      <c r="E3075" s="124"/>
      <c r="F3075" s="124"/>
      <c r="G3075" s="124"/>
      <c r="H3075" s="124"/>
      <c r="I3075" s="124"/>
      <c r="J3075" s="124"/>
      <c r="K3075" s="124"/>
      <c r="L3075" s="124"/>
      <c r="M3075" s="124"/>
      <c r="N3075" s="124"/>
      <c r="O3075" s="124"/>
      <c r="P3075" s="124"/>
      <c r="Q3075" s="124"/>
      <c r="R3075" s="124"/>
      <c r="S3075" s="124"/>
      <c r="T3075" s="124"/>
      <c r="U3075" s="124"/>
      <c r="V3075" s="124"/>
      <c r="W3075" s="124"/>
      <c r="X3075" s="124"/>
      <c r="Y3075" s="124"/>
    </row>
    <row r="3076" spans="2:25" x14ac:dyDescent="0.25">
      <c r="B3076" s="124"/>
      <c r="C3076" s="124"/>
      <c r="D3076" s="124"/>
      <c r="E3076" s="124"/>
      <c r="F3076" s="124"/>
      <c r="G3076" s="124"/>
      <c r="H3076" s="124"/>
      <c r="I3076" s="124"/>
      <c r="J3076" s="124"/>
      <c r="K3076" s="124"/>
      <c r="L3076" s="124"/>
      <c r="M3076" s="124"/>
      <c r="N3076" s="124"/>
      <c r="O3076" s="124"/>
      <c r="P3076" s="124"/>
      <c r="Q3076" s="124"/>
      <c r="R3076" s="124"/>
      <c r="S3076" s="124"/>
      <c r="T3076" s="124"/>
      <c r="U3076" s="124"/>
      <c r="V3076" s="124"/>
      <c r="W3076" s="124"/>
      <c r="X3076" s="124"/>
      <c r="Y3076" s="124"/>
    </row>
    <row r="3077" spans="2:25" x14ac:dyDescent="0.25">
      <c r="B3077" s="124"/>
      <c r="C3077" s="124"/>
      <c r="D3077" s="124"/>
      <c r="E3077" s="124"/>
      <c r="F3077" s="124"/>
      <c r="G3077" s="124"/>
      <c r="H3077" s="124"/>
      <c r="I3077" s="124"/>
      <c r="J3077" s="124"/>
      <c r="K3077" s="124"/>
      <c r="L3077" s="124"/>
      <c r="M3077" s="124"/>
      <c r="N3077" s="124"/>
      <c r="O3077" s="124"/>
      <c r="P3077" s="124"/>
      <c r="Q3077" s="124"/>
      <c r="R3077" s="124"/>
      <c r="S3077" s="124"/>
      <c r="T3077" s="124"/>
      <c r="U3077" s="124"/>
      <c r="V3077" s="124"/>
      <c r="W3077" s="124"/>
      <c r="X3077" s="124"/>
      <c r="Y3077" s="124"/>
    </row>
    <row r="3078" spans="2:25" x14ac:dyDescent="0.25">
      <c r="B3078" s="124"/>
      <c r="C3078" s="124"/>
      <c r="D3078" s="124"/>
      <c r="E3078" s="124"/>
      <c r="F3078" s="124"/>
      <c r="G3078" s="124"/>
      <c r="H3078" s="124"/>
      <c r="I3078" s="124"/>
      <c r="J3078" s="124"/>
      <c r="K3078" s="124"/>
      <c r="L3078" s="124"/>
      <c r="M3078" s="124"/>
      <c r="N3078" s="124"/>
      <c r="O3078" s="124"/>
      <c r="P3078" s="124"/>
      <c r="Q3078" s="124"/>
      <c r="R3078" s="124"/>
      <c r="S3078" s="124"/>
      <c r="T3078" s="124"/>
      <c r="U3078" s="124"/>
      <c r="V3078" s="124"/>
      <c r="W3078" s="124"/>
      <c r="X3078" s="124"/>
      <c r="Y3078" s="124"/>
    </row>
    <row r="3079" spans="2:25" x14ac:dyDescent="0.25">
      <c r="B3079" s="124"/>
      <c r="C3079" s="124"/>
      <c r="D3079" s="124"/>
      <c r="E3079" s="124"/>
      <c r="F3079" s="124"/>
      <c r="G3079" s="124"/>
      <c r="H3079" s="124"/>
      <c r="I3079" s="124"/>
      <c r="J3079" s="124"/>
      <c r="K3079" s="124"/>
      <c r="L3079" s="124"/>
      <c r="M3079" s="124"/>
      <c r="N3079" s="124"/>
      <c r="O3079" s="124"/>
      <c r="P3079" s="124"/>
      <c r="Q3079" s="124"/>
      <c r="R3079" s="124"/>
      <c r="S3079" s="124"/>
      <c r="T3079" s="124"/>
      <c r="U3079" s="124"/>
      <c r="V3079" s="124"/>
      <c r="W3079" s="124"/>
      <c r="X3079" s="124"/>
      <c r="Y3079" s="124"/>
    </row>
    <row r="3080" spans="2:25" x14ac:dyDescent="0.25">
      <c r="B3080" s="124"/>
      <c r="C3080" s="124"/>
      <c r="D3080" s="124"/>
      <c r="E3080" s="124"/>
      <c r="F3080" s="124"/>
      <c r="G3080" s="124"/>
      <c r="H3080" s="124"/>
      <c r="I3080" s="124"/>
      <c r="J3080" s="124"/>
      <c r="K3080" s="124"/>
      <c r="L3080" s="124"/>
      <c r="M3080" s="124"/>
      <c r="N3080" s="124"/>
      <c r="O3080" s="124"/>
      <c r="P3080" s="124"/>
      <c r="Q3080" s="124"/>
      <c r="R3080" s="124"/>
      <c r="S3080" s="124"/>
      <c r="T3080" s="124"/>
      <c r="U3080" s="124"/>
      <c r="V3080" s="124"/>
      <c r="W3080" s="124"/>
      <c r="X3080" s="124"/>
      <c r="Y3080" s="124"/>
    </row>
    <row r="3081" spans="2:25" x14ac:dyDescent="0.25">
      <c r="B3081" s="124"/>
      <c r="C3081" s="124"/>
      <c r="D3081" s="124"/>
      <c r="E3081" s="124"/>
      <c r="F3081" s="124"/>
      <c r="G3081" s="124"/>
      <c r="H3081" s="124"/>
      <c r="I3081" s="124"/>
      <c r="J3081" s="124"/>
      <c r="K3081" s="124"/>
      <c r="L3081" s="124"/>
      <c r="M3081" s="124"/>
      <c r="N3081" s="124"/>
      <c r="O3081" s="124"/>
      <c r="P3081" s="124"/>
      <c r="Q3081" s="124"/>
      <c r="R3081" s="124"/>
      <c r="S3081" s="124"/>
      <c r="T3081" s="124"/>
      <c r="U3081" s="124"/>
      <c r="V3081" s="124"/>
      <c r="W3081" s="124"/>
      <c r="X3081" s="124"/>
      <c r="Y3081" s="124"/>
    </row>
    <row r="3082" spans="2:25" x14ac:dyDescent="0.25">
      <c r="B3082" s="124"/>
      <c r="C3082" s="124"/>
      <c r="D3082" s="124"/>
      <c r="E3082" s="124"/>
      <c r="F3082" s="124"/>
      <c r="G3082" s="124"/>
      <c r="H3082" s="124"/>
      <c r="I3082" s="124"/>
      <c r="J3082" s="124"/>
      <c r="K3082" s="124"/>
      <c r="L3082" s="124"/>
      <c r="M3082" s="124"/>
      <c r="N3082" s="124"/>
      <c r="O3082" s="124"/>
      <c r="P3082" s="124"/>
      <c r="Q3082" s="124"/>
      <c r="R3082" s="124"/>
      <c r="S3082" s="124"/>
      <c r="T3082" s="124"/>
      <c r="U3082" s="124"/>
      <c r="V3082" s="124"/>
      <c r="W3082" s="124"/>
      <c r="X3082" s="124"/>
      <c r="Y3082" s="124"/>
    </row>
    <row r="3083" spans="2:25" x14ac:dyDescent="0.25">
      <c r="B3083" s="124"/>
      <c r="C3083" s="124"/>
      <c r="D3083" s="124"/>
      <c r="E3083" s="124"/>
      <c r="F3083" s="124"/>
      <c r="G3083" s="124"/>
      <c r="H3083" s="124"/>
      <c r="I3083" s="124"/>
      <c r="J3083" s="124"/>
      <c r="K3083" s="124"/>
      <c r="L3083" s="124"/>
      <c r="M3083" s="124"/>
      <c r="N3083" s="124"/>
      <c r="O3083" s="124"/>
      <c r="P3083" s="124"/>
      <c r="Q3083" s="124"/>
      <c r="R3083" s="124"/>
      <c r="S3083" s="124"/>
      <c r="T3083" s="124"/>
      <c r="U3083" s="124"/>
      <c r="V3083" s="124"/>
      <c r="W3083" s="124"/>
      <c r="X3083" s="124"/>
      <c r="Y3083" s="124"/>
    </row>
    <row r="3084" spans="2:25" x14ac:dyDescent="0.25">
      <c r="B3084" s="124"/>
      <c r="C3084" s="124"/>
      <c r="D3084" s="124"/>
      <c r="E3084" s="124"/>
      <c r="F3084" s="124"/>
      <c r="G3084" s="124"/>
      <c r="H3084" s="124"/>
      <c r="I3084" s="124"/>
      <c r="J3084" s="124"/>
      <c r="K3084" s="124"/>
      <c r="L3084" s="124"/>
      <c r="M3084" s="124"/>
      <c r="N3084" s="124"/>
      <c r="O3084" s="124"/>
      <c r="P3084" s="124"/>
      <c r="Q3084" s="124"/>
      <c r="R3084" s="124"/>
      <c r="S3084" s="124"/>
      <c r="T3084" s="124"/>
      <c r="U3084" s="124"/>
      <c r="V3084" s="124"/>
      <c r="W3084" s="124"/>
      <c r="X3084" s="124"/>
      <c r="Y3084" s="124"/>
    </row>
    <row r="3085" spans="2:25" x14ac:dyDescent="0.25">
      <c r="B3085" s="124"/>
      <c r="C3085" s="124"/>
      <c r="D3085" s="124"/>
      <c r="E3085" s="124"/>
      <c r="F3085" s="124"/>
      <c r="G3085" s="124"/>
      <c r="H3085" s="124"/>
      <c r="I3085" s="124"/>
      <c r="J3085" s="124"/>
      <c r="K3085" s="124"/>
      <c r="L3085" s="124"/>
      <c r="M3085" s="124"/>
      <c r="N3085" s="124"/>
      <c r="O3085" s="124"/>
      <c r="P3085" s="124"/>
      <c r="Q3085" s="124"/>
      <c r="R3085" s="124"/>
      <c r="S3085" s="124"/>
      <c r="T3085" s="124"/>
      <c r="U3085" s="124"/>
      <c r="V3085" s="124"/>
      <c r="W3085" s="124"/>
      <c r="X3085" s="124"/>
      <c r="Y3085" s="124"/>
    </row>
    <row r="3086" spans="2:25" x14ac:dyDescent="0.25">
      <c r="B3086" s="124"/>
      <c r="C3086" s="124"/>
      <c r="D3086" s="124"/>
      <c r="E3086" s="124"/>
      <c r="F3086" s="124"/>
      <c r="G3086" s="124"/>
      <c r="H3086" s="124"/>
      <c r="I3086" s="124"/>
      <c r="J3086" s="124"/>
      <c r="K3086" s="124"/>
      <c r="L3086" s="124"/>
      <c r="M3086" s="124"/>
      <c r="N3086" s="124"/>
      <c r="O3086" s="124"/>
      <c r="P3086" s="124"/>
      <c r="Q3086" s="124"/>
      <c r="R3086" s="124"/>
      <c r="S3086" s="124"/>
      <c r="T3086" s="124"/>
      <c r="U3086" s="124"/>
      <c r="V3086" s="124"/>
      <c r="W3086" s="124"/>
      <c r="X3086" s="124"/>
      <c r="Y3086" s="124"/>
    </row>
    <row r="3087" spans="2:25" x14ac:dyDescent="0.25">
      <c r="B3087" s="124"/>
      <c r="C3087" s="124"/>
      <c r="D3087" s="124"/>
      <c r="E3087" s="124"/>
      <c r="F3087" s="124"/>
      <c r="G3087" s="124"/>
      <c r="H3087" s="124"/>
      <c r="I3087" s="124"/>
      <c r="J3087" s="124"/>
      <c r="K3087" s="124"/>
      <c r="L3087" s="124"/>
      <c r="M3087" s="124"/>
      <c r="N3087" s="124"/>
      <c r="O3087" s="124"/>
      <c r="P3087" s="124"/>
      <c r="Q3087" s="124"/>
      <c r="R3087" s="124"/>
      <c r="S3087" s="124"/>
      <c r="T3087" s="124"/>
      <c r="U3087" s="124"/>
      <c r="V3087" s="124"/>
      <c r="W3087" s="124"/>
      <c r="X3087" s="124"/>
      <c r="Y3087" s="124"/>
    </row>
    <row r="3088" spans="2:25" x14ac:dyDescent="0.25">
      <c r="B3088" s="124"/>
      <c r="C3088" s="124"/>
      <c r="D3088" s="124"/>
      <c r="E3088" s="124"/>
      <c r="F3088" s="124"/>
      <c r="G3088" s="124"/>
      <c r="H3088" s="124"/>
      <c r="I3088" s="124"/>
      <c r="J3088" s="124"/>
      <c r="K3088" s="124"/>
      <c r="L3088" s="124"/>
      <c r="M3088" s="124"/>
      <c r="N3088" s="124"/>
      <c r="O3088" s="124"/>
      <c r="P3088" s="124"/>
      <c r="Q3088" s="124"/>
      <c r="R3088" s="124"/>
      <c r="S3088" s="124"/>
      <c r="T3088" s="124"/>
      <c r="U3088" s="124"/>
      <c r="V3088" s="124"/>
      <c r="W3088" s="124"/>
      <c r="X3088" s="124"/>
      <c r="Y3088" s="124"/>
    </row>
    <row r="3089" spans="2:25" x14ac:dyDescent="0.25">
      <c r="B3089" s="124"/>
      <c r="C3089" s="124"/>
      <c r="D3089" s="124"/>
      <c r="E3089" s="124"/>
      <c r="F3089" s="124"/>
      <c r="G3089" s="124"/>
      <c r="H3089" s="124"/>
      <c r="I3089" s="124"/>
      <c r="J3089" s="124"/>
      <c r="K3089" s="124"/>
      <c r="L3089" s="124"/>
      <c r="M3089" s="124"/>
      <c r="N3089" s="124"/>
      <c r="O3089" s="124"/>
      <c r="P3089" s="124"/>
      <c r="Q3089" s="124"/>
      <c r="R3089" s="124"/>
      <c r="S3089" s="124"/>
      <c r="T3089" s="124"/>
      <c r="U3089" s="124"/>
      <c r="V3089" s="124"/>
      <c r="W3089" s="124"/>
      <c r="X3089" s="124"/>
      <c r="Y3089" s="124"/>
    </row>
    <row r="3090" spans="2:25" x14ac:dyDescent="0.25">
      <c r="B3090" s="124"/>
      <c r="C3090" s="124"/>
      <c r="D3090" s="124"/>
      <c r="E3090" s="124"/>
      <c r="F3090" s="124"/>
      <c r="G3090" s="124"/>
      <c r="H3090" s="124"/>
      <c r="I3090" s="124"/>
      <c r="J3090" s="124"/>
      <c r="K3090" s="124"/>
      <c r="L3090" s="124"/>
      <c r="M3090" s="124"/>
      <c r="N3090" s="124"/>
      <c r="O3090" s="124"/>
      <c r="P3090" s="124"/>
      <c r="Q3090" s="124"/>
      <c r="R3090" s="124"/>
      <c r="S3090" s="124"/>
      <c r="T3090" s="124"/>
      <c r="U3090" s="124"/>
      <c r="V3090" s="124"/>
      <c r="W3090" s="124"/>
      <c r="X3090" s="124"/>
      <c r="Y3090" s="124"/>
    </row>
    <row r="3091" spans="2:25" x14ac:dyDescent="0.25">
      <c r="B3091" s="124"/>
      <c r="C3091" s="124"/>
      <c r="D3091" s="124"/>
      <c r="E3091" s="124"/>
      <c r="F3091" s="124"/>
      <c r="G3091" s="124"/>
      <c r="H3091" s="124"/>
      <c r="I3091" s="124"/>
      <c r="J3091" s="124"/>
      <c r="K3091" s="124"/>
      <c r="L3091" s="124"/>
      <c r="M3091" s="124"/>
      <c r="N3091" s="124"/>
      <c r="O3091" s="124"/>
      <c r="P3091" s="124"/>
      <c r="Q3091" s="124"/>
      <c r="R3091" s="124"/>
      <c r="S3091" s="124"/>
      <c r="T3091" s="124"/>
      <c r="U3091" s="124"/>
      <c r="V3091" s="124"/>
      <c r="W3091" s="124"/>
      <c r="X3091" s="124"/>
      <c r="Y3091" s="124"/>
    </row>
    <row r="3092" spans="2:25" x14ac:dyDescent="0.25">
      <c r="B3092" s="124"/>
      <c r="C3092" s="124"/>
      <c r="D3092" s="124"/>
      <c r="E3092" s="124"/>
      <c r="F3092" s="124"/>
      <c r="G3092" s="124"/>
      <c r="H3092" s="124"/>
      <c r="I3092" s="124"/>
      <c r="J3092" s="124"/>
      <c r="K3092" s="124"/>
      <c r="L3092" s="124"/>
      <c r="M3092" s="124"/>
      <c r="N3092" s="124"/>
      <c r="O3092" s="124"/>
      <c r="P3092" s="124"/>
      <c r="Q3092" s="124"/>
      <c r="R3092" s="124"/>
      <c r="S3092" s="124"/>
      <c r="T3092" s="124"/>
      <c r="U3092" s="124"/>
      <c r="V3092" s="124"/>
      <c r="W3092" s="124"/>
      <c r="X3092" s="124"/>
      <c r="Y3092" s="124"/>
    </row>
    <row r="3093" spans="2:25" x14ac:dyDescent="0.25">
      <c r="B3093" s="124"/>
      <c r="C3093" s="124"/>
      <c r="D3093" s="124"/>
      <c r="E3093" s="124"/>
      <c r="F3093" s="124"/>
      <c r="G3093" s="124"/>
      <c r="H3093" s="124"/>
      <c r="I3093" s="124"/>
      <c r="J3093" s="124"/>
      <c r="K3093" s="124"/>
      <c r="L3093" s="124"/>
      <c r="M3093" s="124"/>
      <c r="N3093" s="124"/>
      <c r="O3093" s="124"/>
      <c r="P3093" s="124"/>
      <c r="Q3093" s="124"/>
      <c r="R3093" s="124"/>
      <c r="S3093" s="124"/>
      <c r="T3093" s="124"/>
      <c r="U3093" s="124"/>
      <c r="V3093" s="124"/>
      <c r="W3093" s="124"/>
      <c r="X3093" s="124"/>
      <c r="Y3093" s="124"/>
    </row>
    <row r="3094" spans="2:25" x14ac:dyDescent="0.25">
      <c r="B3094" s="124"/>
      <c r="C3094" s="124"/>
      <c r="D3094" s="124"/>
      <c r="E3094" s="124"/>
      <c r="F3094" s="124"/>
      <c r="G3094" s="124"/>
      <c r="H3094" s="124"/>
      <c r="I3094" s="124"/>
      <c r="J3094" s="124"/>
      <c r="K3094" s="124"/>
      <c r="L3094" s="124"/>
      <c r="M3094" s="124"/>
      <c r="N3094" s="124"/>
      <c r="O3094" s="124"/>
      <c r="P3094" s="124"/>
      <c r="Q3094" s="124"/>
      <c r="R3094" s="124"/>
      <c r="S3094" s="124"/>
      <c r="T3094" s="124"/>
      <c r="U3094" s="124"/>
      <c r="V3094" s="124"/>
      <c r="W3094" s="124"/>
      <c r="X3094" s="124"/>
      <c r="Y3094" s="124"/>
    </row>
    <row r="3095" spans="2:25" x14ac:dyDescent="0.25">
      <c r="B3095" s="124"/>
      <c r="C3095" s="124"/>
      <c r="D3095" s="124"/>
      <c r="E3095" s="124"/>
      <c r="F3095" s="124"/>
      <c r="G3095" s="124"/>
      <c r="H3095" s="124"/>
      <c r="I3095" s="124"/>
      <c r="J3095" s="124"/>
      <c r="K3095" s="124"/>
      <c r="L3095" s="124"/>
      <c r="M3095" s="124"/>
      <c r="N3095" s="124"/>
      <c r="O3095" s="124"/>
      <c r="P3095" s="124"/>
      <c r="Q3095" s="124"/>
      <c r="R3095" s="124"/>
      <c r="S3095" s="124"/>
      <c r="T3095" s="124"/>
      <c r="U3095" s="124"/>
      <c r="V3095" s="124"/>
      <c r="W3095" s="124"/>
      <c r="X3095" s="124"/>
      <c r="Y3095" s="124"/>
    </row>
    <row r="3096" spans="2:25" x14ac:dyDescent="0.25">
      <c r="B3096" s="124"/>
      <c r="C3096" s="124"/>
      <c r="D3096" s="124"/>
      <c r="E3096" s="124"/>
      <c r="F3096" s="124"/>
      <c r="G3096" s="124"/>
      <c r="H3096" s="124"/>
      <c r="I3096" s="124"/>
      <c r="J3096" s="124"/>
      <c r="K3096" s="124"/>
      <c r="L3096" s="124"/>
      <c r="M3096" s="124"/>
      <c r="N3096" s="124"/>
      <c r="O3096" s="124"/>
      <c r="P3096" s="124"/>
      <c r="Q3096" s="124"/>
      <c r="R3096" s="124"/>
      <c r="S3096" s="124"/>
      <c r="T3096" s="124"/>
      <c r="U3096" s="124"/>
      <c r="V3096" s="124"/>
      <c r="W3096" s="124"/>
      <c r="X3096" s="124"/>
      <c r="Y3096" s="124"/>
    </row>
    <row r="3097" spans="2:25" x14ac:dyDescent="0.25">
      <c r="B3097" s="124"/>
      <c r="C3097" s="124"/>
      <c r="D3097" s="124"/>
      <c r="E3097" s="124"/>
      <c r="F3097" s="124"/>
      <c r="G3097" s="124"/>
      <c r="H3097" s="124"/>
      <c r="I3097" s="124"/>
      <c r="J3097" s="124"/>
      <c r="K3097" s="124"/>
      <c r="L3097" s="124"/>
      <c r="M3097" s="124"/>
      <c r="N3097" s="124"/>
      <c r="O3097" s="124"/>
      <c r="P3097" s="124"/>
      <c r="Q3097" s="124"/>
      <c r="R3097" s="124"/>
      <c r="S3097" s="124"/>
      <c r="T3097" s="124"/>
      <c r="U3097" s="124"/>
      <c r="V3097" s="124"/>
      <c r="W3097" s="124"/>
      <c r="X3097" s="124"/>
      <c r="Y3097" s="124"/>
    </row>
    <row r="3098" spans="2:25" x14ac:dyDescent="0.25">
      <c r="B3098" s="124"/>
      <c r="C3098" s="124"/>
      <c r="D3098" s="124"/>
      <c r="E3098" s="124"/>
      <c r="F3098" s="124"/>
      <c r="G3098" s="124"/>
      <c r="H3098" s="124"/>
      <c r="I3098" s="124"/>
      <c r="J3098" s="124"/>
      <c r="K3098" s="124"/>
      <c r="L3098" s="124"/>
      <c r="M3098" s="124"/>
      <c r="N3098" s="124"/>
      <c r="O3098" s="124"/>
      <c r="P3098" s="124"/>
      <c r="Q3098" s="124"/>
      <c r="R3098" s="124"/>
      <c r="S3098" s="124"/>
      <c r="T3098" s="124"/>
      <c r="U3098" s="124"/>
      <c r="V3098" s="124"/>
      <c r="W3098" s="124"/>
      <c r="X3098" s="124"/>
      <c r="Y3098" s="124"/>
    </row>
    <row r="3099" spans="2:25" x14ac:dyDescent="0.25">
      <c r="B3099" s="124"/>
      <c r="C3099" s="124"/>
      <c r="D3099" s="124"/>
      <c r="E3099" s="124"/>
      <c r="F3099" s="124"/>
      <c r="G3099" s="124"/>
      <c r="H3099" s="124"/>
      <c r="I3099" s="124"/>
      <c r="J3099" s="124"/>
      <c r="K3099" s="124"/>
      <c r="L3099" s="124"/>
      <c r="M3099" s="124"/>
      <c r="N3099" s="124"/>
      <c r="O3099" s="124"/>
      <c r="P3099" s="124"/>
      <c r="Q3099" s="124"/>
      <c r="R3099" s="124"/>
      <c r="S3099" s="124"/>
      <c r="T3099" s="124"/>
      <c r="U3099" s="124"/>
      <c r="V3099" s="124"/>
      <c r="W3099" s="124"/>
      <c r="X3099" s="124"/>
      <c r="Y3099" s="124"/>
    </row>
    <row r="3100" spans="2:25" x14ac:dyDescent="0.25">
      <c r="B3100" s="124"/>
      <c r="C3100" s="124"/>
      <c r="D3100" s="124"/>
      <c r="E3100" s="124"/>
      <c r="F3100" s="124"/>
      <c r="G3100" s="124"/>
      <c r="H3100" s="124"/>
      <c r="I3100" s="124"/>
      <c r="J3100" s="124"/>
      <c r="K3100" s="124"/>
      <c r="L3100" s="124"/>
      <c r="M3100" s="124"/>
      <c r="N3100" s="124"/>
      <c r="O3100" s="124"/>
      <c r="P3100" s="124"/>
      <c r="Q3100" s="124"/>
      <c r="R3100" s="124"/>
      <c r="S3100" s="124"/>
      <c r="T3100" s="124"/>
      <c r="U3100" s="124"/>
      <c r="V3100" s="124"/>
      <c r="W3100" s="124"/>
      <c r="X3100" s="124"/>
      <c r="Y3100" s="124"/>
    </row>
    <row r="3101" spans="2:25" x14ac:dyDescent="0.25">
      <c r="B3101" s="124"/>
      <c r="C3101" s="124"/>
      <c r="D3101" s="124"/>
      <c r="E3101" s="124"/>
      <c r="F3101" s="124"/>
      <c r="G3101" s="124"/>
      <c r="H3101" s="124"/>
      <c r="I3101" s="124"/>
      <c r="J3101" s="124"/>
      <c r="K3101" s="124"/>
      <c r="L3101" s="124"/>
      <c r="M3101" s="124"/>
      <c r="N3101" s="124"/>
      <c r="O3101" s="124"/>
      <c r="P3101" s="124"/>
      <c r="Q3101" s="124"/>
      <c r="R3101" s="124"/>
      <c r="S3101" s="124"/>
      <c r="T3101" s="124"/>
      <c r="U3101" s="124"/>
      <c r="V3101" s="124"/>
      <c r="W3101" s="124"/>
      <c r="X3101" s="124"/>
      <c r="Y3101" s="124"/>
    </row>
    <row r="3102" spans="2:25" x14ac:dyDescent="0.25">
      <c r="B3102" s="124"/>
      <c r="C3102" s="124"/>
      <c r="D3102" s="124"/>
      <c r="E3102" s="124"/>
      <c r="F3102" s="124"/>
      <c r="G3102" s="124"/>
      <c r="H3102" s="124"/>
      <c r="I3102" s="124"/>
      <c r="J3102" s="124"/>
      <c r="K3102" s="124"/>
      <c r="L3102" s="124"/>
      <c r="M3102" s="124"/>
      <c r="N3102" s="124"/>
      <c r="O3102" s="124"/>
      <c r="P3102" s="124"/>
      <c r="Q3102" s="124"/>
      <c r="R3102" s="124"/>
      <c r="S3102" s="124"/>
      <c r="T3102" s="124"/>
      <c r="U3102" s="124"/>
      <c r="V3102" s="124"/>
      <c r="W3102" s="124"/>
      <c r="X3102" s="124"/>
      <c r="Y3102" s="124"/>
    </row>
    <row r="3103" spans="2:25" x14ac:dyDescent="0.25">
      <c r="B3103" s="124"/>
      <c r="C3103" s="124"/>
      <c r="D3103" s="124"/>
      <c r="E3103" s="124"/>
      <c r="F3103" s="124"/>
      <c r="G3103" s="124"/>
      <c r="H3103" s="124"/>
      <c r="I3103" s="124"/>
      <c r="J3103" s="124"/>
      <c r="K3103" s="124"/>
      <c r="L3103" s="124"/>
      <c r="M3103" s="124"/>
      <c r="N3103" s="124"/>
      <c r="O3103" s="124"/>
      <c r="P3103" s="124"/>
      <c r="Q3103" s="124"/>
      <c r="R3103" s="124"/>
      <c r="S3103" s="124"/>
      <c r="T3103" s="124"/>
      <c r="U3103" s="124"/>
      <c r="V3103" s="124"/>
      <c r="W3103" s="124"/>
      <c r="X3103" s="124"/>
      <c r="Y3103" s="124"/>
    </row>
    <row r="3104" spans="2:25" x14ac:dyDescent="0.25">
      <c r="B3104" s="124"/>
      <c r="C3104" s="124"/>
      <c r="D3104" s="124"/>
      <c r="E3104" s="124"/>
      <c r="F3104" s="124"/>
      <c r="G3104" s="124"/>
      <c r="H3104" s="124"/>
      <c r="I3104" s="124"/>
      <c r="J3104" s="124"/>
      <c r="K3104" s="124"/>
      <c r="L3104" s="124"/>
      <c r="M3104" s="124"/>
      <c r="N3104" s="124"/>
      <c r="O3104" s="124"/>
      <c r="P3104" s="124"/>
      <c r="Q3104" s="124"/>
      <c r="R3104" s="124"/>
      <c r="S3104" s="124"/>
      <c r="T3104" s="124"/>
      <c r="U3104" s="124"/>
      <c r="V3104" s="124"/>
      <c r="W3104" s="124"/>
      <c r="X3104" s="124"/>
      <c r="Y3104" s="124"/>
    </row>
    <row r="3105" spans="2:25" x14ac:dyDescent="0.25">
      <c r="B3105" s="124"/>
      <c r="C3105" s="124"/>
      <c r="D3105" s="124"/>
      <c r="E3105" s="124"/>
      <c r="F3105" s="124"/>
      <c r="G3105" s="124"/>
      <c r="H3105" s="124"/>
      <c r="I3105" s="124"/>
      <c r="J3105" s="124"/>
      <c r="K3105" s="124"/>
      <c r="L3105" s="124"/>
      <c r="M3105" s="124"/>
      <c r="N3105" s="124"/>
      <c r="O3105" s="124"/>
      <c r="P3105" s="124"/>
      <c r="Q3105" s="124"/>
      <c r="R3105" s="124"/>
      <c r="S3105" s="124"/>
      <c r="T3105" s="124"/>
      <c r="U3105" s="124"/>
      <c r="V3105" s="124"/>
      <c r="W3105" s="124"/>
      <c r="X3105" s="124"/>
      <c r="Y3105" s="124"/>
    </row>
    <row r="3106" spans="2:25" x14ac:dyDescent="0.25">
      <c r="B3106" s="124"/>
      <c r="C3106" s="124"/>
      <c r="D3106" s="124"/>
      <c r="E3106" s="124"/>
      <c r="F3106" s="124"/>
      <c r="G3106" s="124"/>
      <c r="H3106" s="124"/>
      <c r="I3106" s="124"/>
      <c r="J3106" s="124"/>
      <c r="K3106" s="124"/>
      <c r="L3106" s="124"/>
      <c r="M3106" s="124"/>
      <c r="N3106" s="124"/>
      <c r="O3106" s="124"/>
      <c r="P3106" s="124"/>
      <c r="Q3106" s="124"/>
      <c r="R3106" s="124"/>
      <c r="S3106" s="124"/>
      <c r="T3106" s="124"/>
      <c r="U3106" s="124"/>
      <c r="V3106" s="124"/>
      <c r="W3106" s="124"/>
      <c r="X3106" s="124"/>
      <c r="Y3106" s="124"/>
    </row>
    <row r="3107" spans="2:25" x14ac:dyDescent="0.25">
      <c r="B3107" s="124"/>
      <c r="C3107" s="124"/>
      <c r="D3107" s="124"/>
      <c r="E3107" s="124"/>
      <c r="F3107" s="124"/>
      <c r="G3107" s="124"/>
      <c r="H3107" s="124"/>
      <c r="I3107" s="124"/>
      <c r="J3107" s="124"/>
      <c r="K3107" s="124"/>
      <c r="L3107" s="124"/>
      <c r="M3107" s="124"/>
      <c r="N3107" s="124"/>
      <c r="O3107" s="124"/>
      <c r="P3107" s="124"/>
      <c r="Q3107" s="124"/>
      <c r="R3107" s="124"/>
      <c r="S3107" s="124"/>
      <c r="T3107" s="124"/>
      <c r="U3107" s="124"/>
      <c r="V3107" s="124"/>
      <c r="W3107" s="124"/>
      <c r="X3107" s="124"/>
      <c r="Y3107" s="124"/>
    </row>
    <row r="3108" spans="2:25" x14ac:dyDescent="0.25">
      <c r="B3108" s="124"/>
      <c r="C3108" s="124"/>
      <c r="D3108" s="124"/>
      <c r="E3108" s="124"/>
      <c r="F3108" s="124"/>
      <c r="G3108" s="124"/>
      <c r="H3108" s="124"/>
      <c r="I3108" s="124"/>
      <c r="J3108" s="124"/>
      <c r="K3108" s="124"/>
      <c r="L3108" s="124"/>
      <c r="M3108" s="124"/>
      <c r="N3108" s="124"/>
      <c r="O3108" s="124"/>
      <c r="P3108" s="124"/>
      <c r="Q3108" s="124"/>
      <c r="R3108" s="124"/>
      <c r="S3108" s="124"/>
      <c r="T3108" s="124"/>
      <c r="U3108" s="124"/>
      <c r="V3108" s="124"/>
      <c r="W3108" s="124"/>
      <c r="X3108" s="124"/>
      <c r="Y3108" s="124"/>
    </row>
    <row r="3109" spans="2:25" x14ac:dyDescent="0.25">
      <c r="B3109" s="124"/>
      <c r="C3109" s="124"/>
      <c r="D3109" s="124"/>
      <c r="E3109" s="124"/>
      <c r="F3109" s="124"/>
      <c r="G3109" s="124"/>
      <c r="H3109" s="124"/>
      <c r="I3109" s="124"/>
      <c r="J3109" s="124"/>
      <c r="K3109" s="124"/>
      <c r="L3109" s="124"/>
      <c r="M3109" s="124"/>
      <c r="N3109" s="124"/>
      <c r="O3109" s="124"/>
      <c r="P3109" s="124"/>
      <c r="Q3109" s="124"/>
      <c r="R3109" s="124"/>
      <c r="S3109" s="124"/>
      <c r="T3109" s="124"/>
      <c r="U3109" s="124"/>
      <c r="V3109" s="124"/>
      <c r="W3109" s="124"/>
      <c r="X3109" s="124"/>
      <c r="Y3109" s="124"/>
    </row>
    <row r="3110" spans="2:25" x14ac:dyDescent="0.25">
      <c r="B3110" s="124"/>
      <c r="C3110" s="124"/>
      <c r="D3110" s="124"/>
      <c r="E3110" s="124"/>
      <c r="F3110" s="124"/>
      <c r="G3110" s="124"/>
      <c r="H3110" s="124"/>
      <c r="I3110" s="124"/>
      <c r="J3110" s="124"/>
      <c r="K3110" s="124"/>
      <c r="L3110" s="124"/>
      <c r="M3110" s="124"/>
      <c r="N3110" s="124"/>
      <c r="O3110" s="124"/>
      <c r="P3110" s="124"/>
      <c r="Q3110" s="124"/>
      <c r="R3110" s="124"/>
      <c r="S3110" s="124"/>
      <c r="T3110" s="124"/>
      <c r="U3110" s="124"/>
      <c r="V3110" s="124"/>
      <c r="W3110" s="124"/>
      <c r="X3110" s="124"/>
      <c r="Y3110" s="124"/>
    </row>
    <row r="3111" spans="2:25" x14ac:dyDescent="0.25">
      <c r="B3111" s="124"/>
      <c r="C3111" s="124"/>
      <c r="D3111" s="124"/>
      <c r="E3111" s="124"/>
      <c r="F3111" s="124"/>
      <c r="G3111" s="124"/>
      <c r="H3111" s="124"/>
      <c r="I3111" s="124"/>
      <c r="J3111" s="124"/>
      <c r="K3111" s="124"/>
      <c r="L3111" s="124"/>
      <c r="M3111" s="124"/>
      <c r="N3111" s="124"/>
      <c r="O3111" s="124"/>
      <c r="P3111" s="124"/>
      <c r="Q3111" s="124"/>
      <c r="R3111" s="124"/>
      <c r="S3111" s="124"/>
      <c r="T3111" s="124"/>
      <c r="U3111" s="124"/>
      <c r="V3111" s="124"/>
      <c r="W3111" s="124"/>
      <c r="X3111" s="124"/>
      <c r="Y3111" s="124"/>
    </row>
    <row r="3112" spans="2:25" x14ac:dyDescent="0.25">
      <c r="B3112" s="124"/>
      <c r="C3112" s="124"/>
      <c r="D3112" s="124"/>
      <c r="E3112" s="124"/>
      <c r="F3112" s="124"/>
      <c r="G3112" s="124"/>
      <c r="H3112" s="124"/>
      <c r="I3112" s="124"/>
      <c r="J3112" s="124"/>
      <c r="K3112" s="124"/>
      <c r="L3112" s="124"/>
      <c r="M3112" s="124"/>
      <c r="N3112" s="124"/>
      <c r="O3112" s="124"/>
      <c r="P3112" s="124"/>
      <c r="Q3112" s="124"/>
      <c r="R3112" s="124"/>
      <c r="S3112" s="124"/>
      <c r="T3112" s="124"/>
      <c r="U3112" s="124"/>
      <c r="V3112" s="124"/>
      <c r="W3112" s="124"/>
      <c r="X3112" s="124"/>
      <c r="Y3112" s="124"/>
    </row>
    <row r="3113" spans="2:25" x14ac:dyDescent="0.25">
      <c r="B3113" s="124"/>
      <c r="C3113" s="124"/>
      <c r="D3113" s="124"/>
      <c r="E3113" s="124"/>
      <c r="F3113" s="124"/>
      <c r="G3113" s="124"/>
      <c r="H3113" s="124"/>
      <c r="I3113" s="124"/>
      <c r="J3113" s="124"/>
      <c r="K3113" s="124"/>
      <c r="L3113" s="124"/>
      <c r="M3113" s="124"/>
      <c r="N3113" s="124"/>
      <c r="O3113" s="124"/>
      <c r="P3113" s="124"/>
      <c r="Q3113" s="124"/>
      <c r="R3113" s="124"/>
      <c r="S3113" s="124"/>
      <c r="T3113" s="124"/>
      <c r="U3113" s="124"/>
      <c r="V3113" s="124"/>
      <c r="W3113" s="124"/>
      <c r="X3113" s="124"/>
      <c r="Y3113" s="124"/>
    </row>
    <row r="3114" spans="2:25" x14ac:dyDescent="0.25">
      <c r="B3114" s="124"/>
      <c r="C3114" s="124"/>
      <c r="D3114" s="124"/>
      <c r="E3114" s="124"/>
      <c r="F3114" s="124"/>
      <c r="G3114" s="124"/>
      <c r="H3114" s="124"/>
      <c r="I3114" s="124"/>
      <c r="J3114" s="124"/>
      <c r="K3114" s="124"/>
      <c r="L3114" s="124"/>
      <c r="M3114" s="124"/>
      <c r="N3114" s="124"/>
      <c r="O3114" s="124"/>
      <c r="P3114" s="124"/>
      <c r="Q3114" s="124"/>
      <c r="R3114" s="124"/>
      <c r="S3114" s="124"/>
      <c r="T3114" s="124"/>
      <c r="U3114" s="124"/>
      <c r="V3114" s="124"/>
      <c r="W3114" s="124"/>
      <c r="X3114" s="124"/>
      <c r="Y3114" s="124"/>
    </row>
    <row r="3115" spans="2:25" x14ac:dyDescent="0.25">
      <c r="B3115" s="124"/>
      <c r="C3115" s="124"/>
      <c r="D3115" s="124"/>
      <c r="E3115" s="124"/>
      <c r="F3115" s="124"/>
      <c r="G3115" s="124"/>
      <c r="H3115" s="124"/>
      <c r="I3115" s="124"/>
      <c r="J3115" s="124"/>
      <c r="K3115" s="124"/>
      <c r="L3115" s="124"/>
      <c r="M3115" s="124"/>
      <c r="N3115" s="124"/>
      <c r="O3115" s="124"/>
      <c r="P3115" s="124"/>
      <c r="Q3115" s="124"/>
      <c r="R3115" s="124"/>
      <c r="S3115" s="124"/>
      <c r="T3115" s="124"/>
      <c r="U3115" s="124"/>
      <c r="V3115" s="124"/>
      <c r="W3115" s="124"/>
      <c r="X3115" s="124"/>
      <c r="Y3115" s="124"/>
    </row>
    <row r="3116" spans="2:25" x14ac:dyDescent="0.25">
      <c r="B3116" s="124"/>
      <c r="C3116" s="124"/>
      <c r="D3116" s="124"/>
      <c r="E3116" s="124"/>
      <c r="F3116" s="124"/>
      <c r="G3116" s="124"/>
      <c r="H3116" s="124"/>
      <c r="I3116" s="124"/>
      <c r="J3116" s="124"/>
      <c r="K3116" s="124"/>
      <c r="L3116" s="124"/>
      <c r="M3116" s="124"/>
      <c r="N3116" s="124"/>
      <c r="O3116" s="124"/>
      <c r="P3116" s="124"/>
      <c r="Q3116" s="124"/>
      <c r="R3116" s="124"/>
      <c r="S3116" s="124"/>
      <c r="T3116" s="124"/>
      <c r="U3116" s="124"/>
      <c r="V3116" s="124"/>
      <c r="W3116" s="124"/>
      <c r="X3116" s="124"/>
      <c r="Y3116" s="124"/>
    </row>
    <row r="3117" spans="2:25" x14ac:dyDescent="0.25">
      <c r="B3117" s="124"/>
      <c r="C3117" s="124"/>
      <c r="D3117" s="124"/>
      <c r="E3117" s="124"/>
      <c r="F3117" s="124"/>
      <c r="G3117" s="124"/>
      <c r="H3117" s="124"/>
      <c r="I3117" s="124"/>
      <c r="J3117" s="124"/>
      <c r="K3117" s="124"/>
      <c r="L3117" s="124"/>
      <c r="M3117" s="124"/>
      <c r="N3117" s="124"/>
      <c r="O3117" s="124"/>
      <c r="P3117" s="124"/>
      <c r="Q3117" s="124"/>
      <c r="R3117" s="124"/>
      <c r="S3117" s="124"/>
      <c r="T3117" s="124"/>
      <c r="U3117" s="124"/>
      <c r="V3117" s="124"/>
      <c r="W3117" s="124"/>
      <c r="X3117" s="124"/>
      <c r="Y3117" s="124"/>
    </row>
    <row r="3118" spans="2:25" x14ac:dyDescent="0.25">
      <c r="B3118" s="124"/>
      <c r="C3118" s="124"/>
      <c r="D3118" s="124"/>
      <c r="E3118" s="124"/>
      <c r="F3118" s="124"/>
      <c r="G3118" s="124"/>
      <c r="H3118" s="124"/>
      <c r="I3118" s="124"/>
      <c r="J3118" s="124"/>
      <c r="K3118" s="124"/>
      <c r="L3118" s="124"/>
      <c r="M3118" s="124"/>
      <c r="N3118" s="124"/>
      <c r="O3118" s="124"/>
      <c r="P3118" s="124"/>
      <c r="Q3118" s="124"/>
      <c r="R3118" s="124"/>
      <c r="S3118" s="124"/>
      <c r="T3118" s="124"/>
      <c r="U3118" s="124"/>
      <c r="V3118" s="124"/>
      <c r="W3118" s="124"/>
      <c r="X3118" s="124"/>
      <c r="Y3118" s="124"/>
    </row>
    <row r="3119" spans="2:25" x14ac:dyDescent="0.25">
      <c r="B3119" s="124"/>
      <c r="C3119" s="124"/>
      <c r="D3119" s="124"/>
      <c r="E3119" s="124"/>
      <c r="F3119" s="124"/>
      <c r="G3119" s="124"/>
      <c r="H3119" s="124"/>
      <c r="I3119" s="124"/>
      <c r="J3119" s="124"/>
      <c r="K3119" s="124"/>
      <c r="L3119" s="124"/>
      <c r="M3119" s="124"/>
      <c r="N3119" s="124"/>
      <c r="O3119" s="124"/>
      <c r="P3119" s="124"/>
      <c r="Q3119" s="124"/>
      <c r="R3119" s="124"/>
      <c r="S3119" s="124"/>
      <c r="T3119" s="124"/>
      <c r="U3119" s="124"/>
      <c r="V3119" s="124"/>
      <c r="W3119" s="124"/>
      <c r="X3119" s="124"/>
      <c r="Y3119" s="124"/>
    </row>
    <row r="3120" spans="2:25" x14ac:dyDescent="0.25">
      <c r="B3120" s="124"/>
      <c r="C3120" s="124"/>
      <c r="D3120" s="124"/>
      <c r="E3120" s="124"/>
      <c r="F3120" s="124"/>
      <c r="G3120" s="124"/>
      <c r="H3120" s="124"/>
      <c r="I3120" s="124"/>
      <c r="J3120" s="124"/>
      <c r="K3120" s="124"/>
      <c r="L3120" s="124"/>
      <c r="M3120" s="124"/>
      <c r="N3120" s="124"/>
      <c r="O3120" s="124"/>
      <c r="P3120" s="124"/>
      <c r="Q3120" s="124"/>
      <c r="R3120" s="124"/>
      <c r="S3120" s="124"/>
      <c r="T3120" s="124"/>
      <c r="U3120" s="124"/>
      <c r="V3120" s="124"/>
      <c r="W3120" s="124"/>
      <c r="X3120" s="124"/>
      <c r="Y3120" s="124"/>
    </row>
    <row r="3121" spans="2:25" x14ac:dyDescent="0.25">
      <c r="B3121" s="124"/>
      <c r="C3121" s="124"/>
      <c r="D3121" s="124"/>
      <c r="E3121" s="124"/>
      <c r="F3121" s="124"/>
      <c r="G3121" s="124"/>
      <c r="H3121" s="124"/>
      <c r="I3121" s="124"/>
      <c r="J3121" s="124"/>
      <c r="K3121" s="124"/>
      <c r="L3121" s="124"/>
      <c r="M3121" s="124"/>
      <c r="N3121" s="124"/>
      <c r="O3121" s="124"/>
      <c r="P3121" s="124"/>
      <c r="Q3121" s="124"/>
      <c r="R3121" s="124"/>
      <c r="S3121" s="124"/>
      <c r="T3121" s="124"/>
      <c r="U3121" s="124"/>
      <c r="V3121" s="124"/>
      <c r="W3121" s="124"/>
      <c r="X3121" s="124"/>
      <c r="Y3121" s="124"/>
    </row>
    <row r="3122" spans="2:25" x14ac:dyDescent="0.25">
      <c r="B3122" s="124"/>
      <c r="C3122" s="124"/>
      <c r="D3122" s="124"/>
      <c r="E3122" s="124"/>
      <c r="F3122" s="124"/>
      <c r="G3122" s="124"/>
      <c r="H3122" s="124"/>
      <c r="I3122" s="124"/>
      <c r="J3122" s="124"/>
      <c r="K3122" s="124"/>
      <c r="L3122" s="124"/>
      <c r="M3122" s="124"/>
      <c r="N3122" s="124"/>
      <c r="O3122" s="124"/>
      <c r="P3122" s="124"/>
      <c r="Q3122" s="124"/>
      <c r="R3122" s="124"/>
      <c r="S3122" s="124"/>
      <c r="T3122" s="124"/>
      <c r="U3122" s="124"/>
      <c r="V3122" s="124"/>
      <c r="W3122" s="124"/>
      <c r="X3122" s="124"/>
      <c r="Y3122" s="124"/>
    </row>
    <row r="3123" spans="2:25" x14ac:dyDescent="0.25">
      <c r="B3123" s="124"/>
      <c r="C3123" s="124"/>
      <c r="D3123" s="124"/>
      <c r="E3123" s="124"/>
      <c r="F3123" s="124"/>
      <c r="G3123" s="124"/>
      <c r="H3123" s="124"/>
      <c r="I3123" s="124"/>
      <c r="J3123" s="124"/>
      <c r="K3123" s="124"/>
      <c r="L3123" s="124"/>
      <c r="M3123" s="124"/>
      <c r="N3123" s="124"/>
      <c r="O3123" s="124"/>
      <c r="P3123" s="124"/>
      <c r="Q3123" s="124"/>
      <c r="R3123" s="124"/>
      <c r="S3123" s="124"/>
      <c r="T3123" s="124"/>
      <c r="U3123" s="124"/>
      <c r="V3123" s="124"/>
      <c r="W3123" s="124"/>
      <c r="X3123" s="124"/>
      <c r="Y3123" s="124"/>
    </row>
    <row r="3124" spans="2:25" x14ac:dyDescent="0.25">
      <c r="B3124" s="124"/>
      <c r="C3124" s="124"/>
      <c r="D3124" s="124"/>
      <c r="E3124" s="124"/>
      <c r="F3124" s="124"/>
      <c r="G3124" s="124"/>
      <c r="H3124" s="124"/>
      <c r="I3124" s="124"/>
      <c r="J3124" s="124"/>
      <c r="K3124" s="124"/>
      <c r="L3124" s="124"/>
      <c r="M3124" s="124"/>
      <c r="N3124" s="124"/>
      <c r="O3124" s="124"/>
      <c r="P3124" s="124"/>
      <c r="Q3124" s="124"/>
      <c r="R3124" s="124"/>
      <c r="S3124" s="124"/>
      <c r="T3124" s="124"/>
      <c r="U3124" s="124"/>
      <c r="V3124" s="124"/>
      <c r="W3124" s="124"/>
      <c r="X3124" s="124"/>
      <c r="Y3124" s="124"/>
    </row>
    <row r="3125" spans="2:25" x14ac:dyDescent="0.25">
      <c r="B3125" s="124"/>
      <c r="C3125" s="124"/>
      <c r="D3125" s="124"/>
      <c r="E3125" s="124"/>
      <c r="F3125" s="124"/>
      <c r="G3125" s="124"/>
      <c r="H3125" s="124"/>
      <c r="I3125" s="124"/>
      <c r="J3125" s="124"/>
      <c r="K3125" s="124"/>
      <c r="L3125" s="124"/>
      <c r="M3125" s="124"/>
      <c r="N3125" s="124"/>
      <c r="O3125" s="124"/>
      <c r="P3125" s="124"/>
      <c r="Q3125" s="124"/>
      <c r="R3125" s="124"/>
      <c r="S3125" s="124"/>
      <c r="T3125" s="124"/>
      <c r="U3125" s="124"/>
      <c r="V3125" s="124"/>
      <c r="W3125" s="124"/>
      <c r="X3125" s="124"/>
      <c r="Y3125" s="124"/>
    </row>
    <row r="3126" spans="2:25" x14ac:dyDescent="0.25">
      <c r="B3126" s="124"/>
      <c r="C3126" s="124"/>
      <c r="D3126" s="124"/>
      <c r="E3126" s="124"/>
      <c r="F3126" s="124"/>
      <c r="G3126" s="124"/>
      <c r="H3126" s="124"/>
      <c r="I3126" s="124"/>
      <c r="J3126" s="124"/>
      <c r="K3126" s="124"/>
      <c r="L3126" s="124"/>
      <c r="M3126" s="124"/>
      <c r="N3126" s="124"/>
      <c r="O3126" s="124"/>
      <c r="P3126" s="124"/>
      <c r="Q3126" s="124"/>
      <c r="R3126" s="124"/>
      <c r="S3126" s="124"/>
      <c r="T3126" s="124"/>
      <c r="U3126" s="124"/>
      <c r="V3126" s="124"/>
      <c r="W3126" s="124"/>
      <c r="X3126" s="124"/>
      <c r="Y3126" s="124"/>
    </row>
    <row r="3127" spans="2:25" x14ac:dyDescent="0.25">
      <c r="B3127" s="124"/>
      <c r="C3127" s="124"/>
      <c r="D3127" s="124"/>
      <c r="E3127" s="124"/>
      <c r="F3127" s="124"/>
      <c r="G3127" s="124"/>
      <c r="H3127" s="124"/>
      <c r="I3127" s="124"/>
      <c r="J3127" s="124"/>
      <c r="K3127" s="124"/>
      <c r="L3127" s="124"/>
      <c r="M3127" s="124"/>
      <c r="N3127" s="124"/>
      <c r="O3127" s="124"/>
      <c r="P3127" s="124"/>
      <c r="Q3127" s="124"/>
      <c r="R3127" s="124"/>
      <c r="S3127" s="124"/>
      <c r="T3127" s="124"/>
      <c r="U3127" s="124"/>
      <c r="V3127" s="124"/>
      <c r="W3127" s="124"/>
      <c r="X3127" s="124"/>
      <c r="Y3127" s="124"/>
    </row>
    <row r="3128" spans="2:25" x14ac:dyDescent="0.25">
      <c r="B3128" s="124"/>
      <c r="C3128" s="124"/>
      <c r="D3128" s="124"/>
      <c r="E3128" s="124"/>
      <c r="F3128" s="124"/>
      <c r="G3128" s="124"/>
      <c r="H3128" s="124"/>
      <c r="I3128" s="124"/>
      <c r="J3128" s="124"/>
      <c r="K3128" s="124"/>
      <c r="L3128" s="124"/>
      <c r="M3128" s="124"/>
      <c r="N3128" s="124"/>
      <c r="O3128" s="124"/>
      <c r="P3128" s="124"/>
      <c r="Q3128" s="124"/>
      <c r="R3128" s="124"/>
      <c r="S3128" s="124"/>
      <c r="T3128" s="124"/>
      <c r="U3128" s="124"/>
      <c r="V3128" s="124"/>
      <c r="W3128" s="124"/>
      <c r="X3128" s="124"/>
      <c r="Y3128" s="124"/>
    </row>
    <row r="3129" spans="2:25" x14ac:dyDescent="0.25">
      <c r="B3129" s="124"/>
      <c r="C3129" s="124"/>
      <c r="D3129" s="124"/>
      <c r="E3129" s="124"/>
      <c r="F3129" s="124"/>
      <c r="G3129" s="124"/>
      <c r="H3129" s="124"/>
      <c r="I3129" s="124"/>
      <c r="J3129" s="124"/>
      <c r="K3129" s="124"/>
      <c r="L3129" s="124"/>
      <c r="M3129" s="124"/>
      <c r="N3129" s="124"/>
      <c r="O3129" s="124"/>
      <c r="P3129" s="124"/>
      <c r="Q3129" s="124"/>
      <c r="R3129" s="124"/>
      <c r="S3129" s="124"/>
      <c r="T3129" s="124"/>
      <c r="U3129" s="124"/>
      <c r="V3129" s="124"/>
      <c r="W3129" s="124"/>
      <c r="X3129" s="124"/>
      <c r="Y3129" s="124"/>
    </row>
    <row r="3130" spans="2:25" x14ac:dyDescent="0.25">
      <c r="B3130" s="124"/>
      <c r="C3130" s="124"/>
      <c r="D3130" s="124"/>
      <c r="E3130" s="124"/>
      <c r="F3130" s="124"/>
      <c r="G3130" s="124"/>
      <c r="H3130" s="124"/>
      <c r="I3130" s="124"/>
      <c r="J3130" s="124"/>
      <c r="K3130" s="124"/>
      <c r="L3130" s="124"/>
      <c r="M3130" s="124"/>
      <c r="N3130" s="124"/>
      <c r="O3130" s="124"/>
      <c r="P3130" s="124"/>
      <c r="Q3130" s="124"/>
      <c r="R3130" s="124"/>
      <c r="S3130" s="124"/>
      <c r="T3130" s="124"/>
      <c r="U3130" s="124"/>
      <c r="V3130" s="124"/>
      <c r="W3130" s="124"/>
      <c r="X3130" s="124"/>
      <c r="Y3130" s="124"/>
    </row>
    <row r="3131" spans="2:25" x14ac:dyDescent="0.25">
      <c r="B3131" s="124"/>
      <c r="C3131" s="124"/>
      <c r="D3131" s="124"/>
      <c r="E3131" s="124"/>
      <c r="F3131" s="124"/>
      <c r="G3131" s="124"/>
      <c r="H3131" s="124"/>
      <c r="I3131" s="124"/>
      <c r="J3131" s="124"/>
      <c r="K3131" s="124"/>
      <c r="L3131" s="124"/>
      <c r="M3131" s="124"/>
      <c r="N3131" s="124"/>
      <c r="O3131" s="124"/>
      <c r="P3131" s="124"/>
      <c r="Q3131" s="124"/>
      <c r="R3131" s="124"/>
      <c r="S3131" s="124"/>
      <c r="T3131" s="124"/>
      <c r="U3131" s="124"/>
      <c r="V3131" s="124"/>
      <c r="W3131" s="124"/>
      <c r="X3131" s="124"/>
      <c r="Y3131" s="124"/>
    </row>
    <row r="3132" spans="2:25" x14ac:dyDescent="0.25">
      <c r="B3132" s="124"/>
      <c r="C3132" s="124"/>
      <c r="D3132" s="124"/>
      <c r="E3132" s="124"/>
      <c r="F3132" s="124"/>
      <c r="G3132" s="124"/>
      <c r="H3132" s="124"/>
      <c r="I3132" s="124"/>
      <c r="J3132" s="124"/>
      <c r="K3132" s="124"/>
      <c r="L3132" s="124"/>
      <c r="M3132" s="124"/>
      <c r="N3132" s="124"/>
      <c r="O3132" s="124"/>
      <c r="P3132" s="124"/>
      <c r="Q3132" s="124"/>
      <c r="R3132" s="124"/>
      <c r="S3132" s="124"/>
      <c r="T3132" s="124"/>
      <c r="U3132" s="124"/>
      <c r="V3132" s="124"/>
      <c r="W3132" s="124"/>
      <c r="X3132" s="124"/>
      <c r="Y3132" s="124"/>
    </row>
    <row r="3133" spans="2:25" x14ac:dyDescent="0.25">
      <c r="B3133" s="124"/>
      <c r="C3133" s="124"/>
      <c r="D3133" s="124"/>
      <c r="E3133" s="124"/>
      <c r="F3133" s="124"/>
      <c r="G3133" s="124"/>
      <c r="H3133" s="124"/>
      <c r="I3133" s="124"/>
      <c r="J3133" s="124"/>
      <c r="K3133" s="124"/>
      <c r="L3133" s="124"/>
      <c r="M3133" s="124"/>
      <c r="N3133" s="124"/>
      <c r="O3133" s="124"/>
      <c r="P3133" s="124"/>
      <c r="Q3133" s="124"/>
      <c r="R3133" s="124"/>
      <c r="S3133" s="124"/>
      <c r="T3133" s="124"/>
      <c r="U3133" s="124"/>
      <c r="V3133" s="124"/>
      <c r="W3133" s="124"/>
      <c r="X3133" s="124"/>
      <c r="Y3133" s="124"/>
    </row>
    <row r="3134" spans="2:25" x14ac:dyDescent="0.25">
      <c r="B3134" s="124"/>
      <c r="C3134" s="124"/>
      <c r="D3134" s="124"/>
      <c r="E3134" s="124"/>
      <c r="F3134" s="124"/>
      <c r="G3134" s="124"/>
      <c r="H3134" s="124"/>
      <c r="I3134" s="124"/>
      <c r="J3134" s="124"/>
      <c r="K3134" s="124"/>
      <c r="L3134" s="124"/>
      <c r="M3134" s="124"/>
      <c r="N3134" s="124"/>
      <c r="O3134" s="124"/>
      <c r="P3134" s="124"/>
      <c r="Q3134" s="124"/>
      <c r="R3134" s="124"/>
      <c r="S3134" s="124"/>
      <c r="T3134" s="124"/>
      <c r="U3134" s="124"/>
      <c r="V3134" s="124"/>
      <c r="W3134" s="124"/>
      <c r="X3134" s="124"/>
      <c r="Y3134" s="124"/>
    </row>
    <row r="3135" spans="2:25" x14ac:dyDescent="0.25">
      <c r="B3135" s="124"/>
      <c r="C3135" s="124"/>
      <c r="D3135" s="124"/>
      <c r="E3135" s="124"/>
      <c r="F3135" s="124"/>
      <c r="G3135" s="124"/>
      <c r="H3135" s="124"/>
      <c r="I3135" s="124"/>
      <c r="J3135" s="124"/>
      <c r="K3135" s="124"/>
      <c r="L3135" s="124"/>
      <c r="M3135" s="124"/>
      <c r="N3135" s="124"/>
      <c r="O3135" s="124"/>
      <c r="P3135" s="124"/>
      <c r="Q3135" s="124"/>
      <c r="R3135" s="124"/>
      <c r="S3135" s="124"/>
      <c r="T3135" s="124"/>
      <c r="U3135" s="124"/>
      <c r="V3135" s="124"/>
      <c r="W3135" s="124"/>
      <c r="X3135" s="124"/>
      <c r="Y3135" s="124"/>
    </row>
    <row r="3136" spans="2:25" x14ac:dyDescent="0.25">
      <c r="B3136" s="124"/>
      <c r="C3136" s="124"/>
      <c r="D3136" s="124"/>
      <c r="E3136" s="124"/>
      <c r="F3136" s="124"/>
      <c r="G3136" s="124"/>
      <c r="H3136" s="124"/>
      <c r="I3136" s="124"/>
      <c r="J3136" s="124"/>
      <c r="K3136" s="124"/>
      <c r="L3136" s="124"/>
      <c r="M3136" s="124"/>
      <c r="N3136" s="124"/>
      <c r="O3136" s="124"/>
      <c r="P3136" s="124"/>
      <c r="Q3136" s="124"/>
      <c r="R3136" s="124"/>
      <c r="S3136" s="124"/>
      <c r="T3136" s="124"/>
      <c r="U3136" s="124"/>
      <c r="V3136" s="124"/>
      <c r="W3136" s="124"/>
      <c r="X3136" s="124"/>
      <c r="Y3136" s="124"/>
    </row>
    <row r="3137" spans="2:25" x14ac:dyDescent="0.25">
      <c r="B3137" s="124"/>
      <c r="C3137" s="124"/>
      <c r="D3137" s="124"/>
      <c r="E3137" s="124"/>
      <c r="F3137" s="124"/>
      <c r="G3137" s="124"/>
      <c r="H3137" s="124"/>
      <c r="I3137" s="124"/>
      <c r="J3137" s="124"/>
      <c r="K3137" s="124"/>
      <c r="L3137" s="124"/>
      <c r="M3137" s="124"/>
      <c r="N3137" s="124"/>
      <c r="O3137" s="124"/>
      <c r="P3137" s="124"/>
      <c r="Q3137" s="124"/>
      <c r="R3137" s="124"/>
      <c r="S3137" s="124"/>
      <c r="T3137" s="124"/>
      <c r="U3137" s="124"/>
      <c r="V3137" s="124"/>
      <c r="W3137" s="124"/>
      <c r="X3137" s="124"/>
      <c r="Y3137" s="124"/>
    </row>
    <row r="3138" spans="2:25" x14ac:dyDescent="0.25">
      <c r="B3138" s="124"/>
      <c r="C3138" s="124"/>
      <c r="D3138" s="124"/>
      <c r="E3138" s="124"/>
      <c r="F3138" s="124"/>
      <c r="G3138" s="124"/>
      <c r="H3138" s="124"/>
      <c r="I3138" s="124"/>
      <c r="J3138" s="124"/>
      <c r="K3138" s="124"/>
      <c r="L3138" s="124"/>
      <c r="M3138" s="124"/>
      <c r="N3138" s="124"/>
      <c r="O3138" s="124"/>
      <c r="P3138" s="124"/>
      <c r="Q3138" s="124"/>
      <c r="R3138" s="124"/>
      <c r="S3138" s="124"/>
      <c r="T3138" s="124"/>
      <c r="U3138" s="124"/>
      <c r="V3138" s="124"/>
      <c r="W3138" s="124"/>
      <c r="X3138" s="124"/>
      <c r="Y3138" s="124"/>
    </row>
    <row r="3139" spans="2:25" x14ac:dyDescent="0.25">
      <c r="B3139" s="124"/>
      <c r="C3139" s="124"/>
      <c r="D3139" s="124"/>
      <c r="E3139" s="124"/>
      <c r="F3139" s="124"/>
      <c r="G3139" s="124"/>
      <c r="H3139" s="124"/>
      <c r="I3139" s="124"/>
      <c r="J3139" s="124"/>
      <c r="K3139" s="124"/>
      <c r="L3139" s="124"/>
      <c r="M3139" s="124"/>
      <c r="N3139" s="124"/>
      <c r="O3139" s="124"/>
      <c r="P3139" s="124"/>
      <c r="Q3139" s="124"/>
      <c r="R3139" s="124"/>
      <c r="S3139" s="124"/>
      <c r="T3139" s="124"/>
      <c r="U3139" s="124"/>
      <c r="V3139" s="124"/>
      <c r="W3139" s="124"/>
      <c r="X3139" s="124"/>
      <c r="Y3139" s="124"/>
    </row>
    <row r="3140" spans="2:25" x14ac:dyDescent="0.25">
      <c r="B3140" s="124"/>
      <c r="C3140" s="124"/>
      <c r="D3140" s="124"/>
      <c r="E3140" s="124"/>
      <c r="F3140" s="124"/>
      <c r="G3140" s="124"/>
      <c r="H3140" s="124"/>
      <c r="I3140" s="124"/>
      <c r="J3140" s="124"/>
      <c r="K3140" s="124"/>
      <c r="L3140" s="124"/>
      <c r="M3140" s="124"/>
      <c r="N3140" s="124"/>
      <c r="O3140" s="124"/>
      <c r="P3140" s="124"/>
      <c r="Q3140" s="124"/>
      <c r="R3140" s="124"/>
      <c r="S3140" s="124"/>
      <c r="T3140" s="124"/>
      <c r="U3140" s="124"/>
      <c r="V3140" s="124"/>
      <c r="W3140" s="124"/>
      <c r="X3140" s="124"/>
      <c r="Y3140" s="124"/>
    </row>
    <row r="3141" spans="2:25" x14ac:dyDescent="0.25">
      <c r="B3141" s="124"/>
      <c r="C3141" s="124"/>
      <c r="D3141" s="124"/>
      <c r="E3141" s="124"/>
      <c r="F3141" s="124"/>
      <c r="G3141" s="124"/>
      <c r="H3141" s="124"/>
      <c r="I3141" s="124"/>
      <c r="J3141" s="124"/>
      <c r="K3141" s="124"/>
      <c r="L3141" s="124"/>
      <c r="M3141" s="124"/>
      <c r="N3141" s="124"/>
      <c r="O3141" s="124"/>
      <c r="P3141" s="124"/>
      <c r="Q3141" s="124"/>
      <c r="R3141" s="124"/>
      <c r="S3141" s="124"/>
      <c r="T3141" s="124"/>
      <c r="U3141" s="124"/>
      <c r="V3141" s="124"/>
      <c r="W3141" s="124"/>
      <c r="X3141" s="124"/>
      <c r="Y3141" s="124"/>
    </row>
    <row r="3142" spans="2:25" x14ac:dyDescent="0.25">
      <c r="B3142" s="124"/>
      <c r="C3142" s="124"/>
      <c r="D3142" s="124"/>
      <c r="E3142" s="124"/>
      <c r="F3142" s="124"/>
      <c r="G3142" s="124"/>
      <c r="H3142" s="124"/>
      <c r="I3142" s="124"/>
      <c r="J3142" s="124"/>
      <c r="K3142" s="124"/>
      <c r="L3142" s="124"/>
      <c r="M3142" s="124"/>
      <c r="N3142" s="124"/>
      <c r="O3142" s="124"/>
      <c r="P3142" s="124"/>
      <c r="Q3142" s="124"/>
      <c r="R3142" s="124"/>
      <c r="S3142" s="124"/>
      <c r="T3142" s="124"/>
      <c r="U3142" s="124"/>
      <c r="V3142" s="124"/>
      <c r="W3142" s="124"/>
      <c r="X3142" s="124"/>
      <c r="Y3142" s="124"/>
    </row>
    <row r="3143" spans="2:25" x14ac:dyDescent="0.25">
      <c r="B3143" s="124"/>
      <c r="C3143" s="124"/>
      <c r="D3143" s="124"/>
      <c r="E3143" s="124"/>
      <c r="F3143" s="124"/>
      <c r="G3143" s="124"/>
      <c r="H3143" s="124"/>
      <c r="I3143" s="124"/>
      <c r="J3143" s="124"/>
      <c r="K3143" s="124"/>
      <c r="L3143" s="124"/>
      <c r="M3143" s="124"/>
      <c r="N3143" s="124"/>
      <c r="O3143" s="124"/>
      <c r="P3143" s="124"/>
      <c r="Q3143" s="124"/>
      <c r="R3143" s="124"/>
      <c r="S3143" s="124"/>
      <c r="T3143" s="124"/>
      <c r="U3143" s="124"/>
      <c r="V3143" s="124"/>
      <c r="W3143" s="124"/>
      <c r="X3143" s="124"/>
      <c r="Y3143" s="124"/>
    </row>
    <row r="3144" spans="2:25" x14ac:dyDescent="0.25">
      <c r="B3144" s="124"/>
      <c r="C3144" s="124"/>
      <c r="D3144" s="124"/>
      <c r="E3144" s="124"/>
      <c r="F3144" s="124"/>
      <c r="G3144" s="124"/>
      <c r="H3144" s="124"/>
      <c r="I3144" s="124"/>
      <c r="J3144" s="124"/>
      <c r="K3144" s="124"/>
      <c r="L3144" s="124"/>
      <c r="M3144" s="124"/>
      <c r="N3144" s="124"/>
      <c r="O3144" s="124"/>
      <c r="P3144" s="124"/>
      <c r="Q3144" s="124"/>
      <c r="R3144" s="124"/>
      <c r="S3144" s="124"/>
      <c r="T3144" s="124"/>
      <c r="U3144" s="124"/>
      <c r="V3144" s="124"/>
      <c r="W3144" s="124"/>
      <c r="X3144" s="124"/>
      <c r="Y3144" s="124"/>
    </row>
    <row r="3145" spans="2:25" x14ac:dyDescent="0.25">
      <c r="B3145" s="124"/>
      <c r="C3145" s="124"/>
      <c r="D3145" s="124"/>
      <c r="E3145" s="124"/>
      <c r="F3145" s="124"/>
      <c r="G3145" s="124"/>
      <c r="H3145" s="124"/>
      <c r="I3145" s="124"/>
      <c r="J3145" s="124"/>
      <c r="K3145" s="124"/>
      <c r="L3145" s="124"/>
      <c r="M3145" s="124"/>
      <c r="N3145" s="124"/>
      <c r="O3145" s="124"/>
      <c r="P3145" s="124"/>
      <c r="Q3145" s="124"/>
      <c r="R3145" s="124"/>
      <c r="S3145" s="124"/>
      <c r="T3145" s="124"/>
      <c r="U3145" s="124"/>
      <c r="V3145" s="124"/>
      <c r="W3145" s="124"/>
      <c r="X3145" s="124"/>
      <c r="Y3145" s="124"/>
    </row>
    <row r="3146" spans="2:25" x14ac:dyDescent="0.25">
      <c r="B3146" s="124"/>
      <c r="C3146" s="124"/>
      <c r="D3146" s="124"/>
      <c r="E3146" s="124"/>
      <c r="F3146" s="124"/>
      <c r="G3146" s="124"/>
      <c r="H3146" s="124"/>
      <c r="I3146" s="124"/>
      <c r="J3146" s="124"/>
      <c r="K3146" s="124"/>
      <c r="L3146" s="124"/>
      <c r="M3146" s="124"/>
      <c r="N3146" s="124"/>
      <c r="O3146" s="124"/>
      <c r="P3146" s="124"/>
      <c r="Q3146" s="124"/>
      <c r="R3146" s="124"/>
      <c r="S3146" s="124"/>
      <c r="T3146" s="124"/>
      <c r="U3146" s="124"/>
      <c r="V3146" s="124"/>
      <c r="W3146" s="124"/>
      <c r="X3146" s="124"/>
      <c r="Y3146" s="124"/>
    </row>
    <row r="3147" spans="2:25" x14ac:dyDescent="0.25">
      <c r="B3147" s="124"/>
      <c r="C3147" s="124"/>
      <c r="D3147" s="124"/>
      <c r="E3147" s="124"/>
      <c r="F3147" s="124"/>
      <c r="G3147" s="124"/>
      <c r="H3147" s="124"/>
      <c r="I3147" s="124"/>
      <c r="J3147" s="124"/>
      <c r="K3147" s="124"/>
      <c r="L3147" s="124"/>
      <c r="M3147" s="124"/>
      <c r="N3147" s="124"/>
      <c r="O3147" s="124"/>
      <c r="P3147" s="124"/>
      <c r="Q3147" s="124"/>
      <c r="R3147" s="124"/>
      <c r="S3147" s="124"/>
      <c r="T3147" s="124"/>
      <c r="U3147" s="124"/>
      <c r="V3147" s="124"/>
      <c r="W3147" s="124"/>
      <c r="X3147" s="124"/>
      <c r="Y3147" s="124"/>
    </row>
    <row r="3148" spans="2:25" x14ac:dyDescent="0.25">
      <c r="B3148" s="124"/>
      <c r="C3148" s="124"/>
      <c r="D3148" s="124"/>
      <c r="E3148" s="124"/>
      <c r="F3148" s="124"/>
      <c r="G3148" s="124"/>
      <c r="H3148" s="124"/>
      <c r="I3148" s="124"/>
      <c r="J3148" s="124"/>
      <c r="K3148" s="124"/>
      <c r="L3148" s="124"/>
      <c r="M3148" s="124"/>
      <c r="N3148" s="124"/>
      <c r="O3148" s="124"/>
      <c r="P3148" s="124"/>
      <c r="Q3148" s="124"/>
      <c r="R3148" s="124"/>
      <c r="S3148" s="124"/>
      <c r="T3148" s="124"/>
      <c r="U3148" s="124"/>
      <c r="V3148" s="124"/>
      <c r="W3148" s="124"/>
      <c r="X3148" s="124"/>
      <c r="Y3148" s="124"/>
    </row>
    <row r="3149" spans="2:25" x14ac:dyDescent="0.25">
      <c r="B3149" s="124"/>
      <c r="C3149" s="124"/>
      <c r="D3149" s="124"/>
      <c r="E3149" s="124"/>
      <c r="F3149" s="124"/>
      <c r="G3149" s="124"/>
      <c r="H3149" s="124"/>
      <c r="I3149" s="124"/>
      <c r="J3149" s="124"/>
      <c r="K3149" s="124"/>
      <c r="L3149" s="124"/>
      <c r="M3149" s="124"/>
      <c r="N3149" s="124"/>
      <c r="O3149" s="124"/>
      <c r="P3149" s="124"/>
      <c r="Q3149" s="124"/>
      <c r="R3149" s="124"/>
      <c r="S3149" s="124"/>
      <c r="T3149" s="124"/>
      <c r="U3149" s="124"/>
      <c r="V3149" s="124"/>
      <c r="W3149" s="124"/>
      <c r="X3149" s="124"/>
      <c r="Y3149" s="124"/>
    </row>
    <row r="3150" spans="2:25" x14ac:dyDescent="0.25">
      <c r="B3150" s="124"/>
      <c r="C3150" s="124"/>
      <c r="D3150" s="124"/>
      <c r="E3150" s="124"/>
      <c r="F3150" s="124"/>
      <c r="G3150" s="124"/>
      <c r="H3150" s="124"/>
      <c r="I3150" s="124"/>
      <c r="J3150" s="124"/>
      <c r="K3150" s="124"/>
      <c r="L3150" s="124"/>
      <c r="M3150" s="124"/>
      <c r="N3150" s="124"/>
      <c r="O3150" s="124"/>
      <c r="P3150" s="124"/>
      <c r="Q3150" s="124"/>
      <c r="R3150" s="124"/>
      <c r="S3150" s="124"/>
      <c r="T3150" s="124"/>
      <c r="U3150" s="124"/>
      <c r="V3150" s="124"/>
      <c r="W3150" s="124"/>
      <c r="X3150" s="124"/>
      <c r="Y3150" s="124"/>
    </row>
    <row r="3151" spans="2:25" x14ac:dyDescent="0.25">
      <c r="B3151" s="124"/>
      <c r="C3151" s="124"/>
      <c r="D3151" s="124"/>
      <c r="E3151" s="124"/>
      <c r="F3151" s="124"/>
      <c r="G3151" s="124"/>
      <c r="H3151" s="124"/>
      <c r="I3151" s="124"/>
      <c r="J3151" s="124"/>
      <c r="K3151" s="124"/>
      <c r="L3151" s="124"/>
      <c r="M3151" s="124"/>
      <c r="N3151" s="124"/>
      <c r="O3151" s="124"/>
      <c r="P3151" s="124"/>
      <c r="Q3151" s="124"/>
      <c r="R3151" s="124"/>
      <c r="S3151" s="124"/>
      <c r="T3151" s="124"/>
      <c r="U3151" s="124"/>
      <c r="V3151" s="124"/>
      <c r="W3151" s="124"/>
      <c r="X3151" s="124"/>
      <c r="Y3151" s="124"/>
    </row>
    <row r="3152" spans="2:25" x14ac:dyDescent="0.25">
      <c r="B3152" s="124"/>
      <c r="C3152" s="124"/>
      <c r="D3152" s="124"/>
      <c r="E3152" s="124"/>
      <c r="F3152" s="124"/>
      <c r="G3152" s="124"/>
      <c r="H3152" s="124"/>
      <c r="I3152" s="124"/>
      <c r="J3152" s="124"/>
      <c r="K3152" s="124"/>
      <c r="L3152" s="124"/>
      <c r="M3152" s="124"/>
      <c r="N3152" s="124"/>
      <c r="O3152" s="124"/>
      <c r="P3152" s="124"/>
      <c r="Q3152" s="124"/>
      <c r="R3152" s="124"/>
      <c r="S3152" s="124"/>
      <c r="T3152" s="124"/>
      <c r="U3152" s="124"/>
      <c r="V3152" s="124"/>
      <c r="W3152" s="124"/>
      <c r="X3152" s="124"/>
      <c r="Y3152" s="124"/>
    </row>
    <row r="3153" spans="2:25" x14ac:dyDescent="0.25">
      <c r="B3153" s="124"/>
      <c r="C3153" s="124"/>
      <c r="D3153" s="124"/>
      <c r="E3153" s="124"/>
      <c r="F3153" s="124"/>
      <c r="G3153" s="124"/>
      <c r="H3153" s="124"/>
      <c r="I3153" s="124"/>
      <c r="J3153" s="124"/>
      <c r="K3153" s="124"/>
      <c r="L3153" s="124"/>
      <c r="M3153" s="124"/>
      <c r="N3153" s="124"/>
      <c r="O3153" s="124"/>
      <c r="P3153" s="124"/>
      <c r="Q3153" s="124"/>
      <c r="R3153" s="124"/>
      <c r="S3153" s="124"/>
      <c r="T3153" s="124"/>
      <c r="U3153" s="124"/>
      <c r="V3153" s="124"/>
      <c r="W3153" s="124"/>
      <c r="X3153" s="124"/>
      <c r="Y3153" s="124"/>
    </row>
    <row r="3154" spans="2:25" x14ac:dyDescent="0.25">
      <c r="B3154" s="124"/>
      <c r="C3154" s="124"/>
      <c r="D3154" s="124"/>
      <c r="E3154" s="124"/>
      <c r="F3154" s="124"/>
      <c r="G3154" s="124"/>
      <c r="H3154" s="124"/>
      <c r="I3154" s="124"/>
      <c r="J3154" s="124"/>
      <c r="K3154" s="124"/>
      <c r="L3154" s="124"/>
      <c r="M3154" s="124"/>
      <c r="N3154" s="124"/>
      <c r="O3154" s="124"/>
      <c r="P3154" s="124"/>
      <c r="Q3154" s="124"/>
      <c r="R3154" s="124"/>
      <c r="S3154" s="124"/>
      <c r="T3154" s="124"/>
      <c r="U3154" s="124"/>
      <c r="V3154" s="124"/>
      <c r="W3154" s="124"/>
      <c r="X3154" s="124"/>
      <c r="Y3154" s="124"/>
    </row>
    <row r="3155" spans="2:25" x14ac:dyDescent="0.25">
      <c r="B3155" s="124"/>
      <c r="C3155" s="124"/>
      <c r="D3155" s="124"/>
      <c r="E3155" s="124"/>
      <c r="F3155" s="124"/>
      <c r="G3155" s="124"/>
      <c r="H3155" s="124"/>
      <c r="I3155" s="124"/>
      <c r="J3155" s="124"/>
      <c r="K3155" s="124"/>
      <c r="L3155" s="124"/>
      <c r="M3155" s="124"/>
      <c r="N3155" s="124"/>
      <c r="O3155" s="124"/>
      <c r="P3155" s="124"/>
      <c r="Q3155" s="124"/>
      <c r="R3155" s="124"/>
      <c r="S3155" s="124"/>
      <c r="T3155" s="124"/>
      <c r="U3155" s="124"/>
      <c r="V3155" s="124"/>
      <c r="W3155" s="124"/>
      <c r="X3155" s="124"/>
      <c r="Y3155" s="124"/>
    </row>
    <row r="3156" spans="2:25" x14ac:dyDescent="0.25">
      <c r="B3156" s="124"/>
      <c r="C3156" s="124"/>
      <c r="D3156" s="124"/>
      <c r="E3156" s="124"/>
      <c r="F3156" s="124"/>
      <c r="G3156" s="124"/>
      <c r="H3156" s="124"/>
      <c r="I3156" s="124"/>
      <c r="J3156" s="124"/>
      <c r="K3156" s="124"/>
      <c r="L3156" s="124"/>
      <c r="M3156" s="124"/>
      <c r="N3156" s="124"/>
      <c r="O3156" s="124"/>
      <c r="P3156" s="124"/>
      <c r="Q3156" s="124"/>
      <c r="R3156" s="124"/>
      <c r="S3156" s="124"/>
      <c r="T3156" s="124"/>
      <c r="U3156" s="124"/>
      <c r="V3156" s="124"/>
      <c r="W3156" s="124"/>
      <c r="X3156" s="124"/>
      <c r="Y3156" s="124"/>
    </row>
    <row r="3157" spans="2:25" x14ac:dyDescent="0.25">
      <c r="B3157" s="124"/>
      <c r="C3157" s="124"/>
      <c r="D3157" s="124"/>
      <c r="E3157" s="124"/>
      <c r="F3157" s="124"/>
      <c r="G3157" s="124"/>
      <c r="H3157" s="124"/>
      <c r="I3157" s="124"/>
      <c r="J3157" s="124"/>
      <c r="K3157" s="124"/>
      <c r="L3157" s="124"/>
      <c r="M3157" s="124"/>
      <c r="N3157" s="124"/>
      <c r="O3157" s="124"/>
      <c r="P3157" s="124"/>
      <c r="Q3157" s="124"/>
      <c r="R3157" s="124"/>
      <c r="S3157" s="124"/>
      <c r="T3157" s="124"/>
      <c r="U3157" s="124"/>
      <c r="V3157" s="124"/>
      <c r="W3157" s="124"/>
      <c r="X3157" s="124"/>
      <c r="Y3157" s="124"/>
    </row>
    <row r="3158" spans="2:25" x14ac:dyDescent="0.25">
      <c r="B3158" s="124"/>
      <c r="C3158" s="124"/>
      <c r="D3158" s="124"/>
      <c r="E3158" s="124"/>
      <c r="F3158" s="124"/>
      <c r="G3158" s="124"/>
      <c r="H3158" s="124"/>
      <c r="I3158" s="124"/>
      <c r="J3158" s="124"/>
      <c r="K3158" s="124"/>
      <c r="L3158" s="124"/>
      <c r="M3158" s="124"/>
      <c r="N3158" s="124"/>
      <c r="O3158" s="124"/>
      <c r="P3158" s="124"/>
      <c r="Q3158" s="124"/>
      <c r="R3158" s="124"/>
      <c r="S3158" s="124"/>
      <c r="T3158" s="124"/>
      <c r="U3158" s="124"/>
      <c r="V3158" s="124"/>
      <c r="W3158" s="124"/>
      <c r="X3158" s="124"/>
      <c r="Y3158" s="124"/>
    </row>
    <row r="3159" spans="2:25" x14ac:dyDescent="0.25">
      <c r="B3159" s="124"/>
      <c r="C3159" s="124"/>
      <c r="D3159" s="124"/>
      <c r="E3159" s="124"/>
      <c r="F3159" s="124"/>
      <c r="G3159" s="124"/>
      <c r="H3159" s="124"/>
      <c r="I3159" s="124"/>
      <c r="J3159" s="124"/>
      <c r="K3159" s="124"/>
      <c r="L3159" s="124"/>
      <c r="M3159" s="124"/>
      <c r="N3159" s="124"/>
      <c r="O3159" s="124"/>
      <c r="P3159" s="124"/>
      <c r="Q3159" s="124"/>
      <c r="R3159" s="124"/>
      <c r="S3159" s="124"/>
      <c r="T3159" s="124"/>
      <c r="U3159" s="124"/>
      <c r="V3159" s="124"/>
      <c r="W3159" s="124"/>
      <c r="X3159" s="124"/>
      <c r="Y3159" s="124"/>
    </row>
    <row r="3160" spans="2:25" x14ac:dyDescent="0.25">
      <c r="B3160" s="124"/>
      <c r="C3160" s="124"/>
      <c r="D3160" s="124"/>
      <c r="E3160" s="124"/>
      <c r="F3160" s="124"/>
      <c r="G3160" s="124"/>
      <c r="H3160" s="124"/>
      <c r="I3160" s="124"/>
      <c r="J3160" s="124"/>
      <c r="K3160" s="124"/>
      <c r="L3160" s="124"/>
      <c r="M3160" s="124"/>
      <c r="N3160" s="124"/>
      <c r="O3160" s="124"/>
      <c r="P3160" s="124"/>
      <c r="Q3160" s="124"/>
      <c r="R3160" s="124"/>
      <c r="S3160" s="124"/>
      <c r="T3160" s="124"/>
      <c r="U3160" s="124"/>
      <c r="V3160" s="124"/>
      <c r="W3160" s="124"/>
      <c r="X3160" s="124"/>
      <c r="Y3160" s="124"/>
    </row>
    <row r="3161" spans="2:25" x14ac:dyDescent="0.25">
      <c r="B3161" s="124"/>
      <c r="C3161" s="124"/>
      <c r="D3161" s="124"/>
      <c r="E3161" s="124"/>
      <c r="F3161" s="124"/>
      <c r="G3161" s="124"/>
      <c r="H3161" s="124"/>
      <c r="I3161" s="124"/>
      <c r="J3161" s="124"/>
      <c r="K3161" s="124"/>
      <c r="L3161" s="124"/>
      <c r="M3161" s="124"/>
      <c r="N3161" s="124"/>
      <c r="O3161" s="124"/>
      <c r="P3161" s="124"/>
      <c r="Q3161" s="124"/>
      <c r="R3161" s="124"/>
      <c r="S3161" s="124"/>
      <c r="T3161" s="124"/>
      <c r="U3161" s="124"/>
      <c r="V3161" s="124"/>
      <c r="W3161" s="124"/>
      <c r="X3161" s="124"/>
      <c r="Y3161" s="124"/>
    </row>
    <row r="3162" spans="2:25" x14ac:dyDescent="0.25">
      <c r="B3162" s="124"/>
      <c r="C3162" s="124"/>
      <c r="D3162" s="124"/>
      <c r="E3162" s="124"/>
      <c r="F3162" s="124"/>
      <c r="G3162" s="124"/>
      <c r="H3162" s="124"/>
      <c r="I3162" s="124"/>
      <c r="J3162" s="124"/>
      <c r="K3162" s="124"/>
      <c r="L3162" s="124"/>
      <c r="M3162" s="124"/>
      <c r="N3162" s="124"/>
      <c r="O3162" s="124"/>
      <c r="P3162" s="124"/>
      <c r="Q3162" s="124"/>
      <c r="R3162" s="124"/>
      <c r="S3162" s="124"/>
      <c r="T3162" s="124"/>
      <c r="U3162" s="124"/>
      <c r="V3162" s="124"/>
      <c r="W3162" s="124"/>
      <c r="X3162" s="124"/>
      <c r="Y3162" s="124"/>
    </row>
    <row r="3163" spans="2:25" x14ac:dyDescent="0.25">
      <c r="B3163" s="124"/>
      <c r="C3163" s="124"/>
      <c r="D3163" s="124"/>
      <c r="E3163" s="124"/>
      <c r="F3163" s="124"/>
      <c r="G3163" s="124"/>
      <c r="H3163" s="124"/>
      <c r="I3163" s="124"/>
      <c r="J3163" s="124"/>
      <c r="K3163" s="124"/>
      <c r="L3163" s="124"/>
      <c r="M3163" s="124"/>
      <c r="N3163" s="124"/>
      <c r="O3163" s="124"/>
      <c r="P3163" s="124"/>
      <c r="Q3163" s="124"/>
      <c r="R3163" s="124"/>
      <c r="S3163" s="124"/>
      <c r="T3163" s="124"/>
      <c r="U3163" s="124"/>
      <c r="V3163" s="124"/>
      <c r="W3163" s="124"/>
      <c r="X3163" s="124"/>
      <c r="Y3163" s="124"/>
    </row>
    <row r="3164" spans="2:25" x14ac:dyDescent="0.25">
      <c r="B3164" s="124"/>
      <c r="C3164" s="124"/>
      <c r="D3164" s="124"/>
      <c r="E3164" s="124"/>
      <c r="F3164" s="124"/>
      <c r="G3164" s="124"/>
      <c r="H3164" s="124"/>
      <c r="I3164" s="124"/>
      <c r="J3164" s="124"/>
      <c r="K3164" s="124"/>
      <c r="L3164" s="124"/>
      <c r="M3164" s="124"/>
      <c r="N3164" s="124"/>
      <c r="O3164" s="124"/>
      <c r="P3164" s="124"/>
      <c r="Q3164" s="124"/>
      <c r="R3164" s="124"/>
      <c r="S3164" s="124"/>
      <c r="T3164" s="124"/>
      <c r="U3164" s="124"/>
      <c r="V3164" s="124"/>
      <c r="W3164" s="124"/>
      <c r="X3164" s="124"/>
      <c r="Y3164" s="124"/>
    </row>
    <row r="3165" spans="2:25" x14ac:dyDescent="0.25">
      <c r="B3165" s="124"/>
      <c r="C3165" s="124"/>
      <c r="D3165" s="124"/>
      <c r="E3165" s="124"/>
      <c r="F3165" s="124"/>
      <c r="G3165" s="124"/>
      <c r="H3165" s="124"/>
      <c r="I3165" s="124"/>
      <c r="J3165" s="124"/>
      <c r="K3165" s="124"/>
      <c r="L3165" s="124"/>
      <c r="M3165" s="124"/>
      <c r="N3165" s="124"/>
      <c r="O3165" s="124"/>
      <c r="P3165" s="124"/>
      <c r="Q3165" s="124"/>
      <c r="R3165" s="124"/>
      <c r="S3165" s="124"/>
      <c r="T3165" s="124"/>
      <c r="U3165" s="124"/>
      <c r="V3165" s="124"/>
      <c r="W3165" s="124"/>
      <c r="X3165" s="124"/>
      <c r="Y3165" s="124"/>
    </row>
    <row r="3166" spans="2:25" x14ac:dyDescent="0.25">
      <c r="B3166" s="124"/>
      <c r="C3166" s="124"/>
      <c r="D3166" s="124"/>
      <c r="E3166" s="124"/>
      <c r="F3166" s="124"/>
      <c r="G3166" s="124"/>
      <c r="H3166" s="124"/>
      <c r="I3166" s="124"/>
      <c r="J3166" s="124"/>
      <c r="K3166" s="124"/>
      <c r="L3166" s="124"/>
      <c r="M3166" s="124"/>
      <c r="N3166" s="124"/>
      <c r="O3166" s="124"/>
      <c r="P3166" s="124"/>
      <c r="Q3166" s="124"/>
      <c r="R3166" s="124"/>
      <c r="S3166" s="124"/>
      <c r="T3166" s="124"/>
      <c r="U3166" s="124"/>
      <c r="V3166" s="124"/>
      <c r="W3166" s="124"/>
      <c r="X3166" s="124"/>
      <c r="Y3166" s="124"/>
    </row>
    <row r="3167" spans="2:25" x14ac:dyDescent="0.25">
      <c r="B3167" s="124"/>
      <c r="C3167" s="124"/>
      <c r="D3167" s="124"/>
      <c r="E3167" s="124"/>
      <c r="F3167" s="124"/>
      <c r="G3167" s="124"/>
      <c r="H3167" s="124"/>
      <c r="I3167" s="124"/>
      <c r="J3167" s="124"/>
      <c r="K3167" s="124"/>
      <c r="L3167" s="124"/>
      <c r="M3167" s="124"/>
      <c r="N3167" s="124"/>
      <c r="O3167" s="124"/>
      <c r="P3167" s="124"/>
      <c r="Q3167" s="124"/>
      <c r="R3167" s="124"/>
      <c r="S3167" s="124"/>
      <c r="T3167" s="124"/>
      <c r="U3167" s="124"/>
      <c r="V3167" s="124"/>
      <c r="W3167" s="124"/>
      <c r="X3167" s="124"/>
      <c r="Y3167" s="124"/>
    </row>
    <row r="3168" spans="2:25" x14ac:dyDescent="0.25">
      <c r="B3168" s="124"/>
      <c r="C3168" s="124"/>
      <c r="D3168" s="124"/>
      <c r="E3168" s="124"/>
      <c r="F3168" s="124"/>
      <c r="G3168" s="124"/>
      <c r="H3168" s="124"/>
      <c r="I3168" s="124"/>
      <c r="J3168" s="124"/>
      <c r="K3168" s="124"/>
      <c r="L3168" s="124"/>
      <c r="M3168" s="124"/>
      <c r="N3168" s="124"/>
      <c r="O3168" s="124"/>
      <c r="P3168" s="124"/>
      <c r="Q3168" s="124"/>
      <c r="R3168" s="124"/>
      <c r="S3168" s="124"/>
      <c r="T3168" s="124"/>
      <c r="U3168" s="124"/>
      <c r="V3168" s="124"/>
      <c r="W3168" s="124"/>
      <c r="X3168" s="124"/>
      <c r="Y3168" s="124"/>
    </row>
    <row r="3169" spans="2:25" x14ac:dyDescent="0.25">
      <c r="B3169" s="124"/>
      <c r="C3169" s="124"/>
      <c r="D3169" s="124"/>
      <c r="E3169" s="124"/>
      <c r="F3169" s="124"/>
      <c r="G3169" s="124"/>
      <c r="H3169" s="124"/>
      <c r="I3169" s="124"/>
      <c r="J3169" s="124"/>
      <c r="K3169" s="124"/>
      <c r="L3169" s="124"/>
      <c r="M3169" s="124"/>
      <c r="N3169" s="124"/>
      <c r="O3169" s="124"/>
      <c r="P3169" s="124"/>
      <c r="Q3169" s="124"/>
      <c r="R3169" s="124"/>
      <c r="S3169" s="124"/>
      <c r="T3169" s="124"/>
      <c r="U3169" s="124"/>
      <c r="V3169" s="124"/>
      <c r="W3169" s="124"/>
      <c r="X3169" s="124"/>
      <c r="Y3169" s="124"/>
    </row>
    <row r="3170" spans="2:25" x14ac:dyDescent="0.25">
      <c r="B3170" s="124"/>
      <c r="C3170" s="124"/>
      <c r="D3170" s="124"/>
      <c r="E3170" s="124"/>
      <c r="F3170" s="124"/>
      <c r="G3170" s="124"/>
      <c r="H3170" s="124"/>
      <c r="I3170" s="124"/>
      <c r="J3170" s="124"/>
      <c r="K3170" s="124"/>
      <c r="L3170" s="124"/>
      <c r="M3170" s="124"/>
      <c r="N3170" s="124"/>
      <c r="O3170" s="124"/>
      <c r="P3170" s="124"/>
      <c r="Q3170" s="124"/>
      <c r="R3170" s="124"/>
      <c r="S3170" s="124"/>
      <c r="T3170" s="124"/>
      <c r="U3170" s="124"/>
      <c r="V3170" s="124"/>
      <c r="W3170" s="124"/>
      <c r="X3170" s="124"/>
      <c r="Y3170" s="124"/>
    </row>
    <row r="3171" spans="2:25" x14ac:dyDescent="0.25">
      <c r="B3171" s="124"/>
      <c r="C3171" s="124"/>
      <c r="D3171" s="124"/>
      <c r="E3171" s="124"/>
      <c r="F3171" s="124"/>
      <c r="G3171" s="124"/>
      <c r="H3171" s="124"/>
      <c r="I3171" s="124"/>
      <c r="J3171" s="124"/>
      <c r="K3171" s="124"/>
      <c r="L3171" s="124"/>
      <c r="M3171" s="124"/>
      <c r="N3171" s="124"/>
      <c r="O3171" s="124"/>
      <c r="P3171" s="124"/>
      <c r="Q3171" s="124"/>
      <c r="R3171" s="124"/>
      <c r="S3171" s="124"/>
      <c r="T3171" s="124"/>
      <c r="U3171" s="124"/>
      <c r="V3171" s="124"/>
      <c r="W3171" s="124"/>
      <c r="X3171" s="124"/>
      <c r="Y3171" s="124"/>
    </row>
    <row r="3172" spans="2:25" x14ac:dyDescent="0.25">
      <c r="B3172" s="124"/>
      <c r="C3172" s="124"/>
      <c r="D3172" s="124"/>
      <c r="E3172" s="124"/>
      <c r="F3172" s="124"/>
      <c r="G3172" s="124"/>
      <c r="H3172" s="124"/>
      <c r="I3172" s="124"/>
      <c r="J3172" s="124"/>
      <c r="K3172" s="124"/>
      <c r="L3172" s="124"/>
      <c r="M3172" s="124"/>
      <c r="N3172" s="124"/>
      <c r="O3172" s="124"/>
      <c r="P3172" s="124"/>
      <c r="Q3172" s="124"/>
      <c r="R3172" s="124"/>
      <c r="S3172" s="124"/>
      <c r="T3172" s="124"/>
      <c r="U3172" s="124"/>
      <c r="V3172" s="124"/>
      <c r="W3172" s="124"/>
      <c r="X3172" s="124"/>
      <c r="Y3172" s="124"/>
    </row>
    <row r="3173" spans="2:25" x14ac:dyDescent="0.25">
      <c r="B3173" s="124"/>
      <c r="C3173" s="124"/>
      <c r="D3173" s="124"/>
      <c r="E3173" s="124"/>
      <c r="F3173" s="124"/>
      <c r="G3173" s="124"/>
      <c r="H3173" s="124"/>
      <c r="I3173" s="124"/>
      <c r="J3173" s="124"/>
      <c r="K3173" s="124"/>
      <c r="L3173" s="124"/>
      <c r="M3173" s="124"/>
      <c r="N3173" s="124"/>
      <c r="O3173" s="124"/>
      <c r="P3173" s="124"/>
      <c r="Q3173" s="124"/>
      <c r="R3173" s="124"/>
      <c r="S3173" s="124"/>
      <c r="T3173" s="124"/>
      <c r="U3173" s="124"/>
      <c r="V3173" s="124"/>
      <c r="W3173" s="124"/>
      <c r="X3173" s="124"/>
      <c r="Y3173" s="124"/>
    </row>
    <row r="3174" spans="2:25" x14ac:dyDescent="0.25">
      <c r="B3174" s="124"/>
      <c r="C3174" s="124"/>
      <c r="D3174" s="124"/>
      <c r="E3174" s="124"/>
      <c r="F3174" s="124"/>
      <c r="G3174" s="124"/>
      <c r="H3174" s="124"/>
      <c r="I3174" s="124"/>
      <c r="J3174" s="124"/>
      <c r="K3174" s="124"/>
      <c r="L3174" s="124"/>
      <c r="M3174" s="124"/>
      <c r="N3174" s="124"/>
      <c r="O3174" s="124"/>
      <c r="P3174" s="124"/>
      <c r="Q3174" s="124"/>
      <c r="R3174" s="124"/>
      <c r="S3174" s="124"/>
      <c r="T3174" s="124"/>
      <c r="U3174" s="124"/>
      <c r="V3174" s="124"/>
      <c r="W3174" s="124"/>
      <c r="X3174" s="124"/>
      <c r="Y3174" s="124"/>
    </row>
    <row r="3175" spans="2:25" x14ac:dyDescent="0.25">
      <c r="B3175" s="124"/>
      <c r="C3175" s="124"/>
      <c r="D3175" s="124"/>
      <c r="E3175" s="124"/>
      <c r="F3175" s="124"/>
      <c r="G3175" s="124"/>
      <c r="H3175" s="124"/>
      <c r="I3175" s="124"/>
      <c r="J3175" s="124"/>
      <c r="K3175" s="124"/>
      <c r="L3175" s="124"/>
      <c r="M3175" s="124"/>
      <c r="N3175" s="124"/>
      <c r="O3175" s="124"/>
      <c r="P3175" s="124"/>
      <c r="Q3175" s="124"/>
      <c r="R3175" s="124"/>
      <c r="S3175" s="124"/>
      <c r="T3175" s="124"/>
      <c r="U3175" s="124"/>
      <c r="V3175" s="124"/>
      <c r="W3175" s="124"/>
      <c r="X3175" s="124"/>
      <c r="Y3175" s="124"/>
    </row>
    <row r="3176" spans="2:25" x14ac:dyDescent="0.25">
      <c r="B3176" s="124"/>
      <c r="C3176" s="124"/>
      <c r="D3176" s="124"/>
      <c r="E3176" s="124"/>
      <c r="F3176" s="124"/>
      <c r="G3176" s="124"/>
      <c r="H3176" s="124"/>
      <c r="I3176" s="124"/>
      <c r="J3176" s="124"/>
      <c r="K3176" s="124"/>
      <c r="L3176" s="124"/>
      <c r="M3176" s="124"/>
      <c r="N3176" s="124"/>
      <c r="O3176" s="124"/>
      <c r="P3176" s="124"/>
      <c r="Q3176" s="124"/>
      <c r="R3176" s="124"/>
      <c r="S3176" s="124"/>
      <c r="T3176" s="124"/>
      <c r="U3176" s="124"/>
      <c r="V3176" s="124"/>
      <c r="W3176" s="124"/>
      <c r="X3176" s="124"/>
      <c r="Y3176" s="124"/>
    </row>
    <row r="3177" spans="2:25" x14ac:dyDescent="0.25">
      <c r="B3177" s="124"/>
      <c r="C3177" s="124"/>
      <c r="D3177" s="124"/>
      <c r="E3177" s="124"/>
      <c r="F3177" s="124"/>
      <c r="G3177" s="124"/>
      <c r="H3177" s="124"/>
      <c r="I3177" s="124"/>
      <c r="J3177" s="124"/>
      <c r="K3177" s="124"/>
      <c r="L3177" s="124"/>
      <c r="M3177" s="124"/>
      <c r="N3177" s="124"/>
      <c r="O3177" s="124"/>
      <c r="P3177" s="124"/>
      <c r="Q3177" s="124"/>
      <c r="R3177" s="124"/>
      <c r="S3177" s="124"/>
      <c r="T3177" s="124"/>
      <c r="U3177" s="124"/>
      <c r="V3177" s="124"/>
      <c r="W3177" s="124"/>
      <c r="X3177" s="124"/>
      <c r="Y3177" s="124"/>
    </row>
    <row r="3178" spans="2:25" x14ac:dyDescent="0.25">
      <c r="B3178" s="124"/>
      <c r="C3178" s="124"/>
      <c r="D3178" s="124"/>
      <c r="E3178" s="124"/>
      <c r="F3178" s="124"/>
      <c r="G3178" s="124"/>
      <c r="H3178" s="124"/>
      <c r="I3178" s="124"/>
      <c r="J3178" s="124"/>
      <c r="K3178" s="124"/>
      <c r="L3178" s="124"/>
      <c r="M3178" s="124"/>
      <c r="N3178" s="124"/>
      <c r="O3178" s="124"/>
      <c r="P3178" s="124"/>
      <c r="Q3178" s="124"/>
      <c r="R3178" s="124"/>
      <c r="S3178" s="124"/>
      <c r="T3178" s="124"/>
      <c r="U3178" s="124"/>
      <c r="V3178" s="124"/>
      <c r="W3178" s="124"/>
      <c r="X3178" s="124"/>
      <c r="Y3178" s="124"/>
    </row>
    <row r="3179" spans="2:25" x14ac:dyDescent="0.25">
      <c r="B3179" s="124"/>
      <c r="C3179" s="124"/>
      <c r="D3179" s="124"/>
      <c r="E3179" s="124"/>
      <c r="F3179" s="124"/>
      <c r="G3179" s="124"/>
      <c r="H3179" s="124"/>
      <c r="I3179" s="124"/>
      <c r="J3179" s="124"/>
      <c r="K3179" s="124"/>
      <c r="L3179" s="124"/>
      <c r="M3179" s="124"/>
      <c r="N3179" s="124"/>
      <c r="O3179" s="124"/>
      <c r="P3179" s="124"/>
      <c r="Q3179" s="124"/>
      <c r="R3179" s="124"/>
      <c r="S3179" s="124"/>
      <c r="T3179" s="124"/>
      <c r="U3179" s="124"/>
      <c r="V3179" s="124"/>
      <c r="W3179" s="124"/>
      <c r="X3179" s="124"/>
      <c r="Y3179" s="124"/>
    </row>
    <row r="3180" spans="2:25" x14ac:dyDescent="0.25">
      <c r="B3180" s="124"/>
      <c r="C3180" s="124"/>
      <c r="D3180" s="124"/>
      <c r="E3180" s="124"/>
      <c r="F3180" s="124"/>
      <c r="G3180" s="124"/>
      <c r="H3180" s="124"/>
      <c r="I3180" s="124"/>
      <c r="J3180" s="124"/>
      <c r="K3180" s="124"/>
      <c r="L3180" s="124"/>
      <c r="M3180" s="124"/>
      <c r="N3180" s="124"/>
      <c r="O3180" s="124"/>
      <c r="P3180" s="124"/>
      <c r="Q3180" s="124"/>
      <c r="R3180" s="124"/>
      <c r="S3180" s="124"/>
      <c r="T3180" s="124"/>
      <c r="U3180" s="124"/>
      <c r="V3180" s="124"/>
      <c r="W3180" s="124"/>
      <c r="X3180" s="124"/>
      <c r="Y3180" s="124"/>
    </row>
    <row r="3181" spans="2:25" x14ac:dyDescent="0.25">
      <c r="B3181" s="124"/>
      <c r="C3181" s="124"/>
      <c r="D3181" s="124"/>
      <c r="E3181" s="124"/>
      <c r="F3181" s="124"/>
      <c r="G3181" s="124"/>
      <c r="H3181" s="124"/>
      <c r="I3181" s="124"/>
      <c r="J3181" s="124"/>
      <c r="K3181" s="124"/>
      <c r="L3181" s="124"/>
      <c r="M3181" s="124"/>
      <c r="N3181" s="124"/>
      <c r="O3181" s="124"/>
      <c r="P3181" s="124"/>
      <c r="Q3181" s="124"/>
      <c r="R3181" s="124"/>
      <c r="S3181" s="124"/>
      <c r="T3181" s="124"/>
      <c r="U3181" s="124"/>
      <c r="V3181" s="124"/>
      <c r="W3181" s="124"/>
      <c r="X3181" s="124"/>
      <c r="Y3181" s="124"/>
    </row>
    <row r="3182" spans="2:25" x14ac:dyDescent="0.25">
      <c r="B3182" s="124"/>
      <c r="C3182" s="124"/>
      <c r="D3182" s="124"/>
      <c r="E3182" s="124"/>
      <c r="F3182" s="124"/>
      <c r="G3182" s="124"/>
      <c r="H3182" s="124"/>
      <c r="I3182" s="124"/>
      <c r="J3182" s="124"/>
      <c r="K3182" s="124"/>
      <c r="L3182" s="124"/>
      <c r="M3182" s="124"/>
      <c r="N3182" s="124"/>
      <c r="O3182" s="124"/>
      <c r="P3182" s="124"/>
      <c r="Q3182" s="124"/>
      <c r="R3182" s="124"/>
      <c r="S3182" s="124"/>
      <c r="T3182" s="124"/>
      <c r="U3182" s="124"/>
      <c r="V3182" s="124"/>
      <c r="W3182" s="124"/>
      <c r="X3182" s="124"/>
      <c r="Y3182" s="124"/>
    </row>
    <row r="3183" spans="2:25" x14ac:dyDescent="0.25">
      <c r="B3183" s="124"/>
      <c r="C3183" s="124"/>
      <c r="D3183" s="124"/>
      <c r="E3183" s="124"/>
      <c r="F3183" s="124"/>
      <c r="G3183" s="124"/>
      <c r="H3183" s="124"/>
      <c r="I3183" s="124"/>
      <c r="J3183" s="124"/>
      <c r="K3183" s="124"/>
      <c r="L3183" s="124"/>
      <c r="M3183" s="124"/>
      <c r="N3183" s="124"/>
      <c r="O3183" s="124"/>
      <c r="P3183" s="124"/>
      <c r="Q3183" s="124"/>
      <c r="R3183" s="124"/>
      <c r="S3183" s="124"/>
      <c r="T3183" s="124"/>
      <c r="U3183" s="124"/>
      <c r="V3183" s="124"/>
      <c r="W3183" s="124"/>
      <c r="X3183" s="124"/>
      <c r="Y3183" s="124"/>
    </row>
    <row r="3184" spans="2:25" x14ac:dyDescent="0.25">
      <c r="B3184" s="124"/>
      <c r="C3184" s="124"/>
      <c r="D3184" s="124"/>
      <c r="E3184" s="124"/>
      <c r="F3184" s="124"/>
      <c r="G3184" s="124"/>
      <c r="H3184" s="124"/>
      <c r="I3184" s="124"/>
      <c r="J3184" s="124"/>
      <c r="K3184" s="124"/>
      <c r="L3184" s="124"/>
      <c r="M3184" s="124"/>
      <c r="N3184" s="124"/>
      <c r="O3184" s="124"/>
      <c r="P3184" s="124"/>
      <c r="Q3184" s="124"/>
      <c r="R3184" s="124"/>
      <c r="S3184" s="124"/>
      <c r="T3184" s="124"/>
      <c r="U3184" s="124"/>
      <c r="V3184" s="124"/>
      <c r="W3184" s="124"/>
      <c r="X3184" s="124"/>
      <c r="Y3184" s="124"/>
    </row>
    <row r="3185" spans="2:25" x14ac:dyDescent="0.25">
      <c r="B3185" s="124"/>
      <c r="C3185" s="124"/>
      <c r="D3185" s="124"/>
      <c r="E3185" s="124"/>
      <c r="F3185" s="124"/>
      <c r="G3185" s="124"/>
      <c r="H3185" s="124"/>
      <c r="I3185" s="124"/>
      <c r="J3185" s="124"/>
      <c r="K3185" s="124"/>
      <c r="L3185" s="124"/>
      <c r="M3185" s="124"/>
      <c r="N3185" s="124"/>
      <c r="O3185" s="124"/>
      <c r="P3185" s="124"/>
      <c r="Q3185" s="124"/>
      <c r="R3185" s="124"/>
      <c r="S3185" s="124"/>
      <c r="T3185" s="124"/>
      <c r="U3185" s="124"/>
      <c r="V3185" s="124"/>
      <c r="W3185" s="124"/>
      <c r="X3185" s="124"/>
      <c r="Y3185" s="124"/>
    </row>
    <row r="3186" spans="2:25" x14ac:dyDescent="0.25">
      <c r="B3186" s="124"/>
      <c r="C3186" s="124"/>
      <c r="D3186" s="124"/>
      <c r="E3186" s="124"/>
      <c r="F3186" s="124"/>
      <c r="G3186" s="124"/>
      <c r="H3186" s="124"/>
      <c r="I3186" s="124"/>
      <c r="J3186" s="124"/>
      <c r="K3186" s="124"/>
      <c r="L3186" s="124"/>
      <c r="M3186" s="124"/>
      <c r="N3186" s="124"/>
      <c r="O3186" s="124"/>
      <c r="P3186" s="124"/>
      <c r="Q3186" s="124"/>
      <c r="R3186" s="124"/>
      <c r="S3186" s="124"/>
      <c r="T3186" s="124"/>
      <c r="U3186" s="124"/>
      <c r="V3186" s="124"/>
      <c r="W3186" s="124"/>
      <c r="X3186" s="124"/>
      <c r="Y3186" s="124"/>
    </row>
    <row r="3187" spans="2:25" x14ac:dyDescent="0.25">
      <c r="B3187" s="124"/>
      <c r="C3187" s="124"/>
      <c r="D3187" s="124"/>
      <c r="E3187" s="124"/>
      <c r="F3187" s="124"/>
      <c r="G3187" s="124"/>
      <c r="H3187" s="124"/>
      <c r="I3187" s="124"/>
      <c r="J3187" s="124"/>
      <c r="K3187" s="124"/>
      <c r="L3187" s="124"/>
      <c r="M3187" s="124"/>
      <c r="N3187" s="124"/>
      <c r="O3187" s="124"/>
      <c r="P3187" s="124"/>
      <c r="Q3187" s="124"/>
      <c r="R3187" s="124"/>
      <c r="S3187" s="124"/>
      <c r="T3187" s="124"/>
      <c r="U3187" s="124"/>
      <c r="V3187" s="124"/>
      <c r="W3187" s="124"/>
      <c r="X3187" s="124"/>
      <c r="Y3187" s="124"/>
    </row>
    <row r="3188" spans="2:25" x14ac:dyDescent="0.25">
      <c r="B3188" s="124"/>
      <c r="C3188" s="124"/>
      <c r="D3188" s="124"/>
      <c r="E3188" s="124"/>
      <c r="F3188" s="124"/>
      <c r="G3188" s="124"/>
      <c r="H3188" s="124"/>
      <c r="I3188" s="124"/>
      <c r="J3188" s="124"/>
      <c r="K3188" s="124"/>
      <c r="L3188" s="124"/>
      <c r="M3188" s="124"/>
      <c r="N3188" s="124"/>
      <c r="O3188" s="124"/>
      <c r="P3188" s="124"/>
      <c r="Q3188" s="124"/>
      <c r="R3188" s="124"/>
      <c r="S3188" s="124"/>
      <c r="T3188" s="124"/>
      <c r="U3188" s="124"/>
      <c r="V3188" s="124"/>
      <c r="W3188" s="124"/>
      <c r="X3188" s="124"/>
      <c r="Y3188" s="124"/>
    </row>
    <row r="3189" spans="2:25" x14ac:dyDescent="0.25">
      <c r="B3189" s="124"/>
      <c r="C3189" s="124"/>
      <c r="D3189" s="124"/>
      <c r="E3189" s="124"/>
      <c r="F3189" s="124"/>
      <c r="G3189" s="124"/>
      <c r="H3189" s="124"/>
      <c r="I3189" s="124"/>
      <c r="J3189" s="124"/>
      <c r="K3189" s="124"/>
      <c r="L3189" s="124"/>
      <c r="M3189" s="124"/>
      <c r="N3189" s="124"/>
      <c r="O3189" s="124"/>
      <c r="P3189" s="124"/>
      <c r="Q3189" s="124"/>
      <c r="R3189" s="124"/>
      <c r="S3189" s="124"/>
      <c r="T3189" s="124"/>
      <c r="U3189" s="124"/>
      <c r="V3189" s="124"/>
      <c r="W3189" s="124"/>
      <c r="X3189" s="124"/>
      <c r="Y3189" s="124"/>
    </row>
    <row r="3190" spans="2:25" x14ac:dyDescent="0.25">
      <c r="B3190" s="124"/>
      <c r="C3190" s="124"/>
      <c r="D3190" s="124"/>
      <c r="E3190" s="124"/>
      <c r="F3190" s="124"/>
      <c r="G3190" s="124"/>
      <c r="H3190" s="124"/>
      <c r="I3190" s="124"/>
      <c r="J3190" s="124"/>
      <c r="K3190" s="124"/>
      <c r="L3190" s="124"/>
      <c r="M3190" s="124"/>
      <c r="N3190" s="124"/>
      <c r="O3190" s="124"/>
      <c r="P3190" s="124"/>
      <c r="Q3190" s="124"/>
      <c r="R3190" s="124"/>
      <c r="S3190" s="124"/>
      <c r="T3190" s="124"/>
      <c r="U3190" s="124"/>
      <c r="V3190" s="124"/>
      <c r="W3190" s="124"/>
      <c r="X3190" s="124"/>
      <c r="Y3190" s="124"/>
    </row>
    <row r="3191" spans="2:25" x14ac:dyDescent="0.25">
      <c r="B3191" s="124"/>
      <c r="C3191" s="124"/>
      <c r="D3191" s="124"/>
      <c r="E3191" s="124"/>
      <c r="F3191" s="124"/>
      <c r="G3191" s="124"/>
      <c r="H3191" s="124"/>
      <c r="I3191" s="124"/>
      <c r="J3191" s="124"/>
      <c r="K3191" s="124"/>
      <c r="L3191" s="124"/>
      <c r="M3191" s="124"/>
      <c r="N3191" s="124"/>
      <c r="O3191" s="124"/>
      <c r="P3191" s="124"/>
      <c r="Q3191" s="124"/>
      <c r="R3191" s="124"/>
      <c r="S3191" s="124"/>
      <c r="T3191" s="124"/>
      <c r="U3191" s="124"/>
      <c r="V3191" s="124"/>
      <c r="W3191" s="124"/>
      <c r="X3191" s="124"/>
      <c r="Y3191" s="124"/>
    </row>
    <row r="3192" spans="2:25" x14ac:dyDescent="0.25">
      <c r="B3192" s="124"/>
      <c r="C3192" s="124"/>
      <c r="D3192" s="124"/>
      <c r="E3192" s="124"/>
      <c r="F3192" s="124"/>
      <c r="G3192" s="124"/>
      <c r="H3192" s="124"/>
      <c r="I3192" s="124"/>
      <c r="J3192" s="124"/>
      <c r="K3192" s="124"/>
      <c r="L3192" s="124"/>
      <c r="M3192" s="124"/>
      <c r="N3192" s="124"/>
      <c r="O3192" s="124"/>
      <c r="P3192" s="124"/>
      <c r="Q3192" s="124"/>
      <c r="R3192" s="124"/>
      <c r="S3192" s="124"/>
      <c r="T3192" s="124"/>
      <c r="U3192" s="124"/>
      <c r="V3192" s="124"/>
      <c r="W3192" s="124"/>
      <c r="X3192" s="124"/>
      <c r="Y3192" s="124"/>
    </row>
    <row r="3193" spans="2:25" x14ac:dyDescent="0.25">
      <c r="B3193" s="124"/>
      <c r="C3193" s="124"/>
      <c r="D3193" s="124"/>
      <c r="E3193" s="124"/>
      <c r="F3193" s="124"/>
      <c r="G3193" s="124"/>
      <c r="H3193" s="124"/>
      <c r="I3193" s="124"/>
      <c r="J3193" s="124"/>
      <c r="K3193" s="124"/>
      <c r="L3193" s="124"/>
      <c r="M3193" s="124"/>
      <c r="N3193" s="124"/>
      <c r="O3193" s="124"/>
      <c r="P3193" s="124"/>
      <c r="Q3193" s="124"/>
      <c r="R3193" s="124"/>
      <c r="S3193" s="124"/>
      <c r="T3193" s="124"/>
      <c r="U3193" s="124"/>
      <c r="V3193" s="124"/>
      <c r="W3193" s="124"/>
      <c r="X3193" s="124"/>
      <c r="Y3193" s="124"/>
    </row>
    <row r="3194" spans="2:25" x14ac:dyDescent="0.25">
      <c r="B3194" s="124"/>
      <c r="C3194" s="124"/>
      <c r="D3194" s="124"/>
      <c r="E3194" s="124"/>
      <c r="F3194" s="124"/>
      <c r="G3194" s="124"/>
      <c r="H3194" s="124"/>
      <c r="I3194" s="124"/>
      <c r="J3194" s="124"/>
      <c r="K3194" s="124"/>
      <c r="L3194" s="124"/>
      <c r="M3194" s="124"/>
      <c r="N3194" s="124"/>
      <c r="O3194" s="124"/>
      <c r="P3194" s="124"/>
      <c r="Q3194" s="124"/>
      <c r="R3194" s="124"/>
      <c r="S3194" s="124"/>
      <c r="T3194" s="124"/>
      <c r="U3194" s="124"/>
      <c r="V3194" s="124"/>
      <c r="W3194" s="124"/>
      <c r="X3194" s="124"/>
      <c r="Y3194" s="124"/>
    </row>
    <row r="3195" spans="2:25" x14ac:dyDescent="0.25">
      <c r="B3195" s="124"/>
      <c r="C3195" s="124"/>
      <c r="D3195" s="124"/>
      <c r="E3195" s="124"/>
      <c r="F3195" s="124"/>
      <c r="G3195" s="124"/>
      <c r="H3195" s="124"/>
      <c r="I3195" s="124"/>
      <c r="J3195" s="124"/>
      <c r="K3195" s="124"/>
      <c r="L3195" s="124"/>
      <c r="M3195" s="124"/>
      <c r="N3195" s="124"/>
      <c r="O3195" s="124"/>
      <c r="P3195" s="124"/>
      <c r="Q3195" s="124"/>
      <c r="R3195" s="124"/>
      <c r="S3195" s="124"/>
      <c r="T3195" s="124"/>
      <c r="U3195" s="124"/>
      <c r="V3195" s="124"/>
      <c r="W3195" s="124"/>
      <c r="X3195" s="124"/>
      <c r="Y3195" s="124"/>
    </row>
    <row r="3196" spans="2:25" x14ac:dyDescent="0.25">
      <c r="B3196" s="124"/>
      <c r="C3196" s="124"/>
      <c r="D3196" s="124"/>
      <c r="E3196" s="124"/>
      <c r="F3196" s="124"/>
      <c r="G3196" s="124"/>
      <c r="H3196" s="124"/>
      <c r="I3196" s="124"/>
      <c r="J3196" s="124"/>
      <c r="K3196" s="124"/>
      <c r="L3196" s="124"/>
      <c r="M3196" s="124"/>
      <c r="N3196" s="124"/>
      <c r="O3196" s="124"/>
      <c r="P3196" s="124"/>
      <c r="Q3196" s="124"/>
      <c r="R3196" s="124"/>
      <c r="S3196" s="124"/>
      <c r="T3196" s="124"/>
      <c r="U3196" s="124"/>
      <c r="V3196" s="124"/>
      <c r="W3196" s="124"/>
      <c r="X3196" s="124"/>
      <c r="Y3196" s="124"/>
    </row>
    <row r="3197" spans="2:25" x14ac:dyDescent="0.25">
      <c r="B3197" s="124"/>
      <c r="C3197" s="124"/>
      <c r="D3197" s="124"/>
      <c r="E3197" s="124"/>
      <c r="F3197" s="124"/>
      <c r="G3197" s="124"/>
      <c r="H3197" s="124"/>
      <c r="I3197" s="124"/>
      <c r="J3197" s="124"/>
      <c r="K3197" s="124"/>
      <c r="L3197" s="124"/>
      <c r="M3197" s="124"/>
      <c r="N3197" s="124"/>
      <c r="O3197" s="124"/>
      <c r="P3197" s="124"/>
      <c r="Q3197" s="124"/>
      <c r="R3197" s="124"/>
      <c r="S3197" s="124"/>
      <c r="T3197" s="124"/>
      <c r="U3197" s="124"/>
      <c r="V3197" s="124"/>
      <c r="W3197" s="124"/>
      <c r="X3197" s="124"/>
      <c r="Y3197" s="124"/>
    </row>
    <row r="3198" spans="2:25" x14ac:dyDescent="0.25">
      <c r="B3198" s="124"/>
      <c r="C3198" s="124"/>
      <c r="D3198" s="124"/>
      <c r="E3198" s="124"/>
      <c r="F3198" s="124"/>
      <c r="G3198" s="124"/>
      <c r="H3198" s="124"/>
      <c r="I3198" s="124"/>
      <c r="J3198" s="124"/>
      <c r="K3198" s="124"/>
      <c r="L3198" s="124"/>
      <c r="M3198" s="124"/>
      <c r="N3198" s="124"/>
      <c r="O3198" s="124"/>
      <c r="P3198" s="124"/>
      <c r="Q3198" s="124"/>
      <c r="R3198" s="124"/>
      <c r="S3198" s="124"/>
      <c r="T3198" s="124"/>
      <c r="U3198" s="124"/>
      <c r="V3198" s="124"/>
      <c r="W3198" s="124"/>
      <c r="X3198" s="124"/>
      <c r="Y3198" s="124"/>
    </row>
    <row r="3199" spans="2:25" x14ac:dyDescent="0.25">
      <c r="B3199" s="124"/>
      <c r="C3199" s="124"/>
      <c r="D3199" s="124"/>
      <c r="E3199" s="124"/>
      <c r="F3199" s="124"/>
      <c r="G3199" s="124"/>
      <c r="H3199" s="124"/>
      <c r="I3199" s="124"/>
      <c r="J3199" s="124"/>
      <c r="K3199" s="124"/>
      <c r="L3199" s="124"/>
      <c r="M3199" s="124"/>
      <c r="N3199" s="124"/>
      <c r="O3199" s="124"/>
      <c r="P3199" s="124"/>
      <c r="Q3199" s="124"/>
      <c r="R3199" s="124"/>
      <c r="S3199" s="124"/>
      <c r="T3199" s="124"/>
      <c r="U3199" s="124"/>
      <c r="V3199" s="124"/>
      <c r="W3199" s="124"/>
      <c r="X3199" s="124"/>
      <c r="Y3199" s="124"/>
    </row>
    <row r="3200" spans="2:25" x14ac:dyDescent="0.25">
      <c r="B3200" s="124"/>
      <c r="C3200" s="124"/>
      <c r="D3200" s="124"/>
      <c r="E3200" s="124"/>
      <c r="F3200" s="124"/>
      <c r="G3200" s="124"/>
      <c r="H3200" s="124"/>
      <c r="I3200" s="124"/>
      <c r="J3200" s="124"/>
      <c r="K3200" s="124"/>
      <c r="L3200" s="124"/>
      <c r="M3200" s="124"/>
      <c r="N3200" s="124"/>
      <c r="O3200" s="124"/>
      <c r="P3200" s="124"/>
      <c r="Q3200" s="124"/>
      <c r="R3200" s="124"/>
      <c r="S3200" s="124"/>
      <c r="T3200" s="124"/>
      <c r="U3200" s="124"/>
      <c r="V3200" s="124"/>
      <c r="W3200" s="124"/>
      <c r="X3200" s="124"/>
      <c r="Y3200" s="124"/>
    </row>
    <row r="3201" spans="2:25" x14ac:dyDescent="0.25">
      <c r="B3201" s="124"/>
      <c r="C3201" s="124"/>
      <c r="D3201" s="124"/>
      <c r="E3201" s="124"/>
      <c r="F3201" s="124"/>
      <c r="G3201" s="124"/>
      <c r="H3201" s="124"/>
      <c r="I3201" s="124"/>
      <c r="J3201" s="124"/>
      <c r="K3201" s="124"/>
      <c r="L3201" s="124"/>
      <c r="M3201" s="124"/>
      <c r="N3201" s="124"/>
      <c r="O3201" s="124"/>
      <c r="P3201" s="124"/>
      <c r="Q3201" s="124"/>
      <c r="R3201" s="124"/>
      <c r="S3201" s="124"/>
      <c r="T3201" s="124"/>
      <c r="U3201" s="124"/>
      <c r="V3201" s="124"/>
      <c r="W3201" s="124"/>
      <c r="X3201" s="124"/>
      <c r="Y3201" s="124"/>
    </row>
    <row r="3202" spans="2:25" x14ac:dyDescent="0.25">
      <c r="B3202" s="124"/>
      <c r="C3202" s="124"/>
      <c r="D3202" s="124"/>
      <c r="E3202" s="124"/>
      <c r="F3202" s="124"/>
      <c r="G3202" s="124"/>
      <c r="H3202" s="124"/>
      <c r="I3202" s="124"/>
      <c r="J3202" s="124"/>
      <c r="K3202" s="124"/>
      <c r="L3202" s="124"/>
      <c r="M3202" s="124"/>
      <c r="N3202" s="124"/>
      <c r="O3202" s="124"/>
      <c r="P3202" s="124"/>
      <c r="Q3202" s="124"/>
      <c r="R3202" s="124"/>
      <c r="S3202" s="124"/>
      <c r="T3202" s="124"/>
      <c r="U3202" s="124"/>
      <c r="V3202" s="124"/>
      <c r="W3202" s="124"/>
      <c r="X3202" s="124"/>
      <c r="Y3202" s="124"/>
    </row>
    <row r="3203" spans="2:25" x14ac:dyDescent="0.25">
      <c r="B3203" s="124"/>
      <c r="C3203" s="124"/>
      <c r="D3203" s="124"/>
      <c r="E3203" s="124"/>
      <c r="F3203" s="124"/>
      <c r="G3203" s="124"/>
      <c r="H3203" s="124"/>
      <c r="I3203" s="124"/>
      <c r="J3203" s="124"/>
      <c r="K3203" s="124"/>
      <c r="L3203" s="124"/>
      <c r="M3203" s="124"/>
      <c r="N3203" s="124"/>
      <c r="O3203" s="124"/>
      <c r="P3203" s="124"/>
      <c r="Q3203" s="124"/>
      <c r="R3203" s="124"/>
      <c r="S3203" s="124"/>
      <c r="T3203" s="124"/>
      <c r="U3203" s="124"/>
      <c r="V3203" s="124"/>
      <c r="W3203" s="124"/>
      <c r="X3203" s="124"/>
      <c r="Y3203" s="124"/>
    </row>
    <row r="3204" spans="2:25" x14ac:dyDescent="0.25">
      <c r="B3204" s="124"/>
      <c r="C3204" s="124"/>
      <c r="D3204" s="124"/>
      <c r="E3204" s="124"/>
      <c r="F3204" s="124"/>
      <c r="G3204" s="124"/>
      <c r="H3204" s="124"/>
      <c r="I3204" s="124"/>
      <c r="J3204" s="124"/>
      <c r="K3204" s="124"/>
      <c r="L3204" s="124"/>
      <c r="M3204" s="124"/>
      <c r="N3204" s="124"/>
      <c r="O3204" s="124"/>
      <c r="P3204" s="124"/>
      <c r="Q3204" s="124"/>
      <c r="R3204" s="124"/>
      <c r="S3204" s="124"/>
      <c r="T3204" s="124"/>
      <c r="U3204" s="124"/>
      <c r="V3204" s="124"/>
      <c r="W3204" s="124"/>
      <c r="X3204" s="124"/>
      <c r="Y3204" s="124"/>
    </row>
    <row r="3205" spans="2:25" x14ac:dyDescent="0.25">
      <c r="B3205" s="124"/>
      <c r="C3205" s="124"/>
      <c r="D3205" s="124"/>
      <c r="E3205" s="124"/>
      <c r="F3205" s="124"/>
      <c r="G3205" s="124"/>
      <c r="H3205" s="124"/>
      <c r="I3205" s="124"/>
      <c r="J3205" s="124"/>
      <c r="K3205" s="124"/>
      <c r="L3205" s="124"/>
      <c r="M3205" s="124"/>
      <c r="N3205" s="124"/>
      <c r="O3205" s="124"/>
      <c r="P3205" s="124"/>
      <c r="Q3205" s="124"/>
      <c r="R3205" s="124"/>
      <c r="S3205" s="124"/>
      <c r="T3205" s="124"/>
      <c r="U3205" s="124"/>
      <c r="V3205" s="124"/>
      <c r="W3205" s="124"/>
      <c r="X3205" s="124"/>
      <c r="Y3205" s="124"/>
    </row>
    <row r="3206" spans="2:25" x14ac:dyDescent="0.25">
      <c r="B3206" s="124"/>
      <c r="C3206" s="124"/>
      <c r="D3206" s="124"/>
      <c r="E3206" s="124"/>
      <c r="F3206" s="124"/>
      <c r="G3206" s="124"/>
      <c r="H3206" s="124"/>
      <c r="I3206" s="124"/>
      <c r="J3206" s="124"/>
      <c r="K3206" s="124"/>
      <c r="L3206" s="124"/>
      <c r="M3206" s="124"/>
      <c r="N3206" s="124"/>
      <c r="O3206" s="124"/>
      <c r="P3206" s="124"/>
      <c r="Q3206" s="124"/>
      <c r="R3206" s="124"/>
      <c r="S3206" s="124"/>
      <c r="T3206" s="124"/>
      <c r="U3206" s="124"/>
      <c r="V3206" s="124"/>
      <c r="W3206" s="124"/>
      <c r="X3206" s="124"/>
      <c r="Y3206" s="124"/>
    </row>
    <row r="3207" spans="2:25" x14ac:dyDescent="0.25">
      <c r="B3207" s="124"/>
      <c r="C3207" s="124"/>
      <c r="D3207" s="124"/>
      <c r="E3207" s="124"/>
      <c r="F3207" s="124"/>
      <c r="G3207" s="124"/>
      <c r="H3207" s="124"/>
      <c r="I3207" s="124"/>
      <c r="J3207" s="124"/>
      <c r="K3207" s="124"/>
      <c r="L3207" s="124"/>
      <c r="M3207" s="124"/>
      <c r="N3207" s="124"/>
      <c r="O3207" s="124"/>
      <c r="P3207" s="124"/>
      <c r="Q3207" s="124"/>
      <c r="R3207" s="124"/>
      <c r="S3207" s="124"/>
      <c r="T3207" s="124"/>
      <c r="U3207" s="124"/>
      <c r="V3207" s="124"/>
      <c r="W3207" s="124"/>
      <c r="X3207" s="124"/>
      <c r="Y3207" s="124"/>
    </row>
    <row r="3208" spans="2:25" x14ac:dyDescent="0.25">
      <c r="B3208" s="124"/>
      <c r="C3208" s="124"/>
      <c r="D3208" s="124"/>
      <c r="E3208" s="124"/>
      <c r="F3208" s="124"/>
      <c r="G3208" s="124"/>
      <c r="H3208" s="124"/>
      <c r="I3208" s="124"/>
      <c r="J3208" s="124"/>
      <c r="K3208" s="124"/>
      <c r="L3208" s="124"/>
      <c r="M3208" s="124"/>
      <c r="N3208" s="124"/>
      <c r="O3208" s="124"/>
      <c r="P3208" s="124"/>
      <c r="Q3208" s="124"/>
      <c r="R3208" s="124"/>
      <c r="S3208" s="124"/>
      <c r="T3208" s="124"/>
      <c r="U3208" s="124"/>
      <c r="V3208" s="124"/>
      <c r="W3208" s="124"/>
      <c r="X3208" s="124"/>
      <c r="Y3208" s="124"/>
    </row>
    <row r="3209" spans="2:25" x14ac:dyDescent="0.25">
      <c r="B3209" s="124"/>
      <c r="C3209" s="124"/>
      <c r="D3209" s="124"/>
      <c r="E3209" s="124"/>
      <c r="F3209" s="124"/>
      <c r="G3209" s="124"/>
      <c r="H3209" s="124"/>
      <c r="I3209" s="124"/>
      <c r="J3209" s="124"/>
      <c r="K3209" s="124"/>
      <c r="L3209" s="124"/>
      <c r="M3209" s="124"/>
      <c r="N3209" s="124"/>
      <c r="O3209" s="124"/>
      <c r="P3209" s="124"/>
      <c r="Q3209" s="124"/>
      <c r="R3209" s="124"/>
      <c r="S3209" s="124"/>
      <c r="T3209" s="124"/>
      <c r="U3209" s="124"/>
      <c r="V3209" s="124"/>
      <c r="W3209" s="124"/>
      <c r="X3209" s="124"/>
      <c r="Y3209" s="124"/>
    </row>
    <row r="3210" spans="2:25" x14ac:dyDescent="0.25">
      <c r="B3210" s="124"/>
      <c r="C3210" s="124"/>
      <c r="D3210" s="124"/>
      <c r="E3210" s="124"/>
      <c r="F3210" s="124"/>
      <c r="G3210" s="124"/>
      <c r="H3210" s="124"/>
      <c r="I3210" s="124"/>
      <c r="J3210" s="124"/>
      <c r="K3210" s="124"/>
      <c r="L3210" s="124"/>
      <c r="M3210" s="124"/>
      <c r="N3210" s="124"/>
      <c r="O3210" s="124"/>
      <c r="P3210" s="124"/>
      <c r="Q3210" s="124"/>
      <c r="R3210" s="124"/>
      <c r="S3210" s="124"/>
      <c r="T3210" s="124"/>
      <c r="U3210" s="124"/>
      <c r="V3210" s="124"/>
      <c r="W3210" s="124"/>
      <c r="X3210" s="124"/>
      <c r="Y3210" s="124"/>
    </row>
    <row r="3211" spans="2:25" x14ac:dyDescent="0.25">
      <c r="B3211" s="124"/>
      <c r="C3211" s="124"/>
      <c r="D3211" s="124"/>
      <c r="E3211" s="124"/>
      <c r="F3211" s="124"/>
      <c r="G3211" s="124"/>
      <c r="H3211" s="124"/>
      <c r="I3211" s="124"/>
      <c r="J3211" s="124"/>
      <c r="K3211" s="124"/>
      <c r="L3211" s="124"/>
      <c r="M3211" s="124"/>
      <c r="N3211" s="124"/>
      <c r="O3211" s="124"/>
      <c r="P3211" s="124"/>
      <c r="Q3211" s="124"/>
      <c r="R3211" s="124"/>
      <c r="S3211" s="124"/>
      <c r="T3211" s="124"/>
      <c r="U3211" s="124"/>
      <c r="V3211" s="124"/>
      <c r="W3211" s="124"/>
      <c r="X3211" s="124"/>
      <c r="Y3211" s="124"/>
    </row>
    <row r="3212" spans="2:25" x14ac:dyDescent="0.25">
      <c r="B3212" s="124"/>
      <c r="C3212" s="124"/>
      <c r="D3212" s="124"/>
      <c r="E3212" s="124"/>
      <c r="F3212" s="124"/>
      <c r="G3212" s="124"/>
      <c r="H3212" s="124"/>
      <c r="I3212" s="124"/>
      <c r="J3212" s="124"/>
      <c r="K3212" s="124"/>
      <c r="L3212" s="124"/>
      <c r="M3212" s="124"/>
      <c r="N3212" s="124"/>
      <c r="O3212" s="124"/>
      <c r="P3212" s="124"/>
      <c r="Q3212" s="124"/>
      <c r="R3212" s="124"/>
      <c r="S3212" s="124"/>
      <c r="T3212" s="124"/>
      <c r="U3212" s="124"/>
      <c r="V3212" s="124"/>
      <c r="W3212" s="124"/>
      <c r="X3212" s="124"/>
      <c r="Y3212" s="124"/>
    </row>
    <row r="3213" spans="2:25" x14ac:dyDescent="0.25">
      <c r="B3213" s="124"/>
      <c r="C3213" s="124"/>
      <c r="D3213" s="124"/>
      <c r="E3213" s="124"/>
      <c r="F3213" s="124"/>
      <c r="G3213" s="124"/>
      <c r="H3213" s="124"/>
      <c r="I3213" s="124"/>
      <c r="J3213" s="124"/>
      <c r="K3213" s="124"/>
      <c r="L3213" s="124"/>
      <c r="M3213" s="124"/>
      <c r="N3213" s="124"/>
      <c r="O3213" s="124"/>
      <c r="P3213" s="124"/>
      <c r="Q3213" s="124"/>
      <c r="R3213" s="124"/>
      <c r="S3213" s="124"/>
      <c r="T3213" s="124"/>
      <c r="U3213" s="124"/>
      <c r="V3213" s="124"/>
      <c r="W3213" s="124"/>
      <c r="X3213" s="124"/>
      <c r="Y3213" s="124"/>
    </row>
    <row r="3214" spans="2:25" x14ac:dyDescent="0.25">
      <c r="B3214" s="124"/>
      <c r="C3214" s="124"/>
      <c r="D3214" s="124"/>
      <c r="E3214" s="124"/>
      <c r="F3214" s="124"/>
      <c r="G3214" s="124"/>
      <c r="H3214" s="124"/>
      <c r="I3214" s="124"/>
      <c r="J3214" s="124"/>
      <c r="K3214" s="124"/>
      <c r="L3214" s="124"/>
      <c r="M3214" s="124"/>
      <c r="N3214" s="124"/>
      <c r="O3214" s="124"/>
      <c r="P3214" s="124"/>
      <c r="Q3214" s="124"/>
      <c r="R3214" s="124"/>
      <c r="S3214" s="124"/>
      <c r="T3214" s="124"/>
      <c r="U3214" s="124"/>
      <c r="V3214" s="124"/>
      <c r="W3214" s="124"/>
      <c r="X3214" s="124"/>
      <c r="Y3214" s="124"/>
    </row>
    <row r="3215" spans="2:25" x14ac:dyDescent="0.25">
      <c r="B3215" s="124"/>
      <c r="C3215" s="124"/>
      <c r="D3215" s="124"/>
      <c r="E3215" s="124"/>
      <c r="F3215" s="124"/>
      <c r="G3215" s="124"/>
      <c r="H3215" s="124"/>
      <c r="I3215" s="124"/>
      <c r="J3215" s="124"/>
      <c r="K3215" s="124"/>
      <c r="L3215" s="124"/>
      <c r="M3215" s="124"/>
      <c r="N3215" s="124"/>
      <c r="O3215" s="124"/>
      <c r="P3215" s="124"/>
      <c r="Q3215" s="124"/>
      <c r="R3215" s="124"/>
      <c r="S3215" s="124"/>
      <c r="T3215" s="124"/>
      <c r="U3215" s="124"/>
      <c r="V3215" s="124"/>
      <c r="W3215" s="124"/>
      <c r="X3215" s="124"/>
      <c r="Y3215" s="124"/>
    </row>
    <row r="3216" spans="2:25" x14ac:dyDescent="0.25">
      <c r="B3216" s="124"/>
      <c r="C3216" s="124"/>
      <c r="D3216" s="124"/>
      <c r="E3216" s="124"/>
      <c r="F3216" s="124"/>
      <c r="G3216" s="124"/>
      <c r="H3216" s="124"/>
      <c r="I3216" s="124"/>
      <c r="J3216" s="124"/>
      <c r="K3216" s="124"/>
      <c r="L3216" s="124"/>
      <c r="M3216" s="124"/>
      <c r="N3216" s="124"/>
      <c r="O3216" s="124"/>
      <c r="P3216" s="124"/>
      <c r="Q3216" s="124"/>
      <c r="R3216" s="124"/>
      <c r="S3216" s="124"/>
      <c r="T3216" s="124"/>
      <c r="U3216" s="124"/>
      <c r="V3216" s="124"/>
      <c r="W3216" s="124"/>
      <c r="X3216" s="124"/>
      <c r="Y3216" s="124"/>
    </row>
    <row r="3217" spans="2:25" x14ac:dyDescent="0.25">
      <c r="B3217" s="124"/>
      <c r="C3217" s="124"/>
      <c r="D3217" s="124"/>
      <c r="E3217" s="124"/>
      <c r="F3217" s="124"/>
      <c r="G3217" s="124"/>
      <c r="H3217" s="124"/>
      <c r="I3217" s="124"/>
      <c r="J3217" s="124"/>
      <c r="K3217" s="124"/>
      <c r="L3217" s="124"/>
      <c r="M3217" s="124"/>
      <c r="N3217" s="124"/>
      <c r="O3217" s="124"/>
      <c r="P3217" s="124"/>
      <c r="Q3217" s="124"/>
      <c r="R3217" s="124"/>
      <c r="S3217" s="124"/>
      <c r="T3217" s="124"/>
      <c r="U3217" s="124"/>
      <c r="V3217" s="124"/>
      <c r="W3217" s="124"/>
      <c r="X3217" s="124"/>
      <c r="Y3217" s="124"/>
    </row>
    <row r="3218" spans="2:25" x14ac:dyDescent="0.25">
      <c r="B3218" s="124"/>
      <c r="C3218" s="124"/>
      <c r="D3218" s="124"/>
      <c r="E3218" s="124"/>
      <c r="F3218" s="124"/>
      <c r="G3218" s="124"/>
      <c r="H3218" s="124"/>
      <c r="I3218" s="124"/>
      <c r="J3218" s="124"/>
      <c r="K3218" s="124"/>
      <c r="L3218" s="124"/>
      <c r="M3218" s="124"/>
      <c r="N3218" s="124"/>
      <c r="O3218" s="124"/>
      <c r="P3218" s="124"/>
      <c r="Q3218" s="124"/>
      <c r="R3218" s="124"/>
      <c r="S3218" s="124"/>
      <c r="T3218" s="124"/>
      <c r="U3218" s="124"/>
      <c r="V3218" s="124"/>
      <c r="W3218" s="124"/>
      <c r="X3218" s="124"/>
      <c r="Y3218" s="124"/>
    </row>
    <row r="3219" spans="2:25" x14ac:dyDescent="0.25">
      <c r="B3219" s="124"/>
      <c r="C3219" s="124"/>
      <c r="D3219" s="124"/>
      <c r="E3219" s="124"/>
      <c r="F3219" s="124"/>
      <c r="G3219" s="124"/>
      <c r="H3219" s="124"/>
      <c r="I3219" s="124"/>
      <c r="J3219" s="124"/>
      <c r="K3219" s="124"/>
      <c r="L3219" s="124"/>
      <c r="M3219" s="124"/>
      <c r="N3219" s="124"/>
      <c r="O3219" s="124"/>
      <c r="P3219" s="124"/>
      <c r="Q3219" s="124"/>
      <c r="R3219" s="124"/>
      <c r="S3219" s="124"/>
      <c r="T3219" s="124"/>
      <c r="U3219" s="124"/>
      <c r="V3219" s="124"/>
      <c r="W3219" s="124"/>
      <c r="X3219" s="124"/>
      <c r="Y3219" s="124"/>
    </row>
    <row r="3220" spans="2:25" x14ac:dyDescent="0.25">
      <c r="B3220" s="124"/>
      <c r="C3220" s="124"/>
      <c r="D3220" s="124"/>
      <c r="E3220" s="124"/>
      <c r="F3220" s="124"/>
      <c r="G3220" s="124"/>
      <c r="H3220" s="124"/>
      <c r="I3220" s="124"/>
      <c r="J3220" s="124"/>
      <c r="K3220" s="124"/>
      <c r="L3220" s="124"/>
      <c r="M3220" s="124"/>
      <c r="N3220" s="124"/>
      <c r="O3220" s="124"/>
      <c r="P3220" s="124"/>
      <c r="Q3220" s="124"/>
      <c r="R3220" s="124"/>
      <c r="S3220" s="124"/>
      <c r="T3220" s="124"/>
      <c r="U3220" s="124"/>
      <c r="V3220" s="124"/>
      <c r="W3220" s="124"/>
      <c r="X3220" s="124"/>
      <c r="Y3220" s="124"/>
    </row>
    <row r="3221" spans="2:25" x14ac:dyDescent="0.25">
      <c r="B3221" s="124"/>
      <c r="C3221" s="124"/>
      <c r="D3221" s="124"/>
      <c r="E3221" s="124"/>
      <c r="F3221" s="124"/>
      <c r="G3221" s="124"/>
      <c r="H3221" s="124"/>
      <c r="I3221" s="124"/>
      <c r="J3221" s="124"/>
      <c r="K3221" s="124"/>
      <c r="L3221" s="124"/>
      <c r="M3221" s="124"/>
      <c r="N3221" s="124"/>
      <c r="O3221" s="124"/>
      <c r="P3221" s="124"/>
      <c r="Q3221" s="124"/>
      <c r="R3221" s="124"/>
      <c r="S3221" s="124"/>
      <c r="T3221" s="124"/>
      <c r="U3221" s="124"/>
      <c r="V3221" s="124"/>
      <c r="W3221" s="124"/>
      <c r="X3221" s="124"/>
      <c r="Y3221" s="124"/>
    </row>
    <row r="3222" spans="2:25" x14ac:dyDescent="0.25">
      <c r="B3222" s="124"/>
      <c r="C3222" s="124"/>
      <c r="D3222" s="124"/>
      <c r="E3222" s="124"/>
      <c r="F3222" s="124"/>
      <c r="G3222" s="124"/>
      <c r="H3222" s="124"/>
      <c r="I3222" s="124"/>
      <c r="J3222" s="124"/>
      <c r="K3222" s="124"/>
      <c r="L3222" s="124"/>
      <c r="M3222" s="124"/>
      <c r="N3222" s="124"/>
      <c r="O3222" s="124"/>
      <c r="P3222" s="124"/>
      <c r="Q3222" s="124"/>
      <c r="R3222" s="124"/>
      <c r="S3222" s="124"/>
      <c r="T3222" s="124"/>
      <c r="U3222" s="124"/>
      <c r="V3222" s="124"/>
      <c r="W3222" s="124"/>
      <c r="X3222" s="124"/>
      <c r="Y3222" s="124"/>
    </row>
    <row r="3223" spans="2:25" x14ac:dyDescent="0.25">
      <c r="B3223" s="124"/>
      <c r="C3223" s="124"/>
      <c r="D3223" s="124"/>
      <c r="E3223" s="124"/>
      <c r="F3223" s="124"/>
      <c r="G3223" s="124"/>
      <c r="H3223" s="124"/>
      <c r="I3223" s="124"/>
      <c r="J3223" s="124"/>
      <c r="K3223" s="124"/>
      <c r="L3223" s="124"/>
      <c r="M3223" s="124"/>
      <c r="N3223" s="124"/>
      <c r="O3223" s="124"/>
      <c r="P3223" s="124"/>
      <c r="Q3223" s="124"/>
      <c r="R3223" s="124"/>
      <c r="S3223" s="124"/>
      <c r="T3223" s="124"/>
      <c r="U3223" s="124"/>
      <c r="V3223" s="124"/>
      <c r="W3223" s="124"/>
      <c r="X3223" s="124"/>
      <c r="Y3223" s="124"/>
    </row>
    <row r="3224" spans="2:25" x14ac:dyDescent="0.25">
      <c r="B3224" s="124"/>
      <c r="C3224" s="124"/>
      <c r="D3224" s="124"/>
      <c r="E3224" s="124"/>
      <c r="F3224" s="124"/>
      <c r="G3224" s="124"/>
      <c r="H3224" s="124"/>
      <c r="I3224" s="124"/>
      <c r="J3224" s="124"/>
      <c r="K3224" s="124"/>
      <c r="L3224" s="124"/>
      <c r="M3224" s="124"/>
      <c r="N3224" s="124"/>
      <c r="O3224" s="124"/>
      <c r="P3224" s="124"/>
      <c r="Q3224" s="124"/>
      <c r="R3224" s="124"/>
      <c r="S3224" s="124"/>
      <c r="T3224" s="124"/>
      <c r="U3224" s="124"/>
      <c r="V3224" s="124"/>
      <c r="W3224" s="124"/>
      <c r="X3224" s="124"/>
      <c r="Y3224" s="124"/>
    </row>
    <row r="3225" spans="2:25" x14ac:dyDescent="0.25">
      <c r="B3225" s="124"/>
      <c r="C3225" s="124"/>
      <c r="D3225" s="124"/>
      <c r="E3225" s="124"/>
      <c r="F3225" s="124"/>
      <c r="G3225" s="124"/>
      <c r="H3225" s="124"/>
      <c r="I3225" s="124"/>
      <c r="J3225" s="124"/>
      <c r="K3225" s="124"/>
      <c r="L3225" s="124"/>
      <c r="M3225" s="124"/>
      <c r="N3225" s="124"/>
      <c r="O3225" s="124"/>
      <c r="P3225" s="124"/>
      <c r="Q3225" s="124"/>
      <c r="R3225" s="124"/>
      <c r="S3225" s="124"/>
      <c r="T3225" s="124"/>
      <c r="U3225" s="124"/>
      <c r="V3225" s="124"/>
      <c r="W3225" s="124"/>
      <c r="X3225" s="124"/>
      <c r="Y3225" s="124"/>
    </row>
    <row r="3226" spans="2:25" x14ac:dyDescent="0.25">
      <c r="B3226" s="124"/>
      <c r="C3226" s="124"/>
      <c r="D3226" s="124"/>
      <c r="E3226" s="124"/>
      <c r="F3226" s="124"/>
      <c r="G3226" s="124"/>
      <c r="H3226" s="124"/>
      <c r="I3226" s="124"/>
      <c r="J3226" s="124"/>
      <c r="K3226" s="124"/>
      <c r="L3226" s="124"/>
      <c r="M3226" s="124"/>
      <c r="N3226" s="124"/>
      <c r="O3226" s="124"/>
      <c r="P3226" s="124"/>
      <c r="Q3226" s="124"/>
      <c r="R3226" s="124"/>
      <c r="S3226" s="124"/>
      <c r="T3226" s="124"/>
      <c r="U3226" s="124"/>
      <c r="V3226" s="124"/>
      <c r="W3226" s="124"/>
      <c r="X3226" s="124"/>
      <c r="Y3226" s="124"/>
    </row>
    <row r="3227" spans="2:25" x14ac:dyDescent="0.25">
      <c r="B3227" s="124"/>
      <c r="C3227" s="124"/>
      <c r="D3227" s="124"/>
      <c r="E3227" s="124"/>
      <c r="F3227" s="124"/>
      <c r="G3227" s="124"/>
      <c r="H3227" s="124"/>
      <c r="I3227" s="124"/>
      <c r="J3227" s="124"/>
      <c r="K3227" s="124"/>
      <c r="L3227" s="124"/>
      <c r="M3227" s="124"/>
      <c r="N3227" s="124"/>
      <c r="O3227" s="124"/>
      <c r="P3227" s="124"/>
      <c r="Q3227" s="124"/>
      <c r="R3227" s="124"/>
      <c r="S3227" s="124"/>
      <c r="T3227" s="124"/>
      <c r="U3227" s="124"/>
      <c r="V3227" s="124"/>
      <c r="W3227" s="124"/>
      <c r="X3227" s="124"/>
      <c r="Y3227" s="124"/>
    </row>
    <row r="3228" spans="2:25" x14ac:dyDescent="0.25">
      <c r="B3228" s="124"/>
      <c r="C3228" s="124"/>
      <c r="D3228" s="124"/>
      <c r="E3228" s="124"/>
      <c r="F3228" s="124"/>
      <c r="G3228" s="124"/>
      <c r="H3228" s="124"/>
      <c r="I3228" s="124"/>
      <c r="J3228" s="124"/>
      <c r="K3228" s="124"/>
      <c r="L3228" s="124"/>
      <c r="M3228" s="124"/>
      <c r="N3228" s="124"/>
      <c r="O3228" s="124"/>
      <c r="P3228" s="124"/>
      <c r="Q3228" s="124"/>
      <c r="R3228" s="124"/>
      <c r="S3228" s="124"/>
      <c r="T3228" s="124"/>
      <c r="U3228" s="124"/>
      <c r="V3228" s="124"/>
      <c r="W3228" s="124"/>
      <c r="X3228" s="124"/>
      <c r="Y3228" s="124"/>
    </row>
    <row r="3229" spans="2:25" x14ac:dyDescent="0.25">
      <c r="B3229" s="124"/>
      <c r="C3229" s="124"/>
      <c r="D3229" s="124"/>
      <c r="E3229" s="124"/>
      <c r="F3229" s="124"/>
      <c r="G3229" s="124"/>
      <c r="H3229" s="124"/>
      <c r="I3229" s="124"/>
      <c r="J3229" s="124"/>
      <c r="K3229" s="124"/>
      <c r="L3229" s="124"/>
      <c r="M3229" s="124"/>
      <c r="N3229" s="124"/>
      <c r="O3229" s="124"/>
      <c r="P3229" s="124"/>
      <c r="Q3229" s="124"/>
      <c r="R3229" s="124"/>
      <c r="S3229" s="124"/>
      <c r="T3229" s="124"/>
      <c r="U3229" s="124"/>
      <c r="V3229" s="124"/>
      <c r="W3229" s="124"/>
      <c r="X3229" s="124"/>
      <c r="Y3229" s="124"/>
    </row>
    <row r="3230" spans="2:25" x14ac:dyDescent="0.25">
      <c r="B3230" s="124"/>
      <c r="C3230" s="124"/>
      <c r="D3230" s="124"/>
      <c r="E3230" s="124"/>
      <c r="F3230" s="124"/>
      <c r="G3230" s="124"/>
      <c r="H3230" s="124"/>
      <c r="I3230" s="124"/>
      <c r="J3230" s="124"/>
      <c r="K3230" s="124"/>
      <c r="L3230" s="124"/>
      <c r="M3230" s="124"/>
      <c r="N3230" s="124"/>
      <c r="O3230" s="124"/>
      <c r="P3230" s="124"/>
      <c r="Q3230" s="124"/>
      <c r="R3230" s="124"/>
      <c r="S3230" s="124"/>
      <c r="T3230" s="124"/>
      <c r="U3230" s="124"/>
      <c r="V3230" s="124"/>
      <c r="W3230" s="124"/>
      <c r="X3230" s="124"/>
      <c r="Y3230" s="124"/>
    </row>
    <row r="3231" spans="2:25" x14ac:dyDescent="0.25">
      <c r="B3231" s="124"/>
      <c r="C3231" s="124"/>
      <c r="D3231" s="124"/>
      <c r="E3231" s="124"/>
      <c r="F3231" s="124"/>
      <c r="G3231" s="124"/>
      <c r="H3231" s="124"/>
      <c r="I3231" s="124"/>
      <c r="J3231" s="124"/>
      <c r="K3231" s="124"/>
      <c r="L3231" s="124"/>
      <c r="M3231" s="124"/>
      <c r="N3231" s="124"/>
      <c r="O3231" s="124"/>
      <c r="P3231" s="124"/>
      <c r="Q3231" s="124"/>
      <c r="R3231" s="124"/>
      <c r="S3231" s="124"/>
      <c r="T3231" s="124"/>
      <c r="U3231" s="124"/>
      <c r="V3231" s="124"/>
      <c r="W3231" s="124"/>
      <c r="X3231" s="124"/>
      <c r="Y3231" s="124"/>
    </row>
    <row r="3232" spans="2:25" x14ac:dyDescent="0.25">
      <c r="B3232" s="124"/>
      <c r="C3232" s="124"/>
      <c r="D3232" s="124"/>
      <c r="E3232" s="124"/>
      <c r="F3232" s="124"/>
      <c r="G3232" s="124"/>
      <c r="H3232" s="124"/>
      <c r="I3232" s="124"/>
      <c r="J3232" s="124"/>
      <c r="K3232" s="124"/>
      <c r="L3232" s="124"/>
      <c r="M3232" s="124"/>
      <c r="N3232" s="124"/>
      <c r="O3232" s="124"/>
      <c r="P3232" s="124"/>
      <c r="Q3232" s="124"/>
      <c r="R3232" s="124"/>
      <c r="S3232" s="124"/>
      <c r="T3232" s="124"/>
      <c r="U3232" s="124"/>
      <c r="V3232" s="124"/>
      <c r="W3232" s="124"/>
      <c r="X3232" s="124"/>
      <c r="Y3232" s="124"/>
    </row>
    <row r="3233" spans="2:25" x14ac:dyDescent="0.25">
      <c r="B3233" s="124"/>
      <c r="C3233" s="124"/>
      <c r="D3233" s="124"/>
      <c r="E3233" s="124"/>
      <c r="F3233" s="124"/>
      <c r="G3233" s="124"/>
      <c r="H3233" s="124"/>
      <c r="I3233" s="124"/>
      <c r="J3233" s="124"/>
      <c r="K3233" s="124"/>
      <c r="L3233" s="124"/>
      <c r="M3233" s="124"/>
      <c r="N3233" s="124"/>
      <c r="O3233" s="124"/>
      <c r="P3233" s="124"/>
      <c r="Q3233" s="124"/>
      <c r="R3233" s="124"/>
      <c r="S3233" s="124"/>
      <c r="T3233" s="124"/>
      <c r="U3233" s="124"/>
      <c r="V3233" s="124"/>
      <c r="W3233" s="124"/>
      <c r="X3233" s="124"/>
      <c r="Y3233" s="124"/>
    </row>
    <row r="3234" spans="2:25" x14ac:dyDescent="0.25">
      <c r="B3234" s="124"/>
      <c r="C3234" s="124"/>
      <c r="D3234" s="124"/>
      <c r="E3234" s="124"/>
      <c r="F3234" s="124"/>
      <c r="G3234" s="124"/>
      <c r="H3234" s="124"/>
      <c r="I3234" s="124"/>
      <c r="J3234" s="124"/>
      <c r="K3234" s="124"/>
      <c r="L3234" s="124"/>
      <c r="M3234" s="124"/>
      <c r="N3234" s="124"/>
      <c r="O3234" s="124"/>
      <c r="P3234" s="124"/>
      <c r="Q3234" s="124"/>
      <c r="R3234" s="124"/>
      <c r="S3234" s="124"/>
      <c r="T3234" s="124"/>
      <c r="U3234" s="124"/>
      <c r="V3234" s="124"/>
      <c r="W3234" s="124"/>
      <c r="X3234" s="124"/>
      <c r="Y3234" s="124"/>
    </row>
    <row r="3235" spans="2:25" x14ac:dyDescent="0.25">
      <c r="B3235" s="124"/>
      <c r="C3235" s="124"/>
      <c r="D3235" s="124"/>
      <c r="E3235" s="124"/>
      <c r="F3235" s="124"/>
      <c r="G3235" s="124"/>
      <c r="H3235" s="124"/>
      <c r="I3235" s="124"/>
      <c r="J3235" s="124"/>
      <c r="K3235" s="124"/>
      <c r="L3235" s="124"/>
      <c r="M3235" s="124"/>
      <c r="N3235" s="124"/>
      <c r="O3235" s="124"/>
      <c r="P3235" s="124"/>
      <c r="Q3235" s="124"/>
      <c r="R3235" s="124"/>
      <c r="S3235" s="124"/>
      <c r="T3235" s="124"/>
      <c r="U3235" s="124"/>
      <c r="V3235" s="124"/>
      <c r="W3235" s="124"/>
      <c r="X3235" s="124"/>
      <c r="Y3235" s="124"/>
    </row>
    <row r="3236" spans="2:25" x14ac:dyDescent="0.25">
      <c r="B3236" s="124"/>
      <c r="C3236" s="124"/>
      <c r="D3236" s="124"/>
      <c r="E3236" s="124"/>
      <c r="F3236" s="124"/>
      <c r="G3236" s="124"/>
      <c r="H3236" s="124"/>
      <c r="I3236" s="124"/>
      <c r="J3236" s="124"/>
      <c r="K3236" s="124"/>
      <c r="L3236" s="124"/>
      <c r="M3236" s="124"/>
      <c r="N3236" s="124"/>
      <c r="O3236" s="124"/>
      <c r="P3236" s="124"/>
      <c r="Q3236" s="124"/>
      <c r="R3236" s="124"/>
      <c r="S3236" s="124"/>
      <c r="T3236" s="124"/>
      <c r="U3236" s="124"/>
      <c r="V3236" s="124"/>
      <c r="W3236" s="124"/>
      <c r="X3236" s="124"/>
      <c r="Y3236" s="124"/>
    </row>
    <row r="3237" spans="2:25" x14ac:dyDescent="0.25">
      <c r="B3237" s="124"/>
      <c r="C3237" s="124"/>
      <c r="D3237" s="124"/>
      <c r="E3237" s="124"/>
      <c r="F3237" s="124"/>
      <c r="G3237" s="124"/>
      <c r="H3237" s="124"/>
      <c r="I3237" s="124"/>
      <c r="J3237" s="124"/>
      <c r="K3237" s="124"/>
      <c r="L3237" s="124"/>
      <c r="M3237" s="124"/>
      <c r="N3237" s="124"/>
      <c r="O3237" s="124"/>
      <c r="P3237" s="124"/>
      <c r="Q3237" s="124"/>
      <c r="R3237" s="124"/>
      <c r="S3237" s="124"/>
      <c r="T3237" s="124"/>
      <c r="U3237" s="124"/>
      <c r="V3237" s="124"/>
      <c r="W3237" s="124"/>
      <c r="X3237" s="124"/>
      <c r="Y3237" s="124"/>
    </row>
    <row r="3238" spans="2:25" x14ac:dyDescent="0.25">
      <c r="B3238" s="124"/>
      <c r="C3238" s="124"/>
      <c r="D3238" s="124"/>
      <c r="E3238" s="124"/>
      <c r="F3238" s="124"/>
      <c r="G3238" s="124"/>
      <c r="H3238" s="124"/>
      <c r="I3238" s="124"/>
      <c r="J3238" s="124"/>
      <c r="K3238" s="124"/>
      <c r="L3238" s="124"/>
      <c r="M3238" s="124"/>
      <c r="N3238" s="124"/>
      <c r="O3238" s="124"/>
      <c r="P3238" s="124"/>
      <c r="Q3238" s="124"/>
      <c r="R3238" s="124"/>
      <c r="S3238" s="124"/>
      <c r="T3238" s="124"/>
      <c r="U3238" s="124"/>
      <c r="V3238" s="124"/>
      <c r="W3238" s="124"/>
      <c r="X3238" s="124"/>
      <c r="Y3238" s="124"/>
    </row>
    <row r="3239" spans="2:25" x14ac:dyDescent="0.25">
      <c r="B3239" s="124"/>
      <c r="C3239" s="124"/>
      <c r="D3239" s="124"/>
      <c r="E3239" s="124"/>
      <c r="F3239" s="124"/>
      <c r="G3239" s="124"/>
      <c r="H3239" s="124"/>
      <c r="I3239" s="124"/>
      <c r="J3239" s="124"/>
      <c r="K3239" s="124"/>
      <c r="L3239" s="124"/>
      <c r="M3239" s="124"/>
      <c r="N3239" s="124"/>
      <c r="O3239" s="124"/>
      <c r="P3239" s="124"/>
      <c r="Q3239" s="124"/>
      <c r="R3239" s="124"/>
      <c r="S3239" s="124"/>
      <c r="T3239" s="124"/>
      <c r="U3239" s="124"/>
      <c r="V3239" s="124"/>
      <c r="W3239" s="124"/>
      <c r="X3239" s="124"/>
      <c r="Y3239" s="124"/>
    </row>
    <row r="3240" spans="2:25" x14ac:dyDescent="0.25">
      <c r="B3240" s="124"/>
      <c r="C3240" s="124"/>
      <c r="D3240" s="124"/>
      <c r="E3240" s="124"/>
      <c r="F3240" s="124"/>
      <c r="G3240" s="124"/>
      <c r="H3240" s="124"/>
      <c r="I3240" s="124"/>
      <c r="J3240" s="124"/>
      <c r="K3240" s="124"/>
      <c r="L3240" s="124"/>
      <c r="M3240" s="124"/>
      <c r="N3240" s="124"/>
      <c r="O3240" s="124"/>
      <c r="P3240" s="124"/>
      <c r="Q3240" s="124"/>
      <c r="R3240" s="124"/>
      <c r="S3240" s="124"/>
      <c r="T3240" s="124"/>
      <c r="U3240" s="124"/>
      <c r="V3240" s="124"/>
      <c r="W3240" s="124"/>
      <c r="X3240" s="124"/>
      <c r="Y3240" s="124"/>
    </row>
    <row r="3241" spans="2:25" x14ac:dyDescent="0.25">
      <c r="B3241" s="124"/>
      <c r="C3241" s="124"/>
      <c r="D3241" s="124"/>
      <c r="E3241" s="124"/>
      <c r="F3241" s="124"/>
      <c r="G3241" s="124"/>
      <c r="H3241" s="124"/>
      <c r="I3241" s="124"/>
      <c r="J3241" s="124"/>
      <c r="K3241" s="124"/>
      <c r="L3241" s="124"/>
      <c r="M3241" s="124"/>
      <c r="N3241" s="124"/>
      <c r="O3241" s="124"/>
      <c r="P3241" s="124"/>
      <c r="Q3241" s="124"/>
      <c r="R3241" s="124"/>
      <c r="S3241" s="124"/>
      <c r="T3241" s="124"/>
      <c r="U3241" s="124"/>
      <c r="V3241" s="124"/>
      <c r="W3241" s="124"/>
      <c r="X3241" s="124"/>
      <c r="Y3241" s="124"/>
    </row>
    <row r="3242" spans="2:25" x14ac:dyDescent="0.25">
      <c r="B3242" s="124"/>
      <c r="C3242" s="124"/>
      <c r="D3242" s="124"/>
      <c r="E3242" s="124"/>
      <c r="F3242" s="124"/>
      <c r="G3242" s="124"/>
      <c r="H3242" s="124"/>
      <c r="I3242" s="124"/>
      <c r="J3242" s="124"/>
      <c r="K3242" s="124"/>
      <c r="L3242" s="124"/>
      <c r="M3242" s="124"/>
      <c r="N3242" s="124"/>
      <c r="O3242" s="124"/>
      <c r="P3242" s="124"/>
      <c r="Q3242" s="124"/>
      <c r="R3242" s="124"/>
      <c r="S3242" s="124"/>
      <c r="T3242" s="124"/>
      <c r="U3242" s="124"/>
      <c r="V3242" s="124"/>
      <c r="W3242" s="124"/>
      <c r="X3242" s="124"/>
      <c r="Y3242" s="124"/>
    </row>
    <row r="3243" spans="2:25" x14ac:dyDescent="0.25">
      <c r="B3243" s="124"/>
      <c r="C3243" s="124"/>
      <c r="D3243" s="124"/>
      <c r="E3243" s="124"/>
      <c r="F3243" s="124"/>
      <c r="G3243" s="124"/>
      <c r="H3243" s="124"/>
      <c r="I3243" s="124"/>
      <c r="J3243" s="124"/>
      <c r="K3243" s="124"/>
      <c r="L3243" s="124"/>
      <c r="M3243" s="124"/>
      <c r="N3243" s="124"/>
      <c r="O3243" s="124"/>
      <c r="P3243" s="124"/>
      <c r="Q3243" s="124"/>
      <c r="R3243" s="124"/>
      <c r="S3243" s="124"/>
      <c r="T3243" s="124"/>
      <c r="U3243" s="124"/>
      <c r="V3243" s="124"/>
      <c r="W3243" s="124"/>
      <c r="X3243" s="124"/>
      <c r="Y3243" s="124"/>
    </row>
    <row r="3244" spans="2:25" x14ac:dyDescent="0.25">
      <c r="B3244" s="124"/>
      <c r="C3244" s="124"/>
      <c r="D3244" s="124"/>
      <c r="E3244" s="124"/>
      <c r="F3244" s="124"/>
      <c r="G3244" s="124"/>
      <c r="H3244" s="124"/>
      <c r="I3244" s="124"/>
      <c r="J3244" s="124"/>
      <c r="K3244" s="124"/>
      <c r="L3244" s="124"/>
      <c r="M3244" s="124"/>
      <c r="N3244" s="124"/>
      <c r="O3244" s="124"/>
      <c r="P3244" s="124"/>
      <c r="Q3244" s="124"/>
      <c r="R3244" s="124"/>
      <c r="S3244" s="124"/>
      <c r="T3244" s="124"/>
      <c r="U3244" s="124"/>
      <c r="V3244" s="124"/>
      <c r="W3244" s="124"/>
      <c r="X3244" s="124"/>
      <c r="Y3244" s="124"/>
    </row>
    <row r="3245" spans="2:25" x14ac:dyDescent="0.25">
      <c r="B3245" s="124"/>
      <c r="C3245" s="124"/>
      <c r="D3245" s="124"/>
      <c r="E3245" s="124"/>
      <c r="F3245" s="124"/>
      <c r="G3245" s="124"/>
      <c r="H3245" s="124"/>
      <c r="I3245" s="124"/>
      <c r="J3245" s="124"/>
      <c r="K3245" s="124"/>
      <c r="L3245" s="124"/>
      <c r="M3245" s="124"/>
      <c r="N3245" s="124"/>
      <c r="O3245" s="124"/>
      <c r="P3245" s="124"/>
      <c r="Q3245" s="124"/>
      <c r="R3245" s="124"/>
      <c r="S3245" s="124"/>
      <c r="T3245" s="124"/>
      <c r="U3245" s="124"/>
      <c r="V3245" s="124"/>
      <c r="W3245" s="124"/>
      <c r="X3245" s="124"/>
      <c r="Y3245" s="124"/>
    </row>
    <row r="3246" spans="2:25" x14ac:dyDescent="0.25">
      <c r="B3246" s="124"/>
      <c r="C3246" s="124"/>
      <c r="D3246" s="124"/>
      <c r="E3246" s="124"/>
      <c r="F3246" s="124"/>
      <c r="G3246" s="124"/>
      <c r="H3246" s="124"/>
      <c r="I3246" s="124"/>
      <c r="J3246" s="124"/>
      <c r="K3246" s="124"/>
      <c r="L3246" s="124"/>
      <c r="M3246" s="124"/>
      <c r="N3246" s="124"/>
      <c r="O3246" s="124"/>
      <c r="P3246" s="124"/>
      <c r="Q3246" s="124"/>
      <c r="R3246" s="124"/>
      <c r="S3246" s="124"/>
      <c r="T3246" s="124"/>
      <c r="U3246" s="124"/>
      <c r="V3246" s="124"/>
      <c r="W3246" s="124"/>
      <c r="X3246" s="124"/>
      <c r="Y3246" s="124"/>
    </row>
    <row r="3247" spans="2:25" x14ac:dyDescent="0.25">
      <c r="B3247" s="124"/>
      <c r="C3247" s="124"/>
      <c r="D3247" s="124"/>
      <c r="E3247" s="124"/>
      <c r="F3247" s="124"/>
      <c r="G3247" s="124"/>
      <c r="H3247" s="124"/>
      <c r="I3247" s="124"/>
      <c r="J3247" s="124"/>
      <c r="K3247" s="124"/>
      <c r="L3247" s="124"/>
      <c r="M3247" s="124"/>
      <c r="N3247" s="124"/>
      <c r="O3247" s="124"/>
      <c r="P3247" s="124"/>
      <c r="Q3247" s="124"/>
      <c r="R3247" s="124"/>
      <c r="S3247" s="124"/>
      <c r="T3247" s="124"/>
      <c r="U3247" s="124"/>
      <c r="V3247" s="124"/>
      <c r="W3247" s="124"/>
      <c r="X3247" s="124"/>
      <c r="Y3247" s="124"/>
    </row>
    <row r="3248" spans="2:25" x14ac:dyDescent="0.25">
      <c r="B3248" s="124"/>
      <c r="C3248" s="124"/>
      <c r="D3248" s="124"/>
      <c r="E3248" s="124"/>
      <c r="F3248" s="124"/>
      <c r="G3248" s="124"/>
      <c r="H3248" s="124"/>
      <c r="I3248" s="124"/>
      <c r="J3248" s="124"/>
      <c r="K3248" s="124"/>
      <c r="L3248" s="124"/>
      <c r="M3248" s="124"/>
      <c r="N3248" s="124"/>
      <c r="O3248" s="124"/>
      <c r="P3248" s="124"/>
      <c r="Q3248" s="124"/>
      <c r="R3248" s="124"/>
      <c r="S3248" s="124"/>
      <c r="T3248" s="124"/>
      <c r="U3248" s="124"/>
      <c r="V3248" s="124"/>
      <c r="W3248" s="124"/>
      <c r="X3248" s="124"/>
      <c r="Y3248" s="124"/>
    </row>
    <row r="3249" spans="2:25" x14ac:dyDescent="0.25">
      <c r="B3249" s="124"/>
      <c r="C3249" s="124"/>
      <c r="D3249" s="124"/>
      <c r="E3249" s="124"/>
      <c r="F3249" s="124"/>
      <c r="G3249" s="124"/>
      <c r="H3249" s="124"/>
      <c r="I3249" s="124"/>
      <c r="J3249" s="124"/>
      <c r="K3249" s="124"/>
      <c r="L3249" s="124"/>
      <c r="M3249" s="124"/>
      <c r="N3249" s="124"/>
      <c r="O3249" s="124"/>
      <c r="P3249" s="124"/>
      <c r="Q3249" s="124"/>
      <c r="R3249" s="124"/>
      <c r="S3249" s="124"/>
      <c r="T3249" s="124"/>
      <c r="U3249" s="124"/>
      <c r="V3249" s="124"/>
      <c r="W3249" s="124"/>
      <c r="X3249" s="124"/>
      <c r="Y3249" s="124"/>
    </row>
    <row r="3250" spans="2:25" x14ac:dyDescent="0.25">
      <c r="B3250" s="124"/>
      <c r="C3250" s="124"/>
      <c r="D3250" s="124"/>
      <c r="E3250" s="124"/>
      <c r="F3250" s="124"/>
      <c r="G3250" s="124"/>
      <c r="H3250" s="124"/>
      <c r="I3250" s="124"/>
      <c r="J3250" s="124"/>
      <c r="K3250" s="124"/>
      <c r="L3250" s="124"/>
      <c r="M3250" s="124"/>
      <c r="N3250" s="124"/>
      <c r="O3250" s="124"/>
      <c r="P3250" s="124"/>
      <c r="Q3250" s="124"/>
      <c r="R3250" s="124"/>
      <c r="S3250" s="124"/>
      <c r="T3250" s="124"/>
      <c r="U3250" s="124"/>
      <c r="V3250" s="124"/>
      <c r="W3250" s="124"/>
      <c r="X3250" s="124"/>
      <c r="Y3250" s="124"/>
    </row>
    <row r="3251" spans="2:25" x14ac:dyDescent="0.25">
      <c r="B3251" s="124"/>
      <c r="C3251" s="124"/>
      <c r="D3251" s="124"/>
      <c r="E3251" s="124"/>
      <c r="F3251" s="124"/>
      <c r="G3251" s="124"/>
      <c r="H3251" s="124"/>
      <c r="I3251" s="124"/>
      <c r="J3251" s="124"/>
      <c r="K3251" s="124"/>
      <c r="L3251" s="124"/>
      <c r="M3251" s="124"/>
      <c r="N3251" s="124"/>
      <c r="O3251" s="124"/>
      <c r="P3251" s="124"/>
      <c r="Q3251" s="124"/>
      <c r="R3251" s="124"/>
      <c r="S3251" s="124"/>
      <c r="T3251" s="124"/>
      <c r="U3251" s="124"/>
      <c r="V3251" s="124"/>
      <c r="W3251" s="124"/>
      <c r="X3251" s="124"/>
      <c r="Y3251" s="124"/>
    </row>
    <row r="3252" spans="2:25" x14ac:dyDescent="0.25">
      <c r="B3252" s="124"/>
      <c r="C3252" s="124"/>
      <c r="D3252" s="124"/>
      <c r="E3252" s="124"/>
      <c r="F3252" s="124"/>
      <c r="G3252" s="124"/>
      <c r="H3252" s="124"/>
      <c r="I3252" s="124"/>
      <c r="J3252" s="124"/>
      <c r="K3252" s="124"/>
      <c r="L3252" s="124"/>
      <c r="M3252" s="124"/>
      <c r="N3252" s="124"/>
      <c r="O3252" s="124"/>
      <c r="P3252" s="124"/>
      <c r="Q3252" s="124"/>
      <c r="R3252" s="124"/>
      <c r="S3252" s="124"/>
      <c r="T3252" s="124"/>
      <c r="U3252" s="124"/>
      <c r="V3252" s="124"/>
      <c r="W3252" s="124"/>
      <c r="X3252" s="124"/>
      <c r="Y3252" s="124"/>
    </row>
    <row r="3253" spans="2:25" x14ac:dyDescent="0.25">
      <c r="B3253" s="124"/>
      <c r="C3253" s="124"/>
      <c r="D3253" s="124"/>
      <c r="E3253" s="124"/>
      <c r="F3253" s="124"/>
      <c r="G3253" s="124"/>
      <c r="H3253" s="124"/>
      <c r="I3253" s="124"/>
      <c r="J3253" s="124"/>
      <c r="K3253" s="124"/>
      <c r="L3253" s="124"/>
      <c r="M3253" s="124"/>
      <c r="N3253" s="124"/>
      <c r="O3253" s="124"/>
      <c r="P3253" s="124"/>
      <c r="Q3253" s="124"/>
      <c r="R3253" s="124"/>
      <c r="S3253" s="124"/>
      <c r="T3253" s="124"/>
      <c r="U3253" s="124"/>
      <c r="V3253" s="124"/>
      <c r="W3253" s="124"/>
      <c r="X3253" s="124"/>
      <c r="Y3253" s="124"/>
    </row>
    <row r="3254" spans="2:25" x14ac:dyDescent="0.25">
      <c r="B3254" s="124"/>
      <c r="C3254" s="124"/>
      <c r="D3254" s="124"/>
      <c r="E3254" s="124"/>
      <c r="F3254" s="124"/>
      <c r="G3254" s="124"/>
      <c r="H3254" s="124"/>
      <c r="I3254" s="124"/>
      <c r="J3254" s="124"/>
      <c r="K3254" s="124"/>
      <c r="L3254" s="124"/>
      <c r="M3254" s="124"/>
      <c r="N3254" s="124"/>
      <c r="O3254" s="124"/>
      <c r="P3254" s="124"/>
      <c r="Q3254" s="124"/>
      <c r="R3254" s="124"/>
      <c r="S3254" s="124"/>
      <c r="T3254" s="124"/>
      <c r="U3254" s="124"/>
      <c r="V3254" s="124"/>
      <c r="W3254" s="124"/>
      <c r="X3254" s="124"/>
      <c r="Y3254" s="124"/>
    </row>
    <row r="3255" spans="2:25" x14ac:dyDescent="0.25">
      <c r="B3255" s="124"/>
      <c r="C3255" s="124"/>
      <c r="D3255" s="124"/>
      <c r="E3255" s="124"/>
      <c r="F3255" s="124"/>
      <c r="G3255" s="124"/>
      <c r="H3255" s="124"/>
      <c r="I3255" s="124"/>
      <c r="J3255" s="124"/>
      <c r="K3255" s="124"/>
      <c r="L3255" s="124"/>
      <c r="M3255" s="124"/>
      <c r="N3255" s="124"/>
      <c r="O3255" s="124"/>
      <c r="P3255" s="124"/>
      <c r="Q3255" s="124"/>
      <c r="R3255" s="124"/>
      <c r="S3255" s="124"/>
      <c r="T3255" s="124"/>
      <c r="U3255" s="124"/>
      <c r="V3255" s="124"/>
      <c r="W3255" s="124"/>
      <c r="X3255" s="124"/>
      <c r="Y3255" s="124"/>
    </row>
    <row r="3256" spans="2:25" x14ac:dyDescent="0.25">
      <c r="B3256" s="124"/>
      <c r="C3256" s="124"/>
      <c r="D3256" s="124"/>
      <c r="E3256" s="124"/>
      <c r="F3256" s="124"/>
      <c r="G3256" s="124"/>
      <c r="H3256" s="124"/>
      <c r="I3256" s="124"/>
      <c r="J3256" s="124"/>
      <c r="K3256" s="124"/>
      <c r="L3256" s="124"/>
      <c r="M3256" s="124"/>
      <c r="N3256" s="124"/>
      <c r="O3256" s="124"/>
      <c r="P3256" s="124"/>
      <c r="Q3256" s="124"/>
      <c r="R3256" s="124"/>
      <c r="S3256" s="124"/>
      <c r="T3256" s="124"/>
      <c r="U3256" s="124"/>
      <c r="V3256" s="124"/>
      <c r="W3256" s="124"/>
      <c r="X3256" s="124"/>
      <c r="Y3256" s="124"/>
    </row>
    <row r="3257" spans="2:25" x14ac:dyDescent="0.25">
      <c r="B3257" s="124"/>
      <c r="C3257" s="124"/>
      <c r="D3257" s="124"/>
      <c r="E3257" s="124"/>
      <c r="F3257" s="124"/>
      <c r="G3257" s="124"/>
      <c r="H3257" s="124"/>
      <c r="I3257" s="124"/>
      <c r="J3257" s="124"/>
      <c r="K3257" s="124"/>
      <c r="L3257" s="124"/>
      <c r="M3257" s="124"/>
      <c r="N3257" s="124"/>
      <c r="O3257" s="124"/>
      <c r="P3257" s="124"/>
      <c r="Q3257" s="124"/>
      <c r="R3257" s="124"/>
      <c r="S3257" s="124"/>
      <c r="T3257" s="124"/>
      <c r="U3257" s="124"/>
      <c r="V3257" s="124"/>
      <c r="W3257" s="124"/>
      <c r="X3257" s="124"/>
      <c r="Y3257" s="124"/>
    </row>
    <row r="3258" spans="2:25" x14ac:dyDescent="0.25">
      <c r="B3258" s="124"/>
      <c r="C3258" s="124"/>
      <c r="D3258" s="124"/>
      <c r="E3258" s="124"/>
      <c r="F3258" s="124"/>
      <c r="G3258" s="124"/>
      <c r="H3258" s="124"/>
      <c r="I3258" s="124"/>
      <c r="J3258" s="124"/>
      <c r="K3258" s="124"/>
      <c r="L3258" s="124"/>
      <c r="M3258" s="124"/>
      <c r="N3258" s="124"/>
      <c r="O3258" s="124"/>
      <c r="P3258" s="124"/>
      <c r="Q3258" s="124"/>
      <c r="R3258" s="124"/>
      <c r="S3258" s="124"/>
      <c r="T3258" s="124"/>
      <c r="U3258" s="124"/>
      <c r="V3258" s="124"/>
      <c r="W3258" s="124"/>
      <c r="X3258" s="124"/>
      <c r="Y3258" s="124"/>
    </row>
    <row r="3259" spans="2:25" x14ac:dyDescent="0.25">
      <c r="B3259" s="124"/>
      <c r="C3259" s="124"/>
      <c r="D3259" s="124"/>
      <c r="E3259" s="124"/>
      <c r="F3259" s="124"/>
      <c r="G3259" s="124"/>
      <c r="H3259" s="124"/>
      <c r="I3259" s="124"/>
      <c r="J3259" s="124"/>
      <c r="K3259" s="124"/>
      <c r="L3259" s="124"/>
      <c r="M3259" s="124"/>
      <c r="N3259" s="124"/>
      <c r="O3259" s="124"/>
      <c r="P3259" s="124"/>
      <c r="Q3259" s="124"/>
      <c r="R3259" s="124"/>
      <c r="S3259" s="124"/>
      <c r="T3259" s="124"/>
      <c r="U3259" s="124"/>
      <c r="V3259" s="124"/>
      <c r="W3259" s="124"/>
      <c r="X3259" s="124"/>
      <c r="Y3259" s="124"/>
    </row>
    <row r="3260" spans="2:25" x14ac:dyDescent="0.25">
      <c r="B3260" s="124"/>
      <c r="C3260" s="124"/>
      <c r="D3260" s="124"/>
      <c r="E3260" s="124"/>
      <c r="F3260" s="124"/>
      <c r="G3260" s="124"/>
      <c r="H3260" s="124"/>
      <c r="I3260" s="124"/>
      <c r="J3260" s="124"/>
      <c r="K3260" s="124"/>
      <c r="L3260" s="124"/>
      <c r="M3260" s="124"/>
      <c r="N3260" s="124"/>
      <c r="O3260" s="124"/>
      <c r="P3260" s="124"/>
      <c r="Q3260" s="124"/>
      <c r="R3260" s="124"/>
      <c r="S3260" s="124"/>
      <c r="T3260" s="124"/>
      <c r="U3260" s="124"/>
      <c r="V3260" s="124"/>
      <c r="W3260" s="124"/>
      <c r="X3260" s="124"/>
      <c r="Y3260" s="124"/>
    </row>
    <row r="3261" spans="2:25" x14ac:dyDescent="0.25">
      <c r="B3261" s="124"/>
      <c r="C3261" s="124"/>
      <c r="D3261" s="124"/>
      <c r="E3261" s="124"/>
      <c r="F3261" s="124"/>
      <c r="G3261" s="124"/>
      <c r="H3261" s="124"/>
      <c r="I3261" s="124"/>
      <c r="J3261" s="124"/>
      <c r="K3261" s="124"/>
      <c r="L3261" s="124"/>
      <c r="M3261" s="124"/>
      <c r="N3261" s="124"/>
      <c r="O3261" s="124"/>
      <c r="P3261" s="124"/>
      <c r="Q3261" s="124"/>
      <c r="R3261" s="124"/>
      <c r="S3261" s="124"/>
      <c r="T3261" s="124"/>
      <c r="U3261" s="124"/>
      <c r="V3261" s="124"/>
      <c r="W3261" s="124"/>
      <c r="X3261" s="124"/>
      <c r="Y3261" s="124"/>
    </row>
    <row r="3262" spans="2:25" x14ac:dyDescent="0.25">
      <c r="B3262" s="124"/>
      <c r="C3262" s="124"/>
      <c r="D3262" s="124"/>
      <c r="E3262" s="124"/>
      <c r="F3262" s="124"/>
      <c r="G3262" s="124"/>
      <c r="H3262" s="124"/>
      <c r="I3262" s="124"/>
      <c r="J3262" s="124"/>
      <c r="K3262" s="124"/>
      <c r="L3262" s="124"/>
      <c r="M3262" s="124"/>
      <c r="N3262" s="124"/>
      <c r="O3262" s="124"/>
      <c r="P3262" s="124"/>
      <c r="Q3262" s="124"/>
      <c r="R3262" s="124"/>
      <c r="S3262" s="124"/>
      <c r="T3262" s="124"/>
      <c r="U3262" s="124"/>
      <c r="V3262" s="124"/>
      <c r="W3262" s="124"/>
      <c r="X3262" s="124"/>
      <c r="Y3262" s="124"/>
    </row>
    <row r="3263" spans="2:25" x14ac:dyDescent="0.25">
      <c r="B3263" s="124"/>
      <c r="C3263" s="124"/>
      <c r="D3263" s="124"/>
      <c r="E3263" s="124"/>
      <c r="F3263" s="124"/>
      <c r="G3263" s="124"/>
      <c r="H3263" s="124"/>
      <c r="I3263" s="124"/>
      <c r="J3263" s="124"/>
      <c r="K3263" s="124"/>
      <c r="L3263" s="124"/>
      <c r="M3263" s="124"/>
      <c r="N3263" s="124"/>
      <c r="O3263" s="124"/>
      <c r="P3263" s="124"/>
      <c r="Q3263" s="124"/>
      <c r="R3263" s="124"/>
      <c r="S3263" s="124"/>
      <c r="T3263" s="124"/>
      <c r="U3263" s="124"/>
      <c r="V3263" s="124"/>
      <c r="W3263" s="124"/>
      <c r="X3263" s="124"/>
      <c r="Y3263" s="124"/>
    </row>
    <row r="3264" spans="2:25" x14ac:dyDescent="0.25">
      <c r="B3264" s="124"/>
      <c r="C3264" s="124"/>
      <c r="D3264" s="124"/>
      <c r="E3264" s="124"/>
      <c r="F3264" s="124"/>
      <c r="G3264" s="124"/>
      <c r="H3264" s="124"/>
      <c r="I3264" s="124"/>
      <c r="J3264" s="124"/>
      <c r="K3264" s="124"/>
      <c r="L3264" s="124"/>
      <c r="M3264" s="124"/>
      <c r="N3264" s="124"/>
      <c r="O3264" s="124"/>
      <c r="P3264" s="124"/>
      <c r="Q3264" s="124"/>
      <c r="R3264" s="124"/>
      <c r="S3264" s="124"/>
      <c r="T3264" s="124"/>
      <c r="U3264" s="124"/>
      <c r="V3264" s="124"/>
      <c r="W3264" s="124"/>
      <c r="X3264" s="124"/>
      <c r="Y3264" s="124"/>
    </row>
    <row r="3265" spans="2:25" x14ac:dyDescent="0.25">
      <c r="B3265" s="124"/>
      <c r="C3265" s="124"/>
      <c r="D3265" s="124"/>
      <c r="E3265" s="124"/>
      <c r="F3265" s="124"/>
      <c r="G3265" s="124"/>
      <c r="H3265" s="124"/>
      <c r="I3265" s="124"/>
      <c r="J3265" s="124"/>
      <c r="K3265" s="124"/>
      <c r="L3265" s="124"/>
      <c r="M3265" s="124"/>
      <c r="N3265" s="124"/>
      <c r="O3265" s="124"/>
      <c r="P3265" s="124"/>
      <c r="Q3265" s="124"/>
      <c r="R3265" s="124"/>
      <c r="S3265" s="124"/>
      <c r="T3265" s="124"/>
      <c r="U3265" s="124"/>
      <c r="V3265" s="124"/>
      <c r="W3265" s="124"/>
      <c r="X3265" s="124"/>
      <c r="Y3265" s="124"/>
    </row>
    <row r="3266" spans="2:25" x14ac:dyDescent="0.25">
      <c r="B3266" s="124"/>
      <c r="C3266" s="124"/>
      <c r="D3266" s="124"/>
      <c r="E3266" s="124"/>
      <c r="F3266" s="124"/>
      <c r="G3266" s="124"/>
      <c r="H3266" s="124"/>
      <c r="I3266" s="124"/>
      <c r="J3266" s="124"/>
      <c r="K3266" s="124"/>
      <c r="L3266" s="124"/>
      <c r="M3266" s="124"/>
      <c r="N3266" s="124"/>
      <c r="O3266" s="124"/>
      <c r="P3266" s="124"/>
      <c r="Q3266" s="124"/>
      <c r="R3266" s="124"/>
      <c r="S3266" s="124"/>
      <c r="T3266" s="124"/>
      <c r="U3266" s="124"/>
      <c r="V3266" s="124"/>
      <c r="W3266" s="124"/>
      <c r="X3266" s="124"/>
      <c r="Y3266" s="124"/>
    </row>
    <row r="3267" spans="2:25" x14ac:dyDescent="0.25">
      <c r="B3267" s="124"/>
      <c r="C3267" s="124"/>
      <c r="D3267" s="124"/>
      <c r="E3267" s="124"/>
      <c r="F3267" s="124"/>
      <c r="G3267" s="124"/>
      <c r="H3267" s="124"/>
      <c r="I3267" s="124"/>
      <c r="J3267" s="124"/>
      <c r="K3267" s="124"/>
      <c r="L3267" s="124"/>
      <c r="M3267" s="124"/>
      <c r="N3267" s="124"/>
      <c r="O3267" s="124"/>
      <c r="P3267" s="124"/>
      <c r="Q3267" s="124"/>
      <c r="R3267" s="124"/>
      <c r="S3267" s="124"/>
      <c r="T3267" s="124"/>
      <c r="U3267" s="124"/>
      <c r="V3267" s="124"/>
      <c r="W3267" s="124"/>
      <c r="X3267" s="124"/>
      <c r="Y3267" s="124"/>
    </row>
    <row r="3268" spans="2:25" x14ac:dyDescent="0.25">
      <c r="B3268" s="124"/>
      <c r="C3268" s="124"/>
      <c r="D3268" s="124"/>
      <c r="E3268" s="124"/>
      <c r="F3268" s="124"/>
      <c r="G3268" s="124"/>
      <c r="H3268" s="124"/>
      <c r="I3268" s="124"/>
      <c r="J3268" s="124"/>
      <c r="K3268" s="124"/>
      <c r="L3268" s="124"/>
      <c r="M3268" s="124"/>
      <c r="N3268" s="124"/>
      <c r="O3268" s="124"/>
      <c r="P3268" s="124"/>
      <c r="Q3268" s="124"/>
      <c r="R3268" s="124"/>
      <c r="S3268" s="124"/>
      <c r="T3268" s="124"/>
      <c r="U3268" s="124"/>
      <c r="V3268" s="124"/>
      <c r="W3268" s="124"/>
      <c r="X3268" s="124"/>
      <c r="Y3268" s="124"/>
    </row>
    <row r="3269" spans="2:25" x14ac:dyDescent="0.25">
      <c r="B3269" s="124"/>
      <c r="C3269" s="124"/>
      <c r="D3269" s="124"/>
      <c r="E3269" s="124"/>
      <c r="F3269" s="124"/>
      <c r="G3269" s="124"/>
      <c r="H3269" s="124"/>
      <c r="I3269" s="124"/>
      <c r="J3269" s="124"/>
      <c r="K3269" s="124"/>
      <c r="L3269" s="124"/>
      <c r="M3269" s="124"/>
      <c r="N3269" s="124"/>
      <c r="O3269" s="124"/>
      <c r="P3269" s="124"/>
      <c r="Q3269" s="124"/>
      <c r="R3269" s="124"/>
      <c r="S3269" s="124"/>
      <c r="T3269" s="124"/>
      <c r="U3269" s="124"/>
      <c r="V3269" s="124"/>
      <c r="W3269" s="124"/>
      <c r="X3269" s="124"/>
      <c r="Y3269" s="124"/>
    </row>
    <row r="3270" spans="2:25" x14ac:dyDescent="0.25">
      <c r="B3270" s="124"/>
      <c r="C3270" s="124"/>
      <c r="D3270" s="124"/>
      <c r="E3270" s="124"/>
      <c r="F3270" s="124"/>
      <c r="G3270" s="124"/>
      <c r="H3270" s="124"/>
      <c r="I3270" s="124"/>
      <c r="J3270" s="124"/>
      <c r="K3270" s="124"/>
      <c r="L3270" s="124"/>
      <c r="M3270" s="124"/>
      <c r="N3270" s="124"/>
      <c r="O3270" s="124"/>
      <c r="P3270" s="124"/>
      <c r="Q3270" s="124"/>
      <c r="R3270" s="124"/>
      <c r="S3270" s="124"/>
      <c r="T3270" s="124"/>
      <c r="U3270" s="124"/>
      <c r="V3270" s="124"/>
      <c r="W3270" s="124"/>
      <c r="X3270" s="124"/>
      <c r="Y3270" s="124"/>
    </row>
    <row r="3271" spans="2:25" x14ac:dyDescent="0.25">
      <c r="B3271" s="124"/>
      <c r="C3271" s="124"/>
      <c r="D3271" s="124"/>
      <c r="E3271" s="124"/>
      <c r="F3271" s="124"/>
      <c r="G3271" s="124"/>
      <c r="H3271" s="124"/>
      <c r="I3271" s="124"/>
      <c r="J3271" s="124"/>
      <c r="K3271" s="124"/>
      <c r="L3271" s="124"/>
      <c r="M3271" s="124"/>
      <c r="N3271" s="124"/>
      <c r="O3271" s="124"/>
      <c r="P3271" s="124"/>
      <c r="Q3271" s="124"/>
      <c r="R3271" s="124"/>
      <c r="S3271" s="124"/>
      <c r="T3271" s="124"/>
      <c r="U3271" s="124"/>
      <c r="V3271" s="124"/>
      <c r="W3271" s="124"/>
      <c r="X3271" s="124"/>
      <c r="Y3271" s="124"/>
    </row>
    <row r="3272" spans="2:25" x14ac:dyDescent="0.25">
      <c r="B3272" s="124"/>
      <c r="C3272" s="124"/>
      <c r="D3272" s="124"/>
      <c r="E3272" s="124"/>
      <c r="F3272" s="124"/>
      <c r="G3272" s="124"/>
      <c r="H3272" s="124"/>
      <c r="I3272" s="124"/>
      <c r="J3272" s="124"/>
      <c r="K3272" s="124"/>
      <c r="L3272" s="124"/>
      <c r="M3272" s="124"/>
      <c r="N3272" s="124"/>
      <c r="O3272" s="124"/>
      <c r="P3272" s="124"/>
      <c r="Q3272" s="124"/>
      <c r="R3272" s="124"/>
      <c r="S3272" s="124"/>
      <c r="T3272" s="124"/>
      <c r="U3272" s="124"/>
      <c r="V3272" s="124"/>
      <c r="W3272" s="124"/>
      <c r="X3272" s="124"/>
      <c r="Y3272" s="124"/>
    </row>
    <row r="3273" spans="2:25" x14ac:dyDescent="0.25">
      <c r="B3273" s="124"/>
      <c r="C3273" s="124"/>
      <c r="D3273" s="124"/>
      <c r="E3273" s="124"/>
      <c r="F3273" s="124"/>
      <c r="G3273" s="124"/>
      <c r="H3273" s="124"/>
      <c r="I3273" s="124"/>
      <c r="J3273" s="124"/>
      <c r="K3273" s="124"/>
      <c r="L3273" s="124"/>
      <c r="M3273" s="124"/>
      <c r="N3273" s="124"/>
      <c r="O3273" s="124"/>
      <c r="P3273" s="124"/>
      <c r="Q3273" s="124"/>
      <c r="R3273" s="124"/>
      <c r="S3273" s="124"/>
      <c r="T3273" s="124"/>
      <c r="U3273" s="124"/>
      <c r="V3273" s="124"/>
      <c r="W3273" s="124"/>
      <c r="X3273" s="124"/>
      <c r="Y3273" s="124"/>
    </row>
    <row r="3274" spans="2:25" x14ac:dyDescent="0.25">
      <c r="B3274" s="124"/>
      <c r="C3274" s="124"/>
      <c r="D3274" s="124"/>
      <c r="E3274" s="124"/>
      <c r="F3274" s="124"/>
      <c r="G3274" s="124"/>
      <c r="H3274" s="124"/>
      <c r="I3274" s="124"/>
      <c r="J3274" s="124"/>
      <c r="K3274" s="124"/>
      <c r="L3274" s="124"/>
      <c r="M3274" s="124"/>
      <c r="N3274" s="124"/>
      <c r="O3274" s="124"/>
      <c r="P3274" s="124"/>
      <c r="Q3274" s="124"/>
      <c r="R3274" s="124"/>
      <c r="S3274" s="124"/>
      <c r="T3274" s="124"/>
      <c r="U3274" s="124"/>
      <c r="V3274" s="124"/>
      <c r="W3274" s="124"/>
      <c r="X3274" s="124"/>
      <c r="Y3274" s="124"/>
    </row>
    <row r="3275" spans="2:25" x14ac:dyDescent="0.25">
      <c r="B3275" s="124"/>
      <c r="C3275" s="124"/>
      <c r="D3275" s="124"/>
      <c r="E3275" s="124"/>
      <c r="F3275" s="124"/>
      <c r="G3275" s="124"/>
      <c r="H3275" s="124"/>
      <c r="I3275" s="124"/>
      <c r="J3275" s="124"/>
      <c r="K3275" s="124"/>
      <c r="L3275" s="124"/>
      <c r="M3275" s="124"/>
      <c r="N3275" s="124"/>
      <c r="O3275" s="124"/>
      <c r="P3275" s="124"/>
      <c r="Q3275" s="124"/>
      <c r="R3275" s="124"/>
      <c r="S3275" s="124"/>
      <c r="T3275" s="124"/>
      <c r="U3275" s="124"/>
      <c r="V3275" s="124"/>
      <c r="W3275" s="124"/>
      <c r="X3275" s="124"/>
      <c r="Y3275" s="124"/>
    </row>
    <row r="3276" spans="2:25" x14ac:dyDescent="0.25">
      <c r="B3276" s="124"/>
      <c r="C3276" s="124"/>
      <c r="D3276" s="124"/>
      <c r="E3276" s="124"/>
      <c r="F3276" s="124"/>
      <c r="G3276" s="124"/>
      <c r="H3276" s="124"/>
      <c r="I3276" s="124"/>
      <c r="J3276" s="124"/>
      <c r="K3276" s="124"/>
      <c r="L3276" s="124"/>
      <c r="M3276" s="124"/>
      <c r="N3276" s="124"/>
      <c r="O3276" s="124"/>
      <c r="P3276" s="124"/>
      <c r="Q3276" s="124"/>
      <c r="R3276" s="124"/>
      <c r="S3276" s="124"/>
      <c r="T3276" s="124"/>
      <c r="U3276" s="124"/>
      <c r="V3276" s="124"/>
      <c r="W3276" s="124"/>
      <c r="X3276" s="124"/>
      <c r="Y3276" s="124"/>
    </row>
    <row r="3277" spans="2:25" x14ac:dyDescent="0.25">
      <c r="B3277" s="124"/>
      <c r="C3277" s="124"/>
      <c r="D3277" s="124"/>
      <c r="E3277" s="124"/>
      <c r="F3277" s="124"/>
      <c r="G3277" s="124"/>
      <c r="H3277" s="124"/>
      <c r="I3277" s="124"/>
      <c r="J3277" s="124"/>
      <c r="K3277" s="124"/>
      <c r="L3277" s="124"/>
      <c r="M3277" s="124"/>
      <c r="N3277" s="124"/>
      <c r="O3277" s="124"/>
      <c r="P3277" s="124"/>
      <c r="Q3277" s="124"/>
      <c r="R3277" s="124"/>
      <c r="S3277" s="124"/>
      <c r="T3277" s="124"/>
      <c r="U3277" s="124"/>
      <c r="V3277" s="124"/>
      <c r="W3277" s="124"/>
      <c r="X3277" s="124"/>
      <c r="Y3277" s="124"/>
    </row>
    <row r="3278" spans="2:25" x14ac:dyDescent="0.25">
      <c r="B3278" s="124"/>
      <c r="C3278" s="124"/>
      <c r="D3278" s="124"/>
      <c r="E3278" s="124"/>
      <c r="F3278" s="124"/>
      <c r="G3278" s="124"/>
      <c r="H3278" s="124"/>
      <c r="I3278" s="124"/>
      <c r="J3278" s="124"/>
      <c r="K3278" s="124"/>
      <c r="L3278" s="124"/>
      <c r="M3278" s="124"/>
      <c r="N3278" s="124"/>
      <c r="O3278" s="124"/>
      <c r="P3278" s="124"/>
      <c r="Q3278" s="124"/>
      <c r="R3278" s="124"/>
      <c r="S3278" s="124"/>
      <c r="T3278" s="124"/>
      <c r="U3278" s="124"/>
      <c r="V3278" s="124"/>
      <c r="W3278" s="124"/>
      <c r="X3278" s="124"/>
      <c r="Y3278" s="124"/>
    </row>
    <row r="3279" spans="2:25" x14ac:dyDescent="0.25">
      <c r="B3279" s="124"/>
      <c r="C3279" s="124"/>
      <c r="D3279" s="124"/>
      <c r="E3279" s="124"/>
      <c r="F3279" s="124"/>
      <c r="G3279" s="124"/>
      <c r="H3279" s="124"/>
      <c r="I3279" s="124"/>
      <c r="J3279" s="124"/>
      <c r="K3279" s="124"/>
      <c r="L3279" s="124"/>
      <c r="M3279" s="124"/>
      <c r="N3279" s="124"/>
      <c r="O3279" s="124"/>
      <c r="P3279" s="124"/>
      <c r="Q3279" s="124"/>
      <c r="R3279" s="124"/>
      <c r="S3279" s="124"/>
      <c r="T3279" s="124"/>
      <c r="U3279" s="124"/>
      <c r="V3279" s="124"/>
      <c r="W3279" s="124"/>
      <c r="X3279" s="124"/>
      <c r="Y3279" s="124"/>
    </row>
    <row r="3280" spans="2:25" x14ac:dyDescent="0.25">
      <c r="B3280" s="124"/>
      <c r="C3280" s="124"/>
      <c r="D3280" s="124"/>
      <c r="E3280" s="124"/>
      <c r="F3280" s="124"/>
      <c r="G3280" s="124"/>
      <c r="H3280" s="124"/>
      <c r="I3280" s="124"/>
      <c r="J3280" s="124"/>
      <c r="K3280" s="124"/>
      <c r="L3280" s="124"/>
      <c r="M3280" s="124"/>
      <c r="N3280" s="124"/>
      <c r="O3280" s="124"/>
      <c r="P3280" s="124"/>
      <c r="Q3280" s="124"/>
      <c r="R3280" s="124"/>
      <c r="S3280" s="124"/>
      <c r="T3280" s="124"/>
      <c r="U3280" s="124"/>
      <c r="V3280" s="124"/>
      <c r="W3280" s="124"/>
      <c r="X3280" s="124"/>
      <c r="Y3280" s="124"/>
    </row>
    <row r="3281" spans="2:25" x14ac:dyDescent="0.25">
      <c r="B3281" s="124"/>
      <c r="C3281" s="124"/>
      <c r="D3281" s="124"/>
      <c r="E3281" s="124"/>
      <c r="F3281" s="124"/>
      <c r="G3281" s="124"/>
      <c r="H3281" s="124"/>
      <c r="I3281" s="124"/>
      <c r="J3281" s="124"/>
      <c r="K3281" s="124"/>
      <c r="L3281" s="124"/>
      <c r="M3281" s="124"/>
      <c r="N3281" s="124"/>
      <c r="O3281" s="124"/>
      <c r="P3281" s="124"/>
      <c r="Q3281" s="124"/>
      <c r="R3281" s="124"/>
      <c r="S3281" s="124"/>
      <c r="T3281" s="124"/>
      <c r="U3281" s="124"/>
      <c r="V3281" s="124"/>
      <c r="W3281" s="124"/>
      <c r="X3281" s="124"/>
      <c r="Y3281" s="124"/>
    </row>
    <row r="3282" spans="2:25" x14ac:dyDescent="0.25">
      <c r="B3282" s="124"/>
      <c r="C3282" s="124"/>
      <c r="D3282" s="124"/>
      <c r="E3282" s="124"/>
      <c r="F3282" s="124"/>
      <c r="G3282" s="124"/>
      <c r="H3282" s="124"/>
      <c r="I3282" s="124"/>
      <c r="J3282" s="124"/>
      <c r="K3282" s="124"/>
      <c r="L3282" s="124"/>
      <c r="M3282" s="124"/>
      <c r="N3282" s="124"/>
      <c r="O3282" s="124"/>
      <c r="P3282" s="124"/>
      <c r="Q3282" s="124"/>
      <c r="R3282" s="124"/>
      <c r="S3282" s="124"/>
      <c r="T3282" s="124"/>
      <c r="U3282" s="124"/>
      <c r="V3282" s="124"/>
      <c r="W3282" s="124"/>
      <c r="X3282" s="124"/>
      <c r="Y3282" s="124"/>
    </row>
    <row r="3283" spans="2:25" x14ac:dyDescent="0.25">
      <c r="B3283" s="124"/>
      <c r="C3283" s="124"/>
      <c r="D3283" s="124"/>
      <c r="E3283" s="124"/>
      <c r="F3283" s="124"/>
      <c r="G3283" s="124"/>
      <c r="H3283" s="124"/>
      <c r="I3283" s="124"/>
      <c r="J3283" s="124"/>
      <c r="K3283" s="124"/>
      <c r="L3283" s="124"/>
      <c r="M3283" s="124"/>
      <c r="N3283" s="124"/>
      <c r="O3283" s="124"/>
      <c r="P3283" s="124"/>
      <c r="Q3283" s="124"/>
      <c r="R3283" s="124"/>
      <c r="S3283" s="124"/>
      <c r="T3283" s="124"/>
      <c r="U3283" s="124"/>
      <c r="V3283" s="124"/>
      <c r="W3283" s="124"/>
      <c r="X3283" s="124"/>
      <c r="Y3283" s="124"/>
    </row>
    <row r="3284" spans="2:25" x14ac:dyDescent="0.25">
      <c r="B3284" s="124"/>
      <c r="C3284" s="124"/>
      <c r="D3284" s="124"/>
      <c r="E3284" s="124"/>
      <c r="F3284" s="124"/>
      <c r="G3284" s="124"/>
      <c r="H3284" s="124"/>
      <c r="I3284" s="124"/>
      <c r="J3284" s="124"/>
      <c r="K3284" s="124"/>
      <c r="L3284" s="124"/>
      <c r="M3284" s="124"/>
      <c r="N3284" s="124"/>
      <c r="O3284" s="124"/>
      <c r="P3284" s="124"/>
      <c r="Q3284" s="124"/>
      <c r="R3284" s="124"/>
      <c r="S3284" s="124"/>
      <c r="T3284" s="124"/>
      <c r="U3284" s="124"/>
      <c r="V3284" s="124"/>
      <c r="W3284" s="124"/>
      <c r="X3284" s="124"/>
      <c r="Y3284" s="124"/>
    </row>
    <row r="3285" spans="2:25" x14ac:dyDescent="0.25">
      <c r="B3285" s="124"/>
      <c r="C3285" s="124"/>
      <c r="D3285" s="124"/>
      <c r="E3285" s="124"/>
      <c r="F3285" s="124"/>
      <c r="G3285" s="124"/>
      <c r="H3285" s="124"/>
      <c r="I3285" s="124"/>
      <c r="J3285" s="124"/>
      <c r="K3285" s="124"/>
      <c r="L3285" s="124"/>
      <c r="M3285" s="124"/>
      <c r="N3285" s="124"/>
      <c r="O3285" s="124"/>
      <c r="P3285" s="124"/>
      <c r="Q3285" s="124"/>
      <c r="R3285" s="124"/>
      <c r="S3285" s="124"/>
      <c r="T3285" s="124"/>
      <c r="U3285" s="124"/>
      <c r="V3285" s="124"/>
      <c r="W3285" s="124"/>
      <c r="X3285" s="124"/>
      <c r="Y3285" s="124"/>
    </row>
    <row r="3286" spans="2:25" x14ac:dyDescent="0.25">
      <c r="B3286" s="124"/>
      <c r="C3286" s="124"/>
      <c r="D3286" s="124"/>
      <c r="E3286" s="124"/>
      <c r="F3286" s="124"/>
      <c r="G3286" s="124"/>
      <c r="H3286" s="124"/>
      <c r="I3286" s="124"/>
      <c r="J3286" s="124"/>
      <c r="K3286" s="124"/>
      <c r="L3286" s="124"/>
      <c r="M3286" s="124"/>
      <c r="N3286" s="124"/>
      <c r="O3286" s="124"/>
      <c r="P3286" s="124"/>
      <c r="Q3286" s="124"/>
      <c r="R3286" s="124"/>
      <c r="S3286" s="124"/>
      <c r="T3286" s="124"/>
      <c r="U3286" s="124"/>
      <c r="V3286" s="124"/>
      <c r="W3286" s="124"/>
      <c r="X3286" s="124"/>
      <c r="Y3286" s="124"/>
    </row>
    <row r="3287" spans="2:25" x14ac:dyDescent="0.25">
      <c r="B3287" s="124"/>
      <c r="C3287" s="124"/>
      <c r="D3287" s="124"/>
      <c r="E3287" s="124"/>
      <c r="F3287" s="124"/>
      <c r="G3287" s="124"/>
      <c r="H3287" s="124"/>
      <c r="I3287" s="124"/>
      <c r="J3287" s="124"/>
      <c r="K3287" s="124"/>
      <c r="L3287" s="124"/>
      <c r="M3287" s="124"/>
      <c r="N3287" s="124"/>
      <c r="O3287" s="124"/>
      <c r="P3287" s="124"/>
      <c r="Q3287" s="124"/>
      <c r="R3287" s="124"/>
      <c r="S3287" s="124"/>
      <c r="T3287" s="124"/>
      <c r="U3287" s="124"/>
      <c r="V3287" s="124"/>
      <c r="W3287" s="124"/>
      <c r="X3287" s="124"/>
      <c r="Y3287" s="124"/>
    </row>
    <row r="3288" spans="2:25" x14ac:dyDescent="0.25">
      <c r="B3288" s="124"/>
      <c r="C3288" s="124"/>
      <c r="D3288" s="124"/>
      <c r="E3288" s="124"/>
      <c r="F3288" s="124"/>
      <c r="G3288" s="124"/>
      <c r="H3288" s="124"/>
      <c r="I3288" s="124"/>
      <c r="J3288" s="124"/>
      <c r="K3288" s="124"/>
      <c r="L3288" s="124"/>
      <c r="M3288" s="124"/>
      <c r="N3288" s="124"/>
      <c r="O3288" s="124"/>
      <c r="P3288" s="124"/>
      <c r="Q3288" s="124"/>
      <c r="R3288" s="124"/>
      <c r="S3288" s="124"/>
      <c r="T3288" s="124"/>
      <c r="U3288" s="124"/>
      <c r="V3288" s="124"/>
      <c r="W3288" s="124"/>
      <c r="X3288" s="124"/>
      <c r="Y3288" s="124"/>
    </row>
    <row r="3289" spans="2:25" x14ac:dyDescent="0.25">
      <c r="B3289" s="124"/>
      <c r="C3289" s="124"/>
      <c r="D3289" s="124"/>
      <c r="E3289" s="124"/>
      <c r="F3289" s="124"/>
      <c r="G3289" s="124"/>
      <c r="H3289" s="124"/>
      <c r="I3289" s="124"/>
      <c r="J3289" s="124"/>
      <c r="K3289" s="124"/>
      <c r="L3289" s="124"/>
      <c r="M3289" s="124"/>
      <c r="N3289" s="124"/>
      <c r="O3289" s="124"/>
      <c r="P3289" s="124"/>
      <c r="Q3289" s="124"/>
      <c r="R3289" s="124"/>
      <c r="S3289" s="124"/>
      <c r="T3289" s="124"/>
      <c r="U3289" s="124"/>
      <c r="V3289" s="124"/>
      <c r="W3289" s="124"/>
      <c r="X3289" s="124"/>
      <c r="Y3289" s="124"/>
    </row>
    <row r="3290" spans="2:25" x14ac:dyDescent="0.25">
      <c r="B3290" s="124"/>
      <c r="C3290" s="124"/>
      <c r="D3290" s="124"/>
      <c r="E3290" s="124"/>
      <c r="F3290" s="124"/>
      <c r="G3290" s="124"/>
      <c r="H3290" s="124"/>
      <c r="I3290" s="124"/>
      <c r="J3290" s="124"/>
      <c r="K3290" s="124"/>
      <c r="L3290" s="124"/>
      <c r="M3290" s="124"/>
      <c r="N3290" s="124"/>
      <c r="O3290" s="124"/>
      <c r="P3290" s="124"/>
      <c r="Q3290" s="124"/>
      <c r="R3290" s="124"/>
      <c r="S3290" s="124"/>
      <c r="T3290" s="124"/>
      <c r="U3290" s="124"/>
      <c r="V3290" s="124"/>
      <c r="W3290" s="124"/>
      <c r="X3290" s="124"/>
      <c r="Y3290" s="124"/>
    </row>
    <row r="3291" spans="2:25" x14ac:dyDescent="0.25">
      <c r="B3291" s="124"/>
      <c r="C3291" s="124"/>
      <c r="D3291" s="124"/>
      <c r="E3291" s="124"/>
      <c r="F3291" s="124"/>
      <c r="G3291" s="124"/>
      <c r="H3291" s="124"/>
      <c r="I3291" s="124"/>
      <c r="J3291" s="124"/>
      <c r="K3291" s="124"/>
      <c r="L3291" s="124"/>
      <c r="M3291" s="124"/>
      <c r="N3291" s="124"/>
      <c r="O3291" s="124"/>
      <c r="P3291" s="124"/>
      <c r="Q3291" s="124"/>
      <c r="R3291" s="124"/>
      <c r="S3291" s="124"/>
      <c r="T3291" s="124"/>
      <c r="U3291" s="124"/>
      <c r="V3291" s="124"/>
      <c r="W3291" s="124"/>
      <c r="X3291" s="124"/>
      <c r="Y3291" s="124"/>
    </row>
    <row r="3292" spans="2:25" x14ac:dyDescent="0.25">
      <c r="B3292" s="124"/>
      <c r="C3292" s="124"/>
      <c r="D3292" s="124"/>
      <c r="E3292" s="124"/>
      <c r="F3292" s="124"/>
      <c r="G3292" s="124"/>
      <c r="H3292" s="124"/>
      <c r="I3292" s="124"/>
      <c r="J3292" s="124"/>
      <c r="K3292" s="124"/>
      <c r="L3292" s="124"/>
      <c r="M3292" s="124"/>
      <c r="N3292" s="124"/>
      <c r="O3292" s="124"/>
      <c r="P3292" s="124"/>
      <c r="Q3292" s="124"/>
      <c r="R3292" s="124"/>
      <c r="S3292" s="124"/>
      <c r="T3292" s="124"/>
      <c r="U3292" s="124"/>
      <c r="V3292" s="124"/>
      <c r="W3292" s="124"/>
      <c r="X3292" s="124"/>
      <c r="Y3292" s="124"/>
    </row>
    <row r="3293" spans="2:25" x14ac:dyDescent="0.25">
      <c r="B3293" s="124"/>
      <c r="C3293" s="124"/>
      <c r="D3293" s="124"/>
      <c r="E3293" s="124"/>
      <c r="F3293" s="124"/>
      <c r="G3293" s="124"/>
      <c r="H3293" s="124"/>
      <c r="I3293" s="124"/>
      <c r="J3293" s="124"/>
      <c r="K3293" s="124"/>
      <c r="L3293" s="124"/>
      <c r="M3293" s="124"/>
      <c r="N3293" s="124"/>
      <c r="O3293" s="124"/>
      <c r="P3293" s="124"/>
      <c r="Q3293" s="124"/>
      <c r="R3293" s="124"/>
      <c r="S3293" s="124"/>
      <c r="T3293" s="124"/>
      <c r="U3293" s="124"/>
      <c r="V3293" s="124"/>
      <c r="W3293" s="124"/>
      <c r="X3293" s="124"/>
      <c r="Y3293" s="124"/>
    </row>
    <row r="3294" spans="2:25" x14ac:dyDescent="0.25">
      <c r="B3294" s="124"/>
      <c r="C3294" s="124"/>
      <c r="D3294" s="124"/>
      <c r="E3294" s="124"/>
      <c r="F3294" s="124"/>
      <c r="G3294" s="124"/>
      <c r="H3294" s="124"/>
      <c r="I3294" s="124"/>
      <c r="J3294" s="124"/>
      <c r="K3294" s="124"/>
      <c r="L3294" s="124"/>
      <c r="M3294" s="124"/>
      <c r="N3294" s="124"/>
      <c r="O3294" s="124"/>
      <c r="P3294" s="124"/>
      <c r="Q3294" s="124"/>
      <c r="R3294" s="124"/>
      <c r="S3294" s="124"/>
      <c r="T3294" s="124"/>
      <c r="U3294" s="124"/>
      <c r="V3294" s="124"/>
      <c r="W3294" s="124"/>
      <c r="X3294" s="124"/>
      <c r="Y3294" s="124"/>
    </row>
    <row r="3295" spans="2:25" x14ac:dyDescent="0.25">
      <c r="B3295" s="124"/>
      <c r="C3295" s="124"/>
      <c r="D3295" s="124"/>
      <c r="E3295" s="124"/>
      <c r="F3295" s="124"/>
      <c r="G3295" s="124"/>
      <c r="H3295" s="124"/>
      <c r="I3295" s="124"/>
      <c r="J3295" s="124"/>
      <c r="K3295" s="124"/>
      <c r="L3295" s="124"/>
      <c r="M3295" s="124"/>
      <c r="N3295" s="124"/>
      <c r="O3295" s="124"/>
      <c r="P3295" s="124"/>
      <c r="Q3295" s="124"/>
      <c r="R3295" s="124"/>
      <c r="S3295" s="124"/>
      <c r="T3295" s="124"/>
      <c r="U3295" s="124"/>
      <c r="V3295" s="124"/>
      <c r="W3295" s="124"/>
      <c r="X3295" s="124"/>
      <c r="Y3295" s="124"/>
    </row>
    <row r="3296" spans="2:25" x14ac:dyDescent="0.25">
      <c r="B3296" s="124"/>
      <c r="C3296" s="124"/>
      <c r="D3296" s="124"/>
      <c r="E3296" s="124"/>
      <c r="F3296" s="124"/>
      <c r="G3296" s="124"/>
      <c r="H3296" s="124"/>
      <c r="I3296" s="124"/>
      <c r="J3296" s="124"/>
      <c r="K3296" s="124"/>
      <c r="L3296" s="124"/>
      <c r="M3296" s="124"/>
      <c r="N3296" s="124"/>
      <c r="O3296" s="124"/>
      <c r="P3296" s="124"/>
      <c r="Q3296" s="124"/>
      <c r="R3296" s="124"/>
      <c r="S3296" s="124"/>
      <c r="T3296" s="124"/>
      <c r="U3296" s="124"/>
      <c r="V3296" s="124"/>
      <c r="W3296" s="124"/>
      <c r="X3296" s="124"/>
      <c r="Y3296" s="124"/>
    </row>
    <row r="3297" spans="2:25" x14ac:dyDescent="0.25">
      <c r="B3297" s="124"/>
      <c r="C3297" s="124"/>
      <c r="D3297" s="124"/>
      <c r="E3297" s="124"/>
      <c r="F3297" s="124"/>
      <c r="G3297" s="124"/>
      <c r="H3297" s="124"/>
      <c r="I3297" s="124"/>
      <c r="J3297" s="124"/>
      <c r="K3297" s="124"/>
      <c r="L3297" s="124"/>
      <c r="M3297" s="124"/>
      <c r="N3297" s="124"/>
      <c r="O3297" s="124"/>
      <c r="P3297" s="124"/>
      <c r="Q3297" s="124"/>
      <c r="R3297" s="124"/>
      <c r="S3297" s="124"/>
      <c r="T3297" s="124"/>
      <c r="U3297" s="124"/>
      <c r="V3297" s="124"/>
      <c r="W3297" s="124"/>
      <c r="X3297" s="124"/>
      <c r="Y3297" s="124"/>
    </row>
    <row r="3298" spans="2:25" x14ac:dyDescent="0.25">
      <c r="B3298" s="124"/>
      <c r="C3298" s="124"/>
      <c r="D3298" s="124"/>
      <c r="E3298" s="124"/>
      <c r="F3298" s="124"/>
      <c r="G3298" s="124"/>
      <c r="H3298" s="124"/>
      <c r="I3298" s="124"/>
      <c r="J3298" s="124"/>
      <c r="K3298" s="124"/>
      <c r="L3298" s="124"/>
      <c r="M3298" s="124"/>
      <c r="N3298" s="124"/>
      <c r="O3298" s="124"/>
      <c r="P3298" s="124"/>
      <c r="Q3298" s="124"/>
      <c r="R3298" s="124"/>
      <c r="S3298" s="124"/>
      <c r="T3298" s="124"/>
      <c r="U3298" s="124"/>
      <c r="V3298" s="124"/>
      <c r="W3298" s="124"/>
      <c r="X3298" s="124"/>
      <c r="Y3298" s="124"/>
    </row>
    <row r="3299" spans="2:25" x14ac:dyDescent="0.25">
      <c r="B3299" s="124"/>
      <c r="C3299" s="124"/>
      <c r="D3299" s="124"/>
      <c r="E3299" s="124"/>
      <c r="F3299" s="124"/>
      <c r="G3299" s="124"/>
      <c r="H3299" s="124"/>
      <c r="I3299" s="124"/>
      <c r="J3299" s="124"/>
      <c r="K3299" s="124"/>
      <c r="L3299" s="124"/>
      <c r="M3299" s="124"/>
      <c r="N3299" s="124"/>
      <c r="O3299" s="124"/>
      <c r="P3299" s="124"/>
      <c r="Q3299" s="124"/>
      <c r="R3299" s="124"/>
      <c r="S3299" s="124"/>
      <c r="T3299" s="124"/>
      <c r="U3299" s="124"/>
      <c r="V3299" s="124"/>
      <c r="W3299" s="124"/>
      <c r="X3299" s="124"/>
      <c r="Y3299" s="124"/>
    </row>
    <row r="3300" spans="2:25" x14ac:dyDescent="0.25">
      <c r="B3300" s="124"/>
      <c r="C3300" s="124"/>
      <c r="D3300" s="124"/>
      <c r="E3300" s="124"/>
      <c r="F3300" s="124"/>
      <c r="G3300" s="124"/>
      <c r="H3300" s="124"/>
      <c r="I3300" s="124"/>
      <c r="J3300" s="124"/>
      <c r="K3300" s="124"/>
      <c r="L3300" s="124"/>
      <c r="M3300" s="124"/>
      <c r="N3300" s="124"/>
      <c r="O3300" s="124"/>
      <c r="P3300" s="124"/>
      <c r="Q3300" s="124"/>
      <c r="R3300" s="124"/>
      <c r="S3300" s="124"/>
      <c r="T3300" s="124"/>
      <c r="U3300" s="124"/>
      <c r="V3300" s="124"/>
      <c r="W3300" s="124"/>
      <c r="X3300" s="124"/>
      <c r="Y3300" s="124"/>
    </row>
    <row r="3301" spans="2:25" x14ac:dyDescent="0.25">
      <c r="B3301" s="124"/>
      <c r="C3301" s="124"/>
      <c r="D3301" s="124"/>
      <c r="E3301" s="124"/>
      <c r="F3301" s="124"/>
      <c r="G3301" s="124"/>
      <c r="H3301" s="124"/>
      <c r="I3301" s="124"/>
      <c r="J3301" s="124"/>
      <c r="K3301" s="124"/>
      <c r="L3301" s="124"/>
      <c r="M3301" s="124"/>
      <c r="N3301" s="124"/>
      <c r="O3301" s="124"/>
      <c r="P3301" s="124"/>
      <c r="Q3301" s="124"/>
      <c r="R3301" s="124"/>
      <c r="S3301" s="124"/>
      <c r="T3301" s="124"/>
      <c r="U3301" s="124"/>
      <c r="V3301" s="124"/>
      <c r="W3301" s="124"/>
      <c r="X3301" s="124"/>
      <c r="Y3301" s="124"/>
    </row>
    <row r="3302" spans="2:25" x14ac:dyDescent="0.25">
      <c r="B3302" s="124"/>
      <c r="C3302" s="124"/>
      <c r="D3302" s="124"/>
      <c r="E3302" s="124"/>
      <c r="F3302" s="124"/>
      <c r="G3302" s="124"/>
      <c r="H3302" s="124"/>
      <c r="I3302" s="124"/>
      <c r="J3302" s="124"/>
      <c r="K3302" s="124"/>
      <c r="L3302" s="124"/>
      <c r="M3302" s="124"/>
      <c r="N3302" s="124"/>
      <c r="O3302" s="124"/>
      <c r="P3302" s="124"/>
      <c r="Q3302" s="124"/>
      <c r="R3302" s="124"/>
      <c r="S3302" s="124"/>
      <c r="T3302" s="124"/>
      <c r="U3302" s="124"/>
      <c r="V3302" s="124"/>
      <c r="W3302" s="124"/>
      <c r="X3302" s="124"/>
      <c r="Y3302" s="124"/>
    </row>
    <row r="3303" spans="2:25" x14ac:dyDescent="0.25">
      <c r="B3303" s="124"/>
      <c r="C3303" s="124"/>
      <c r="D3303" s="124"/>
      <c r="E3303" s="124"/>
      <c r="F3303" s="124"/>
      <c r="G3303" s="124"/>
      <c r="H3303" s="124"/>
      <c r="I3303" s="124"/>
      <c r="J3303" s="124"/>
      <c r="K3303" s="124"/>
      <c r="L3303" s="124"/>
      <c r="M3303" s="124"/>
      <c r="N3303" s="124"/>
      <c r="O3303" s="124"/>
      <c r="P3303" s="124"/>
      <c r="Q3303" s="124"/>
      <c r="R3303" s="124"/>
      <c r="S3303" s="124"/>
      <c r="T3303" s="124"/>
      <c r="U3303" s="124"/>
      <c r="V3303" s="124"/>
      <c r="W3303" s="124"/>
      <c r="X3303" s="124"/>
      <c r="Y3303" s="124"/>
    </row>
    <row r="3304" spans="2:25" x14ac:dyDescent="0.25">
      <c r="B3304" s="124"/>
      <c r="C3304" s="124"/>
      <c r="D3304" s="124"/>
      <c r="E3304" s="124"/>
      <c r="F3304" s="124"/>
      <c r="G3304" s="124"/>
      <c r="H3304" s="124"/>
      <c r="I3304" s="124"/>
      <c r="J3304" s="124"/>
      <c r="K3304" s="124"/>
      <c r="L3304" s="124"/>
      <c r="M3304" s="124"/>
      <c r="N3304" s="124"/>
      <c r="O3304" s="124"/>
      <c r="P3304" s="124"/>
      <c r="Q3304" s="124"/>
      <c r="R3304" s="124"/>
      <c r="S3304" s="124"/>
      <c r="T3304" s="124"/>
      <c r="U3304" s="124"/>
      <c r="V3304" s="124"/>
      <c r="W3304" s="124"/>
      <c r="X3304" s="124"/>
      <c r="Y3304" s="124"/>
    </row>
    <row r="3305" spans="2:25" x14ac:dyDescent="0.25">
      <c r="B3305" s="124"/>
      <c r="C3305" s="124"/>
      <c r="D3305" s="124"/>
      <c r="E3305" s="124"/>
      <c r="F3305" s="124"/>
      <c r="G3305" s="124"/>
      <c r="H3305" s="124"/>
      <c r="I3305" s="124"/>
      <c r="J3305" s="124"/>
      <c r="K3305" s="124"/>
      <c r="L3305" s="124"/>
      <c r="M3305" s="124"/>
      <c r="N3305" s="124"/>
      <c r="O3305" s="124"/>
      <c r="P3305" s="124"/>
      <c r="Q3305" s="124"/>
      <c r="R3305" s="124"/>
      <c r="S3305" s="124"/>
      <c r="T3305" s="124"/>
      <c r="U3305" s="124"/>
      <c r="V3305" s="124"/>
      <c r="W3305" s="124"/>
      <c r="X3305" s="124"/>
      <c r="Y3305" s="124"/>
    </row>
    <row r="3306" spans="2:25" x14ac:dyDescent="0.25">
      <c r="B3306" s="124"/>
      <c r="C3306" s="124"/>
      <c r="D3306" s="124"/>
      <c r="E3306" s="124"/>
      <c r="F3306" s="124"/>
      <c r="G3306" s="124"/>
      <c r="H3306" s="124"/>
      <c r="I3306" s="124"/>
      <c r="J3306" s="124"/>
      <c r="K3306" s="124"/>
      <c r="L3306" s="124"/>
      <c r="M3306" s="124"/>
      <c r="N3306" s="124"/>
      <c r="O3306" s="124"/>
      <c r="P3306" s="124"/>
      <c r="Q3306" s="124"/>
      <c r="R3306" s="124"/>
      <c r="S3306" s="124"/>
      <c r="T3306" s="124"/>
      <c r="U3306" s="124"/>
      <c r="V3306" s="124"/>
      <c r="W3306" s="124"/>
      <c r="X3306" s="124"/>
      <c r="Y3306" s="124"/>
    </row>
    <row r="3307" spans="2:25" x14ac:dyDescent="0.25">
      <c r="B3307" s="124"/>
      <c r="C3307" s="124"/>
      <c r="D3307" s="124"/>
      <c r="E3307" s="124"/>
      <c r="F3307" s="124"/>
      <c r="G3307" s="124"/>
      <c r="H3307" s="124"/>
      <c r="I3307" s="124"/>
      <c r="J3307" s="124"/>
      <c r="K3307" s="124"/>
      <c r="L3307" s="124"/>
      <c r="M3307" s="124"/>
      <c r="N3307" s="124"/>
      <c r="O3307" s="124"/>
      <c r="P3307" s="124"/>
      <c r="Q3307" s="124"/>
      <c r="R3307" s="124"/>
      <c r="S3307" s="124"/>
      <c r="T3307" s="124"/>
      <c r="U3307" s="124"/>
      <c r="V3307" s="124"/>
      <c r="W3307" s="124"/>
      <c r="X3307" s="124"/>
      <c r="Y3307" s="124"/>
    </row>
    <row r="3308" spans="2:25" x14ac:dyDescent="0.25">
      <c r="B3308" s="124"/>
      <c r="C3308" s="124"/>
      <c r="D3308" s="124"/>
      <c r="E3308" s="124"/>
      <c r="F3308" s="124"/>
      <c r="G3308" s="124"/>
      <c r="H3308" s="124"/>
      <c r="I3308" s="124"/>
      <c r="J3308" s="124"/>
      <c r="K3308" s="124"/>
      <c r="L3308" s="124"/>
      <c r="M3308" s="124"/>
      <c r="N3308" s="124"/>
      <c r="O3308" s="124"/>
      <c r="P3308" s="124"/>
      <c r="Q3308" s="124"/>
      <c r="R3308" s="124"/>
      <c r="S3308" s="124"/>
      <c r="T3308" s="124"/>
      <c r="U3308" s="124"/>
      <c r="V3308" s="124"/>
      <c r="W3308" s="124"/>
      <c r="X3308" s="124"/>
      <c r="Y3308" s="124"/>
    </row>
    <row r="3309" spans="2:25" x14ac:dyDescent="0.25">
      <c r="B3309" s="124"/>
      <c r="C3309" s="124"/>
      <c r="D3309" s="124"/>
      <c r="E3309" s="124"/>
      <c r="F3309" s="124"/>
      <c r="G3309" s="124"/>
      <c r="H3309" s="124"/>
      <c r="I3309" s="124"/>
      <c r="J3309" s="124"/>
      <c r="K3309" s="124"/>
      <c r="L3309" s="124"/>
      <c r="M3309" s="124"/>
      <c r="N3309" s="124"/>
      <c r="O3309" s="124"/>
      <c r="P3309" s="124"/>
      <c r="Q3309" s="124"/>
      <c r="R3309" s="124"/>
      <c r="S3309" s="124"/>
      <c r="T3309" s="124"/>
      <c r="U3309" s="124"/>
      <c r="V3309" s="124"/>
      <c r="W3309" s="124"/>
      <c r="X3309" s="124"/>
      <c r="Y3309" s="124"/>
    </row>
    <row r="3310" spans="2:25" x14ac:dyDescent="0.25">
      <c r="B3310" s="124"/>
      <c r="C3310" s="124"/>
      <c r="D3310" s="124"/>
      <c r="E3310" s="124"/>
      <c r="F3310" s="124"/>
      <c r="G3310" s="124"/>
      <c r="H3310" s="124"/>
      <c r="I3310" s="124"/>
      <c r="J3310" s="124"/>
      <c r="K3310" s="124"/>
      <c r="L3310" s="124"/>
      <c r="M3310" s="124"/>
      <c r="N3310" s="124"/>
      <c r="O3310" s="124"/>
      <c r="P3310" s="124"/>
      <c r="Q3310" s="124"/>
      <c r="R3310" s="124"/>
      <c r="S3310" s="124"/>
      <c r="T3310" s="124"/>
      <c r="U3310" s="124"/>
      <c r="V3310" s="124"/>
      <c r="W3310" s="124"/>
      <c r="X3310" s="124"/>
      <c r="Y3310" s="124"/>
    </row>
    <row r="3311" spans="2:25" x14ac:dyDescent="0.25">
      <c r="B3311" s="124"/>
      <c r="C3311" s="124"/>
      <c r="D3311" s="124"/>
      <c r="E3311" s="124"/>
      <c r="F3311" s="124"/>
      <c r="G3311" s="124"/>
      <c r="H3311" s="124"/>
      <c r="I3311" s="124"/>
      <c r="J3311" s="124"/>
      <c r="K3311" s="124"/>
      <c r="L3311" s="124"/>
      <c r="M3311" s="124"/>
      <c r="N3311" s="124"/>
      <c r="O3311" s="124"/>
      <c r="P3311" s="124"/>
      <c r="Q3311" s="124"/>
      <c r="R3311" s="124"/>
      <c r="S3311" s="124"/>
      <c r="T3311" s="124"/>
      <c r="U3311" s="124"/>
      <c r="V3311" s="124"/>
      <c r="W3311" s="124"/>
      <c r="X3311" s="124"/>
      <c r="Y3311" s="124"/>
    </row>
    <row r="3312" spans="2:25" x14ac:dyDescent="0.25">
      <c r="B3312" s="124"/>
      <c r="C3312" s="124"/>
      <c r="D3312" s="124"/>
      <c r="E3312" s="124"/>
      <c r="F3312" s="124"/>
      <c r="G3312" s="124"/>
      <c r="H3312" s="124"/>
      <c r="I3312" s="124"/>
      <c r="J3312" s="124"/>
      <c r="K3312" s="124"/>
      <c r="L3312" s="124"/>
      <c r="M3312" s="124"/>
      <c r="N3312" s="124"/>
      <c r="O3312" s="124"/>
      <c r="P3312" s="124"/>
      <c r="Q3312" s="124"/>
      <c r="R3312" s="124"/>
      <c r="S3312" s="124"/>
      <c r="T3312" s="124"/>
      <c r="U3312" s="124"/>
      <c r="V3312" s="124"/>
      <c r="W3312" s="124"/>
      <c r="X3312" s="124"/>
      <c r="Y3312" s="124"/>
    </row>
    <row r="3313" spans="2:25" x14ac:dyDescent="0.25">
      <c r="B3313" s="124"/>
      <c r="C3313" s="124"/>
      <c r="D3313" s="124"/>
      <c r="E3313" s="124"/>
      <c r="F3313" s="124"/>
      <c r="G3313" s="124"/>
      <c r="H3313" s="124"/>
      <c r="I3313" s="124"/>
      <c r="J3313" s="124"/>
      <c r="K3313" s="124"/>
      <c r="L3313" s="124"/>
      <c r="M3313" s="124"/>
      <c r="N3313" s="124"/>
      <c r="O3313" s="124"/>
      <c r="P3313" s="124"/>
      <c r="Q3313" s="124"/>
      <c r="R3313" s="124"/>
      <c r="S3313" s="124"/>
      <c r="T3313" s="124"/>
      <c r="U3313" s="124"/>
      <c r="V3313" s="124"/>
      <c r="W3313" s="124"/>
      <c r="X3313" s="124"/>
      <c r="Y3313" s="124"/>
    </row>
    <row r="3314" spans="2:25" x14ac:dyDescent="0.25">
      <c r="B3314" s="124"/>
      <c r="C3314" s="124"/>
      <c r="D3314" s="124"/>
      <c r="E3314" s="124"/>
      <c r="F3314" s="124"/>
      <c r="G3314" s="124"/>
      <c r="H3314" s="124"/>
      <c r="I3314" s="124"/>
      <c r="J3314" s="124"/>
      <c r="K3314" s="124"/>
      <c r="L3314" s="124"/>
      <c r="M3314" s="124"/>
      <c r="N3314" s="124"/>
      <c r="O3314" s="124"/>
      <c r="P3314" s="124"/>
      <c r="Q3314" s="124"/>
      <c r="R3314" s="124"/>
      <c r="S3314" s="124"/>
      <c r="T3314" s="124"/>
      <c r="U3314" s="124"/>
      <c r="V3314" s="124"/>
      <c r="W3314" s="124"/>
      <c r="X3314" s="124"/>
      <c r="Y3314" s="124"/>
    </row>
    <row r="3315" spans="2:25" x14ac:dyDescent="0.25">
      <c r="B3315" s="124"/>
      <c r="C3315" s="124"/>
      <c r="D3315" s="124"/>
      <c r="E3315" s="124"/>
      <c r="F3315" s="124"/>
      <c r="G3315" s="124"/>
      <c r="H3315" s="124"/>
      <c r="I3315" s="124"/>
      <c r="J3315" s="124"/>
      <c r="K3315" s="124"/>
      <c r="L3315" s="124"/>
      <c r="M3315" s="124"/>
      <c r="N3315" s="124"/>
      <c r="O3315" s="124"/>
      <c r="P3315" s="124"/>
      <c r="Q3315" s="124"/>
      <c r="R3315" s="124"/>
      <c r="S3315" s="124"/>
      <c r="T3315" s="124"/>
      <c r="U3315" s="124"/>
      <c r="V3315" s="124"/>
      <c r="W3315" s="124"/>
      <c r="X3315" s="124"/>
      <c r="Y3315" s="124"/>
    </row>
    <row r="3316" spans="2:25" x14ac:dyDescent="0.25">
      <c r="B3316" s="124"/>
      <c r="C3316" s="124"/>
      <c r="D3316" s="124"/>
      <c r="E3316" s="124"/>
      <c r="F3316" s="124"/>
      <c r="G3316" s="124"/>
      <c r="H3316" s="124"/>
      <c r="I3316" s="124"/>
      <c r="J3316" s="124"/>
      <c r="K3316" s="124"/>
      <c r="L3316" s="124"/>
      <c r="M3316" s="124"/>
      <c r="N3316" s="124"/>
      <c r="O3316" s="124"/>
      <c r="P3316" s="124"/>
      <c r="Q3316" s="124"/>
      <c r="R3316" s="124"/>
      <c r="S3316" s="124"/>
      <c r="T3316" s="124"/>
      <c r="U3316" s="124"/>
      <c r="V3316" s="124"/>
      <c r="W3316" s="124"/>
      <c r="X3316" s="124"/>
      <c r="Y3316" s="124"/>
    </row>
    <row r="3317" spans="2:25" x14ac:dyDescent="0.25">
      <c r="B3317" s="124"/>
      <c r="C3317" s="124"/>
      <c r="D3317" s="124"/>
      <c r="E3317" s="124"/>
      <c r="F3317" s="124"/>
      <c r="G3317" s="124"/>
      <c r="H3317" s="124"/>
      <c r="I3317" s="124"/>
      <c r="J3317" s="124"/>
      <c r="K3317" s="124"/>
      <c r="L3317" s="124"/>
      <c r="M3317" s="124"/>
      <c r="N3317" s="124"/>
      <c r="O3317" s="124"/>
      <c r="P3317" s="124"/>
      <c r="Q3317" s="124"/>
      <c r="R3317" s="124"/>
      <c r="S3317" s="124"/>
      <c r="T3317" s="124"/>
      <c r="U3317" s="124"/>
      <c r="V3317" s="124"/>
      <c r="W3317" s="124"/>
      <c r="X3317" s="124"/>
      <c r="Y3317" s="124"/>
    </row>
    <row r="3318" spans="2:25" x14ac:dyDescent="0.25">
      <c r="B3318" s="124"/>
      <c r="C3318" s="124"/>
      <c r="D3318" s="124"/>
      <c r="E3318" s="124"/>
      <c r="F3318" s="124"/>
      <c r="G3318" s="124"/>
      <c r="H3318" s="124"/>
      <c r="I3318" s="124"/>
      <c r="J3318" s="124"/>
      <c r="K3318" s="124"/>
      <c r="L3318" s="124"/>
      <c r="M3318" s="124"/>
      <c r="N3318" s="124"/>
      <c r="O3318" s="124"/>
      <c r="P3318" s="124"/>
      <c r="Q3318" s="124"/>
      <c r="R3318" s="124"/>
      <c r="S3318" s="124"/>
      <c r="T3318" s="124"/>
      <c r="U3318" s="124"/>
      <c r="V3318" s="124"/>
      <c r="W3318" s="124"/>
      <c r="X3318" s="124"/>
      <c r="Y3318" s="124"/>
    </row>
    <row r="3319" spans="2:25" x14ac:dyDescent="0.25">
      <c r="B3319" s="124"/>
      <c r="C3319" s="124"/>
      <c r="D3319" s="124"/>
      <c r="E3319" s="124"/>
      <c r="F3319" s="124"/>
      <c r="G3319" s="124"/>
      <c r="H3319" s="124"/>
      <c r="I3319" s="124"/>
      <c r="J3319" s="124"/>
      <c r="K3319" s="124"/>
      <c r="L3319" s="124"/>
      <c r="M3319" s="124"/>
      <c r="N3319" s="124"/>
      <c r="O3319" s="124"/>
      <c r="P3319" s="124"/>
      <c r="Q3319" s="124"/>
      <c r="R3319" s="124"/>
      <c r="S3319" s="124"/>
      <c r="T3319" s="124"/>
      <c r="U3319" s="124"/>
      <c r="V3319" s="124"/>
      <c r="W3319" s="124"/>
      <c r="X3319" s="124"/>
      <c r="Y3319" s="124"/>
    </row>
    <row r="3320" spans="2:25" x14ac:dyDescent="0.25">
      <c r="B3320" s="124"/>
      <c r="C3320" s="124"/>
      <c r="D3320" s="124"/>
      <c r="E3320" s="124"/>
      <c r="F3320" s="124"/>
      <c r="G3320" s="124"/>
      <c r="H3320" s="124"/>
      <c r="I3320" s="124"/>
      <c r="J3320" s="124"/>
      <c r="K3320" s="124"/>
      <c r="L3320" s="124"/>
      <c r="M3320" s="124"/>
      <c r="N3320" s="124"/>
      <c r="O3320" s="124"/>
      <c r="P3320" s="124"/>
      <c r="Q3320" s="124"/>
      <c r="R3320" s="124"/>
      <c r="S3320" s="124"/>
      <c r="T3320" s="124"/>
      <c r="U3320" s="124"/>
      <c r="V3320" s="124"/>
      <c r="W3320" s="124"/>
      <c r="X3320" s="124"/>
      <c r="Y3320" s="124"/>
    </row>
    <row r="3321" spans="2:25" x14ac:dyDescent="0.25">
      <c r="B3321" s="124"/>
      <c r="C3321" s="124"/>
      <c r="D3321" s="124"/>
      <c r="E3321" s="124"/>
      <c r="F3321" s="124"/>
      <c r="G3321" s="124"/>
      <c r="H3321" s="124"/>
      <c r="I3321" s="124"/>
      <c r="J3321" s="124"/>
      <c r="K3321" s="124"/>
      <c r="L3321" s="124"/>
      <c r="M3321" s="124"/>
      <c r="N3321" s="124"/>
      <c r="O3321" s="124"/>
      <c r="P3321" s="124"/>
      <c r="Q3321" s="124"/>
      <c r="R3321" s="124"/>
      <c r="S3321" s="124"/>
      <c r="T3321" s="124"/>
      <c r="U3321" s="124"/>
      <c r="V3321" s="124"/>
      <c r="W3321" s="124"/>
      <c r="X3321" s="124"/>
      <c r="Y3321" s="124"/>
    </row>
    <row r="3322" spans="2:25" x14ac:dyDescent="0.25">
      <c r="B3322" s="124"/>
      <c r="C3322" s="124"/>
      <c r="D3322" s="124"/>
      <c r="E3322" s="124"/>
      <c r="F3322" s="124"/>
      <c r="G3322" s="124"/>
      <c r="H3322" s="124"/>
      <c r="I3322" s="124"/>
      <c r="J3322" s="124"/>
      <c r="K3322" s="124"/>
      <c r="L3322" s="124"/>
      <c r="M3322" s="124"/>
      <c r="N3322" s="124"/>
      <c r="O3322" s="124"/>
      <c r="P3322" s="124"/>
      <c r="Q3322" s="124"/>
      <c r="R3322" s="124"/>
      <c r="S3322" s="124"/>
      <c r="T3322" s="124"/>
      <c r="U3322" s="124"/>
      <c r="V3322" s="124"/>
      <c r="W3322" s="124"/>
      <c r="X3322" s="124"/>
      <c r="Y3322" s="124"/>
    </row>
    <row r="3323" spans="2:25" x14ac:dyDescent="0.25">
      <c r="B3323" s="124"/>
      <c r="C3323" s="124"/>
      <c r="D3323" s="124"/>
      <c r="E3323" s="124"/>
      <c r="F3323" s="124"/>
      <c r="G3323" s="124"/>
      <c r="H3323" s="124"/>
      <c r="I3323" s="124"/>
      <c r="J3323" s="124"/>
      <c r="K3323" s="124"/>
      <c r="L3323" s="124"/>
      <c r="M3323" s="124"/>
      <c r="N3323" s="124"/>
      <c r="O3323" s="124"/>
      <c r="P3323" s="124"/>
      <c r="Q3323" s="124"/>
      <c r="R3323" s="124"/>
      <c r="S3323" s="124"/>
      <c r="T3323" s="124"/>
      <c r="U3323" s="124"/>
      <c r="V3323" s="124"/>
      <c r="W3323" s="124"/>
      <c r="X3323" s="124"/>
      <c r="Y3323" s="124"/>
    </row>
    <row r="3324" spans="2:25" x14ac:dyDescent="0.25">
      <c r="B3324" s="124"/>
      <c r="C3324" s="124"/>
      <c r="D3324" s="124"/>
      <c r="E3324" s="124"/>
      <c r="F3324" s="124"/>
      <c r="G3324" s="124"/>
      <c r="H3324" s="124"/>
      <c r="I3324" s="124"/>
      <c r="J3324" s="124"/>
      <c r="K3324" s="124"/>
      <c r="L3324" s="124"/>
      <c r="M3324" s="124"/>
      <c r="N3324" s="124"/>
      <c r="O3324" s="124"/>
      <c r="P3324" s="124"/>
      <c r="Q3324" s="124"/>
      <c r="R3324" s="124"/>
      <c r="S3324" s="124"/>
      <c r="T3324" s="124"/>
      <c r="U3324" s="124"/>
      <c r="V3324" s="124"/>
      <c r="W3324" s="124"/>
      <c r="X3324" s="124"/>
      <c r="Y3324" s="124"/>
    </row>
    <row r="3325" spans="2:25" x14ac:dyDescent="0.25">
      <c r="B3325" s="124"/>
      <c r="C3325" s="124"/>
      <c r="D3325" s="124"/>
      <c r="E3325" s="124"/>
      <c r="F3325" s="124"/>
      <c r="G3325" s="124"/>
      <c r="H3325" s="124"/>
      <c r="I3325" s="124"/>
      <c r="J3325" s="124"/>
      <c r="K3325" s="124"/>
      <c r="L3325" s="124"/>
      <c r="M3325" s="124"/>
      <c r="N3325" s="124"/>
      <c r="O3325" s="124"/>
      <c r="P3325" s="124"/>
      <c r="Q3325" s="124"/>
      <c r="R3325" s="124"/>
      <c r="S3325" s="124"/>
      <c r="T3325" s="124"/>
      <c r="U3325" s="124"/>
      <c r="V3325" s="124"/>
      <c r="W3325" s="124"/>
      <c r="X3325" s="124"/>
      <c r="Y3325" s="124"/>
    </row>
    <row r="3326" spans="2:25" x14ac:dyDescent="0.25">
      <c r="B3326" s="124"/>
      <c r="C3326" s="124"/>
      <c r="D3326" s="124"/>
      <c r="E3326" s="124"/>
      <c r="F3326" s="124"/>
      <c r="G3326" s="124"/>
      <c r="H3326" s="124"/>
      <c r="I3326" s="124"/>
      <c r="J3326" s="124"/>
      <c r="K3326" s="124"/>
      <c r="L3326" s="124"/>
      <c r="M3326" s="124"/>
      <c r="N3326" s="124"/>
      <c r="O3326" s="124"/>
      <c r="P3326" s="124"/>
      <c r="Q3326" s="124"/>
      <c r="R3326" s="124"/>
      <c r="S3326" s="124"/>
      <c r="T3326" s="124"/>
      <c r="U3326" s="124"/>
      <c r="V3326" s="124"/>
      <c r="W3326" s="124"/>
      <c r="X3326" s="124"/>
      <c r="Y3326" s="124"/>
    </row>
    <row r="3327" spans="2:25" x14ac:dyDescent="0.25">
      <c r="B3327" s="124"/>
      <c r="C3327" s="124"/>
      <c r="D3327" s="124"/>
      <c r="E3327" s="124"/>
      <c r="F3327" s="124"/>
      <c r="G3327" s="124"/>
      <c r="H3327" s="124"/>
      <c r="I3327" s="124"/>
      <c r="J3327" s="124"/>
      <c r="K3327" s="124"/>
      <c r="L3327" s="124"/>
      <c r="M3327" s="124"/>
      <c r="N3327" s="124"/>
      <c r="O3327" s="124"/>
      <c r="P3327" s="124"/>
      <c r="Q3327" s="124"/>
      <c r="R3327" s="124"/>
      <c r="S3327" s="124"/>
      <c r="T3327" s="124"/>
      <c r="U3327" s="124"/>
      <c r="V3327" s="124"/>
      <c r="W3327" s="124"/>
      <c r="X3327" s="124"/>
      <c r="Y3327" s="124"/>
    </row>
    <row r="3328" spans="2:25" x14ac:dyDescent="0.25">
      <c r="B3328" s="124"/>
      <c r="C3328" s="124"/>
      <c r="D3328" s="124"/>
      <c r="E3328" s="124"/>
      <c r="F3328" s="124"/>
      <c r="G3328" s="124"/>
      <c r="H3328" s="124"/>
      <c r="I3328" s="124"/>
      <c r="J3328" s="124"/>
      <c r="K3328" s="124"/>
      <c r="L3328" s="124"/>
      <c r="M3328" s="124"/>
      <c r="N3328" s="124"/>
      <c r="O3328" s="124"/>
      <c r="P3328" s="124"/>
      <c r="Q3328" s="124"/>
      <c r="R3328" s="124"/>
      <c r="S3328" s="124"/>
      <c r="T3328" s="124"/>
      <c r="U3328" s="124"/>
      <c r="V3328" s="124"/>
      <c r="W3328" s="124"/>
      <c r="X3328" s="124"/>
      <c r="Y3328" s="124"/>
    </row>
    <row r="3329" spans="2:25" x14ac:dyDescent="0.25">
      <c r="B3329" s="124"/>
      <c r="C3329" s="124"/>
      <c r="D3329" s="124"/>
      <c r="E3329" s="124"/>
      <c r="F3329" s="124"/>
      <c r="G3329" s="124"/>
      <c r="H3329" s="124"/>
      <c r="I3329" s="124"/>
      <c r="J3329" s="124"/>
      <c r="K3329" s="124"/>
      <c r="L3329" s="124"/>
      <c r="M3329" s="124"/>
      <c r="N3329" s="124"/>
      <c r="O3329" s="124"/>
      <c r="P3329" s="124"/>
      <c r="Q3329" s="124"/>
      <c r="R3329" s="124"/>
      <c r="S3329" s="124"/>
      <c r="T3329" s="124"/>
      <c r="U3329" s="124"/>
      <c r="V3329" s="124"/>
      <c r="W3329" s="124"/>
      <c r="X3329" s="124"/>
      <c r="Y3329" s="124"/>
    </row>
    <row r="3330" spans="2:25" x14ac:dyDescent="0.25">
      <c r="B3330" s="124"/>
      <c r="C3330" s="124"/>
      <c r="D3330" s="124"/>
      <c r="E3330" s="124"/>
      <c r="F3330" s="124"/>
      <c r="G3330" s="124"/>
      <c r="H3330" s="124"/>
      <c r="I3330" s="124"/>
      <c r="J3330" s="124"/>
      <c r="K3330" s="124"/>
      <c r="L3330" s="124"/>
      <c r="M3330" s="124"/>
      <c r="N3330" s="124"/>
      <c r="O3330" s="124"/>
      <c r="P3330" s="124"/>
      <c r="Q3330" s="124"/>
      <c r="R3330" s="124"/>
      <c r="S3330" s="124"/>
      <c r="T3330" s="124"/>
      <c r="U3330" s="124"/>
      <c r="V3330" s="124"/>
      <c r="W3330" s="124"/>
      <c r="X3330" s="124"/>
      <c r="Y3330" s="124"/>
    </row>
    <row r="3331" spans="2:25" x14ac:dyDescent="0.25">
      <c r="B3331" s="124"/>
      <c r="C3331" s="124"/>
      <c r="D3331" s="124"/>
      <c r="E3331" s="124"/>
      <c r="F3331" s="124"/>
      <c r="G3331" s="124"/>
      <c r="H3331" s="124"/>
      <c r="I3331" s="124"/>
      <c r="J3331" s="124"/>
      <c r="K3331" s="124"/>
      <c r="L3331" s="124"/>
      <c r="M3331" s="124"/>
      <c r="N3331" s="124"/>
      <c r="O3331" s="124"/>
      <c r="P3331" s="124"/>
      <c r="Q3331" s="124"/>
      <c r="R3331" s="124"/>
      <c r="S3331" s="124"/>
      <c r="T3331" s="124"/>
      <c r="U3331" s="124"/>
      <c r="V3331" s="124"/>
      <c r="W3331" s="124"/>
      <c r="X3331" s="124"/>
      <c r="Y3331" s="124"/>
    </row>
    <row r="3332" spans="2:25" x14ac:dyDescent="0.25">
      <c r="B3332" s="124"/>
      <c r="C3332" s="124"/>
      <c r="D3332" s="124"/>
      <c r="E3332" s="124"/>
      <c r="F3332" s="124"/>
      <c r="G3332" s="124"/>
      <c r="H3332" s="124"/>
      <c r="I3332" s="124"/>
      <c r="J3332" s="124"/>
      <c r="K3332" s="124"/>
      <c r="L3332" s="124"/>
      <c r="M3332" s="124"/>
      <c r="N3332" s="124"/>
      <c r="O3332" s="124"/>
      <c r="P3332" s="124"/>
      <c r="Q3332" s="124"/>
      <c r="R3332" s="124"/>
      <c r="S3332" s="124"/>
      <c r="T3332" s="124"/>
      <c r="U3332" s="124"/>
      <c r="V3332" s="124"/>
      <c r="W3332" s="124"/>
      <c r="X3332" s="124"/>
      <c r="Y3332" s="124"/>
    </row>
    <row r="3333" spans="2:25" x14ac:dyDescent="0.25">
      <c r="B3333" s="124"/>
      <c r="C3333" s="124"/>
      <c r="D3333" s="124"/>
      <c r="E3333" s="124"/>
      <c r="F3333" s="124"/>
      <c r="G3333" s="124"/>
      <c r="H3333" s="124"/>
      <c r="I3333" s="124"/>
      <c r="J3333" s="124"/>
      <c r="K3333" s="124"/>
      <c r="L3333" s="124"/>
      <c r="M3333" s="124"/>
      <c r="N3333" s="124"/>
      <c r="O3333" s="124"/>
      <c r="P3333" s="124"/>
      <c r="Q3333" s="124"/>
      <c r="R3333" s="124"/>
      <c r="S3333" s="124"/>
      <c r="T3333" s="124"/>
      <c r="U3333" s="124"/>
      <c r="V3333" s="124"/>
      <c r="W3333" s="124"/>
      <c r="X3333" s="124"/>
      <c r="Y3333" s="124"/>
    </row>
    <row r="3334" spans="2:25" x14ac:dyDescent="0.25">
      <c r="B3334" s="124"/>
      <c r="C3334" s="124"/>
      <c r="D3334" s="124"/>
      <c r="E3334" s="124"/>
      <c r="F3334" s="124"/>
      <c r="G3334" s="124"/>
      <c r="H3334" s="124"/>
      <c r="I3334" s="124"/>
      <c r="J3334" s="124"/>
      <c r="K3334" s="124"/>
      <c r="L3334" s="124"/>
      <c r="M3334" s="124"/>
      <c r="N3334" s="124"/>
      <c r="O3334" s="124"/>
      <c r="P3334" s="124"/>
      <c r="Q3334" s="124"/>
      <c r="R3334" s="124"/>
      <c r="S3334" s="124"/>
      <c r="T3334" s="124"/>
      <c r="U3334" s="124"/>
      <c r="V3334" s="124"/>
      <c r="W3334" s="124"/>
      <c r="X3334" s="124"/>
      <c r="Y3334" s="124"/>
    </row>
    <row r="3335" spans="2:25" x14ac:dyDescent="0.25">
      <c r="B3335" s="124"/>
      <c r="C3335" s="124"/>
      <c r="D3335" s="124"/>
      <c r="E3335" s="124"/>
      <c r="F3335" s="124"/>
      <c r="G3335" s="124"/>
      <c r="H3335" s="124"/>
      <c r="I3335" s="124"/>
      <c r="J3335" s="124"/>
      <c r="K3335" s="124"/>
      <c r="L3335" s="124"/>
      <c r="M3335" s="124"/>
      <c r="N3335" s="124"/>
      <c r="O3335" s="124"/>
      <c r="P3335" s="124"/>
      <c r="Q3335" s="124"/>
      <c r="R3335" s="124"/>
      <c r="S3335" s="124"/>
      <c r="T3335" s="124"/>
      <c r="U3335" s="124"/>
      <c r="V3335" s="124"/>
      <c r="W3335" s="124"/>
      <c r="X3335" s="124"/>
      <c r="Y3335" s="124"/>
    </row>
    <row r="3336" spans="2:25" x14ac:dyDescent="0.25">
      <c r="B3336" s="124"/>
      <c r="C3336" s="124"/>
      <c r="D3336" s="124"/>
      <c r="E3336" s="124"/>
      <c r="F3336" s="124"/>
      <c r="G3336" s="124"/>
      <c r="H3336" s="124"/>
      <c r="I3336" s="124"/>
      <c r="J3336" s="124"/>
      <c r="K3336" s="124"/>
      <c r="L3336" s="124"/>
      <c r="M3336" s="124"/>
      <c r="N3336" s="124"/>
      <c r="O3336" s="124"/>
      <c r="P3336" s="124"/>
      <c r="Q3336" s="124"/>
      <c r="R3336" s="124"/>
      <c r="S3336" s="124"/>
      <c r="T3336" s="124"/>
      <c r="U3336" s="124"/>
      <c r="V3336" s="124"/>
      <c r="W3336" s="124"/>
      <c r="X3336" s="124"/>
      <c r="Y3336" s="124"/>
    </row>
    <row r="3337" spans="2:25" x14ac:dyDescent="0.25">
      <c r="B3337" s="124"/>
      <c r="C3337" s="124"/>
      <c r="D3337" s="124"/>
      <c r="E3337" s="124"/>
      <c r="F3337" s="124"/>
      <c r="G3337" s="124"/>
      <c r="H3337" s="124"/>
      <c r="I3337" s="124"/>
      <c r="J3337" s="124"/>
      <c r="K3337" s="124"/>
      <c r="L3337" s="124"/>
      <c r="M3337" s="124"/>
      <c r="N3337" s="124"/>
      <c r="O3337" s="124"/>
      <c r="P3337" s="124"/>
      <c r="Q3337" s="124"/>
      <c r="R3337" s="124"/>
      <c r="S3337" s="124"/>
      <c r="T3337" s="124"/>
      <c r="U3337" s="124"/>
      <c r="V3337" s="124"/>
      <c r="W3337" s="124"/>
      <c r="X3337" s="124"/>
      <c r="Y3337" s="124"/>
    </row>
    <row r="3338" spans="2:25" x14ac:dyDescent="0.25">
      <c r="B3338" s="124"/>
      <c r="C3338" s="124"/>
      <c r="D3338" s="124"/>
      <c r="E3338" s="124"/>
      <c r="F3338" s="124"/>
      <c r="G3338" s="124"/>
      <c r="H3338" s="124"/>
      <c r="I3338" s="124"/>
      <c r="J3338" s="124"/>
      <c r="K3338" s="124"/>
      <c r="L3338" s="124"/>
      <c r="M3338" s="124"/>
      <c r="N3338" s="124"/>
      <c r="O3338" s="124"/>
      <c r="P3338" s="124"/>
      <c r="Q3338" s="124"/>
      <c r="R3338" s="124"/>
      <c r="S3338" s="124"/>
      <c r="T3338" s="124"/>
      <c r="U3338" s="124"/>
      <c r="V3338" s="124"/>
      <c r="W3338" s="124"/>
      <c r="X3338" s="124"/>
      <c r="Y3338" s="124"/>
    </row>
    <row r="3339" spans="2:25" x14ac:dyDescent="0.25">
      <c r="B3339" s="124"/>
      <c r="C3339" s="124"/>
      <c r="D3339" s="124"/>
      <c r="E3339" s="124"/>
      <c r="F3339" s="124"/>
      <c r="G3339" s="124"/>
      <c r="H3339" s="124"/>
      <c r="I3339" s="124"/>
      <c r="J3339" s="124"/>
      <c r="K3339" s="124"/>
      <c r="L3339" s="124"/>
      <c r="M3339" s="124"/>
      <c r="N3339" s="124"/>
      <c r="O3339" s="124"/>
      <c r="P3339" s="124"/>
      <c r="Q3339" s="124"/>
      <c r="R3339" s="124"/>
      <c r="S3339" s="124"/>
      <c r="T3339" s="124"/>
      <c r="U3339" s="124"/>
      <c r="V3339" s="124"/>
      <c r="W3339" s="124"/>
      <c r="X3339" s="124"/>
      <c r="Y3339" s="124"/>
    </row>
    <row r="3340" spans="2:25" x14ac:dyDescent="0.25">
      <c r="B3340" s="124"/>
      <c r="C3340" s="124"/>
      <c r="D3340" s="124"/>
      <c r="E3340" s="124"/>
      <c r="F3340" s="124"/>
      <c r="G3340" s="124"/>
      <c r="H3340" s="124"/>
      <c r="I3340" s="124"/>
      <c r="J3340" s="124"/>
      <c r="K3340" s="124"/>
      <c r="L3340" s="124"/>
      <c r="M3340" s="124"/>
      <c r="N3340" s="124"/>
      <c r="O3340" s="124"/>
      <c r="P3340" s="124"/>
      <c r="Q3340" s="124"/>
      <c r="R3340" s="124"/>
      <c r="S3340" s="124"/>
      <c r="T3340" s="124"/>
      <c r="U3340" s="124"/>
      <c r="V3340" s="124"/>
      <c r="W3340" s="124"/>
      <c r="X3340" s="124"/>
      <c r="Y3340" s="124"/>
    </row>
    <row r="3341" spans="2:25" x14ac:dyDescent="0.25">
      <c r="B3341" s="124"/>
      <c r="C3341" s="124"/>
      <c r="D3341" s="124"/>
      <c r="E3341" s="124"/>
      <c r="F3341" s="124"/>
      <c r="G3341" s="124"/>
      <c r="H3341" s="124"/>
      <c r="I3341" s="124"/>
      <c r="J3341" s="124"/>
      <c r="K3341" s="124"/>
      <c r="L3341" s="124"/>
      <c r="M3341" s="124"/>
      <c r="N3341" s="124"/>
      <c r="O3341" s="124"/>
      <c r="P3341" s="124"/>
      <c r="Q3341" s="124"/>
      <c r="R3341" s="124"/>
      <c r="S3341" s="124"/>
      <c r="T3341" s="124"/>
      <c r="U3341" s="124"/>
      <c r="V3341" s="124"/>
      <c r="W3341" s="124"/>
      <c r="X3341" s="124"/>
      <c r="Y3341" s="124"/>
    </row>
    <row r="3342" spans="2:25" x14ac:dyDescent="0.25">
      <c r="B3342" s="124"/>
      <c r="C3342" s="124"/>
      <c r="D3342" s="124"/>
      <c r="E3342" s="124"/>
      <c r="F3342" s="124"/>
      <c r="G3342" s="124"/>
      <c r="H3342" s="124"/>
      <c r="I3342" s="124"/>
      <c r="J3342" s="124"/>
      <c r="K3342" s="124"/>
      <c r="L3342" s="124"/>
      <c r="M3342" s="124"/>
      <c r="N3342" s="124"/>
      <c r="O3342" s="124"/>
      <c r="P3342" s="124"/>
      <c r="Q3342" s="124"/>
      <c r="R3342" s="124"/>
      <c r="S3342" s="124"/>
      <c r="T3342" s="124"/>
      <c r="U3342" s="124"/>
      <c r="V3342" s="124"/>
      <c r="W3342" s="124"/>
      <c r="X3342" s="124"/>
      <c r="Y3342" s="124"/>
    </row>
    <row r="3343" spans="2:25" x14ac:dyDescent="0.25">
      <c r="B3343" s="124"/>
      <c r="C3343" s="124"/>
      <c r="D3343" s="124"/>
      <c r="E3343" s="124"/>
      <c r="F3343" s="124"/>
      <c r="G3343" s="124"/>
      <c r="H3343" s="124"/>
      <c r="I3343" s="124"/>
      <c r="J3343" s="124"/>
      <c r="K3343" s="124"/>
      <c r="L3343" s="124"/>
      <c r="M3343" s="124"/>
      <c r="N3343" s="124"/>
      <c r="O3343" s="124"/>
      <c r="P3343" s="124"/>
      <c r="Q3343" s="124"/>
      <c r="R3343" s="124"/>
      <c r="S3343" s="124"/>
      <c r="T3343" s="124"/>
      <c r="U3343" s="124"/>
      <c r="V3343" s="124"/>
      <c r="W3343" s="124"/>
      <c r="X3343" s="124"/>
      <c r="Y3343" s="124"/>
    </row>
    <row r="3344" spans="2:25" x14ac:dyDescent="0.25">
      <c r="B3344" s="124"/>
      <c r="C3344" s="124"/>
      <c r="D3344" s="124"/>
      <c r="E3344" s="124"/>
      <c r="F3344" s="124"/>
      <c r="G3344" s="124"/>
      <c r="H3344" s="124"/>
      <c r="I3344" s="124"/>
      <c r="J3344" s="124"/>
      <c r="K3344" s="124"/>
      <c r="L3344" s="124"/>
      <c r="M3344" s="124"/>
      <c r="N3344" s="124"/>
      <c r="O3344" s="124"/>
      <c r="P3344" s="124"/>
      <c r="Q3344" s="124"/>
      <c r="R3344" s="124"/>
      <c r="S3344" s="124"/>
      <c r="T3344" s="124"/>
      <c r="U3344" s="124"/>
      <c r="V3344" s="124"/>
      <c r="W3344" s="124"/>
      <c r="X3344" s="124"/>
      <c r="Y3344" s="124"/>
    </row>
    <row r="3345" spans="2:25" x14ac:dyDescent="0.25">
      <c r="B3345" s="124"/>
      <c r="C3345" s="124"/>
      <c r="D3345" s="124"/>
      <c r="E3345" s="124"/>
      <c r="F3345" s="124"/>
      <c r="G3345" s="124"/>
      <c r="H3345" s="124"/>
      <c r="I3345" s="124"/>
      <c r="J3345" s="124"/>
      <c r="K3345" s="124"/>
      <c r="L3345" s="124"/>
      <c r="M3345" s="124"/>
      <c r="N3345" s="124"/>
      <c r="O3345" s="124"/>
      <c r="P3345" s="124"/>
      <c r="Q3345" s="124"/>
      <c r="R3345" s="124"/>
      <c r="S3345" s="124"/>
      <c r="T3345" s="124"/>
      <c r="U3345" s="124"/>
      <c r="V3345" s="124"/>
      <c r="W3345" s="124"/>
      <c r="X3345" s="124"/>
      <c r="Y3345" s="124"/>
    </row>
    <row r="3346" spans="2:25" x14ac:dyDescent="0.25">
      <c r="B3346" s="124"/>
      <c r="C3346" s="124"/>
      <c r="D3346" s="124"/>
      <c r="E3346" s="124"/>
      <c r="F3346" s="124"/>
      <c r="G3346" s="124"/>
      <c r="H3346" s="124"/>
      <c r="I3346" s="124"/>
      <c r="J3346" s="124"/>
      <c r="K3346" s="124"/>
      <c r="L3346" s="124"/>
      <c r="M3346" s="124"/>
      <c r="N3346" s="124"/>
      <c r="O3346" s="124"/>
      <c r="P3346" s="124"/>
      <c r="Q3346" s="124"/>
      <c r="R3346" s="124"/>
      <c r="S3346" s="124"/>
      <c r="T3346" s="124"/>
      <c r="U3346" s="124"/>
      <c r="V3346" s="124"/>
      <c r="W3346" s="124"/>
      <c r="X3346" s="124"/>
      <c r="Y3346" s="124"/>
    </row>
    <row r="3347" spans="2:25" x14ac:dyDescent="0.25">
      <c r="B3347" s="124"/>
      <c r="C3347" s="124"/>
      <c r="D3347" s="124"/>
      <c r="E3347" s="124"/>
      <c r="F3347" s="124"/>
      <c r="G3347" s="124"/>
      <c r="H3347" s="124"/>
      <c r="I3347" s="124"/>
      <c r="J3347" s="124"/>
      <c r="K3347" s="124"/>
      <c r="L3347" s="124"/>
      <c r="M3347" s="124"/>
      <c r="N3347" s="124"/>
      <c r="O3347" s="124"/>
      <c r="P3347" s="124"/>
      <c r="Q3347" s="124"/>
      <c r="R3347" s="124"/>
      <c r="S3347" s="124"/>
      <c r="T3347" s="124"/>
      <c r="U3347" s="124"/>
      <c r="V3347" s="124"/>
      <c r="W3347" s="124"/>
      <c r="X3347" s="124"/>
      <c r="Y3347" s="124"/>
    </row>
    <row r="3348" spans="2:25" x14ac:dyDescent="0.25">
      <c r="B3348" s="124"/>
      <c r="C3348" s="124"/>
      <c r="D3348" s="124"/>
      <c r="E3348" s="124"/>
      <c r="F3348" s="124"/>
      <c r="G3348" s="124"/>
      <c r="H3348" s="124"/>
      <c r="I3348" s="124"/>
      <c r="J3348" s="124"/>
      <c r="K3348" s="124"/>
      <c r="L3348" s="124"/>
      <c r="M3348" s="124"/>
      <c r="N3348" s="124"/>
      <c r="O3348" s="124"/>
      <c r="P3348" s="124"/>
      <c r="Q3348" s="124"/>
      <c r="R3348" s="124"/>
      <c r="S3348" s="124"/>
      <c r="T3348" s="124"/>
      <c r="U3348" s="124"/>
      <c r="V3348" s="124"/>
      <c r="W3348" s="124"/>
      <c r="X3348" s="124"/>
      <c r="Y3348" s="124"/>
    </row>
    <row r="3349" spans="2:25" x14ac:dyDescent="0.25">
      <c r="B3349" s="124"/>
      <c r="C3349" s="124"/>
      <c r="D3349" s="124"/>
      <c r="E3349" s="124"/>
      <c r="F3349" s="124"/>
      <c r="G3349" s="124"/>
      <c r="H3349" s="124"/>
      <c r="I3349" s="124"/>
      <c r="J3349" s="124"/>
      <c r="K3349" s="124"/>
      <c r="L3349" s="124"/>
      <c r="M3349" s="124"/>
      <c r="N3349" s="124"/>
      <c r="O3349" s="124"/>
      <c r="P3349" s="124"/>
      <c r="Q3349" s="124"/>
      <c r="R3349" s="124"/>
      <c r="S3349" s="124"/>
      <c r="T3349" s="124"/>
      <c r="U3349" s="124"/>
      <c r="V3349" s="124"/>
      <c r="W3349" s="124"/>
      <c r="X3349" s="124"/>
      <c r="Y3349" s="124"/>
    </row>
    <row r="3350" spans="2:25" x14ac:dyDescent="0.25">
      <c r="B3350" s="124"/>
      <c r="C3350" s="124"/>
      <c r="D3350" s="124"/>
      <c r="E3350" s="124"/>
      <c r="F3350" s="124"/>
      <c r="G3350" s="124"/>
      <c r="H3350" s="124"/>
      <c r="I3350" s="124"/>
      <c r="J3350" s="124"/>
      <c r="K3350" s="124"/>
      <c r="L3350" s="124"/>
      <c r="M3350" s="124"/>
      <c r="N3350" s="124"/>
      <c r="O3350" s="124"/>
      <c r="P3350" s="124"/>
      <c r="Q3350" s="124"/>
      <c r="R3350" s="124"/>
      <c r="S3350" s="124"/>
      <c r="T3350" s="124"/>
      <c r="U3350" s="124"/>
      <c r="V3350" s="124"/>
      <c r="W3350" s="124"/>
      <c r="X3350" s="124"/>
      <c r="Y3350" s="124"/>
    </row>
    <row r="3351" spans="2:25" x14ac:dyDescent="0.25">
      <c r="B3351" s="124"/>
      <c r="C3351" s="124"/>
      <c r="D3351" s="124"/>
      <c r="E3351" s="124"/>
      <c r="F3351" s="124"/>
      <c r="G3351" s="124"/>
      <c r="H3351" s="124"/>
      <c r="I3351" s="124"/>
      <c r="J3351" s="124"/>
      <c r="K3351" s="124"/>
      <c r="L3351" s="124"/>
      <c r="M3351" s="124"/>
      <c r="N3351" s="124"/>
      <c r="O3351" s="124"/>
      <c r="P3351" s="124"/>
      <c r="Q3351" s="124"/>
      <c r="R3351" s="124"/>
      <c r="S3351" s="124"/>
      <c r="T3351" s="124"/>
      <c r="U3351" s="124"/>
      <c r="V3351" s="124"/>
      <c r="W3351" s="124"/>
      <c r="X3351" s="124"/>
      <c r="Y3351" s="124"/>
    </row>
    <row r="3352" spans="2:25" x14ac:dyDescent="0.25">
      <c r="B3352" s="124"/>
      <c r="C3352" s="124"/>
      <c r="D3352" s="124"/>
      <c r="E3352" s="124"/>
      <c r="F3352" s="124"/>
      <c r="G3352" s="124"/>
      <c r="H3352" s="124"/>
      <c r="I3352" s="124"/>
      <c r="J3352" s="124"/>
      <c r="K3352" s="124"/>
      <c r="L3352" s="124"/>
      <c r="M3352" s="124"/>
      <c r="N3352" s="124"/>
      <c r="O3352" s="124"/>
      <c r="P3352" s="124"/>
      <c r="Q3352" s="124"/>
      <c r="R3352" s="124"/>
      <c r="S3352" s="124"/>
      <c r="T3352" s="124"/>
      <c r="U3352" s="124"/>
      <c r="V3352" s="124"/>
      <c r="W3352" s="124"/>
      <c r="X3352" s="124"/>
      <c r="Y3352" s="124"/>
    </row>
    <row r="3353" spans="2:25" x14ac:dyDescent="0.25">
      <c r="B3353" s="124"/>
      <c r="C3353" s="124"/>
      <c r="D3353" s="124"/>
      <c r="E3353" s="124"/>
      <c r="F3353" s="124"/>
      <c r="G3353" s="124"/>
      <c r="H3353" s="124"/>
      <c r="I3353" s="124"/>
      <c r="J3353" s="124"/>
      <c r="K3353" s="124"/>
      <c r="L3353" s="124"/>
      <c r="M3353" s="124"/>
      <c r="N3353" s="124"/>
      <c r="O3353" s="124"/>
      <c r="P3353" s="124"/>
      <c r="Q3353" s="124"/>
      <c r="R3353" s="124"/>
      <c r="S3353" s="124"/>
      <c r="T3353" s="124"/>
      <c r="U3353" s="124"/>
      <c r="V3353" s="124"/>
      <c r="W3353" s="124"/>
      <c r="X3353" s="124"/>
      <c r="Y3353" s="124"/>
    </row>
    <row r="3354" spans="2:25" x14ac:dyDescent="0.25">
      <c r="B3354" s="124"/>
      <c r="C3354" s="124"/>
      <c r="D3354" s="124"/>
      <c r="E3354" s="124"/>
      <c r="F3354" s="124"/>
      <c r="G3354" s="124"/>
      <c r="H3354" s="124"/>
      <c r="I3354" s="124"/>
      <c r="J3354" s="124"/>
      <c r="K3354" s="124"/>
      <c r="L3354" s="124"/>
      <c r="M3354" s="124"/>
      <c r="N3354" s="124"/>
      <c r="O3354" s="124"/>
      <c r="P3354" s="124"/>
      <c r="Q3354" s="124"/>
      <c r="R3354" s="124"/>
      <c r="S3354" s="124"/>
      <c r="T3354" s="124"/>
      <c r="U3354" s="124"/>
      <c r="V3354" s="124"/>
      <c r="W3354" s="124"/>
      <c r="X3354" s="124"/>
      <c r="Y3354" s="124"/>
    </row>
    <row r="3355" spans="2:25" x14ac:dyDescent="0.25">
      <c r="B3355" s="124"/>
      <c r="C3355" s="124"/>
      <c r="D3355" s="124"/>
      <c r="E3355" s="124"/>
      <c r="F3355" s="124"/>
      <c r="G3355" s="124"/>
      <c r="H3355" s="124"/>
      <c r="I3355" s="124"/>
      <c r="J3355" s="124"/>
      <c r="K3355" s="124"/>
      <c r="L3355" s="124"/>
      <c r="M3355" s="124"/>
      <c r="N3355" s="124"/>
      <c r="O3355" s="124"/>
      <c r="P3355" s="124"/>
      <c r="Q3355" s="124"/>
      <c r="R3355" s="124"/>
      <c r="S3355" s="124"/>
      <c r="T3355" s="124"/>
      <c r="U3355" s="124"/>
      <c r="V3355" s="124"/>
      <c r="W3355" s="124"/>
      <c r="X3355" s="124"/>
      <c r="Y3355" s="124"/>
    </row>
    <row r="3356" spans="2:25" x14ac:dyDescent="0.25">
      <c r="B3356" s="124"/>
      <c r="C3356" s="124"/>
      <c r="D3356" s="124"/>
      <c r="E3356" s="124"/>
      <c r="F3356" s="124"/>
      <c r="G3356" s="124"/>
      <c r="H3356" s="124"/>
      <c r="I3356" s="124"/>
      <c r="J3356" s="124"/>
      <c r="K3356" s="124"/>
      <c r="L3356" s="124"/>
      <c r="M3356" s="124"/>
      <c r="N3356" s="124"/>
      <c r="O3356" s="124"/>
      <c r="P3356" s="124"/>
      <c r="Q3356" s="124"/>
      <c r="R3356" s="124"/>
      <c r="S3356" s="124"/>
      <c r="T3356" s="124"/>
      <c r="U3356" s="124"/>
      <c r="V3356" s="124"/>
      <c r="W3356" s="124"/>
      <c r="X3356" s="124"/>
      <c r="Y3356" s="124"/>
    </row>
    <row r="3357" spans="2:25" x14ac:dyDescent="0.25">
      <c r="B3357" s="124"/>
      <c r="C3357" s="124"/>
      <c r="D3357" s="124"/>
      <c r="E3357" s="124"/>
      <c r="F3357" s="124"/>
      <c r="G3357" s="124"/>
      <c r="H3357" s="124"/>
      <c r="I3357" s="124"/>
      <c r="J3357" s="124"/>
      <c r="K3357" s="124"/>
      <c r="L3357" s="124"/>
      <c r="M3357" s="124"/>
      <c r="N3357" s="124"/>
      <c r="O3357" s="124"/>
      <c r="P3357" s="124"/>
      <c r="Q3357" s="124"/>
      <c r="R3357" s="124"/>
      <c r="S3357" s="124"/>
      <c r="T3357" s="124"/>
      <c r="U3357" s="124"/>
      <c r="V3357" s="124"/>
      <c r="W3357" s="124"/>
      <c r="X3357" s="124"/>
      <c r="Y3357" s="124"/>
    </row>
    <row r="3358" spans="2:25" x14ac:dyDescent="0.25">
      <c r="B3358" s="124"/>
      <c r="C3358" s="124"/>
      <c r="D3358" s="124"/>
      <c r="E3358" s="124"/>
      <c r="F3358" s="124"/>
      <c r="G3358" s="124"/>
      <c r="H3358" s="124"/>
      <c r="I3358" s="124"/>
      <c r="J3358" s="124"/>
      <c r="K3358" s="124"/>
      <c r="L3358" s="124"/>
      <c r="M3358" s="124"/>
      <c r="N3358" s="124"/>
      <c r="O3358" s="124"/>
      <c r="P3358" s="124"/>
      <c r="Q3358" s="124"/>
      <c r="R3358" s="124"/>
      <c r="S3358" s="124"/>
      <c r="T3358" s="124"/>
      <c r="U3358" s="124"/>
      <c r="V3358" s="124"/>
      <c r="W3358" s="124"/>
      <c r="X3358" s="124"/>
      <c r="Y3358" s="124"/>
    </row>
    <row r="3359" spans="2:25" x14ac:dyDescent="0.25">
      <c r="B3359" s="124"/>
      <c r="C3359" s="124"/>
      <c r="D3359" s="124"/>
      <c r="E3359" s="124"/>
      <c r="F3359" s="124"/>
      <c r="G3359" s="124"/>
      <c r="H3359" s="124"/>
      <c r="I3359" s="124"/>
      <c r="J3359" s="124"/>
      <c r="K3359" s="124"/>
      <c r="L3359" s="124"/>
      <c r="M3359" s="124"/>
      <c r="N3359" s="124"/>
      <c r="O3359" s="124"/>
      <c r="P3359" s="124"/>
      <c r="Q3359" s="124"/>
      <c r="R3359" s="124"/>
      <c r="S3359" s="124"/>
      <c r="T3359" s="124"/>
      <c r="U3359" s="124"/>
      <c r="V3359" s="124"/>
      <c r="W3359" s="124"/>
      <c r="X3359" s="124"/>
      <c r="Y3359" s="124"/>
    </row>
    <row r="3360" spans="2:25" x14ac:dyDescent="0.25">
      <c r="B3360" s="124"/>
      <c r="C3360" s="124"/>
      <c r="D3360" s="124"/>
      <c r="E3360" s="124"/>
      <c r="F3360" s="124"/>
      <c r="G3360" s="124"/>
      <c r="H3360" s="124"/>
      <c r="I3360" s="124"/>
      <c r="J3360" s="124"/>
      <c r="K3360" s="124"/>
      <c r="L3360" s="124"/>
      <c r="M3360" s="124"/>
      <c r="N3360" s="124"/>
      <c r="O3360" s="124"/>
      <c r="P3360" s="124"/>
      <c r="Q3360" s="124"/>
      <c r="R3360" s="124"/>
      <c r="S3360" s="124"/>
      <c r="T3360" s="124"/>
      <c r="U3360" s="124"/>
      <c r="V3360" s="124"/>
      <c r="W3360" s="124"/>
      <c r="X3360" s="124"/>
      <c r="Y3360" s="124"/>
    </row>
    <row r="3361" spans="2:25" x14ac:dyDescent="0.25">
      <c r="B3361" s="124"/>
      <c r="C3361" s="124"/>
      <c r="D3361" s="124"/>
      <c r="E3361" s="124"/>
      <c r="F3361" s="124"/>
      <c r="G3361" s="124"/>
      <c r="H3361" s="124"/>
      <c r="I3361" s="124"/>
      <c r="J3361" s="124"/>
      <c r="K3361" s="124"/>
      <c r="L3361" s="124"/>
      <c r="M3361" s="124"/>
      <c r="N3361" s="124"/>
      <c r="O3361" s="124"/>
      <c r="P3361" s="124"/>
      <c r="Q3361" s="124"/>
      <c r="R3361" s="124"/>
      <c r="S3361" s="124"/>
      <c r="T3361" s="124"/>
      <c r="U3361" s="124"/>
      <c r="V3361" s="124"/>
      <c r="W3361" s="124"/>
      <c r="X3361" s="124"/>
      <c r="Y3361" s="124"/>
    </row>
    <row r="3362" spans="2:25" x14ac:dyDescent="0.25">
      <c r="B3362" s="124"/>
      <c r="C3362" s="124"/>
      <c r="D3362" s="124"/>
      <c r="E3362" s="124"/>
      <c r="F3362" s="124"/>
      <c r="G3362" s="124"/>
      <c r="H3362" s="124"/>
      <c r="I3362" s="124"/>
      <c r="J3362" s="124"/>
      <c r="K3362" s="124"/>
      <c r="L3362" s="124"/>
      <c r="M3362" s="124"/>
      <c r="N3362" s="124"/>
      <c r="O3362" s="124"/>
      <c r="P3362" s="124"/>
      <c r="Q3362" s="124"/>
      <c r="R3362" s="124"/>
      <c r="S3362" s="124"/>
      <c r="T3362" s="124"/>
      <c r="U3362" s="124"/>
      <c r="V3362" s="124"/>
      <c r="W3362" s="124"/>
      <c r="X3362" s="124"/>
      <c r="Y3362" s="124"/>
    </row>
    <row r="3363" spans="2:25" x14ac:dyDescent="0.25">
      <c r="B3363" s="124"/>
      <c r="C3363" s="124"/>
      <c r="D3363" s="124"/>
      <c r="E3363" s="124"/>
      <c r="F3363" s="124"/>
      <c r="G3363" s="124"/>
      <c r="H3363" s="124"/>
      <c r="I3363" s="124"/>
      <c r="J3363" s="124"/>
      <c r="K3363" s="124"/>
      <c r="L3363" s="124"/>
      <c r="M3363" s="124"/>
      <c r="N3363" s="124"/>
      <c r="O3363" s="124"/>
      <c r="P3363" s="124"/>
      <c r="Q3363" s="124"/>
      <c r="R3363" s="124"/>
      <c r="S3363" s="124"/>
      <c r="T3363" s="124"/>
      <c r="U3363" s="124"/>
      <c r="V3363" s="124"/>
      <c r="W3363" s="124"/>
      <c r="X3363" s="124"/>
      <c r="Y3363" s="124"/>
    </row>
    <row r="3364" spans="2:25" x14ac:dyDescent="0.25">
      <c r="B3364" s="124"/>
      <c r="C3364" s="124"/>
      <c r="D3364" s="124"/>
      <c r="E3364" s="124"/>
      <c r="F3364" s="124"/>
      <c r="G3364" s="124"/>
      <c r="H3364" s="124"/>
      <c r="I3364" s="124"/>
      <c r="J3364" s="124"/>
      <c r="K3364" s="124"/>
      <c r="L3364" s="124"/>
      <c r="M3364" s="124"/>
      <c r="N3364" s="124"/>
      <c r="O3364" s="124"/>
      <c r="P3364" s="124"/>
      <c r="Q3364" s="124"/>
      <c r="R3364" s="124"/>
      <c r="S3364" s="124"/>
      <c r="T3364" s="124"/>
      <c r="U3364" s="124"/>
      <c r="V3364" s="124"/>
      <c r="W3364" s="124"/>
      <c r="X3364" s="124"/>
      <c r="Y3364" s="124"/>
    </row>
    <row r="3365" spans="2:25" x14ac:dyDescent="0.25">
      <c r="B3365" s="124"/>
      <c r="C3365" s="124"/>
      <c r="D3365" s="124"/>
      <c r="E3365" s="124"/>
      <c r="F3365" s="124"/>
      <c r="G3365" s="124"/>
      <c r="H3365" s="124"/>
      <c r="I3365" s="124"/>
      <c r="J3365" s="124"/>
      <c r="K3365" s="124"/>
      <c r="L3365" s="124"/>
      <c r="M3365" s="124"/>
      <c r="N3365" s="124"/>
      <c r="O3365" s="124"/>
      <c r="P3365" s="124"/>
      <c r="Q3365" s="124"/>
      <c r="R3365" s="124"/>
      <c r="S3365" s="124"/>
      <c r="T3365" s="124"/>
      <c r="U3365" s="124"/>
      <c r="V3365" s="124"/>
      <c r="W3365" s="124"/>
      <c r="X3365" s="124"/>
      <c r="Y3365" s="124"/>
    </row>
    <row r="3366" spans="2:25" x14ac:dyDescent="0.25">
      <c r="B3366" s="124"/>
      <c r="C3366" s="124"/>
      <c r="D3366" s="124"/>
      <c r="E3366" s="124"/>
      <c r="F3366" s="124"/>
      <c r="G3366" s="124"/>
      <c r="H3366" s="124"/>
      <c r="I3366" s="124"/>
      <c r="J3366" s="124"/>
      <c r="K3366" s="124"/>
      <c r="L3366" s="124"/>
      <c r="M3366" s="124"/>
      <c r="N3366" s="124"/>
      <c r="O3366" s="124"/>
      <c r="P3366" s="124"/>
      <c r="Q3366" s="124"/>
      <c r="R3366" s="124"/>
      <c r="S3366" s="124"/>
      <c r="T3366" s="124"/>
      <c r="U3366" s="124"/>
      <c r="V3366" s="124"/>
      <c r="W3366" s="124"/>
      <c r="X3366" s="124"/>
      <c r="Y3366" s="124"/>
    </row>
    <row r="3367" spans="2:25" x14ac:dyDescent="0.25">
      <c r="B3367" s="124"/>
      <c r="C3367" s="124"/>
      <c r="D3367" s="124"/>
      <c r="E3367" s="124"/>
      <c r="F3367" s="124"/>
      <c r="G3367" s="124"/>
      <c r="H3367" s="124"/>
      <c r="I3367" s="124"/>
      <c r="J3367" s="124"/>
      <c r="K3367" s="124"/>
      <c r="L3367" s="124"/>
      <c r="M3367" s="124"/>
      <c r="N3367" s="124"/>
      <c r="O3367" s="124"/>
      <c r="P3367" s="124"/>
      <c r="Q3367" s="124"/>
      <c r="R3367" s="124"/>
      <c r="S3367" s="124"/>
      <c r="T3367" s="124"/>
      <c r="U3367" s="124"/>
      <c r="V3367" s="124"/>
      <c r="W3367" s="124"/>
      <c r="X3367" s="124"/>
      <c r="Y3367" s="124"/>
    </row>
    <row r="3368" spans="2:25" x14ac:dyDescent="0.25">
      <c r="B3368" s="124"/>
      <c r="C3368" s="124"/>
      <c r="D3368" s="124"/>
      <c r="E3368" s="124"/>
      <c r="F3368" s="124"/>
      <c r="G3368" s="124"/>
      <c r="H3368" s="124"/>
      <c r="I3368" s="124"/>
      <c r="J3368" s="124"/>
      <c r="K3368" s="124"/>
      <c r="L3368" s="124"/>
      <c r="M3368" s="124"/>
      <c r="N3368" s="124"/>
      <c r="O3368" s="124"/>
      <c r="P3368" s="124"/>
      <c r="Q3368" s="124"/>
      <c r="R3368" s="124"/>
      <c r="S3368" s="124"/>
      <c r="T3368" s="124"/>
      <c r="U3368" s="124"/>
      <c r="V3368" s="124"/>
      <c r="W3368" s="124"/>
      <c r="X3368" s="124"/>
      <c r="Y3368" s="124"/>
    </row>
    <row r="3369" spans="2:25" x14ac:dyDescent="0.25">
      <c r="B3369" s="124"/>
      <c r="C3369" s="124"/>
      <c r="D3369" s="124"/>
      <c r="E3369" s="124"/>
      <c r="F3369" s="124"/>
      <c r="G3369" s="124"/>
      <c r="H3369" s="124"/>
      <c r="I3369" s="124"/>
      <c r="J3369" s="124"/>
      <c r="K3369" s="124"/>
      <c r="L3369" s="124"/>
      <c r="M3369" s="124"/>
      <c r="N3369" s="124"/>
      <c r="O3369" s="124"/>
      <c r="P3369" s="124"/>
      <c r="Q3369" s="124"/>
      <c r="R3369" s="124"/>
      <c r="S3369" s="124"/>
      <c r="T3369" s="124"/>
      <c r="U3369" s="124"/>
      <c r="V3369" s="124"/>
      <c r="W3369" s="124"/>
      <c r="X3369" s="124"/>
      <c r="Y3369" s="124"/>
    </row>
    <row r="3370" spans="2:25" x14ac:dyDescent="0.25">
      <c r="B3370" s="124"/>
      <c r="C3370" s="124"/>
      <c r="D3370" s="124"/>
      <c r="E3370" s="124"/>
      <c r="F3370" s="124"/>
      <c r="G3370" s="124"/>
      <c r="H3370" s="124"/>
      <c r="I3370" s="124"/>
      <c r="J3370" s="124"/>
      <c r="K3370" s="124"/>
      <c r="L3370" s="124"/>
      <c r="M3370" s="124"/>
      <c r="N3370" s="124"/>
      <c r="O3370" s="124"/>
      <c r="P3370" s="124"/>
      <c r="Q3370" s="124"/>
      <c r="R3370" s="124"/>
      <c r="S3370" s="124"/>
      <c r="T3370" s="124"/>
      <c r="U3370" s="124"/>
      <c r="V3370" s="124"/>
      <c r="W3370" s="124"/>
      <c r="X3370" s="124"/>
      <c r="Y3370" s="124"/>
    </row>
    <row r="3371" spans="2:25" x14ac:dyDescent="0.25">
      <c r="B3371" s="124"/>
      <c r="C3371" s="124"/>
      <c r="D3371" s="124"/>
      <c r="E3371" s="124"/>
      <c r="F3371" s="124"/>
      <c r="G3371" s="124"/>
      <c r="H3371" s="124"/>
      <c r="I3371" s="124"/>
      <c r="J3371" s="124"/>
      <c r="K3371" s="124"/>
      <c r="L3371" s="124"/>
      <c r="M3371" s="124"/>
      <c r="N3371" s="124"/>
      <c r="O3371" s="124"/>
      <c r="P3371" s="124"/>
      <c r="Q3371" s="124"/>
      <c r="R3371" s="124"/>
      <c r="S3371" s="124"/>
      <c r="T3371" s="124"/>
      <c r="U3371" s="124"/>
      <c r="V3371" s="124"/>
      <c r="W3371" s="124"/>
      <c r="X3371" s="124"/>
      <c r="Y3371" s="124"/>
    </row>
    <row r="3372" spans="2:25" x14ac:dyDescent="0.25">
      <c r="B3372" s="124"/>
      <c r="C3372" s="124"/>
      <c r="D3372" s="124"/>
      <c r="E3372" s="124"/>
      <c r="F3372" s="124"/>
      <c r="G3372" s="124"/>
      <c r="H3372" s="124"/>
      <c r="I3372" s="124"/>
      <c r="J3372" s="124"/>
      <c r="K3372" s="124"/>
      <c r="L3372" s="124"/>
      <c r="M3372" s="124"/>
      <c r="N3372" s="124"/>
      <c r="O3372" s="124"/>
      <c r="P3372" s="124"/>
      <c r="Q3372" s="124"/>
      <c r="R3372" s="124"/>
      <c r="S3372" s="124"/>
      <c r="T3372" s="124"/>
      <c r="U3372" s="124"/>
      <c r="V3372" s="124"/>
      <c r="W3372" s="124"/>
      <c r="X3372" s="124"/>
      <c r="Y3372" s="124"/>
    </row>
    <row r="3373" spans="2:25" x14ac:dyDescent="0.25">
      <c r="B3373" s="124"/>
      <c r="C3373" s="124"/>
      <c r="D3373" s="124"/>
      <c r="E3373" s="124"/>
      <c r="F3373" s="124"/>
      <c r="G3373" s="124"/>
      <c r="H3373" s="124"/>
      <c r="I3373" s="124"/>
      <c r="J3373" s="124"/>
      <c r="K3373" s="124"/>
      <c r="L3373" s="124"/>
      <c r="M3373" s="124"/>
      <c r="N3373" s="124"/>
      <c r="O3373" s="124"/>
      <c r="P3373" s="124"/>
      <c r="Q3373" s="124"/>
      <c r="R3373" s="124"/>
      <c r="S3373" s="124"/>
      <c r="T3373" s="124"/>
      <c r="U3373" s="124"/>
      <c r="V3373" s="124"/>
      <c r="W3373" s="124"/>
      <c r="X3373" s="124"/>
      <c r="Y3373" s="124"/>
    </row>
    <row r="3374" spans="2:25" x14ac:dyDescent="0.25">
      <c r="B3374" s="124"/>
      <c r="C3374" s="124"/>
      <c r="D3374" s="124"/>
      <c r="E3374" s="124"/>
      <c r="F3374" s="124"/>
      <c r="G3374" s="124"/>
      <c r="H3374" s="124"/>
      <c r="I3374" s="124"/>
      <c r="J3374" s="124"/>
      <c r="K3374" s="124"/>
      <c r="L3374" s="124"/>
      <c r="M3374" s="124"/>
      <c r="N3374" s="124"/>
      <c r="O3374" s="124"/>
      <c r="P3374" s="124"/>
      <c r="Q3374" s="124"/>
      <c r="R3374" s="124"/>
      <c r="S3374" s="124"/>
      <c r="T3374" s="124"/>
      <c r="U3374" s="124"/>
      <c r="V3374" s="124"/>
      <c r="W3374" s="124"/>
      <c r="X3374" s="124"/>
      <c r="Y3374" s="124"/>
    </row>
    <row r="3375" spans="2:25" x14ac:dyDescent="0.25">
      <c r="B3375" s="124"/>
      <c r="C3375" s="124"/>
      <c r="D3375" s="124"/>
      <c r="E3375" s="124"/>
      <c r="F3375" s="124"/>
      <c r="G3375" s="124"/>
      <c r="H3375" s="124"/>
      <c r="I3375" s="124"/>
      <c r="J3375" s="124"/>
      <c r="K3375" s="124"/>
      <c r="L3375" s="124"/>
      <c r="M3375" s="124"/>
      <c r="N3375" s="124"/>
      <c r="O3375" s="124"/>
      <c r="P3375" s="124"/>
      <c r="Q3375" s="124"/>
      <c r="R3375" s="124"/>
      <c r="S3375" s="124"/>
      <c r="T3375" s="124"/>
      <c r="U3375" s="124"/>
      <c r="V3375" s="124"/>
      <c r="W3375" s="124"/>
      <c r="X3375" s="124"/>
      <c r="Y3375" s="124"/>
    </row>
    <row r="3376" spans="2:25" x14ac:dyDescent="0.25">
      <c r="B3376" s="124"/>
      <c r="C3376" s="124"/>
      <c r="D3376" s="124"/>
      <c r="E3376" s="124"/>
      <c r="F3376" s="124"/>
      <c r="G3376" s="124"/>
      <c r="H3376" s="124"/>
      <c r="I3376" s="124"/>
      <c r="J3376" s="124"/>
      <c r="K3376" s="124"/>
      <c r="L3376" s="124"/>
      <c r="M3376" s="124"/>
      <c r="N3376" s="124"/>
      <c r="O3376" s="124"/>
      <c r="P3376" s="124"/>
      <c r="Q3376" s="124"/>
      <c r="R3376" s="124"/>
      <c r="S3376" s="124"/>
      <c r="T3376" s="124"/>
      <c r="U3376" s="124"/>
      <c r="V3376" s="124"/>
      <c r="W3376" s="124"/>
      <c r="X3376" s="124"/>
      <c r="Y3376" s="124"/>
    </row>
    <row r="3377" spans="2:25" x14ac:dyDescent="0.25">
      <c r="B3377" s="124"/>
      <c r="C3377" s="124"/>
      <c r="D3377" s="124"/>
      <c r="E3377" s="124"/>
      <c r="F3377" s="124"/>
      <c r="G3377" s="124"/>
      <c r="H3377" s="124"/>
      <c r="I3377" s="124"/>
      <c r="J3377" s="124"/>
      <c r="K3377" s="124"/>
      <c r="L3377" s="124"/>
      <c r="M3377" s="124"/>
      <c r="N3377" s="124"/>
      <c r="O3377" s="124"/>
      <c r="P3377" s="124"/>
      <c r="Q3377" s="124"/>
      <c r="R3377" s="124"/>
      <c r="S3377" s="124"/>
      <c r="T3377" s="124"/>
      <c r="U3377" s="124"/>
      <c r="V3377" s="124"/>
      <c r="W3377" s="124"/>
      <c r="X3377" s="124"/>
      <c r="Y3377" s="124"/>
    </row>
    <row r="3378" spans="2:25" x14ac:dyDescent="0.25">
      <c r="B3378" s="124"/>
      <c r="C3378" s="124"/>
      <c r="D3378" s="124"/>
      <c r="E3378" s="124"/>
      <c r="F3378" s="124"/>
      <c r="G3378" s="124"/>
      <c r="H3378" s="124"/>
      <c r="I3378" s="124"/>
      <c r="J3378" s="124"/>
      <c r="K3378" s="124"/>
      <c r="L3378" s="124"/>
      <c r="M3378" s="124"/>
      <c r="N3378" s="124"/>
      <c r="O3378" s="124"/>
      <c r="P3378" s="124"/>
      <c r="Q3378" s="124"/>
      <c r="R3378" s="124"/>
      <c r="S3378" s="124"/>
      <c r="T3378" s="124"/>
      <c r="U3378" s="124"/>
      <c r="V3378" s="124"/>
      <c r="W3378" s="124"/>
      <c r="X3378" s="124"/>
      <c r="Y3378" s="124"/>
    </row>
    <row r="3379" spans="2:25" x14ac:dyDescent="0.25">
      <c r="B3379" s="124"/>
      <c r="C3379" s="124"/>
      <c r="D3379" s="124"/>
      <c r="E3379" s="124"/>
      <c r="F3379" s="124"/>
      <c r="G3379" s="124"/>
      <c r="H3379" s="124"/>
      <c r="I3379" s="124"/>
      <c r="J3379" s="124"/>
      <c r="K3379" s="124"/>
      <c r="L3379" s="124"/>
      <c r="M3379" s="124"/>
      <c r="N3379" s="124"/>
      <c r="O3379" s="124"/>
      <c r="P3379" s="124"/>
      <c r="Q3379" s="124"/>
      <c r="R3379" s="124"/>
      <c r="S3379" s="124"/>
      <c r="T3379" s="124"/>
      <c r="U3379" s="124"/>
      <c r="V3379" s="124"/>
      <c r="W3379" s="124"/>
      <c r="X3379" s="124"/>
      <c r="Y3379" s="124"/>
    </row>
    <row r="3380" spans="2:25" x14ac:dyDescent="0.25">
      <c r="B3380" s="124"/>
      <c r="C3380" s="124"/>
      <c r="D3380" s="124"/>
      <c r="E3380" s="124"/>
      <c r="F3380" s="124"/>
      <c r="G3380" s="124"/>
      <c r="H3380" s="124"/>
      <c r="I3380" s="124"/>
      <c r="J3380" s="124"/>
      <c r="K3380" s="124"/>
      <c r="L3380" s="124"/>
      <c r="M3380" s="124"/>
      <c r="N3380" s="124"/>
      <c r="O3380" s="124"/>
      <c r="P3380" s="124"/>
      <c r="Q3380" s="124"/>
      <c r="R3380" s="124"/>
      <c r="S3380" s="124"/>
      <c r="T3380" s="124"/>
      <c r="U3380" s="124"/>
      <c r="V3380" s="124"/>
      <c r="W3380" s="124"/>
      <c r="X3380" s="124"/>
      <c r="Y3380" s="124"/>
    </row>
    <row r="3381" spans="2:25" x14ac:dyDescent="0.25">
      <c r="B3381" s="124"/>
      <c r="C3381" s="124"/>
      <c r="D3381" s="124"/>
      <c r="E3381" s="124"/>
      <c r="F3381" s="124"/>
      <c r="G3381" s="124"/>
      <c r="H3381" s="124"/>
      <c r="I3381" s="124"/>
      <c r="J3381" s="124"/>
      <c r="K3381" s="124"/>
      <c r="L3381" s="124"/>
      <c r="M3381" s="124"/>
      <c r="N3381" s="124"/>
      <c r="O3381" s="124"/>
      <c r="P3381" s="124"/>
      <c r="Q3381" s="124"/>
      <c r="R3381" s="124"/>
      <c r="S3381" s="124"/>
      <c r="T3381" s="124"/>
      <c r="U3381" s="124"/>
      <c r="V3381" s="124"/>
      <c r="W3381" s="124"/>
      <c r="X3381" s="124"/>
      <c r="Y3381" s="124"/>
    </row>
    <row r="3382" spans="2:25" x14ac:dyDescent="0.25">
      <c r="B3382" s="124"/>
      <c r="C3382" s="124"/>
      <c r="D3382" s="124"/>
      <c r="E3382" s="124"/>
      <c r="F3382" s="124"/>
      <c r="G3382" s="124"/>
      <c r="H3382" s="124"/>
      <c r="I3382" s="124"/>
      <c r="J3382" s="124"/>
      <c r="K3382" s="124"/>
      <c r="L3382" s="124"/>
      <c r="M3382" s="124"/>
      <c r="N3382" s="124"/>
      <c r="O3382" s="124"/>
      <c r="P3382" s="124"/>
      <c r="Q3382" s="124"/>
      <c r="R3382" s="124"/>
      <c r="S3382" s="124"/>
      <c r="T3382" s="124"/>
      <c r="U3382" s="124"/>
      <c r="V3382" s="124"/>
      <c r="W3382" s="124"/>
      <c r="X3382" s="124"/>
      <c r="Y3382" s="124"/>
    </row>
    <row r="3383" spans="2:25" x14ac:dyDescent="0.25">
      <c r="B3383" s="124"/>
      <c r="C3383" s="124"/>
      <c r="D3383" s="124"/>
      <c r="E3383" s="124"/>
      <c r="F3383" s="124"/>
      <c r="G3383" s="124"/>
      <c r="H3383" s="124"/>
      <c r="I3383" s="124"/>
      <c r="J3383" s="124"/>
      <c r="K3383" s="124"/>
      <c r="L3383" s="124"/>
      <c r="M3383" s="124"/>
      <c r="N3383" s="124"/>
      <c r="O3383" s="124"/>
      <c r="P3383" s="124"/>
      <c r="Q3383" s="124"/>
      <c r="R3383" s="124"/>
      <c r="S3383" s="124"/>
      <c r="T3383" s="124"/>
      <c r="U3383" s="124"/>
      <c r="V3383" s="124"/>
      <c r="W3383" s="124"/>
      <c r="X3383" s="124"/>
      <c r="Y3383" s="124"/>
    </row>
    <row r="3384" spans="2:25" x14ac:dyDescent="0.25">
      <c r="B3384" s="124"/>
      <c r="C3384" s="124"/>
      <c r="D3384" s="124"/>
      <c r="E3384" s="124"/>
      <c r="F3384" s="124"/>
      <c r="G3384" s="124"/>
      <c r="H3384" s="124"/>
      <c r="I3384" s="124"/>
      <c r="J3384" s="124"/>
      <c r="K3384" s="124"/>
      <c r="L3384" s="124"/>
      <c r="M3384" s="124"/>
      <c r="N3384" s="124"/>
      <c r="O3384" s="124"/>
      <c r="P3384" s="124"/>
      <c r="Q3384" s="124"/>
      <c r="R3384" s="124"/>
      <c r="S3384" s="124"/>
      <c r="T3384" s="124"/>
      <c r="U3384" s="124"/>
      <c r="V3384" s="124"/>
      <c r="W3384" s="124"/>
      <c r="X3384" s="124"/>
      <c r="Y3384" s="124"/>
    </row>
    <row r="3385" spans="2:25" x14ac:dyDescent="0.25">
      <c r="B3385" s="124"/>
      <c r="C3385" s="124"/>
      <c r="D3385" s="124"/>
      <c r="E3385" s="124"/>
      <c r="F3385" s="124"/>
      <c r="G3385" s="124"/>
      <c r="H3385" s="124"/>
      <c r="I3385" s="124"/>
      <c r="J3385" s="124"/>
      <c r="K3385" s="124"/>
      <c r="L3385" s="124"/>
      <c r="M3385" s="124"/>
      <c r="N3385" s="124"/>
      <c r="O3385" s="124"/>
      <c r="P3385" s="124"/>
      <c r="Q3385" s="124"/>
      <c r="R3385" s="124"/>
      <c r="S3385" s="124"/>
      <c r="T3385" s="124"/>
      <c r="U3385" s="124"/>
      <c r="V3385" s="124"/>
      <c r="W3385" s="124"/>
      <c r="X3385" s="124"/>
      <c r="Y3385" s="124"/>
    </row>
    <row r="3386" spans="2:25" x14ac:dyDescent="0.25">
      <c r="B3386" s="124"/>
      <c r="C3386" s="124"/>
      <c r="D3386" s="124"/>
      <c r="E3386" s="124"/>
      <c r="F3386" s="124"/>
      <c r="G3386" s="124"/>
      <c r="H3386" s="124"/>
      <c r="I3386" s="124"/>
      <c r="J3386" s="124"/>
      <c r="K3386" s="124"/>
      <c r="L3386" s="124"/>
      <c r="M3386" s="124"/>
      <c r="N3386" s="124"/>
      <c r="O3386" s="124"/>
      <c r="P3386" s="124"/>
      <c r="Q3386" s="124"/>
      <c r="R3386" s="124"/>
      <c r="S3386" s="124"/>
      <c r="T3386" s="124"/>
      <c r="U3386" s="124"/>
      <c r="V3386" s="124"/>
      <c r="W3386" s="124"/>
      <c r="X3386" s="124"/>
      <c r="Y3386" s="124"/>
    </row>
    <row r="3387" spans="2:25" x14ac:dyDescent="0.25">
      <c r="B3387" s="124"/>
      <c r="C3387" s="124"/>
      <c r="D3387" s="124"/>
      <c r="E3387" s="124"/>
      <c r="F3387" s="124"/>
      <c r="G3387" s="124"/>
      <c r="H3387" s="124"/>
      <c r="I3387" s="124"/>
      <c r="J3387" s="124"/>
      <c r="K3387" s="124"/>
      <c r="L3387" s="124"/>
      <c r="M3387" s="124"/>
      <c r="N3387" s="124"/>
      <c r="O3387" s="124"/>
      <c r="P3387" s="124"/>
      <c r="Q3387" s="124"/>
      <c r="R3387" s="124"/>
      <c r="S3387" s="124"/>
      <c r="T3387" s="124"/>
      <c r="U3387" s="124"/>
      <c r="V3387" s="124"/>
      <c r="W3387" s="124"/>
      <c r="X3387" s="124"/>
      <c r="Y3387" s="124"/>
    </row>
    <row r="3388" spans="2:25" x14ac:dyDescent="0.25">
      <c r="B3388" s="124"/>
      <c r="C3388" s="124"/>
      <c r="D3388" s="124"/>
      <c r="E3388" s="124"/>
      <c r="F3388" s="124"/>
      <c r="G3388" s="124"/>
      <c r="H3388" s="124"/>
      <c r="I3388" s="124"/>
      <c r="J3388" s="124"/>
      <c r="K3388" s="124"/>
      <c r="L3388" s="124"/>
      <c r="M3388" s="124"/>
      <c r="N3388" s="124"/>
      <c r="O3388" s="124"/>
      <c r="P3388" s="124"/>
      <c r="Q3388" s="124"/>
      <c r="R3388" s="124"/>
      <c r="S3388" s="124"/>
      <c r="T3388" s="124"/>
      <c r="U3388" s="124"/>
      <c r="V3388" s="124"/>
      <c r="W3388" s="124"/>
      <c r="X3388" s="124"/>
      <c r="Y3388" s="124"/>
    </row>
    <row r="3389" spans="2:25" x14ac:dyDescent="0.25">
      <c r="B3389" s="124"/>
      <c r="C3389" s="124"/>
      <c r="D3389" s="124"/>
      <c r="E3389" s="124"/>
      <c r="F3389" s="124"/>
      <c r="G3389" s="124"/>
      <c r="H3389" s="124"/>
      <c r="I3389" s="124"/>
      <c r="J3389" s="124"/>
      <c r="K3389" s="124"/>
      <c r="L3389" s="124"/>
      <c r="M3389" s="124"/>
      <c r="N3389" s="124"/>
      <c r="O3389" s="124"/>
      <c r="P3389" s="124"/>
      <c r="Q3389" s="124"/>
      <c r="R3389" s="124"/>
      <c r="S3389" s="124"/>
      <c r="T3389" s="124"/>
      <c r="U3389" s="124"/>
      <c r="V3389" s="124"/>
      <c r="W3389" s="124"/>
      <c r="X3389" s="124"/>
      <c r="Y3389" s="124"/>
    </row>
    <row r="3390" spans="2:25" x14ac:dyDescent="0.25">
      <c r="B3390" s="124"/>
      <c r="C3390" s="124"/>
      <c r="D3390" s="124"/>
      <c r="E3390" s="124"/>
      <c r="F3390" s="124"/>
      <c r="G3390" s="124"/>
      <c r="H3390" s="124"/>
      <c r="I3390" s="124"/>
      <c r="J3390" s="124"/>
      <c r="K3390" s="124"/>
      <c r="L3390" s="124"/>
      <c r="M3390" s="124"/>
      <c r="N3390" s="124"/>
      <c r="O3390" s="124"/>
      <c r="P3390" s="124"/>
      <c r="Q3390" s="124"/>
      <c r="R3390" s="124"/>
      <c r="S3390" s="124"/>
      <c r="T3390" s="124"/>
      <c r="U3390" s="124"/>
      <c r="V3390" s="124"/>
      <c r="W3390" s="124"/>
      <c r="X3390" s="124"/>
      <c r="Y3390" s="124"/>
    </row>
    <row r="3391" spans="2:25" x14ac:dyDescent="0.25">
      <c r="B3391" s="124"/>
      <c r="C3391" s="124"/>
      <c r="D3391" s="124"/>
      <c r="E3391" s="124"/>
      <c r="F3391" s="124"/>
      <c r="G3391" s="124"/>
      <c r="H3391" s="124"/>
      <c r="I3391" s="124"/>
      <c r="J3391" s="124"/>
      <c r="K3391" s="124"/>
      <c r="L3391" s="124"/>
      <c r="M3391" s="124"/>
      <c r="N3391" s="124"/>
      <c r="O3391" s="124"/>
      <c r="P3391" s="124"/>
      <c r="Q3391" s="124"/>
      <c r="R3391" s="124"/>
      <c r="S3391" s="124"/>
      <c r="T3391" s="124"/>
      <c r="U3391" s="124"/>
      <c r="V3391" s="124"/>
      <c r="W3391" s="124"/>
      <c r="X3391" s="124"/>
      <c r="Y3391" s="124"/>
    </row>
    <row r="3392" spans="2:25" x14ac:dyDescent="0.25">
      <c r="B3392" s="124"/>
      <c r="C3392" s="124"/>
      <c r="D3392" s="124"/>
      <c r="E3392" s="124"/>
      <c r="F3392" s="124"/>
      <c r="G3392" s="124"/>
      <c r="H3392" s="124"/>
      <c r="I3392" s="124"/>
      <c r="J3392" s="124"/>
      <c r="K3392" s="124"/>
      <c r="L3392" s="124"/>
      <c r="M3392" s="124"/>
      <c r="N3392" s="124"/>
      <c r="O3392" s="124"/>
      <c r="P3392" s="124"/>
      <c r="Q3392" s="124"/>
      <c r="R3392" s="124"/>
      <c r="S3392" s="124"/>
      <c r="T3392" s="124"/>
      <c r="U3392" s="124"/>
      <c r="V3392" s="124"/>
      <c r="W3392" s="124"/>
      <c r="X3392" s="124"/>
      <c r="Y3392" s="124"/>
    </row>
    <row r="3393" spans="2:25" x14ac:dyDescent="0.25">
      <c r="B3393" s="124"/>
      <c r="C3393" s="124"/>
      <c r="D3393" s="124"/>
      <c r="E3393" s="124"/>
      <c r="F3393" s="124"/>
      <c r="G3393" s="124"/>
      <c r="H3393" s="124"/>
      <c r="I3393" s="124"/>
      <c r="J3393" s="124"/>
      <c r="K3393" s="124"/>
      <c r="L3393" s="124"/>
      <c r="M3393" s="124"/>
      <c r="N3393" s="124"/>
      <c r="O3393" s="124"/>
      <c r="P3393" s="124"/>
      <c r="Q3393" s="124"/>
      <c r="R3393" s="124"/>
      <c r="S3393" s="124"/>
      <c r="T3393" s="124"/>
      <c r="U3393" s="124"/>
      <c r="V3393" s="124"/>
      <c r="W3393" s="124"/>
      <c r="X3393" s="124"/>
      <c r="Y3393" s="124"/>
    </row>
    <row r="3394" spans="2:25" x14ac:dyDescent="0.25">
      <c r="B3394" s="124"/>
      <c r="C3394" s="124"/>
      <c r="D3394" s="124"/>
      <c r="E3394" s="124"/>
      <c r="F3394" s="124"/>
      <c r="G3394" s="124"/>
      <c r="H3394" s="124"/>
      <c r="I3394" s="124"/>
      <c r="J3394" s="124"/>
      <c r="K3394" s="124"/>
      <c r="L3394" s="124"/>
      <c r="M3394" s="124"/>
      <c r="N3394" s="124"/>
      <c r="O3394" s="124"/>
      <c r="P3394" s="124"/>
      <c r="Q3394" s="124"/>
      <c r="R3394" s="124"/>
      <c r="S3394" s="124"/>
      <c r="T3394" s="124"/>
      <c r="U3394" s="124"/>
      <c r="V3394" s="124"/>
      <c r="W3394" s="124"/>
      <c r="X3394" s="124"/>
      <c r="Y3394" s="124"/>
    </row>
    <row r="3395" spans="2:25" x14ac:dyDescent="0.25">
      <c r="B3395" s="124"/>
      <c r="C3395" s="124"/>
      <c r="D3395" s="124"/>
      <c r="E3395" s="124"/>
      <c r="F3395" s="124"/>
      <c r="G3395" s="124"/>
      <c r="H3395" s="124"/>
      <c r="I3395" s="124"/>
      <c r="J3395" s="124"/>
      <c r="K3395" s="124"/>
      <c r="L3395" s="124"/>
      <c r="M3395" s="124"/>
      <c r="N3395" s="124"/>
      <c r="O3395" s="124"/>
      <c r="P3395" s="124"/>
      <c r="Q3395" s="124"/>
      <c r="R3395" s="124"/>
      <c r="S3395" s="124"/>
      <c r="T3395" s="124"/>
      <c r="U3395" s="124"/>
      <c r="V3395" s="124"/>
      <c r="W3395" s="124"/>
      <c r="X3395" s="124"/>
      <c r="Y3395" s="124"/>
    </row>
    <row r="3396" spans="2:25" x14ac:dyDescent="0.25">
      <c r="B3396" s="124"/>
      <c r="C3396" s="124"/>
      <c r="D3396" s="124"/>
      <c r="E3396" s="124"/>
      <c r="F3396" s="124"/>
      <c r="G3396" s="124"/>
      <c r="H3396" s="124"/>
      <c r="I3396" s="124"/>
      <c r="J3396" s="124"/>
      <c r="K3396" s="124"/>
      <c r="L3396" s="124"/>
      <c r="M3396" s="124"/>
      <c r="N3396" s="124"/>
      <c r="O3396" s="124"/>
      <c r="P3396" s="124"/>
      <c r="Q3396" s="124"/>
      <c r="R3396" s="124"/>
      <c r="S3396" s="124"/>
      <c r="T3396" s="124"/>
      <c r="U3396" s="124"/>
      <c r="V3396" s="124"/>
      <c r="W3396" s="124"/>
      <c r="X3396" s="124"/>
      <c r="Y3396" s="124"/>
    </row>
    <row r="3397" spans="2:25" x14ac:dyDescent="0.25">
      <c r="B3397" s="124"/>
      <c r="C3397" s="124"/>
      <c r="D3397" s="124"/>
      <c r="E3397" s="124"/>
      <c r="F3397" s="124"/>
      <c r="G3397" s="124"/>
      <c r="H3397" s="124"/>
      <c r="I3397" s="124"/>
      <c r="J3397" s="124"/>
      <c r="K3397" s="124"/>
      <c r="L3397" s="124"/>
      <c r="M3397" s="124"/>
      <c r="N3397" s="124"/>
      <c r="O3397" s="124"/>
      <c r="P3397" s="124"/>
      <c r="Q3397" s="124"/>
      <c r="R3397" s="124"/>
      <c r="S3397" s="124"/>
      <c r="T3397" s="124"/>
      <c r="U3397" s="124"/>
      <c r="V3397" s="124"/>
      <c r="W3397" s="124"/>
      <c r="X3397" s="124"/>
      <c r="Y3397" s="124"/>
    </row>
    <row r="3398" spans="2:25" x14ac:dyDescent="0.25">
      <c r="B3398" s="124"/>
      <c r="C3398" s="124"/>
      <c r="D3398" s="124"/>
      <c r="E3398" s="124"/>
      <c r="F3398" s="124"/>
      <c r="G3398" s="124"/>
      <c r="H3398" s="124"/>
      <c r="I3398" s="124"/>
      <c r="J3398" s="124"/>
      <c r="K3398" s="124"/>
      <c r="L3398" s="124"/>
      <c r="M3398" s="124"/>
      <c r="N3398" s="124"/>
      <c r="O3398" s="124"/>
      <c r="P3398" s="124"/>
      <c r="Q3398" s="124"/>
      <c r="R3398" s="124"/>
      <c r="S3398" s="124"/>
      <c r="T3398" s="124"/>
      <c r="U3398" s="124"/>
      <c r="V3398" s="124"/>
      <c r="W3398" s="124"/>
      <c r="X3398" s="124"/>
      <c r="Y3398" s="124"/>
    </row>
    <row r="3399" spans="2:25" x14ac:dyDescent="0.25">
      <c r="B3399" s="124"/>
      <c r="C3399" s="124"/>
      <c r="D3399" s="124"/>
      <c r="E3399" s="124"/>
      <c r="F3399" s="124"/>
      <c r="G3399" s="124"/>
      <c r="H3399" s="124"/>
      <c r="I3399" s="124"/>
      <c r="J3399" s="124"/>
      <c r="K3399" s="124"/>
      <c r="L3399" s="124"/>
      <c r="M3399" s="124"/>
      <c r="N3399" s="124"/>
      <c r="O3399" s="124"/>
      <c r="P3399" s="124"/>
      <c r="Q3399" s="124"/>
      <c r="R3399" s="124"/>
      <c r="S3399" s="124"/>
      <c r="T3399" s="124"/>
      <c r="U3399" s="124"/>
      <c r="V3399" s="124"/>
      <c r="W3399" s="124"/>
      <c r="X3399" s="124"/>
      <c r="Y3399" s="124"/>
    </row>
    <row r="3400" spans="2:25" x14ac:dyDescent="0.25">
      <c r="B3400" s="124"/>
      <c r="C3400" s="124"/>
      <c r="D3400" s="124"/>
      <c r="E3400" s="124"/>
      <c r="F3400" s="124"/>
      <c r="G3400" s="124"/>
      <c r="H3400" s="124"/>
      <c r="I3400" s="124"/>
      <c r="J3400" s="124"/>
      <c r="K3400" s="124"/>
      <c r="L3400" s="124"/>
      <c r="M3400" s="124"/>
      <c r="N3400" s="124"/>
      <c r="O3400" s="124"/>
      <c r="P3400" s="124"/>
      <c r="Q3400" s="124"/>
      <c r="R3400" s="124"/>
      <c r="S3400" s="124"/>
      <c r="T3400" s="124"/>
      <c r="U3400" s="124"/>
      <c r="V3400" s="124"/>
      <c r="W3400" s="124"/>
      <c r="X3400" s="124"/>
      <c r="Y3400" s="124"/>
    </row>
    <row r="3401" spans="2:25" x14ac:dyDescent="0.25">
      <c r="B3401" s="124"/>
      <c r="C3401" s="124"/>
      <c r="D3401" s="124"/>
      <c r="E3401" s="124"/>
      <c r="F3401" s="124"/>
      <c r="G3401" s="124"/>
      <c r="H3401" s="124"/>
      <c r="I3401" s="124"/>
      <c r="J3401" s="124"/>
      <c r="K3401" s="124"/>
      <c r="L3401" s="124"/>
      <c r="M3401" s="124"/>
      <c r="N3401" s="124"/>
      <c r="O3401" s="124"/>
      <c r="P3401" s="124"/>
      <c r="Q3401" s="124"/>
      <c r="R3401" s="124"/>
      <c r="S3401" s="124"/>
      <c r="T3401" s="124"/>
      <c r="U3401" s="124"/>
      <c r="V3401" s="124"/>
      <c r="W3401" s="124"/>
      <c r="X3401" s="124"/>
      <c r="Y3401" s="124"/>
    </row>
    <row r="3402" spans="2:25" x14ac:dyDescent="0.25">
      <c r="B3402" s="124"/>
      <c r="C3402" s="124"/>
      <c r="D3402" s="124"/>
      <c r="E3402" s="124"/>
      <c r="F3402" s="124"/>
      <c r="G3402" s="124"/>
      <c r="H3402" s="124"/>
      <c r="I3402" s="124"/>
      <c r="J3402" s="124"/>
      <c r="K3402" s="124"/>
      <c r="L3402" s="124"/>
      <c r="M3402" s="124"/>
      <c r="N3402" s="124"/>
      <c r="O3402" s="124"/>
      <c r="P3402" s="124"/>
      <c r="Q3402" s="124"/>
      <c r="R3402" s="124"/>
      <c r="S3402" s="124"/>
      <c r="T3402" s="124"/>
      <c r="U3402" s="124"/>
      <c r="V3402" s="124"/>
      <c r="W3402" s="124"/>
      <c r="X3402" s="124"/>
      <c r="Y3402" s="124"/>
    </row>
    <row r="3403" spans="2:25" x14ac:dyDescent="0.25">
      <c r="B3403" s="124"/>
      <c r="C3403" s="124"/>
      <c r="D3403" s="124"/>
      <c r="E3403" s="124"/>
      <c r="F3403" s="124"/>
      <c r="G3403" s="124"/>
      <c r="H3403" s="124"/>
      <c r="I3403" s="124"/>
      <c r="J3403" s="124"/>
      <c r="K3403" s="124"/>
      <c r="L3403" s="124"/>
      <c r="M3403" s="124"/>
      <c r="N3403" s="124"/>
      <c r="O3403" s="124"/>
      <c r="P3403" s="124"/>
      <c r="Q3403" s="124"/>
      <c r="R3403" s="124"/>
      <c r="S3403" s="124"/>
      <c r="T3403" s="124"/>
      <c r="U3403" s="124"/>
      <c r="V3403" s="124"/>
      <c r="W3403" s="124"/>
      <c r="X3403" s="124"/>
      <c r="Y3403" s="124"/>
    </row>
    <row r="3404" spans="2:25" x14ac:dyDescent="0.25">
      <c r="B3404" s="124"/>
      <c r="C3404" s="124"/>
      <c r="D3404" s="124"/>
      <c r="E3404" s="124"/>
      <c r="F3404" s="124"/>
      <c r="G3404" s="124"/>
      <c r="H3404" s="124"/>
      <c r="I3404" s="124"/>
      <c r="J3404" s="124"/>
      <c r="K3404" s="124"/>
      <c r="L3404" s="124"/>
      <c r="M3404" s="124"/>
      <c r="N3404" s="124"/>
      <c r="O3404" s="124"/>
      <c r="P3404" s="124"/>
      <c r="Q3404" s="124"/>
      <c r="R3404" s="124"/>
      <c r="S3404" s="124"/>
      <c r="T3404" s="124"/>
      <c r="U3404" s="124"/>
      <c r="V3404" s="124"/>
      <c r="W3404" s="124"/>
      <c r="X3404" s="124"/>
      <c r="Y3404" s="124"/>
    </row>
    <row r="3405" spans="2:25" x14ac:dyDescent="0.25">
      <c r="B3405" s="124"/>
      <c r="C3405" s="124"/>
      <c r="D3405" s="124"/>
      <c r="E3405" s="124"/>
      <c r="F3405" s="124"/>
      <c r="G3405" s="124"/>
      <c r="H3405" s="124"/>
      <c r="I3405" s="124"/>
      <c r="J3405" s="124"/>
      <c r="K3405" s="124"/>
      <c r="L3405" s="124"/>
      <c r="M3405" s="124"/>
      <c r="N3405" s="124"/>
      <c r="O3405" s="124"/>
      <c r="P3405" s="124"/>
      <c r="Q3405" s="124"/>
      <c r="R3405" s="124"/>
      <c r="S3405" s="124"/>
      <c r="T3405" s="124"/>
      <c r="U3405" s="124"/>
      <c r="V3405" s="124"/>
      <c r="W3405" s="124"/>
      <c r="X3405" s="124"/>
      <c r="Y3405" s="124"/>
    </row>
    <row r="3406" spans="2:25" x14ac:dyDescent="0.25">
      <c r="B3406" s="124"/>
      <c r="C3406" s="124"/>
      <c r="D3406" s="124"/>
      <c r="E3406" s="124"/>
      <c r="F3406" s="124"/>
      <c r="G3406" s="124"/>
      <c r="H3406" s="124"/>
      <c r="I3406" s="124"/>
      <c r="J3406" s="124"/>
      <c r="K3406" s="124"/>
      <c r="L3406" s="124"/>
      <c r="M3406" s="124"/>
      <c r="N3406" s="124"/>
      <c r="O3406" s="124"/>
      <c r="P3406" s="124"/>
      <c r="Q3406" s="124"/>
      <c r="R3406" s="124"/>
      <c r="S3406" s="124"/>
      <c r="T3406" s="124"/>
      <c r="U3406" s="124"/>
      <c r="V3406" s="124"/>
      <c r="W3406" s="124"/>
      <c r="X3406" s="124"/>
      <c r="Y3406" s="124"/>
    </row>
    <row r="3407" spans="2:25" x14ac:dyDescent="0.25">
      <c r="B3407" s="124"/>
      <c r="C3407" s="124"/>
      <c r="D3407" s="124"/>
      <c r="E3407" s="124"/>
      <c r="F3407" s="124"/>
      <c r="G3407" s="124"/>
      <c r="H3407" s="124"/>
      <c r="I3407" s="124"/>
      <c r="J3407" s="124"/>
      <c r="K3407" s="124"/>
      <c r="L3407" s="124"/>
      <c r="M3407" s="124"/>
      <c r="N3407" s="124"/>
      <c r="O3407" s="124"/>
      <c r="P3407" s="124"/>
      <c r="Q3407" s="124"/>
      <c r="R3407" s="124"/>
      <c r="S3407" s="124"/>
      <c r="T3407" s="124"/>
      <c r="U3407" s="124"/>
      <c r="V3407" s="124"/>
      <c r="W3407" s="124"/>
      <c r="X3407" s="124"/>
      <c r="Y3407" s="124"/>
    </row>
    <row r="3408" spans="2:25" x14ac:dyDescent="0.25">
      <c r="B3408" s="124"/>
      <c r="C3408" s="124"/>
      <c r="D3408" s="124"/>
      <c r="E3408" s="124"/>
      <c r="F3408" s="124"/>
      <c r="G3408" s="124"/>
      <c r="H3408" s="124"/>
      <c r="I3408" s="124"/>
      <c r="J3408" s="124"/>
      <c r="K3408" s="124"/>
      <c r="L3408" s="124"/>
      <c r="M3408" s="124"/>
      <c r="N3408" s="124"/>
      <c r="O3408" s="124"/>
      <c r="P3408" s="124"/>
      <c r="Q3408" s="124"/>
      <c r="R3408" s="124"/>
      <c r="S3408" s="124"/>
      <c r="T3408" s="124"/>
      <c r="U3408" s="124"/>
      <c r="V3408" s="124"/>
      <c r="W3408" s="124"/>
      <c r="X3408" s="124"/>
      <c r="Y3408" s="124"/>
    </row>
    <row r="3409" spans="2:25" x14ac:dyDescent="0.25">
      <c r="B3409" s="124"/>
      <c r="C3409" s="124"/>
      <c r="D3409" s="124"/>
      <c r="E3409" s="124"/>
      <c r="F3409" s="124"/>
      <c r="G3409" s="124"/>
      <c r="H3409" s="124"/>
      <c r="I3409" s="124"/>
      <c r="J3409" s="124"/>
      <c r="K3409" s="124"/>
      <c r="L3409" s="124"/>
      <c r="M3409" s="124"/>
      <c r="N3409" s="124"/>
      <c r="O3409" s="124"/>
      <c r="P3409" s="124"/>
      <c r="Q3409" s="124"/>
      <c r="R3409" s="124"/>
      <c r="S3409" s="124"/>
      <c r="T3409" s="124"/>
      <c r="U3409" s="124"/>
      <c r="V3409" s="124"/>
      <c r="W3409" s="124"/>
      <c r="X3409" s="124"/>
      <c r="Y3409" s="124"/>
    </row>
    <row r="3410" spans="2:25" x14ac:dyDescent="0.25">
      <c r="B3410" s="124"/>
      <c r="C3410" s="124"/>
      <c r="D3410" s="124"/>
      <c r="E3410" s="124"/>
      <c r="F3410" s="124"/>
      <c r="G3410" s="124"/>
      <c r="H3410" s="124"/>
      <c r="I3410" s="124"/>
      <c r="J3410" s="124"/>
      <c r="K3410" s="124"/>
      <c r="L3410" s="124"/>
      <c r="M3410" s="124"/>
      <c r="N3410" s="124"/>
      <c r="O3410" s="124"/>
      <c r="P3410" s="124"/>
      <c r="Q3410" s="124"/>
      <c r="R3410" s="124"/>
      <c r="S3410" s="124"/>
      <c r="T3410" s="124"/>
      <c r="U3410" s="124"/>
      <c r="V3410" s="124"/>
      <c r="W3410" s="124"/>
      <c r="X3410" s="124"/>
      <c r="Y3410" s="124"/>
    </row>
    <row r="3411" spans="2:25" x14ac:dyDescent="0.25">
      <c r="B3411" s="124"/>
      <c r="C3411" s="124"/>
      <c r="D3411" s="124"/>
      <c r="E3411" s="124"/>
      <c r="F3411" s="124"/>
      <c r="G3411" s="124"/>
      <c r="H3411" s="124"/>
      <c r="I3411" s="124"/>
      <c r="J3411" s="124"/>
      <c r="K3411" s="124"/>
      <c r="L3411" s="124"/>
      <c r="M3411" s="124"/>
      <c r="N3411" s="124"/>
      <c r="O3411" s="124"/>
      <c r="P3411" s="124"/>
      <c r="Q3411" s="124"/>
      <c r="R3411" s="124"/>
      <c r="S3411" s="124"/>
      <c r="T3411" s="124"/>
      <c r="U3411" s="124"/>
      <c r="V3411" s="124"/>
      <c r="W3411" s="124"/>
      <c r="X3411" s="124"/>
      <c r="Y3411" s="124"/>
    </row>
    <row r="3412" spans="2:25" x14ac:dyDescent="0.25">
      <c r="B3412" s="124"/>
      <c r="C3412" s="124"/>
      <c r="D3412" s="124"/>
      <c r="E3412" s="124"/>
      <c r="F3412" s="124"/>
      <c r="G3412" s="124"/>
      <c r="H3412" s="124"/>
      <c r="I3412" s="124"/>
      <c r="J3412" s="124"/>
      <c r="K3412" s="124"/>
      <c r="L3412" s="124"/>
      <c r="M3412" s="124"/>
      <c r="N3412" s="124"/>
      <c r="O3412" s="124"/>
      <c r="P3412" s="124"/>
      <c r="Q3412" s="124"/>
      <c r="R3412" s="124"/>
      <c r="S3412" s="124"/>
      <c r="T3412" s="124"/>
      <c r="U3412" s="124"/>
      <c r="V3412" s="124"/>
      <c r="W3412" s="124"/>
      <c r="X3412" s="124"/>
      <c r="Y3412" s="124"/>
    </row>
    <row r="3413" spans="2:25" x14ac:dyDescent="0.25">
      <c r="B3413" s="124"/>
      <c r="C3413" s="124"/>
      <c r="D3413" s="124"/>
      <c r="E3413" s="124"/>
      <c r="F3413" s="124"/>
      <c r="G3413" s="124"/>
      <c r="H3413" s="124"/>
      <c r="I3413" s="124"/>
      <c r="J3413" s="124"/>
      <c r="K3413" s="124"/>
      <c r="L3413" s="124"/>
      <c r="M3413" s="124"/>
      <c r="N3413" s="124"/>
      <c r="O3413" s="124"/>
      <c r="P3413" s="124"/>
      <c r="Q3413" s="124"/>
      <c r="R3413" s="124"/>
      <c r="S3413" s="124"/>
      <c r="T3413" s="124"/>
      <c r="U3413" s="124"/>
      <c r="V3413" s="124"/>
      <c r="W3413" s="124"/>
      <c r="X3413" s="124"/>
      <c r="Y3413" s="124"/>
    </row>
    <row r="3414" spans="2:25" x14ac:dyDescent="0.25">
      <c r="B3414" s="124"/>
      <c r="C3414" s="124"/>
      <c r="D3414" s="124"/>
      <c r="E3414" s="124"/>
      <c r="F3414" s="124"/>
      <c r="G3414" s="124"/>
      <c r="H3414" s="124"/>
      <c r="I3414" s="124"/>
      <c r="J3414" s="124"/>
      <c r="K3414" s="124"/>
      <c r="L3414" s="124"/>
      <c r="M3414" s="124"/>
      <c r="N3414" s="124"/>
      <c r="O3414" s="124"/>
      <c r="P3414" s="124"/>
      <c r="Q3414" s="124"/>
      <c r="R3414" s="124"/>
      <c r="S3414" s="124"/>
      <c r="T3414" s="124"/>
      <c r="U3414" s="124"/>
      <c r="V3414" s="124"/>
      <c r="W3414" s="124"/>
      <c r="X3414" s="124"/>
      <c r="Y3414" s="124"/>
    </row>
    <row r="3415" spans="2:25" x14ac:dyDescent="0.25">
      <c r="B3415" s="124"/>
      <c r="C3415" s="124"/>
      <c r="D3415" s="124"/>
      <c r="E3415" s="124"/>
      <c r="F3415" s="124"/>
      <c r="G3415" s="124"/>
      <c r="H3415" s="124"/>
      <c r="I3415" s="124"/>
      <c r="J3415" s="124"/>
      <c r="K3415" s="124"/>
      <c r="L3415" s="124"/>
      <c r="M3415" s="124"/>
      <c r="N3415" s="124"/>
      <c r="O3415" s="124"/>
      <c r="P3415" s="124"/>
      <c r="Q3415" s="124"/>
      <c r="R3415" s="124"/>
      <c r="S3415" s="124"/>
      <c r="T3415" s="124"/>
      <c r="U3415" s="124"/>
      <c r="V3415" s="124"/>
      <c r="W3415" s="124"/>
      <c r="X3415" s="124"/>
      <c r="Y3415" s="124"/>
    </row>
    <row r="3416" spans="2:25" x14ac:dyDescent="0.25">
      <c r="B3416" s="124"/>
      <c r="C3416" s="124"/>
      <c r="D3416" s="124"/>
      <c r="E3416" s="124"/>
      <c r="F3416" s="124"/>
      <c r="G3416" s="124"/>
      <c r="H3416" s="124"/>
      <c r="I3416" s="124"/>
      <c r="J3416" s="124"/>
      <c r="K3416" s="124"/>
      <c r="L3416" s="124"/>
      <c r="M3416" s="124"/>
      <c r="N3416" s="124"/>
      <c r="O3416" s="124"/>
      <c r="P3416" s="124"/>
      <c r="Q3416" s="124"/>
      <c r="R3416" s="124"/>
      <c r="S3416" s="124"/>
      <c r="T3416" s="124"/>
      <c r="U3416" s="124"/>
      <c r="V3416" s="124"/>
      <c r="W3416" s="124"/>
      <c r="X3416" s="124"/>
      <c r="Y3416" s="124"/>
    </row>
    <row r="3417" spans="2:25" x14ac:dyDescent="0.25">
      <c r="B3417" s="124"/>
      <c r="C3417" s="124"/>
      <c r="D3417" s="124"/>
      <c r="E3417" s="124"/>
      <c r="F3417" s="124"/>
      <c r="G3417" s="124"/>
      <c r="H3417" s="124"/>
      <c r="I3417" s="124"/>
      <c r="J3417" s="124"/>
      <c r="K3417" s="124"/>
      <c r="L3417" s="124"/>
      <c r="M3417" s="124"/>
      <c r="N3417" s="124"/>
      <c r="O3417" s="124"/>
      <c r="P3417" s="124"/>
      <c r="Q3417" s="124"/>
      <c r="R3417" s="124"/>
      <c r="S3417" s="124"/>
      <c r="T3417" s="124"/>
      <c r="U3417" s="124"/>
      <c r="V3417" s="124"/>
      <c r="W3417" s="124"/>
      <c r="X3417" s="124"/>
      <c r="Y3417" s="124"/>
    </row>
    <row r="3418" spans="2:25" x14ac:dyDescent="0.25">
      <c r="B3418" s="124"/>
      <c r="C3418" s="124"/>
      <c r="D3418" s="124"/>
      <c r="E3418" s="124"/>
      <c r="F3418" s="124"/>
      <c r="G3418" s="124"/>
      <c r="H3418" s="124"/>
      <c r="I3418" s="124"/>
      <c r="J3418" s="124"/>
      <c r="K3418" s="124"/>
      <c r="L3418" s="124"/>
      <c r="M3418" s="124"/>
      <c r="N3418" s="124"/>
      <c r="O3418" s="124"/>
      <c r="P3418" s="124"/>
      <c r="Q3418" s="124"/>
      <c r="R3418" s="124"/>
      <c r="S3418" s="124"/>
      <c r="T3418" s="124"/>
      <c r="U3418" s="124"/>
      <c r="V3418" s="124"/>
      <c r="W3418" s="124"/>
      <c r="X3418" s="124"/>
      <c r="Y3418" s="124"/>
    </row>
    <row r="3419" spans="2:25" x14ac:dyDescent="0.25">
      <c r="B3419" s="124"/>
      <c r="C3419" s="124"/>
      <c r="D3419" s="124"/>
      <c r="E3419" s="124"/>
      <c r="F3419" s="124"/>
      <c r="G3419" s="124"/>
      <c r="H3419" s="124"/>
      <c r="I3419" s="124"/>
      <c r="J3419" s="124"/>
      <c r="K3419" s="124"/>
      <c r="L3419" s="124"/>
      <c r="M3419" s="124"/>
      <c r="N3419" s="124"/>
      <c r="O3419" s="124"/>
      <c r="P3419" s="124"/>
      <c r="Q3419" s="124"/>
      <c r="R3419" s="124"/>
      <c r="S3419" s="124"/>
      <c r="T3419" s="124"/>
      <c r="U3419" s="124"/>
      <c r="V3419" s="124"/>
      <c r="W3419" s="124"/>
      <c r="X3419" s="124"/>
      <c r="Y3419" s="124"/>
    </row>
    <row r="3420" spans="2:25" x14ac:dyDescent="0.25">
      <c r="B3420" s="124"/>
      <c r="C3420" s="124"/>
      <c r="D3420" s="124"/>
      <c r="E3420" s="124"/>
      <c r="F3420" s="124"/>
      <c r="G3420" s="124"/>
      <c r="H3420" s="124"/>
      <c r="I3420" s="124"/>
      <c r="J3420" s="124"/>
      <c r="K3420" s="124"/>
      <c r="L3420" s="124"/>
      <c r="M3420" s="124"/>
      <c r="N3420" s="124"/>
      <c r="O3420" s="124"/>
      <c r="P3420" s="124"/>
      <c r="Q3420" s="124"/>
      <c r="R3420" s="124"/>
      <c r="S3420" s="124"/>
      <c r="T3420" s="124"/>
      <c r="U3420" s="124"/>
      <c r="V3420" s="124"/>
      <c r="W3420" s="124"/>
      <c r="X3420" s="124"/>
      <c r="Y3420" s="124"/>
    </row>
    <row r="3421" spans="2:25" x14ac:dyDescent="0.25">
      <c r="B3421" s="124"/>
      <c r="C3421" s="124"/>
      <c r="D3421" s="124"/>
      <c r="E3421" s="124"/>
      <c r="F3421" s="124"/>
      <c r="G3421" s="124"/>
      <c r="H3421" s="124"/>
      <c r="I3421" s="124"/>
      <c r="J3421" s="124"/>
      <c r="K3421" s="124"/>
      <c r="L3421" s="124"/>
      <c r="M3421" s="124"/>
      <c r="N3421" s="124"/>
      <c r="O3421" s="124"/>
      <c r="P3421" s="124"/>
      <c r="Q3421" s="124"/>
      <c r="R3421" s="124"/>
      <c r="S3421" s="124"/>
      <c r="T3421" s="124"/>
      <c r="U3421" s="124"/>
      <c r="V3421" s="124"/>
      <c r="W3421" s="124"/>
      <c r="X3421" s="124"/>
      <c r="Y3421" s="124"/>
    </row>
    <row r="3422" spans="2:25" x14ac:dyDescent="0.25">
      <c r="B3422" s="124"/>
      <c r="C3422" s="124"/>
      <c r="D3422" s="124"/>
      <c r="E3422" s="124"/>
      <c r="F3422" s="124"/>
      <c r="G3422" s="124"/>
      <c r="H3422" s="124"/>
      <c r="I3422" s="124"/>
      <c r="J3422" s="124"/>
      <c r="K3422" s="124"/>
      <c r="L3422" s="124"/>
      <c r="M3422" s="124"/>
      <c r="N3422" s="124"/>
      <c r="O3422" s="124"/>
      <c r="P3422" s="124"/>
      <c r="Q3422" s="124"/>
      <c r="R3422" s="124"/>
      <c r="S3422" s="124"/>
      <c r="T3422" s="124"/>
      <c r="U3422" s="124"/>
      <c r="V3422" s="124"/>
      <c r="W3422" s="124"/>
      <c r="X3422" s="124"/>
      <c r="Y3422" s="124"/>
    </row>
    <row r="3423" spans="2:25" x14ac:dyDescent="0.25">
      <c r="B3423" s="124"/>
      <c r="C3423" s="124"/>
      <c r="D3423" s="124"/>
      <c r="E3423" s="124"/>
      <c r="F3423" s="124"/>
      <c r="G3423" s="124"/>
      <c r="H3423" s="124"/>
      <c r="I3423" s="124"/>
      <c r="J3423" s="124"/>
      <c r="K3423" s="124"/>
      <c r="L3423" s="124"/>
      <c r="M3423" s="124"/>
      <c r="N3423" s="124"/>
      <c r="O3423" s="124"/>
      <c r="P3423" s="124"/>
      <c r="Q3423" s="124"/>
      <c r="R3423" s="124"/>
      <c r="S3423" s="124"/>
      <c r="T3423" s="124"/>
      <c r="U3423" s="124"/>
      <c r="V3423" s="124"/>
      <c r="W3423" s="124"/>
      <c r="X3423" s="124"/>
      <c r="Y3423" s="124"/>
    </row>
    <row r="3424" spans="2:25" x14ac:dyDescent="0.25">
      <c r="B3424" s="124"/>
      <c r="C3424" s="124"/>
      <c r="D3424" s="124"/>
      <c r="E3424" s="124"/>
      <c r="F3424" s="124"/>
      <c r="G3424" s="124"/>
      <c r="H3424" s="124"/>
      <c r="I3424" s="124"/>
      <c r="J3424" s="124"/>
      <c r="K3424" s="124"/>
      <c r="L3424" s="124"/>
      <c r="M3424" s="124"/>
      <c r="N3424" s="124"/>
      <c r="O3424" s="124"/>
      <c r="P3424" s="124"/>
      <c r="Q3424" s="124"/>
      <c r="R3424" s="124"/>
      <c r="S3424" s="124"/>
      <c r="T3424" s="124"/>
      <c r="U3424" s="124"/>
      <c r="V3424" s="124"/>
      <c r="W3424" s="124"/>
      <c r="X3424" s="124"/>
      <c r="Y3424" s="124"/>
    </row>
    <row r="3425" spans="2:25" x14ac:dyDescent="0.25">
      <c r="B3425" s="124"/>
      <c r="C3425" s="124"/>
      <c r="D3425" s="124"/>
      <c r="E3425" s="124"/>
      <c r="F3425" s="124"/>
      <c r="G3425" s="124"/>
      <c r="H3425" s="124"/>
      <c r="I3425" s="124"/>
      <c r="J3425" s="124"/>
      <c r="K3425" s="124"/>
      <c r="L3425" s="124"/>
      <c r="M3425" s="124"/>
      <c r="N3425" s="124"/>
      <c r="O3425" s="124"/>
      <c r="P3425" s="124"/>
      <c r="Q3425" s="124"/>
      <c r="R3425" s="124"/>
      <c r="S3425" s="124"/>
      <c r="T3425" s="124"/>
      <c r="U3425" s="124"/>
      <c r="V3425" s="124"/>
      <c r="W3425" s="124"/>
      <c r="X3425" s="124"/>
      <c r="Y3425" s="124"/>
    </row>
    <row r="3426" spans="2:25" x14ac:dyDescent="0.25">
      <c r="B3426" s="124"/>
      <c r="C3426" s="124"/>
      <c r="D3426" s="124"/>
      <c r="E3426" s="124"/>
      <c r="F3426" s="124"/>
      <c r="G3426" s="124"/>
      <c r="H3426" s="124"/>
      <c r="I3426" s="124"/>
      <c r="J3426" s="124"/>
      <c r="K3426" s="124"/>
      <c r="L3426" s="124"/>
      <c r="M3426" s="124"/>
      <c r="N3426" s="124"/>
      <c r="O3426" s="124"/>
      <c r="P3426" s="124"/>
      <c r="Q3426" s="124"/>
      <c r="R3426" s="124"/>
      <c r="S3426" s="124"/>
      <c r="T3426" s="124"/>
      <c r="U3426" s="124"/>
      <c r="V3426" s="124"/>
      <c r="W3426" s="124"/>
      <c r="X3426" s="124"/>
      <c r="Y3426" s="124"/>
    </row>
    <row r="3427" spans="2:25" x14ac:dyDescent="0.25">
      <c r="B3427" s="124"/>
      <c r="C3427" s="124"/>
      <c r="D3427" s="124"/>
      <c r="E3427" s="124"/>
      <c r="F3427" s="124"/>
      <c r="G3427" s="124"/>
      <c r="H3427" s="124"/>
      <c r="I3427" s="124"/>
      <c r="J3427" s="124"/>
      <c r="K3427" s="124"/>
      <c r="L3427" s="124"/>
      <c r="M3427" s="124"/>
      <c r="N3427" s="124"/>
      <c r="O3427" s="124"/>
      <c r="P3427" s="124"/>
      <c r="Q3427" s="124"/>
      <c r="R3427" s="124"/>
      <c r="S3427" s="124"/>
      <c r="T3427" s="124"/>
      <c r="U3427" s="124"/>
      <c r="V3427" s="124"/>
      <c r="W3427" s="124"/>
      <c r="X3427" s="124"/>
      <c r="Y3427" s="124"/>
    </row>
    <row r="3428" spans="2:25" x14ac:dyDescent="0.25">
      <c r="B3428" s="124"/>
      <c r="C3428" s="124"/>
      <c r="D3428" s="124"/>
      <c r="E3428" s="124"/>
      <c r="F3428" s="124"/>
      <c r="G3428" s="124"/>
      <c r="H3428" s="124"/>
      <c r="I3428" s="124"/>
      <c r="J3428" s="124"/>
      <c r="K3428" s="124"/>
      <c r="L3428" s="124"/>
      <c r="M3428" s="124"/>
      <c r="N3428" s="124"/>
      <c r="O3428" s="124"/>
      <c r="P3428" s="124"/>
      <c r="Q3428" s="124"/>
      <c r="R3428" s="124"/>
      <c r="S3428" s="124"/>
      <c r="T3428" s="124"/>
      <c r="U3428" s="124"/>
      <c r="V3428" s="124"/>
      <c r="W3428" s="124"/>
      <c r="X3428" s="124"/>
      <c r="Y3428" s="124"/>
    </row>
    <row r="3429" spans="2:25" x14ac:dyDescent="0.25">
      <c r="B3429" s="124"/>
      <c r="C3429" s="124"/>
      <c r="D3429" s="124"/>
      <c r="E3429" s="124"/>
      <c r="F3429" s="124"/>
      <c r="G3429" s="124"/>
      <c r="H3429" s="124"/>
      <c r="I3429" s="124"/>
      <c r="J3429" s="124"/>
      <c r="K3429" s="124"/>
      <c r="L3429" s="124"/>
      <c r="M3429" s="124"/>
      <c r="N3429" s="124"/>
      <c r="O3429" s="124"/>
      <c r="P3429" s="124"/>
      <c r="Q3429" s="124"/>
      <c r="R3429" s="124"/>
      <c r="S3429" s="124"/>
      <c r="T3429" s="124"/>
      <c r="U3429" s="124"/>
      <c r="V3429" s="124"/>
      <c r="W3429" s="124"/>
      <c r="X3429" s="124"/>
      <c r="Y3429" s="124"/>
    </row>
    <row r="3430" spans="2:25" x14ac:dyDescent="0.25">
      <c r="B3430" s="124"/>
      <c r="C3430" s="124"/>
      <c r="D3430" s="124"/>
      <c r="E3430" s="124"/>
      <c r="F3430" s="124"/>
      <c r="G3430" s="124"/>
      <c r="H3430" s="124"/>
      <c r="I3430" s="124"/>
      <c r="J3430" s="124"/>
      <c r="K3430" s="124"/>
      <c r="L3430" s="124"/>
      <c r="M3430" s="124"/>
      <c r="N3430" s="124"/>
      <c r="O3430" s="124"/>
      <c r="P3430" s="124"/>
      <c r="Q3430" s="124"/>
      <c r="R3430" s="124"/>
      <c r="S3430" s="124"/>
      <c r="T3430" s="124"/>
      <c r="U3430" s="124"/>
      <c r="V3430" s="124"/>
      <c r="W3430" s="124"/>
      <c r="X3430" s="124"/>
      <c r="Y3430" s="124"/>
    </row>
    <row r="3431" spans="2:25" x14ac:dyDescent="0.25">
      <c r="B3431" s="124"/>
      <c r="C3431" s="124"/>
      <c r="D3431" s="124"/>
      <c r="E3431" s="124"/>
      <c r="F3431" s="124"/>
      <c r="G3431" s="124"/>
      <c r="H3431" s="124"/>
      <c r="I3431" s="124"/>
      <c r="J3431" s="124"/>
      <c r="K3431" s="124"/>
      <c r="L3431" s="124"/>
      <c r="M3431" s="124"/>
      <c r="N3431" s="124"/>
      <c r="O3431" s="124"/>
      <c r="P3431" s="124"/>
      <c r="Q3431" s="124"/>
      <c r="R3431" s="124"/>
      <c r="S3431" s="124"/>
      <c r="T3431" s="124"/>
      <c r="U3431" s="124"/>
      <c r="V3431" s="124"/>
      <c r="W3431" s="124"/>
      <c r="X3431" s="124"/>
      <c r="Y3431" s="124"/>
    </row>
    <row r="3432" spans="2:25" x14ac:dyDescent="0.25">
      <c r="B3432" s="124"/>
      <c r="C3432" s="124"/>
      <c r="D3432" s="124"/>
      <c r="E3432" s="124"/>
      <c r="F3432" s="124"/>
      <c r="G3432" s="124"/>
      <c r="H3432" s="124"/>
      <c r="I3432" s="124"/>
      <c r="J3432" s="124"/>
      <c r="K3432" s="124"/>
      <c r="L3432" s="124"/>
      <c r="M3432" s="124"/>
      <c r="N3432" s="124"/>
      <c r="O3432" s="124"/>
      <c r="P3432" s="124"/>
      <c r="Q3432" s="124"/>
      <c r="R3432" s="124"/>
      <c r="S3432" s="124"/>
      <c r="T3432" s="124"/>
      <c r="U3432" s="124"/>
      <c r="V3432" s="124"/>
      <c r="W3432" s="124"/>
      <c r="X3432" s="124"/>
      <c r="Y3432" s="124"/>
    </row>
    <row r="3433" spans="2:25" x14ac:dyDescent="0.25">
      <c r="B3433" s="124"/>
      <c r="C3433" s="124"/>
      <c r="D3433" s="124"/>
      <c r="E3433" s="124"/>
      <c r="F3433" s="124"/>
      <c r="G3433" s="124"/>
      <c r="H3433" s="124"/>
      <c r="I3433" s="124"/>
      <c r="J3433" s="124"/>
      <c r="K3433" s="124"/>
      <c r="L3433" s="124"/>
      <c r="M3433" s="124"/>
      <c r="N3433" s="124"/>
      <c r="O3433" s="124"/>
      <c r="P3433" s="124"/>
      <c r="Q3433" s="124"/>
      <c r="R3433" s="124"/>
      <c r="S3433" s="124"/>
      <c r="T3433" s="124"/>
      <c r="U3433" s="124"/>
      <c r="V3433" s="124"/>
      <c r="W3433" s="124"/>
      <c r="X3433" s="124"/>
      <c r="Y3433" s="124"/>
    </row>
    <row r="3434" spans="2:25" x14ac:dyDescent="0.25">
      <c r="B3434" s="124"/>
      <c r="C3434" s="124"/>
      <c r="D3434" s="124"/>
      <c r="E3434" s="124"/>
      <c r="F3434" s="124"/>
      <c r="G3434" s="124"/>
      <c r="H3434" s="124"/>
      <c r="I3434" s="124"/>
      <c r="J3434" s="124"/>
      <c r="K3434" s="124"/>
      <c r="L3434" s="124"/>
      <c r="M3434" s="124"/>
      <c r="N3434" s="124"/>
      <c r="O3434" s="124"/>
      <c r="P3434" s="124"/>
      <c r="Q3434" s="124"/>
      <c r="R3434" s="124"/>
      <c r="S3434" s="124"/>
      <c r="T3434" s="124"/>
      <c r="U3434" s="124"/>
      <c r="V3434" s="124"/>
      <c r="W3434" s="124"/>
      <c r="X3434" s="124"/>
      <c r="Y3434" s="124"/>
    </row>
    <row r="3435" spans="2:25" x14ac:dyDescent="0.25">
      <c r="B3435" s="124"/>
      <c r="C3435" s="124"/>
      <c r="D3435" s="124"/>
      <c r="E3435" s="124"/>
      <c r="F3435" s="124"/>
      <c r="G3435" s="124"/>
      <c r="H3435" s="124"/>
      <c r="I3435" s="124"/>
      <c r="J3435" s="124"/>
      <c r="K3435" s="124"/>
      <c r="L3435" s="124"/>
      <c r="M3435" s="124"/>
      <c r="N3435" s="124"/>
      <c r="O3435" s="124"/>
      <c r="P3435" s="124"/>
      <c r="Q3435" s="124"/>
      <c r="R3435" s="124"/>
      <c r="S3435" s="124"/>
      <c r="T3435" s="124"/>
      <c r="U3435" s="124"/>
      <c r="V3435" s="124"/>
      <c r="W3435" s="124"/>
      <c r="X3435" s="124"/>
      <c r="Y3435" s="124"/>
    </row>
    <row r="3436" spans="2:25" x14ac:dyDescent="0.25">
      <c r="B3436" s="124"/>
      <c r="C3436" s="124"/>
      <c r="D3436" s="124"/>
      <c r="E3436" s="124"/>
      <c r="F3436" s="124"/>
      <c r="G3436" s="124"/>
      <c r="H3436" s="124"/>
      <c r="I3436" s="124"/>
      <c r="J3436" s="124"/>
      <c r="K3436" s="124"/>
      <c r="L3436" s="124"/>
      <c r="M3436" s="124"/>
      <c r="N3436" s="124"/>
      <c r="O3436" s="124"/>
      <c r="P3436" s="124"/>
      <c r="Q3436" s="124"/>
      <c r="R3436" s="124"/>
      <c r="S3436" s="124"/>
      <c r="T3436" s="124"/>
      <c r="U3436" s="124"/>
      <c r="V3436" s="124"/>
      <c r="W3436" s="124"/>
      <c r="X3436" s="124"/>
      <c r="Y3436" s="124"/>
    </row>
    <row r="3437" spans="2:25" x14ac:dyDescent="0.25">
      <c r="B3437" s="124"/>
      <c r="C3437" s="124"/>
      <c r="D3437" s="124"/>
      <c r="E3437" s="124"/>
      <c r="F3437" s="124"/>
      <c r="G3437" s="124"/>
      <c r="H3437" s="124"/>
      <c r="I3437" s="124"/>
      <c r="J3437" s="124"/>
      <c r="K3437" s="124"/>
      <c r="L3437" s="124"/>
      <c r="M3437" s="124"/>
      <c r="N3437" s="124"/>
      <c r="O3437" s="124"/>
      <c r="P3437" s="124"/>
      <c r="Q3437" s="124"/>
      <c r="R3437" s="124"/>
      <c r="S3437" s="124"/>
      <c r="T3437" s="124"/>
      <c r="U3437" s="124"/>
      <c r="V3437" s="124"/>
      <c r="W3437" s="124"/>
      <c r="X3437" s="124"/>
      <c r="Y3437" s="124"/>
    </row>
    <row r="3438" spans="2:25" x14ac:dyDescent="0.25">
      <c r="B3438" s="124"/>
      <c r="C3438" s="124"/>
      <c r="D3438" s="124"/>
      <c r="E3438" s="124"/>
      <c r="F3438" s="124"/>
      <c r="G3438" s="124"/>
      <c r="H3438" s="124"/>
      <c r="I3438" s="124"/>
      <c r="J3438" s="124"/>
      <c r="K3438" s="124"/>
      <c r="L3438" s="124"/>
      <c r="M3438" s="124"/>
      <c r="N3438" s="124"/>
      <c r="O3438" s="124"/>
      <c r="P3438" s="124"/>
      <c r="Q3438" s="124"/>
      <c r="R3438" s="124"/>
      <c r="S3438" s="124"/>
      <c r="T3438" s="124"/>
      <c r="U3438" s="124"/>
      <c r="V3438" s="124"/>
      <c r="W3438" s="124"/>
      <c r="X3438" s="124"/>
      <c r="Y3438" s="124"/>
    </row>
    <row r="3439" spans="2:25" x14ac:dyDescent="0.25">
      <c r="B3439" s="124"/>
      <c r="C3439" s="124"/>
      <c r="D3439" s="124"/>
      <c r="E3439" s="124"/>
      <c r="F3439" s="124"/>
      <c r="G3439" s="124"/>
      <c r="H3439" s="124"/>
      <c r="I3439" s="124"/>
      <c r="J3439" s="124"/>
      <c r="K3439" s="124"/>
      <c r="L3439" s="124"/>
      <c r="M3439" s="124"/>
      <c r="N3439" s="124"/>
      <c r="O3439" s="124"/>
      <c r="P3439" s="124"/>
      <c r="Q3439" s="124"/>
      <c r="R3439" s="124"/>
      <c r="S3439" s="124"/>
      <c r="T3439" s="124"/>
      <c r="U3439" s="124"/>
      <c r="V3439" s="124"/>
      <c r="W3439" s="124"/>
      <c r="X3439" s="124"/>
      <c r="Y3439" s="124"/>
    </row>
    <row r="3440" spans="2:25" x14ac:dyDescent="0.25">
      <c r="B3440" s="124"/>
      <c r="C3440" s="124"/>
      <c r="D3440" s="124"/>
      <c r="E3440" s="124"/>
      <c r="F3440" s="124"/>
      <c r="G3440" s="124"/>
      <c r="H3440" s="124"/>
      <c r="I3440" s="124"/>
      <c r="J3440" s="124"/>
      <c r="K3440" s="124"/>
      <c r="L3440" s="124"/>
      <c r="M3440" s="124"/>
      <c r="N3440" s="124"/>
      <c r="O3440" s="124"/>
      <c r="P3440" s="124"/>
      <c r="Q3440" s="124"/>
      <c r="R3440" s="124"/>
      <c r="S3440" s="124"/>
      <c r="T3440" s="124"/>
      <c r="U3440" s="124"/>
      <c r="V3440" s="124"/>
      <c r="W3440" s="124"/>
      <c r="X3440" s="124"/>
      <c r="Y3440" s="124"/>
    </row>
    <row r="3441" spans="2:25" x14ac:dyDescent="0.25">
      <c r="B3441" s="124"/>
      <c r="C3441" s="124"/>
      <c r="D3441" s="124"/>
      <c r="E3441" s="124"/>
      <c r="F3441" s="124"/>
      <c r="G3441" s="124"/>
      <c r="H3441" s="124"/>
      <c r="I3441" s="124"/>
      <c r="J3441" s="124"/>
      <c r="K3441" s="124"/>
      <c r="L3441" s="124"/>
      <c r="M3441" s="124"/>
      <c r="N3441" s="124"/>
      <c r="O3441" s="124"/>
      <c r="P3441" s="124"/>
      <c r="Q3441" s="124"/>
      <c r="R3441" s="124"/>
      <c r="S3441" s="124"/>
      <c r="T3441" s="124"/>
      <c r="U3441" s="124"/>
      <c r="V3441" s="124"/>
      <c r="W3441" s="124"/>
      <c r="X3441" s="124"/>
      <c r="Y3441" s="124"/>
    </row>
    <row r="3442" spans="2:25" x14ac:dyDescent="0.25">
      <c r="B3442" s="124"/>
      <c r="C3442" s="124"/>
      <c r="D3442" s="124"/>
      <c r="E3442" s="124"/>
      <c r="F3442" s="124"/>
      <c r="G3442" s="124"/>
      <c r="H3442" s="124"/>
      <c r="I3442" s="124"/>
      <c r="J3442" s="124"/>
      <c r="K3442" s="124"/>
      <c r="L3442" s="124"/>
      <c r="M3442" s="124"/>
      <c r="N3442" s="124"/>
      <c r="O3442" s="124"/>
      <c r="P3442" s="124"/>
      <c r="Q3442" s="124"/>
      <c r="R3442" s="124"/>
      <c r="S3442" s="124"/>
      <c r="T3442" s="124"/>
      <c r="U3442" s="124"/>
      <c r="V3442" s="124"/>
      <c r="W3442" s="124"/>
      <c r="X3442" s="124"/>
      <c r="Y3442" s="124"/>
    </row>
    <row r="3443" spans="2:25" x14ac:dyDescent="0.25">
      <c r="B3443" s="124"/>
      <c r="C3443" s="124"/>
      <c r="D3443" s="124"/>
      <c r="E3443" s="124"/>
      <c r="F3443" s="124"/>
      <c r="G3443" s="124"/>
      <c r="H3443" s="124"/>
      <c r="I3443" s="124"/>
      <c r="J3443" s="124"/>
      <c r="K3443" s="124"/>
      <c r="L3443" s="124"/>
      <c r="M3443" s="124"/>
      <c r="N3443" s="124"/>
      <c r="O3443" s="124"/>
      <c r="P3443" s="124"/>
      <c r="Q3443" s="124"/>
      <c r="R3443" s="124"/>
      <c r="S3443" s="124"/>
      <c r="T3443" s="124"/>
      <c r="U3443" s="124"/>
      <c r="V3443" s="124"/>
      <c r="W3443" s="124"/>
      <c r="X3443" s="124"/>
      <c r="Y3443" s="124"/>
    </row>
    <row r="3444" spans="2:25" x14ac:dyDescent="0.25">
      <c r="B3444" s="124"/>
      <c r="C3444" s="124"/>
      <c r="D3444" s="124"/>
      <c r="E3444" s="124"/>
      <c r="F3444" s="124"/>
      <c r="G3444" s="124"/>
      <c r="H3444" s="124"/>
      <c r="I3444" s="124"/>
      <c r="J3444" s="124"/>
      <c r="K3444" s="124"/>
      <c r="L3444" s="124"/>
      <c r="M3444" s="124"/>
      <c r="N3444" s="124"/>
      <c r="O3444" s="124"/>
      <c r="P3444" s="124"/>
      <c r="Q3444" s="124"/>
      <c r="R3444" s="124"/>
      <c r="S3444" s="124"/>
      <c r="T3444" s="124"/>
      <c r="U3444" s="124"/>
      <c r="V3444" s="124"/>
      <c r="W3444" s="124"/>
      <c r="X3444" s="124"/>
      <c r="Y3444" s="124"/>
    </row>
    <row r="3445" spans="2:25" x14ac:dyDescent="0.25">
      <c r="B3445" s="124"/>
      <c r="C3445" s="124"/>
      <c r="D3445" s="124"/>
      <c r="E3445" s="124"/>
      <c r="F3445" s="124"/>
      <c r="G3445" s="124"/>
      <c r="H3445" s="124"/>
      <c r="I3445" s="124"/>
      <c r="J3445" s="124"/>
      <c r="K3445" s="124"/>
      <c r="L3445" s="124"/>
      <c r="M3445" s="124"/>
      <c r="N3445" s="124"/>
      <c r="O3445" s="124"/>
      <c r="P3445" s="124"/>
      <c r="Q3445" s="124"/>
      <c r="R3445" s="124"/>
      <c r="S3445" s="124"/>
      <c r="T3445" s="124"/>
      <c r="U3445" s="124"/>
      <c r="V3445" s="124"/>
      <c r="W3445" s="124"/>
      <c r="X3445" s="124"/>
      <c r="Y3445" s="124"/>
    </row>
    <row r="3446" spans="2:25" x14ac:dyDescent="0.25">
      <c r="B3446" s="124"/>
      <c r="C3446" s="124"/>
      <c r="D3446" s="124"/>
      <c r="E3446" s="124"/>
      <c r="F3446" s="124"/>
      <c r="G3446" s="124"/>
      <c r="H3446" s="124"/>
      <c r="I3446" s="124"/>
      <c r="J3446" s="124"/>
      <c r="K3446" s="124"/>
      <c r="L3446" s="124"/>
      <c r="M3446" s="124"/>
      <c r="N3446" s="124"/>
      <c r="O3446" s="124"/>
      <c r="P3446" s="124"/>
      <c r="Q3446" s="124"/>
      <c r="R3446" s="124"/>
      <c r="S3446" s="124"/>
      <c r="T3446" s="124"/>
      <c r="U3446" s="124"/>
      <c r="V3446" s="124"/>
      <c r="W3446" s="124"/>
      <c r="X3446" s="124"/>
      <c r="Y3446" s="124"/>
    </row>
    <row r="3447" spans="2:25" x14ac:dyDescent="0.25">
      <c r="B3447" s="124"/>
      <c r="C3447" s="124"/>
      <c r="D3447" s="124"/>
      <c r="E3447" s="124"/>
      <c r="F3447" s="124"/>
      <c r="G3447" s="124"/>
      <c r="H3447" s="124"/>
      <c r="I3447" s="124"/>
      <c r="J3447" s="124"/>
      <c r="K3447" s="124"/>
      <c r="L3447" s="124"/>
      <c r="M3447" s="124"/>
      <c r="N3447" s="124"/>
      <c r="O3447" s="124"/>
      <c r="P3447" s="124"/>
      <c r="Q3447" s="124"/>
      <c r="R3447" s="124"/>
      <c r="S3447" s="124"/>
      <c r="T3447" s="124"/>
      <c r="U3447" s="124"/>
      <c r="V3447" s="124"/>
      <c r="W3447" s="124"/>
      <c r="X3447" s="124"/>
      <c r="Y3447" s="124"/>
    </row>
    <row r="3448" spans="2:25" x14ac:dyDescent="0.25">
      <c r="B3448" s="124"/>
      <c r="C3448" s="124"/>
      <c r="D3448" s="124"/>
      <c r="E3448" s="124"/>
      <c r="F3448" s="124"/>
      <c r="G3448" s="124"/>
      <c r="H3448" s="124"/>
      <c r="I3448" s="124"/>
      <c r="J3448" s="124"/>
      <c r="K3448" s="124"/>
      <c r="L3448" s="124"/>
      <c r="M3448" s="124"/>
      <c r="N3448" s="124"/>
      <c r="O3448" s="124"/>
      <c r="P3448" s="124"/>
      <c r="Q3448" s="124"/>
      <c r="R3448" s="124"/>
      <c r="S3448" s="124"/>
      <c r="T3448" s="124"/>
      <c r="U3448" s="124"/>
      <c r="V3448" s="124"/>
      <c r="W3448" s="124"/>
      <c r="X3448" s="124"/>
      <c r="Y3448" s="124"/>
    </row>
    <row r="3449" spans="2:25" x14ac:dyDescent="0.25">
      <c r="B3449" s="124"/>
      <c r="C3449" s="124"/>
      <c r="D3449" s="124"/>
      <c r="E3449" s="124"/>
      <c r="F3449" s="124"/>
      <c r="G3449" s="124"/>
      <c r="H3449" s="124"/>
      <c r="I3449" s="124"/>
      <c r="J3449" s="124"/>
      <c r="K3449" s="124"/>
      <c r="L3449" s="124"/>
      <c r="M3449" s="124"/>
      <c r="N3449" s="124"/>
      <c r="O3449" s="124"/>
      <c r="P3449" s="124"/>
      <c r="Q3449" s="124"/>
      <c r="R3449" s="124"/>
      <c r="S3449" s="124"/>
      <c r="T3449" s="124"/>
      <c r="U3449" s="124"/>
      <c r="V3449" s="124"/>
      <c r="W3449" s="124"/>
      <c r="X3449" s="124"/>
      <c r="Y3449" s="124"/>
    </row>
    <row r="3450" spans="2:25" x14ac:dyDescent="0.25">
      <c r="B3450" s="124"/>
      <c r="C3450" s="124"/>
      <c r="D3450" s="124"/>
      <c r="E3450" s="124"/>
      <c r="F3450" s="124"/>
      <c r="G3450" s="124"/>
      <c r="H3450" s="124"/>
      <c r="I3450" s="124"/>
      <c r="J3450" s="124"/>
      <c r="K3450" s="124"/>
      <c r="L3450" s="124"/>
      <c r="M3450" s="124"/>
      <c r="N3450" s="124"/>
      <c r="O3450" s="124"/>
      <c r="P3450" s="124"/>
      <c r="Q3450" s="124"/>
      <c r="R3450" s="124"/>
      <c r="S3450" s="124"/>
      <c r="T3450" s="124"/>
      <c r="U3450" s="124"/>
      <c r="V3450" s="124"/>
      <c r="W3450" s="124"/>
      <c r="X3450" s="124"/>
      <c r="Y3450" s="124"/>
    </row>
    <row r="3451" spans="2:25" x14ac:dyDescent="0.25">
      <c r="B3451" s="124"/>
      <c r="C3451" s="124"/>
      <c r="D3451" s="124"/>
      <c r="E3451" s="124"/>
      <c r="F3451" s="124"/>
      <c r="G3451" s="124"/>
      <c r="H3451" s="124"/>
      <c r="I3451" s="124"/>
      <c r="J3451" s="124"/>
      <c r="K3451" s="124"/>
      <c r="L3451" s="124"/>
      <c r="M3451" s="124"/>
      <c r="N3451" s="124"/>
      <c r="O3451" s="124"/>
      <c r="P3451" s="124"/>
      <c r="Q3451" s="124"/>
      <c r="R3451" s="124"/>
      <c r="S3451" s="124"/>
      <c r="T3451" s="124"/>
      <c r="U3451" s="124"/>
      <c r="V3451" s="124"/>
      <c r="W3451" s="124"/>
      <c r="X3451" s="124"/>
      <c r="Y3451" s="124"/>
    </row>
    <row r="3452" spans="2:25" x14ac:dyDescent="0.25">
      <c r="B3452" s="124"/>
      <c r="C3452" s="124"/>
      <c r="D3452" s="124"/>
      <c r="E3452" s="124"/>
      <c r="F3452" s="124"/>
      <c r="G3452" s="124"/>
      <c r="H3452" s="124"/>
      <c r="I3452" s="124"/>
      <c r="J3452" s="124"/>
      <c r="K3452" s="124"/>
      <c r="L3452" s="124"/>
      <c r="M3452" s="124"/>
      <c r="N3452" s="124"/>
      <c r="O3452" s="124"/>
      <c r="P3452" s="124"/>
      <c r="Q3452" s="124"/>
      <c r="R3452" s="124"/>
      <c r="S3452" s="124"/>
      <c r="T3452" s="124"/>
      <c r="U3452" s="124"/>
      <c r="V3452" s="124"/>
      <c r="W3452" s="124"/>
      <c r="X3452" s="124"/>
      <c r="Y3452" s="124"/>
    </row>
    <row r="3453" spans="2:25" x14ac:dyDescent="0.25">
      <c r="B3453" s="124"/>
      <c r="C3453" s="124"/>
      <c r="D3453" s="124"/>
      <c r="E3453" s="124"/>
      <c r="F3453" s="124"/>
      <c r="G3453" s="124"/>
      <c r="H3453" s="124"/>
      <c r="I3453" s="124"/>
      <c r="J3453" s="124"/>
      <c r="K3453" s="124"/>
      <c r="L3453" s="124"/>
      <c r="M3453" s="124"/>
      <c r="N3453" s="124"/>
      <c r="O3453" s="124"/>
      <c r="P3453" s="124"/>
      <c r="Q3453" s="124"/>
      <c r="R3453" s="124"/>
      <c r="S3453" s="124"/>
      <c r="T3453" s="124"/>
      <c r="U3453" s="124"/>
      <c r="V3453" s="124"/>
      <c r="W3453" s="124"/>
      <c r="X3453" s="124"/>
      <c r="Y3453" s="124"/>
    </row>
    <row r="3454" spans="2:25" x14ac:dyDescent="0.25">
      <c r="B3454" s="124"/>
      <c r="C3454" s="124"/>
      <c r="D3454" s="124"/>
      <c r="E3454" s="124"/>
      <c r="F3454" s="124"/>
      <c r="G3454" s="124"/>
      <c r="H3454" s="124"/>
      <c r="I3454" s="124"/>
      <c r="J3454" s="124"/>
      <c r="K3454" s="124"/>
      <c r="L3454" s="124"/>
      <c r="M3454" s="124"/>
      <c r="N3454" s="124"/>
      <c r="O3454" s="124"/>
      <c r="P3454" s="124"/>
      <c r="Q3454" s="124"/>
      <c r="R3454" s="124"/>
      <c r="S3454" s="124"/>
      <c r="T3454" s="124"/>
      <c r="U3454" s="124"/>
      <c r="V3454" s="124"/>
      <c r="W3454" s="124"/>
      <c r="X3454" s="124"/>
      <c r="Y3454" s="124"/>
    </row>
    <row r="3455" spans="2:25" x14ac:dyDescent="0.25">
      <c r="B3455" s="124"/>
      <c r="C3455" s="124"/>
      <c r="D3455" s="124"/>
      <c r="E3455" s="124"/>
      <c r="F3455" s="124"/>
      <c r="G3455" s="124"/>
      <c r="H3455" s="124"/>
      <c r="I3455" s="124"/>
      <c r="J3455" s="124"/>
      <c r="K3455" s="124"/>
      <c r="L3455" s="124"/>
      <c r="M3455" s="124"/>
      <c r="N3455" s="124"/>
      <c r="O3455" s="124"/>
      <c r="P3455" s="124"/>
      <c r="Q3455" s="124"/>
      <c r="R3455" s="124"/>
      <c r="S3455" s="124"/>
      <c r="T3455" s="124"/>
      <c r="U3455" s="124"/>
      <c r="V3455" s="124"/>
      <c r="W3455" s="124"/>
      <c r="X3455" s="124"/>
      <c r="Y3455" s="124"/>
    </row>
    <row r="3456" spans="2:25" x14ac:dyDescent="0.25">
      <c r="B3456" s="124"/>
      <c r="C3456" s="124"/>
      <c r="D3456" s="124"/>
      <c r="E3456" s="124"/>
      <c r="F3456" s="124"/>
      <c r="G3456" s="124"/>
      <c r="H3456" s="124"/>
      <c r="I3456" s="124"/>
      <c r="J3456" s="124"/>
      <c r="K3456" s="124"/>
      <c r="L3456" s="124"/>
      <c r="M3456" s="124"/>
      <c r="N3456" s="124"/>
      <c r="O3456" s="124"/>
      <c r="P3456" s="124"/>
      <c r="Q3456" s="124"/>
      <c r="R3456" s="124"/>
      <c r="S3456" s="124"/>
      <c r="T3456" s="124"/>
      <c r="U3456" s="124"/>
      <c r="V3456" s="124"/>
      <c r="W3456" s="124"/>
      <c r="X3456" s="124"/>
      <c r="Y3456" s="124"/>
    </row>
    <row r="3457" spans="2:25" x14ac:dyDescent="0.25">
      <c r="B3457" s="124"/>
      <c r="C3457" s="124"/>
      <c r="D3457" s="124"/>
      <c r="E3457" s="124"/>
      <c r="F3457" s="124"/>
      <c r="G3457" s="124"/>
      <c r="H3457" s="124"/>
      <c r="I3457" s="124"/>
      <c r="J3457" s="124"/>
      <c r="K3457" s="124"/>
      <c r="L3457" s="124"/>
      <c r="M3457" s="124"/>
      <c r="N3457" s="124"/>
      <c r="O3457" s="124"/>
      <c r="P3457" s="124"/>
      <c r="Q3457" s="124"/>
      <c r="R3457" s="124"/>
      <c r="S3457" s="124"/>
      <c r="T3457" s="124"/>
      <c r="U3457" s="124"/>
      <c r="V3457" s="124"/>
      <c r="W3457" s="124"/>
      <c r="X3457" s="124"/>
      <c r="Y3457" s="124"/>
    </row>
    <row r="3458" spans="2:25" x14ac:dyDescent="0.25">
      <c r="B3458" s="124"/>
      <c r="C3458" s="124"/>
      <c r="D3458" s="124"/>
      <c r="E3458" s="124"/>
      <c r="F3458" s="124"/>
      <c r="G3458" s="124"/>
      <c r="H3458" s="124"/>
      <c r="I3458" s="124"/>
      <c r="J3458" s="124"/>
      <c r="K3458" s="124"/>
      <c r="L3458" s="124"/>
      <c r="M3458" s="124"/>
      <c r="N3458" s="124"/>
      <c r="O3458" s="124"/>
      <c r="P3458" s="124"/>
      <c r="Q3458" s="124"/>
      <c r="R3458" s="124"/>
      <c r="S3458" s="124"/>
      <c r="T3458" s="124"/>
      <c r="U3458" s="124"/>
      <c r="V3458" s="124"/>
      <c r="W3458" s="124"/>
      <c r="X3458" s="124"/>
      <c r="Y3458" s="124"/>
    </row>
    <row r="3459" spans="2:25" x14ac:dyDescent="0.25">
      <c r="B3459" s="124"/>
      <c r="C3459" s="124"/>
      <c r="D3459" s="124"/>
      <c r="E3459" s="124"/>
      <c r="F3459" s="124"/>
      <c r="G3459" s="124"/>
      <c r="H3459" s="124"/>
      <c r="I3459" s="124"/>
      <c r="J3459" s="124"/>
      <c r="K3459" s="124"/>
      <c r="L3459" s="124"/>
      <c r="M3459" s="124"/>
      <c r="N3459" s="124"/>
      <c r="O3459" s="124"/>
      <c r="P3459" s="124"/>
      <c r="Q3459" s="124"/>
      <c r="R3459" s="124"/>
      <c r="S3459" s="124"/>
      <c r="T3459" s="124"/>
      <c r="U3459" s="124"/>
      <c r="V3459" s="124"/>
      <c r="W3459" s="124"/>
      <c r="X3459" s="124"/>
      <c r="Y3459" s="124"/>
    </row>
    <row r="3460" spans="2:25" x14ac:dyDescent="0.25">
      <c r="B3460" s="124"/>
      <c r="C3460" s="124"/>
      <c r="D3460" s="124"/>
      <c r="E3460" s="124"/>
      <c r="F3460" s="124"/>
      <c r="G3460" s="124"/>
      <c r="H3460" s="124"/>
      <c r="I3460" s="124"/>
      <c r="J3460" s="124"/>
      <c r="K3460" s="124"/>
      <c r="L3460" s="124"/>
      <c r="M3460" s="124"/>
      <c r="N3460" s="124"/>
      <c r="O3460" s="124"/>
      <c r="P3460" s="124"/>
      <c r="Q3460" s="124"/>
      <c r="R3460" s="124"/>
      <c r="S3460" s="124"/>
      <c r="T3460" s="124"/>
      <c r="U3460" s="124"/>
      <c r="V3460" s="124"/>
      <c r="W3460" s="124"/>
      <c r="X3460" s="124"/>
      <c r="Y3460" s="124"/>
    </row>
    <row r="3461" spans="2:25" x14ac:dyDescent="0.25">
      <c r="B3461" s="124"/>
      <c r="C3461" s="124"/>
      <c r="D3461" s="124"/>
      <c r="E3461" s="124"/>
      <c r="F3461" s="124"/>
      <c r="G3461" s="124"/>
      <c r="H3461" s="124"/>
      <c r="I3461" s="124"/>
      <c r="J3461" s="124"/>
      <c r="K3461" s="124"/>
      <c r="L3461" s="124"/>
      <c r="M3461" s="124"/>
      <c r="N3461" s="124"/>
      <c r="O3461" s="124"/>
      <c r="P3461" s="124"/>
      <c r="Q3461" s="124"/>
      <c r="R3461" s="124"/>
      <c r="S3461" s="124"/>
      <c r="T3461" s="124"/>
      <c r="U3461" s="124"/>
      <c r="V3461" s="124"/>
      <c r="W3461" s="124"/>
      <c r="X3461" s="124"/>
      <c r="Y3461" s="124"/>
    </row>
    <row r="3462" spans="2:25" x14ac:dyDescent="0.25">
      <c r="B3462" s="124"/>
      <c r="C3462" s="124"/>
      <c r="D3462" s="124"/>
      <c r="E3462" s="124"/>
      <c r="F3462" s="124"/>
      <c r="G3462" s="124"/>
      <c r="H3462" s="124"/>
      <c r="I3462" s="124"/>
      <c r="J3462" s="124"/>
      <c r="K3462" s="124"/>
      <c r="L3462" s="124"/>
      <c r="M3462" s="124"/>
      <c r="N3462" s="124"/>
      <c r="O3462" s="124"/>
      <c r="P3462" s="124"/>
      <c r="Q3462" s="124"/>
      <c r="R3462" s="124"/>
      <c r="S3462" s="124"/>
      <c r="T3462" s="124"/>
      <c r="U3462" s="124"/>
      <c r="V3462" s="124"/>
      <c r="W3462" s="124"/>
      <c r="X3462" s="124"/>
      <c r="Y3462" s="124"/>
    </row>
    <row r="3463" spans="2:25" x14ac:dyDescent="0.25">
      <c r="B3463" s="124"/>
      <c r="C3463" s="124"/>
      <c r="D3463" s="124"/>
      <c r="E3463" s="124"/>
      <c r="F3463" s="124"/>
      <c r="G3463" s="124"/>
      <c r="H3463" s="124"/>
      <c r="I3463" s="124"/>
      <c r="J3463" s="124"/>
      <c r="K3463" s="124"/>
      <c r="L3463" s="124"/>
      <c r="M3463" s="124"/>
      <c r="N3463" s="124"/>
      <c r="O3463" s="124"/>
      <c r="P3463" s="124"/>
      <c r="Q3463" s="124"/>
      <c r="R3463" s="124"/>
      <c r="S3463" s="124"/>
      <c r="T3463" s="124"/>
      <c r="U3463" s="124"/>
      <c r="V3463" s="124"/>
      <c r="W3463" s="124"/>
      <c r="X3463" s="124"/>
      <c r="Y3463" s="124"/>
    </row>
    <row r="3464" spans="2:25" x14ac:dyDescent="0.25">
      <c r="B3464" s="124"/>
      <c r="C3464" s="124"/>
      <c r="D3464" s="124"/>
      <c r="E3464" s="124"/>
      <c r="F3464" s="124"/>
      <c r="G3464" s="124"/>
      <c r="H3464" s="124"/>
      <c r="I3464" s="124"/>
      <c r="J3464" s="124"/>
      <c r="K3464" s="124"/>
      <c r="L3464" s="124"/>
      <c r="M3464" s="124"/>
      <c r="N3464" s="124"/>
      <c r="O3464" s="124"/>
      <c r="P3464" s="124"/>
      <c r="Q3464" s="124"/>
      <c r="R3464" s="124"/>
      <c r="S3464" s="124"/>
      <c r="T3464" s="124"/>
      <c r="U3464" s="124"/>
      <c r="V3464" s="124"/>
      <c r="W3464" s="124"/>
      <c r="X3464" s="124"/>
      <c r="Y3464" s="124"/>
    </row>
    <row r="3465" spans="2:25" x14ac:dyDescent="0.25">
      <c r="B3465" s="124"/>
      <c r="C3465" s="124"/>
      <c r="D3465" s="124"/>
      <c r="E3465" s="124"/>
      <c r="F3465" s="124"/>
      <c r="G3465" s="124"/>
      <c r="H3465" s="124"/>
      <c r="I3465" s="124"/>
      <c r="J3465" s="124"/>
      <c r="K3465" s="124"/>
      <c r="L3465" s="124"/>
      <c r="M3465" s="124"/>
      <c r="N3465" s="124"/>
      <c r="O3465" s="124"/>
      <c r="P3465" s="124"/>
      <c r="Q3465" s="124"/>
      <c r="R3465" s="124"/>
      <c r="S3465" s="124"/>
      <c r="T3465" s="124"/>
      <c r="U3465" s="124"/>
      <c r="V3465" s="124"/>
      <c r="W3465" s="124"/>
      <c r="X3465" s="124"/>
      <c r="Y3465" s="124"/>
    </row>
    <row r="3466" spans="2:25" x14ac:dyDescent="0.25">
      <c r="B3466" s="124"/>
      <c r="C3466" s="124"/>
      <c r="D3466" s="124"/>
      <c r="E3466" s="124"/>
      <c r="F3466" s="124"/>
      <c r="G3466" s="124"/>
      <c r="H3466" s="124"/>
      <c r="I3466" s="124"/>
      <c r="J3466" s="124"/>
      <c r="K3466" s="124"/>
      <c r="L3466" s="124"/>
      <c r="M3466" s="124"/>
      <c r="N3466" s="124"/>
      <c r="O3466" s="124"/>
      <c r="P3466" s="124"/>
      <c r="Q3466" s="124"/>
      <c r="R3466" s="124"/>
      <c r="S3466" s="124"/>
      <c r="T3466" s="124"/>
      <c r="U3466" s="124"/>
      <c r="V3466" s="124"/>
      <c r="W3466" s="124"/>
      <c r="X3466" s="124"/>
      <c r="Y3466" s="124"/>
    </row>
    <row r="3467" spans="2:25" x14ac:dyDescent="0.25">
      <c r="B3467" s="124"/>
      <c r="C3467" s="124"/>
      <c r="D3467" s="124"/>
      <c r="E3467" s="124"/>
      <c r="F3467" s="124"/>
      <c r="G3467" s="124"/>
      <c r="H3467" s="124"/>
      <c r="I3467" s="124"/>
      <c r="J3467" s="124"/>
      <c r="K3467" s="124"/>
      <c r="L3467" s="124"/>
      <c r="M3467" s="124"/>
      <c r="N3467" s="124"/>
      <c r="O3467" s="124"/>
      <c r="P3467" s="124"/>
      <c r="Q3467" s="124"/>
      <c r="R3467" s="124"/>
      <c r="S3467" s="124"/>
      <c r="T3467" s="124"/>
      <c r="U3467" s="124"/>
      <c r="V3467" s="124"/>
      <c r="W3467" s="124"/>
      <c r="X3467" s="124"/>
      <c r="Y3467" s="124"/>
    </row>
    <row r="3468" spans="2:25" x14ac:dyDescent="0.25">
      <c r="B3468" s="124"/>
      <c r="C3468" s="124"/>
      <c r="D3468" s="124"/>
      <c r="E3468" s="124"/>
      <c r="F3468" s="124"/>
      <c r="G3468" s="124"/>
      <c r="H3468" s="124"/>
      <c r="I3468" s="124"/>
      <c r="J3468" s="124"/>
      <c r="K3468" s="124"/>
      <c r="L3468" s="124"/>
      <c r="M3468" s="124"/>
      <c r="N3468" s="124"/>
      <c r="O3468" s="124"/>
      <c r="P3468" s="124"/>
      <c r="Q3468" s="124"/>
      <c r="R3468" s="124"/>
      <c r="S3468" s="124"/>
      <c r="T3468" s="124"/>
      <c r="U3468" s="124"/>
      <c r="V3468" s="124"/>
      <c r="W3468" s="124"/>
      <c r="X3468" s="124"/>
      <c r="Y3468" s="124"/>
    </row>
    <row r="3469" spans="2:25" x14ac:dyDescent="0.25">
      <c r="B3469" s="124"/>
      <c r="C3469" s="124"/>
      <c r="D3469" s="124"/>
      <c r="E3469" s="124"/>
      <c r="F3469" s="124"/>
      <c r="G3469" s="124"/>
      <c r="H3469" s="124"/>
      <c r="I3469" s="124"/>
      <c r="J3469" s="124"/>
      <c r="K3469" s="124"/>
      <c r="L3469" s="124"/>
      <c r="M3469" s="124"/>
      <c r="N3469" s="124"/>
      <c r="O3469" s="124"/>
      <c r="P3469" s="124"/>
      <c r="Q3469" s="124"/>
      <c r="R3469" s="124"/>
      <c r="S3469" s="124"/>
      <c r="T3469" s="124"/>
      <c r="U3469" s="124"/>
      <c r="V3469" s="124"/>
      <c r="W3469" s="124"/>
      <c r="X3469" s="124"/>
      <c r="Y3469" s="124"/>
    </row>
    <row r="3470" spans="2:25" x14ac:dyDescent="0.25">
      <c r="B3470" s="124"/>
      <c r="C3470" s="124"/>
      <c r="D3470" s="124"/>
      <c r="E3470" s="124"/>
      <c r="F3470" s="124"/>
      <c r="G3470" s="124"/>
      <c r="H3470" s="124"/>
      <c r="I3470" s="124"/>
      <c r="J3470" s="124"/>
      <c r="K3470" s="124"/>
      <c r="L3470" s="124"/>
      <c r="M3470" s="124"/>
      <c r="N3470" s="124"/>
      <c r="O3470" s="124"/>
      <c r="P3470" s="124"/>
      <c r="Q3470" s="124"/>
      <c r="R3470" s="124"/>
      <c r="S3470" s="124"/>
      <c r="T3470" s="124"/>
      <c r="U3470" s="124"/>
      <c r="V3470" s="124"/>
      <c r="W3470" s="124"/>
      <c r="X3470" s="124"/>
      <c r="Y3470" s="124"/>
    </row>
    <row r="3471" spans="2:25" x14ac:dyDescent="0.25">
      <c r="B3471" s="124"/>
      <c r="C3471" s="124"/>
      <c r="D3471" s="124"/>
      <c r="E3471" s="124"/>
      <c r="F3471" s="124"/>
      <c r="G3471" s="124"/>
      <c r="H3471" s="124"/>
      <c r="I3471" s="124"/>
      <c r="J3471" s="124"/>
      <c r="K3471" s="124"/>
      <c r="L3471" s="124"/>
      <c r="M3471" s="124"/>
      <c r="N3471" s="124"/>
      <c r="O3471" s="124"/>
      <c r="P3471" s="124"/>
      <c r="Q3471" s="124"/>
      <c r="R3471" s="124"/>
      <c r="S3471" s="124"/>
      <c r="T3471" s="124"/>
      <c r="U3471" s="124"/>
      <c r="V3471" s="124"/>
      <c r="W3471" s="124"/>
      <c r="X3471" s="124"/>
      <c r="Y3471" s="124"/>
    </row>
    <row r="3472" spans="2:25" x14ac:dyDescent="0.25">
      <c r="B3472" s="124"/>
      <c r="C3472" s="124"/>
      <c r="D3472" s="124"/>
      <c r="E3472" s="124"/>
      <c r="F3472" s="124"/>
      <c r="G3472" s="124"/>
      <c r="H3472" s="124"/>
      <c r="I3472" s="124"/>
      <c r="J3472" s="124"/>
      <c r="K3472" s="124"/>
      <c r="L3472" s="124"/>
      <c r="M3472" s="124"/>
      <c r="N3472" s="124"/>
      <c r="O3472" s="124"/>
      <c r="P3472" s="124"/>
      <c r="Q3472" s="124"/>
      <c r="R3472" s="124"/>
      <c r="S3472" s="124"/>
      <c r="T3472" s="124"/>
      <c r="U3472" s="124"/>
      <c r="V3472" s="124"/>
      <c r="W3472" s="124"/>
      <c r="X3472" s="124"/>
      <c r="Y3472" s="124"/>
    </row>
    <row r="3473" spans="2:25" x14ac:dyDescent="0.25">
      <c r="B3473" s="124"/>
      <c r="C3473" s="124"/>
      <c r="D3473" s="124"/>
      <c r="E3473" s="124"/>
      <c r="F3473" s="124"/>
      <c r="G3473" s="124"/>
      <c r="H3473" s="124"/>
      <c r="I3473" s="124"/>
      <c r="J3473" s="124"/>
      <c r="K3473" s="124"/>
      <c r="L3473" s="124"/>
      <c r="M3473" s="124"/>
      <c r="N3473" s="124"/>
      <c r="O3473" s="124"/>
      <c r="P3473" s="124"/>
      <c r="Q3473" s="124"/>
      <c r="R3473" s="124"/>
      <c r="S3473" s="124"/>
      <c r="T3473" s="124"/>
      <c r="U3473" s="124"/>
      <c r="V3473" s="124"/>
      <c r="W3473" s="124"/>
      <c r="X3473" s="124"/>
      <c r="Y3473" s="124"/>
    </row>
    <row r="3474" spans="2:25" x14ac:dyDescent="0.25">
      <c r="B3474" s="124"/>
      <c r="C3474" s="124"/>
      <c r="D3474" s="124"/>
      <c r="E3474" s="124"/>
      <c r="F3474" s="124"/>
      <c r="G3474" s="124"/>
      <c r="H3474" s="124"/>
      <c r="I3474" s="124"/>
      <c r="J3474" s="124"/>
      <c r="K3474" s="124"/>
      <c r="L3474" s="124"/>
      <c r="M3474" s="124"/>
      <c r="N3474" s="124"/>
      <c r="O3474" s="124"/>
      <c r="P3474" s="124"/>
      <c r="Q3474" s="124"/>
      <c r="R3474" s="124"/>
      <c r="S3474" s="124"/>
      <c r="T3474" s="124"/>
      <c r="U3474" s="124"/>
      <c r="V3474" s="124"/>
      <c r="W3474" s="124"/>
      <c r="X3474" s="124"/>
      <c r="Y3474" s="124"/>
    </row>
    <row r="3475" spans="2:25" x14ac:dyDescent="0.25">
      <c r="B3475" s="124"/>
      <c r="C3475" s="124"/>
      <c r="D3475" s="124"/>
      <c r="E3475" s="124"/>
      <c r="F3475" s="124"/>
      <c r="G3475" s="124"/>
      <c r="H3475" s="124"/>
      <c r="I3475" s="124"/>
      <c r="J3475" s="124"/>
      <c r="K3475" s="124"/>
      <c r="L3475" s="124"/>
      <c r="M3475" s="124"/>
      <c r="N3475" s="124"/>
      <c r="O3475" s="124"/>
      <c r="P3475" s="124"/>
      <c r="Q3475" s="124"/>
      <c r="R3475" s="124"/>
      <c r="S3475" s="124"/>
      <c r="T3475" s="124"/>
      <c r="U3475" s="124"/>
      <c r="V3475" s="124"/>
      <c r="W3475" s="124"/>
      <c r="X3475" s="124"/>
      <c r="Y3475" s="124"/>
    </row>
    <row r="3476" spans="2:25" x14ac:dyDescent="0.25">
      <c r="B3476" s="124"/>
      <c r="C3476" s="124"/>
      <c r="D3476" s="124"/>
      <c r="E3476" s="124"/>
      <c r="F3476" s="124"/>
      <c r="G3476" s="124"/>
      <c r="H3476" s="124"/>
      <c r="I3476" s="124"/>
      <c r="J3476" s="124"/>
      <c r="K3476" s="124"/>
      <c r="L3476" s="124"/>
      <c r="M3476" s="124"/>
      <c r="N3476" s="124"/>
      <c r="O3476" s="124"/>
      <c r="P3476" s="124"/>
      <c r="Q3476" s="124"/>
      <c r="R3476" s="124"/>
      <c r="S3476" s="124"/>
      <c r="T3476" s="124"/>
      <c r="U3476" s="124"/>
      <c r="V3476" s="124"/>
      <c r="W3476" s="124"/>
      <c r="X3476" s="124"/>
      <c r="Y3476" s="124"/>
    </row>
    <row r="3477" spans="2:25" x14ac:dyDescent="0.25">
      <c r="B3477" s="124"/>
      <c r="C3477" s="124"/>
      <c r="D3477" s="124"/>
      <c r="E3477" s="124"/>
      <c r="F3477" s="124"/>
      <c r="G3477" s="124"/>
      <c r="H3477" s="124"/>
      <c r="I3477" s="124"/>
      <c r="J3477" s="124"/>
      <c r="K3477" s="124"/>
      <c r="L3477" s="124"/>
      <c r="M3477" s="124"/>
      <c r="N3477" s="124"/>
      <c r="O3477" s="124"/>
      <c r="P3477" s="124"/>
      <c r="Q3477" s="124"/>
      <c r="R3477" s="124"/>
      <c r="S3477" s="124"/>
      <c r="T3477" s="124"/>
      <c r="U3477" s="124"/>
      <c r="V3477" s="124"/>
      <c r="W3477" s="124"/>
      <c r="X3477" s="124"/>
      <c r="Y3477" s="124"/>
    </row>
    <row r="3478" spans="2:25" x14ac:dyDescent="0.25">
      <c r="B3478" s="124"/>
      <c r="C3478" s="124"/>
      <c r="D3478" s="124"/>
      <c r="E3478" s="124"/>
      <c r="F3478" s="124"/>
      <c r="G3478" s="124"/>
      <c r="H3478" s="124"/>
      <c r="I3478" s="124"/>
      <c r="J3478" s="124"/>
      <c r="K3478" s="124"/>
      <c r="L3478" s="124"/>
      <c r="M3478" s="124"/>
      <c r="N3478" s="124"/>
      <c r="O3478" s="124"/>
      <c r="P3478" s="124"/>
      <c r="Q3478" s="124"/>
      <c r="R3478" s="124"/>
      <c r="S3478" s="124"/>
      <c r="T3478" s="124"/>
      <c r="U3478" s="124"/>
      <c r="V3478" s="124"/>
      <c r="W3478" s="124"/>
      <c r="X3478" s="124"/>
      <c r="Y3478" s="124"/>
    </row>
    <row r="3479" spans="2:25" x14ac:dyDescent="0.25">
      <c r="B3479" s="124"/>
      <c r="C3479" s="124"/>
      <c r="D3479" s="124"/>
      <c r="E3479" s="124"/>
      <c r="F3479" s="124"/>
      <c r="G3479" s="124"/>
      <c r="H3479" s="124"/>
      <c r="I3479" s="124"/>
      <c r="J3479" s="124"/>
      <c r="K3479" s="124"/>
      <c r="L3479" s="124"/>
      <c r="M3479" s="124"/>
      <c r="N3479" s="124"/>
      <c r="O3479" s="124"/>
      <c r="P3479" s="124"/>
      <c r="Q3479" s="124"/>
      <c r="R3479" s="124"/>
      <c r="S3479" s="124"/>
      <c r="T3479" s="124"/>
      <c r="U3479" s="124"/>
      <c r="V3479" s="124"/>
      <c r="W3479" s="124"/>
      <c r="X3479" s="124"/>
      <c r="Y3479" s="124"/>
    </row>
    <row r="3480" spans="2:25" x14ac:dyDescent="0.25">
      <c r="B3480" s="124"/>
      <c r="C3480" s="124"/>
      <c r="D3480" s="124"/>
      <c r="E3480" s="124"/>
      <c r="F3480" s="124"/>
      <c r="G3480" s="124"/>
      <c r="H3480" s="124"/>
      <c r="I3480" s="124"/>
      <c r="J3480" s="124"/>
      <c r="K3480" s="124"/>
      <c r="L3480" s="124"/>
      <c r="M3480" s="124"/>
      <c r="N3480" s="124"/>
      <c r="O3480" s="124"/>
      <c r="P3480" s="124"/>
      <c r="Q3480" s="124"/>
      <c r="R3480" s="124"/>
      <c r="S3480" s="124"/>
      <c r="T3480" s="124"/>
      <c r="U3480" s="124"/>
      <c r="V3480" s="124"/>
      <c r="W3480" s="124"/>
      <c r="X3480" s="124"/>
      <c r="Y3480" s="124"/>
    </row>
    <row r="3481" spans="2:25" x14ac:dyDescent="0.25">
      <c r="B3481" s="124"/>
      <c r="C3481" s="124"/>
      <c r="D3481" s="124"/>
      <c r="E3481" s="124"/>
      <c r="F3481" s="124"/>
      <c r="G3481" s="124"/>
      <c r="H3481" s="124"/>
      <c r="I3481" s="124"/>
      <c r="J3481" s="124"/>
      <c r="K3481" s="124"/>
      <c r="L3481" s="124"/>
      <c r="M3481" s="124"/>
      <c r="N3481" s="124"/>
      <c r="O3481" s="124"/>
      <c r="P3481" s="124"/>
      <c r="Q3481" s="124"/>
      <c r="R3481" s="124"/>
      <c r="S3481" s="124"/>
      <c r="T3481" s="124"/>
      <c r="U3481" s="124"/>
      <c r="V3481" s="124"/>
      <c r="W3481" s="124"/>
      <c r="X3481" s="124"/>
      <c r="Y3481" s="124"/>
    </row>
    <row r="3482" spans="2:25" x14ac:dyDescent="0.25">
      <c r="B3482" s="124"/>
      <c r="C3482" s="124"/>
      <c r="D3482" s="124"/>
      <c r="E3482" s="124"/>
      <c r="F3482" s="124"/>
      <c r="G3482" s="124"/>
      <c r="H3482" s="124"/>
      <c r="I3482" s="124"/>
      <c r="J3482" s="124"/>
      <c r="K3482" s="124"/>
      <c r="L3482" s="124"/>
      <c r="M3482" s="124"/>
      <c r="N3482" s="124"/>
      <c r="O3482" s="124"/>
      <c r="P3482" s="124"/>
      <c r="Q3482" s="124"/>
      <c r="R3482" s="124"/>
      <c r="S3482" s="124"/>
      <c r="T3482" s="124"/>
      <c r="U3482" s="124"/>
      <c r="V3482" s="124"/>
      <c r="W3482" s="124"/>
      <c r="X3482" s="124"/>
      <c r="Y3482" s="124"/>
    </row>
    <row r="3483" spans="2:25" x14ac:dyDescent="0.25">
      <c r="B3483" s="124"/>
      <c r="C3483" s="124"/>
      <c r="D3483" s="124"/>
      <c r="E3483" s="124"/>
      <c r="F3483" s="124"/>
      <c r="G3483" s="124"/>
      <c r="H3483" s="124"/>
      <c r="I3483" s="124"/>
      <c r="J3483" s="124"/>
      <c r="K3483" s="124"/>
      <c r="L3483" s="124"/>
      <c r="M3483" s="124"/>
      <c r="N3483" s="124"/>
      <c r="O3483" s="124"/>
      <c r="P3483" s="124"/>
      <c r="Q3483" s="124"/>
      <c r="R3483" s="124"/>
      <c r="S3483" s="124"/>
      <c r="T3483" s="124"/>
      <c r="U3483" s="124"/>
      <c r="V3483" s="124"/>
      <c r="W3483" s="124"/>
      <c r="X3483" s="124"/>
      <c r="Y3483" s="124"/>
    </row>
    <row r="3484" spans="2:25" x14ac:dyDescent="0.25">
      <c r="B3484" s="124"/>
      <c r="C3484" s="124"/>
      <c r="D3484" s="124"/>
      <c r="E3484" s="124"/>
      <c r="F3484" s="124"/>
      <c r="G3484" s="124"/>
      <c r="H3484" s="124"/>
      <c r="I3484" s="124"/>
      <c r="J3484" s="124"/>
      <c r="K3484" s="124"/>
      <c r="L3484" s="124"/>
      <c r="M3484" s="124"/>
      <c r="N3484" s="124"/>
      <c r="O3484" s="124"/>
      <c r="P3484" s="124"/>
      <c r="Q3484" s="124"/>
      <c r="R3484" s="124"/>
      <c r="S3484" s="124"/>
      <c r="T3484" s="124"/>
      <c r="U3484" s="124"/>
      <c r="V3484" s="124"/>
      <c r="W3484" s="124"/>
      <c r="X3484" s="124"/>
      <c r="Y3484" s="124"/>
    </row>
    <row r="3485" spans="2:25" x14ac:dyDescent="0.25">
      <c r="B3485" s="124"/>
      <c r="C3485" s="124"/>
      <c r="D3485" s="124"/>
      <c r="E3485" s="124"/>
      <c r="F3485" s="124"/>
      <c r="G3485" s="124"/>
      <c r="H3485" s="124"/>
      <c r="I3485" s="124"/>
      <c r="J3485" s="124"/>
      <c r="K3485" s="124"/>
      <c r="L3485" s="124"/>
      <c r="M3485" s="124"/>
      <c r="N3485" s="124"/>
      <c r="O3485" s="124"/>
      <c r="P3485" s="124"/>
      <c r="Q3485" s="124"/>
      <c r="R3485" s="124"/>
      <c r="S3485" s="124"/>
      <c r="T3485" s="124"/>
      <c r="U3485" s="124"/>
      <c r="V3485" s="124"/>
      <c r="W3485" s="124"/>
      <c r="X3485" s="124"/>
      <c r="Y3485" s="124"/>
    </row>
    <row r="3486" spans="2:25" x14ac:dyDescent="0.25">
      <c r="B3486" s="124"/>
      <c r="C3486" s="124"/>
      <c r="D3486" s="124"/>
      <c r="E3486" s="124"/>
      <c r="F3486" s="124"/>
      <c r="G3486" s="124"/>
      <c r="H3486" s="124"/>
      <c r="I3486" s="124"/>
      <c r="J3486" s="124"/>
      <c r="K3486" s="124"/>
      <c r="L3486" s="124"/>
      <c r="M3486" s="124"/>
      <c r="N3486" s="124"/>
      <c r="O3486" s="124"/>
      <c r="P3486" s="124"/>
      <c r="Q3486" s="124"/>
      <c r="R3486" s="124"/>
      <c r="S3486" s="124"/>
      <c r="T3486" s="124"/>
      <c r="U3486" s="124"/>
      <c r="V3486" s="124"/>
      <c r="W3486" s="124"/>
      <c r="X3486" s="124"/>
      <c r="Y3486" s="124"/>
    </row>
    <row r="3487" spans="2:25" x14ac:dyDescent="0.25">
      <c r="B3487" s="124"/>
      <c r="C3487" s="124"/>
      <c r="D3487" s="124"/>
      <c r="E3487" s="124"/>
      <c r="F3487" s="124"/>
      <c r="G3487" s="124"/>
      <c r="H3487" s="124"/>
      <c r="I3487" s="124"/>
      <c r="J3487" s="124"/>
      <c r="K3487" s="124"/>
      <c r="L3487" s="124"/>
      <c r="M3487" s="124"/>
      <c r="N3487" s="124"/>
      <c r="O3487" s="124"/>
      <c r="P3487" s="124"/>
      <c r="Q3487" s="124"/>
      <c r="R3487" s="124"/>
      <c r="S3487" s="124"/>
      <c r="T3487" s="124"/>
      <c r="U3487" s="124"/>
      <c r="V3487" s="124"/>
      <c r="W3487" s="124"/>
      <c r="X3487" s="124"/>
      <c r="Y3487" s="124"/>
    </row>
    <row r="3488" spans="2:25" x14ac:dyDescent="0.25">
      <c r="B3488" s="124"/>
      <c r="C3488" s="124"/>
      <c r="D3488" s="124"/>
      <c r="E3488" s="124"/>
      <c r="F3488" s="124"/>
      <c r="G3488" s="124"/>
      <c r="H3488" s="124"/>
      <c r="I3488" s="124"/>
      <c r="J3488" s="124"/>
      <c r="K3488" s="124"/>
      <c r="L3488" s="124"/>
      <c r="M3488" s="124"/>
      <c r="N3488" s="124"/>
      <c r="O3488" s="124"/>
      <c r="P3488" s="124"/>
      <c r="Q3488" s="124"/>
      <c r="R3488" s="124"/>
      <c r="S3488" s="124"/>
      <c r="T3488" s="124"/>
      <c r="U3488" s="124"/>
      <c r="V3488" s="124"/>
      <c r="W3488" s="124"/>
      <c r="X3488" s="124"/>
      <c r="Y3488" s="124"/>
    </row>
    <row r="3489" spans="2:25" x14ac:dyDescent="0.25">
      <c r="B3489" s="124"/>
      <c r="C3489" s="124"/>
      <c r="D3489" s="124"/>
      <c r="E3489" s="124"/>
      <c r="F3489" s="124"/>
      <c r="G3489" s="124"/>
      <c r="H3489" s="124"/>
      <c r="I3489" s="124"/>
      <c r="J3489" s="124"/>
      <c r="K3489" s="124"/>
      <c r="L3489" s="124"/>
      <c r="M3489" s="124"/>
      <c r="N3489" s="124"/>
      <c r="O3489" s="124"/>
      <c r="P3489" s="124"/>
      <c r="Q3489" s="124"/>
      <c r="R3489" s="124"/>
      <c r="S3489" s="124"/>
      <c r="T3489" s="124"/>
      <c r="U3489" s="124"/>
      <c r="V3489" s="124"/>
      <c r="W3489" s="124"/>
      <c r="X3489" s="124"/>
      <c r="Y3489" s="124"/>
    </row>
    <row r="3490" spans="2:25" x14ac:dyDescent="0.25">
      <c r="B3490" s="124"/>
      <c r="C3490" s="124"/>
      <c r="D3490" s="124"/>
      <c r="E3490" s="124"/>
      <c r="F3490" s="124"/>
      <c r="G3490" s="124"/>
      <c r="H3490" s="124"/>
      <c r="I3490" s="124"/>
      <c r="J3490" s="124"/>
      <c r="K3490" s="124"/>
      <c r="L3490" s="124"/>
      <c r="M3490" s="124"/>
      <c r="N3490" s="124"/>
      <c r="O3490" s="124"/>
      <c r="P3490" s="124"/>
      <c r="Q3490" s="124"/>
      <c r="R3490" s="124"/>
      <c r="S3490" s="124"/>
      <c r="T3490" s="124"/>
      <c r="U3490" s="124"/>
      <c r="V3490" s="124"/>
      <c r="W3490" s="124"/>
      <c r="X3490" s="124"/>
      <c r="Y3490" s="124"/>
    </row>
    <row r="3491" spans="2:25" x14ac:dyDescent="0.25">
      <c r="B3491" s="124"/>
      <c r="C3491" s="124"/>
      <c r="D3491" s="124"/>
      <c r="E3491" s="124"/>
      <c r="F3491" s="124"/>
      <c r="G3491" s="124"/>
      <c r="H3491" s="124"/>
      <c r="I3491" s="124"/>
      <c r="J3491" s="124"/>
      <c r="K3491" s="124"/>
      <c r="L3491" s="124"/>
      <c r="M3491" s="124"/>
      <c r="N3491" s="124"/>
      <c r="O3491" s="124"/>
      <c r="P3491" s="124"/>
      <c r="Q3491" s="124"/>
      <c r="R3491" s="124"/>
      <c r="S3491" s="124"/>
      <c r="T3491" s="124"/>
      <c r="U3491" s="124"/>
      <c r="V3491" s="124"/>
      <c r="W3491" s="124"/>
      <c r="X3491" s="124"/>
      <c r="Y3491" s="124"/>
    </row>
    <row r="3492" spans="2:25" x14ac:dyDescent="0.25">
      <c r="B3492" s="124"/>
      <c r="C3492" s="124"/>
      <c r="D3492" s="124"/>
      <c r="E3492" s="124"/>
      <c r="F3492" s="124"/>
      <c r="G3492" s="124"/>
      <c r="H3492" s="124"/>
      <c r="I3492" s="124"/>
      <c r="J3492" s="124"/>
      <c r="K3492" s="124"/>
      <c r="L3492" s="124"/>
      <c r="M3492" s="124"/>
      <c r="N3492" s="124"/>
      <c r="O3492" s="124"/>
      <c r="P3492" s="124"/>
      <c r="Q3492" s="124"/>
      <c r="R3492" s="124"/>
      <c r="S3492" s="124"/>
      <c r="T3492" s="124"/>
      <c r="U3492" s="124"/>
      <c r="V3492" s="124"/>
      <c r="W3492" s="124"/>
      <c r="X3492" s="124"/>
      <c r="Y3492" s="124"/>
    </row>
    <row r="3493" spans="2:25" x14ac:dyDescent="0.25">
      <c r="B3493" s="124"/>
      <c r="C3493" s="124"/>
      <c r="D3493" s="124"/>
      <c r="E3493" s="124"/>
      <c r="F3493" s="124"/>
      <c r="G3493" s="124"/>
      <c r="H3493" s="124"/>
      <c r="I3493" s="124"/>
      <c r="J3493" s="124"/>
      <c r="K3493" s="124"/>
      <c r="L3493" s="124"/>
      <c r="M3493" s="124"/>
      <c r="N3493" s="124"/>
      <c r="O3493" s="124"/>
      <c r="P3493" s="124"/>
      <c r="Q3493" s="124"/>
      <c r="R3493" s="124"/>
      <c r="S3493" s="124"/>
      <c r="T3493" s="124"/>
      <c r="U3493" s="124"/>
      <c r="V3493" s="124"/>
      <c r="W3493" s="124"/>
      <c r="X3493" s="124"/>
      <c r="Y3493" s="124"/>
    </row>
    <row r="3494" spans="2:25" x14ac:dyDescent="0.25">
      <c r="B3494" s="124"/>
      <c r="C3494" s="124"/>
      <c r="D3494" s="124"/>
      <c r="E3494" s="124"/>
      <c r="F3494" s="124"/>
      <c r="G3494" s="124"/>
      <c r="H3494" s="124"/>
      <c r="I3494" s="124"/>
      <c r="J3494" s="124"/>
      <c r="K3494" s="124"/>
      <c r="L3494" s="124"/>
      <c r="M3494" s="124"/>
      <c r="N3494" s="124"/>
      <c r="O3494" s="124"/>
      <c r="P3494" s="124"/>
      <c r="Q3494" s="124"/>
      <c r="R3494" s="124"/>
      <c r="S3494" s="124"/>
      <c r="T3494" s="124"/>
      <c r="U3494" s="124"/>
      <c r="V3494" s="124"/>
      <c r="W3494" s="124"/>
      <c r="X3494" s="124"/>
      <c r="Y3494" s="124"/>
    </row>
    <row r="3495" spans="2:25" x14ac:dyDescent="0.25">
      <c r="B3495" s="124"/>
      <c r="C3495" s="124"/>
      <c r="D3495" s="124"/>
      <c r="E3495" s="124"/>
      <c r="F3495" s="124"/>
      <c r="G3495" s="124"/>
      <c r="H3495" s="124"/>
      <c r="I3495" s="124"/>
      <c r="J3495" s="124"/>
      <c r="K3495" s="124"/>
      <c r="L3495" s="124"/>
      <c r="M3495" s="124"/>
      <c r="N3495" s="124"/>
      <c r="O3495" s="124"/>
      <c r="P3495" s="124"/>
      <c r="Q3495" s="124"/>
      <c r="R3495" s="124"/>
      <c r="S3495" s="124"/>
      <c r="T3495" s="124"/>
      <c r="U3495" s="124"/>
      <c r="V3495" s="124"/>
      <c r="W3495" s="124"/>
      <c r="X3495" s="124"/>
      <c r="Y3495" s="124"/>
    </row>
    <row r="3496" spans="2:25" x14ac:dyDescent="0.25">
      <c r="B3496" s="124"/>
      <c r="C3496" s="124"/>
      <c r="D3496" s="124"/>
      <c r="E3496" s="124"/>
      <c r="F3496" s="124"/>
      <c r="G3496" s="124"/>
      <c r="H3496" s="124"/>
      <c r="I3496" s="124"/>
      <c r="J3496" s="124"/>
      <c r="K3496" s="124"/>
      <c r="L3496" s="124"/>
      <c r="M3496" s="124"/>
      <c r="N3496" s="124"/>
      <c r="O3496" s="124"/>
      <c r="P3496" s="124"/>
      <c r="Q3496" s="124"/>
      <c r="R3496" s="124"/>
      <c r="S3496" s="124"/>
      <c r="T3496" s="124"/>
      <c r="U3496" s="124"/>
      <c r="V3496" s="124"/>
      <c r="W3496" s="124"/>
      <c r="X3496" s="124"/>
      <c r="Y3496" s="124"/>
    </row>
    <row r="3497" spans="2:25" x14ac:dyDescent="0.25">
      <c r="B3497" s="124"/>
      <c r="C3497" s="124"/>
      <c r="D3497" s="124"/>
      <c r="E3497" s="124"/>
      <c r="F3497" s="124"/>
      <c r="G3497" s="124"/>
      <c r="H3497" s="124"/>
      <c r="I3497" s="124"/>
      <c r="J3497" s="124"/>
      <c r="K3497" s="124"/>
      <c r="L3497" s="124"/>
      <c r="M3497" s="124"/>
      <c r="N3497" s="124"/>
      <c r="O3497" s="124"/>
      <c r="P3497" s="124"/>
      <c r="Q3497" s="124"/>
      <c r="R3497" s="124"/>
      <c r="S3497" s="124"/>
      <c r="T3497" s="124"/>
      <c r="U3497" s="124"/>
      <c r="V3497" s="124"/>
      <c r="W3497" s="124"/>
      <c r="X3497" s="124"/>
      <c r="Y3497" s="124"/>
    </row>
    <row r="3498" spans="2:25" x14ac:dyDescent="0.25">
      <c r="B3498" s="124"/>
      <c r="C3498" s="124"/>
      <c r="D3498" s="124"/>
      <c r="E3498" s="124"/>
      <c r="F3498" s="124"/>
      <c r="G3498" s="124"/>
      <c r="H3498" s="124"/>
      <c r="I3498" s="124"/>
      <c r="J3498" s="124"/>
      <c r="K3498" s="124"/>
      <c r="L3498" s="124"/>
      <c r="M3498" s="124"/>
      <c r="N3498" s="124"/>
      <c r="O3498" s="124"/>
      <c r="P3498" s="124"/>
      <c r="Q3498" s="124"/>
      <c r="R3498" s="124"/>
      <c r="S3498" s="124"/>
      <c r="T3498" s="124"/>
      <c r="U3498" s="124"/>
      <c r="V3498" s="124"/>
      <c r="W3498" s="124"/>
      <c r="X3498" s="124"/>
      <c r="Y3498" s="124"/>
    </row>
    <row r="3499" spans="2:25" x14ac:dyDescent="0.25">
      <c r="B3499" s="124"/>
      <c r="C3499" s="124"/>
      <c r="D3499" s="124"/>
      <c r="E3499" s="124"/>
      <c r="F3499" s="124"/>
      <c r="G3499" s="124"/>
      <c r="H3499" s="124"/>
      <c r="I3499" s="124"/>
      <c r="J3499" s="124"/>
      <c r="K3499" s="124"/>
      <c r="L3499" s="124"/>
      <c r="M3499" s="124"/>
      <c r="N3499" s="124"/>
      <c r="O3499" s="124"/>
      <c r="P3499" s="124"/>
      <c r="Q3499" s="124"/>
      <c r="R3499" s="124"/>
      <c r="S3499" s="124"/>
      <c r="T3499" s="124"/>
      <c r="U3499" s="124"/>
      <c r="V3499" s="124"/>
      <c r="W3499" s="124"/>
      <c r="X3499" s="124"/>
      <c r="Y3499" s="124"/>
    </row>
    <row r="3500" spans="2:25" x14ac:dyDescent="0.25">
      <c r="B3500" s="124"/>
      <c r="C3500" s="124"/>
      <c r="D3500" s="124"/>
      <c r="E3500" s="124"/>
      <c r="F3500" s="124"/>
      <c r="G3500" s="124"/>
      <c r="H3500" s="124"/>
      <c r="I3500" s="124"/>
      <c r="J3500" s="124"/>
      <c r="K3500" s="124"/>
      <c r="L3500" s="124"/>
      <c r="M3500" s="124"/>
      <c r="N3500" s="124"/>
      <c r="O3500" s="124"/>
      <c r="P3500" s="124"/>
      <c r="Q3500" s="124"/>
      <c r="R3500" s="124"/>
      <c r="S3500" s="124"/>
      <c r="T3500" s="124"/>
      <c r="U3500" s="124"/>
      <c r="V3500" s="124"/>
      <c r="W3500" s="124"/>
      <c r="X3500" s="124"/>
      <c r="Y3500" s="124"/>
    </row>
    <row r="3501" spans="2:25" x14ac:dyDescent="0.25">
      <c r="B3501" s="124"/>
      <c r="C3501" s="124"/>
      <c r="D3501" s="124"/>
      <c r="E3501" s="124"/>
      <c r="F3501" s="124"/>
      <c r="G3501" s="124"/>
      <c r="H3501" s="124"/>
      <c r="I3501" s="124"/>
      <c r="J3501" s="124"/>
      <c r="K3501" s="124"/>
      <c r="L3501" s="124"/>
      <c r="M3501" s="124"/>
      <c r="N3501" s="124"/>
      <c r="O3501" s="124"/>
      <c r="P3501" s="124"/>
      <c r="Q3501" s="124"/>
      <c r="R3501" s="124"/>
      <c r="S3501" s="124"/>
      <c r="T3501" s="124"/>
      <c r="U3501" s="124"/>
      <c r="V3501" s="124"/>
      <c r="W3501" s="124"/>
      <c r="X3501" s="124"/>
      <c r="Y3501" s="124"/>
    </row>
    <row r="3502" spans="2:25" x14ac:dyDescent="0.25">
      <c r="B3502" s="124"/>
      <c r="C3502" s="124"/>
      <c r="D3502" s="124"/>
      <c r="E3502" s="124"/>
      <c r="F3502" s="124"/>
      <c r="G3502" s="124"/>
      <c r="H3502" s="124"/>
      <c r="I3502" s="124"/>
      <c r="J3502" s="124"/>
      <c r="K3502" s="124"/>
      <c r="L3502" s="124"/>
      <c r="M3502" s="124"/>
      <c r="N3502" s="124"/>
      <c r="O3502" s="124"/>
      <c r="P3502" s="124"/>
      <c r="Q3502" s="124"/>
      <c r="R3502" s="124"/>
      <c r="S3502" s="124"/>
      <c r="T3502" s="124"/>
      <c r="U3502" s="124"/>
      <c r="V3502" s="124"/>
      <c r="W3502" s="124"/>
      <c r="X3502" s="124"/>
      <c r="Y3502" s="124"/>
    </row>
    <row r="3503" spans="2:25" x14ac:dyDescent="0.25">
      <c r="B3503" s="124"/>
      <c r="C3503" s="124"/>
      <c r="D3503" s="124"/>
      <c r="E3503" s="124"/>
      <c r="F3503" s="124"/>
      <c r="G3503" s="124"/>
      <c r="H3503" s="124"/>
      <c r="I3503" s="124"/>
      <c r="J3503" s="124"/>
      <c r="K3503" s="124"/>
      <c r="L3503" s="124"/>
      <c r="M3503" s="124"/>
      <c r="N3503" s="124"/>
      <c r="O3503" s="124"/>
      <c r="P3503" s="124"/>
      <c r="Q3503" s="124"/>
      <c r="R3503" s="124"/>
      <c r="S3503" s="124"/>
      <c r="T3503" s="124"/>
      <c r="U3503" s="124"/>
      <c r="V3503" s="124"/>
      <c r="W3503" s="124"/>
      <c r="X3503" s="124"/>
      <c r="Y3503" s="124"/>
    </row>
    <row r="3504" spans="2:25" x14ac:dyDescent="0.25">
      <c r="B3504" s="124"/>
      <c r="C3504" s="124"/>
      <c r="D3504" s="124"/>
      <c r="E3504" s="124"/>
      <c r="F3504" s="124"/>
      <c r="G3504" s="124"/>
      <c r="H3504" s="124"/>
      <c r="I3504" s="124"/>
      <c r="J3504" s="124"/>
      <c r="K3504" s="124"/>
      <c r="L3504" s="124"/>
      <c r="M3504" s="124"/>
      <c r="N3504" s="124"/>
      <c r="O3504" s="124"/>
      <c r="P3504" s="124"/>
      <c r="Q3504" s="124"/>
      <c r="R3504" s="124"/>
      <c r="S3504" s="124"/>
      <c r="T3504" s="124"/>
      <c r="U3504" s="124"/>
      <c r="V3504" s="124"/>
      <c r="W3504" s="124"/>
      <c r="X3504" s="124"/>
      <c r="Y3504" s="124"/>
    </row>
    <row r="3505" spans="2:25" x14ac:dyDescent="0.25">
      <c r="B3505" s="124"/>
      <c r="C3505" s="124"/>
      <c r="D3505" s="124"/>
      <c r="E3505" s="124"/>
      <c r="F3505" s="124"/>
      <c r="G3505" s="124"/>
      <c r="H3505" s="124"/>
      <c r="I3505" s="124"/>
      <c r="J3505" s="124"/>
      <c r="K3505" s="124"/>
      <c r="L3505" s="124"/>
      <c r="M3505" s="124"/>
      <c r="N3505" s="124"/>
      <c r="O3505" s="124"/>
      <c r="P3505" s="124"/>
      <c r="Q3505" s="124"/>
      <c r="R3505" s="124"/>
      <c r="S3505" s="124"/>
      <c r="T3505" s="124"/>
      <c r="U3505" s="124"/>
      <c r="V3505" s="124"/>
      <c r="W3505" s="124"/>
      <c r="X3505" s="124"/>
      <c r="Y3505" s="124"/>
    </row>
    <row r="3506" spans="2:25" x14ac:dyDescent="0.25">
      <c r="B3506" s="124"/>
      <c r="C3506" s="124"/>
      <c r="D3506" s="124"/>
      <c r="E3506" s="124"/>
      <c r="F3506" s="124"/>
      <c r="G3506" s="124"/>
      <c r="H3506" s="124"/>
      <c r="I3506" s="124"/>
      <c r="J3506" s="124"/>
      <c r="K3506" s="124"/>
      <c r="L3506" s="124"/>
      <c r="M3506" s="124"/>
      <c r="N3506" s="124"/>
      <c r="O3506" s="124"/>
      <c r="P3506" s="124"/>
      <c r="Q3506" s="124"/>
      <c r="R3506" s="124"/>
      <c r="S3506" s="124"/>
      <c r="T3506" s="124"/>
      <c r="U3506" s="124"/>
      <c r="V3506" s="124"/>
      <c r="W3506" s="124"/>
      <c r="X3506" s="124"/>
      <c r="Y3506" s="124"/>
    </row>
    <row r="3507" spans="2:25" x14ac:dyDescent="0.25">
      <c r="B3507" s="124"/>
      <c r="C3507" s="124"/>
      <c r="D3507" s="124"/>
      <c r="E3507" s="124"/>
      <c r="F3507" s="124"/>
      <c r="G3507" s="124"/>
      <c r="H3507" s="124"/>
      <c r="I3507" s="124"/>
      <c r="J3507" s="124"/>
      <c r="K3507" s="124"/>
      <c r="L3507" s="124"/>
      <c r="M3507" s="124"/>
      <c r="N3507" s="124"/>
      <c r="O3507" s="124"/>
      <c r="P3507" s="124"/>
      <c r="Q3507" s="124"/>
      <c r="R3507" s="124"/>
      <c r="S3507" s="124"/>
      <c r="T3507" s="124"/>
      <c r="U3507" s="124"/>
      <c r="V3507" s="124"/>
      <c r="W3507" s="124"/>
      <c r="X3507" s="124"/>
      <c r="Y3507" s="124"/>
    </row>
    <row r="3508" spans="2:25" x14ac:dyDescent="0.25">
      <c r="B3508" s="124"/>
      <c r="C3508" s="124"/>
      <c r="D3508" s="124"/>
      <c r="E3508" s="124"/>
      <c r="F3508" s="124"/>
      <c r="G3508" s="124"/>
      <c r="H3508" s="124"/>
      <c r="I3508" s="124"/>
      <c r="J3508" s="124"/>
      <c r="K3508" s="124"/>
      <c r="L3508" s="124"/>
      <c r="M3508" s="124"/>
      <c r="N3508" s="124"/>
      <c r="O3508" s="124"/>
      <c r="P3508" s="124"/>
      <c r="Q3508" s="124"/>
      <c r="R3508" s="124"/>
      <c r="S3508" s="124"/>
      <c r="T3508" s="124"/>
      <c r="U3508" s="124"/>
      <c r="V3508" s="124"/>
      <c r="W3508" s="124"/>
      <c r="X3508" s="124"/>
      <c r="Y3508" s="124"/>
    </row>
    <row r="3509" spans="2:25" x14ac:dyDescent="0.25">
      <c r="B3509" s="124"/>
      <c r="C3509" s="124"/>
      <c r="D3509" s="124"/>
      <c r="E3509" s="124"/>
      <c r="F3509" s="124"/>
      <c r="G3509" s="124"/>
      <c r="H3509" s="124"/>
      <c r="I3509" s="124"/>
      <c r="J3509" s="124"/>
      <c r="K3509" s="124"/>
      <c r="L3509" s="124"/>
      <c r="M3509" s="124"/>
      <c r="N3509" s="124"/>
      <c r="O3509" s="124"/>
      <c r="P3509" s="124"/>
      <c r="Q3509" s="124"/>
      <c r="R3509" s="124"/>
      <c r="S3509" s="124"/>
      <c r="T3509" s="124"/>
      <c r="U3509" s="124"/>
      <c r="V3509" s="124"/>
      <c r="W3509" s="124"/>
      <c r="X3509" s="124"/>
      <c r="Y3509" s="124"/>
    </row>
    <row r="3510" spans="2:25" x14ac:dyDescent="0.25">
      <c r="B3510" s="124"/>
      <c r="C3510" s="124"/>
      <c r="D3510" s="124"/>
      <c r="E3510" s="124"/>
      <c r="F3510" s="124"/>
      <c r="G3510" s="124"/>
      <c r="H3510" s="124"/>
      <c r="I3510" s="124"/>
      <c r="J3510" s="124"/>
      <c r="K3510" s="124"/>
      <c r="L3510" s="124"/>
      <c r="M3510" s="124"/>
      <c r="N3510" s="124"/>
      <c r="O3510" s="124"/>
      <c r="P3510" s="124"/>
      <c r="Q3510" s="124"/>
      <c r="R3510" s="124"/>
      <c r="S3510" s="124"/>
      <c r="T3510" s="124"/>
      <c r="U3510" s="124"/>
      <c r="V3510" s="124"/>
      <c r="W3510" s="124"/>
      <c r="X3510" s="124"/>
      <c r="Y3510" s="124"/>
    </row>
    <row r="3511" spans="2:25" x14ac:dyDescent="0.25">
      <c r="B3511" s="124"/>
      <c r="C3511" s="124"/>
      <c r="D3511" s="124"/>
      <c r="E3511" s="124"/>
      <c r="F3511" s="124"/>
      <c r="G3511" s="124"/>
      <c r="H3511" s="124"/>
      <c r="I3511" s="124"/>
      <c r="J3511" s="124"/>
      <c r="K3511" s="124"/>
      <c r="L3511" s="124"/>
      <c r="M3511" s="124"/>
      <c r="N3511" s="124"/>
      <c r="O3511" s="124"/>
      <c r="P3511" s="124"/>
      <c r="Q3511" s="124"/>
      <c r="R3511" s="124"/>
      <c r="S3511" s="124"/>
      <c r="T3511" s="124"/>
      <c r="U3511" s="124"/>
      <c r="V3511" s="124"/>
      <c r="W3511" s="124"/>
      <c r="X3511" s="124"/>
      <c r="Y3511" s="124"/>
    </row>
    <row r="3512" spans="2:25" x14ac:dyDescent="0.25">
      <c r="B3512" s="124"/>
      <c r="C3512" s="124"/>
      <c r="D3512" s="124"/>
      <c r="E3512" s="124"/>
      <c r="F3512" s="124"/>
      <c r="G3512" s="124"/>
      <c r="H3512" s="124"/>
      <c r="I3512" s="124"/>
      <c r="J3512" s="124"/>
      <c r="K3512" s="124"/>
      <c r="L3512" s="124"/>
      <c r="M3512" s="124"/>
      <c r="N3512" s="124"/>
      <c r="O3512" s="124"/>
      <c r="P3512" s="124"/>
      <c r="Q3512" s="124"/>
      <c r="R3512" s="124"/>
      <c r="S3512" s="124"/>
      <c r="T3512" s="124"/>
      <c r="U3512" s="124"/>
      <c r="V3512" s="124"/>
      <c r="W3512" s="124"/>
      <c r="X3512" s="124"/>
      <c r="Y3512" s="124"/>
    </row>
    <row r="3513" spans="2:25" x14ac:dyDescent="0.25">
      <c r="B3513" s="124"/>
      <c r="C3513" s="124"/>
      <c r="D3513" s="124"/>
      <c r="E3513" s="124"/>
      <c r="F3513" s="124"/>
      <c r="G3513" s="124"/>
      <c r="H3513" s="124"/>
      <c r="I3513" s="124"/>
      <c r="J3513" s="124"/>
      <c r="K3513" s="124"/>
      <c r="L3513" s="124"/>
      <c r="M3513" s="124"/>
      <c r="N3513" s="124"/>
      <c r="O3513" s="124"/>
      <c r="P3513" s="124"/>
      <c r="Q3513" s="124"/>
      <c r="R3513" s="124"/>
      <c r="S3513" s="124"/>
      <c r="T3513" s="124"/>
      <c r="U3513" s="124"/>
      <c r="V3513" s="124"/>
      <c r="W3513" s="124"/>
      <c r="X3513" s="124"/>
      <c r="Y3513" s="124"/>
    </row>
    <row r="3514" spans="2:25" x14ac:dyDescent="0.25">
      <c r="B3514" s="124"/>
      <c r="C3514" s="124"/>
      <c r="D3514" s="124"/>
      <c r="E3514" s="124"/>
      <c r="F3514" s="124"/>
      <c r="G3514" s="124"/>
      <c r="H3514" s="124"/>
      <c r="I3514" s="124"/>
      <c r="J3514" s="124"/>
      <c r="K3514" s="124"/>
      <c r="L3514" s="124"/>
      <c r="M3514" s="124"/>
      <c r="N3514" s="124"/>
      <c r="O3514" s="124"/>
      <c r="P3514" s="124"/>
      <c r="Q3514" s="124"/>
      <c r="R3514" s="124"/>
      <c r="S3514" s="124"/>
      <c r="T3514" s="124"/>
      <c r="U3514" s="124"/>
      <c r="V3514" s="124"/>
      <c r="W3514" s="124"/>
      <c r="X3514" s="124"/>
      <c r="Y3514" s="124"/>
    </row>
    <row r="3515" spans="2:25" x14ac:dyDescent="0.25">
      <c r="B3515" s="124"/>
      <c r="C3515" s="124"/>
      <c r="D3515" s="124"/>
      <c r="E3515" s="124"/>
      <c r="F3515" s="124"/>
      <c r="G3515" s="124"/>
      <c r="H3515" s="124"/>
      <c r="I3515" s="124"/>
      <c r="J3515" s="124"/>
      <c r="K3515" s="124"/>
      <c r="L3515" s="124"/>
      <c r="M3515" s="124"/>
      <c r="N3515" s="124"/>
      <c r="O3515" s="124"/>
      <c r="P3515" s="124"/>
      <c r="Q3515" s="124"/>
      <c r="R3515" s="124"/>
      <c r="S3515" s="124"/>
      <c r="T3515" s="124"/>
      <c r="U3515" s="124"/>
      <c r="V3515" s="124"/>
      <c r="W3515" s="124"/>
      <c r="X3515" s="124"/>
      <c r="Y3515" s="124"/>
    </row>
    <row r="3516" spans="2:25" x14ac:dyDescent="0.25">
      <c r="B3516" s="124"/>
      <c r="C3516" s="124"/>
      <c r="D3516" s="124"/>
      <c r="E3516" s="124"/>
      <c r="F3516" s="124"/>
      <c r="G3516" s="124"/>
      <c r="H3516" s="124"/>
      <c r="I3516" s="124"/>
      <c r="J3516" s="124"/>
      <c r="K3516" s="124"/>
      <c r="L3516" s="124"/>
      <c r="M3516" s="124"/>
      <c r="N3516" s="124"/>
      <c r="O3516" s="124"/>
      <c r="P3516" s="124"/>
      <c r="Q3516" s="124"/>
      <c r="R3516" s="124"/>
      <c r="S3516" s="124"/>
      <c r="T3516" s="124"/>
      <c r="U3516" s="124"/>
      <c r="V3516" s="124"/>
      <c r="W3516" s="124"/>
      <c r="X3516" s="124"/>
      <c r="Y3516" s="124"/>
    </row>
    <row r="3517" spans="2:25" x14ac:dyDescent="0.25">
      <c r="B3517" s="124"/>
      <c r="C3517" s="124"/>
      <c r="D3517" s="124"/>
      <c r="E3517" s="124"/>
      <c r="F3517" s="124"/>
      <c r="G3517" s="124"/>
      <c r="H3517" s="124"/>
      <c r="I3517" s="124"/>
      <c r="J3517" s="124"/>
      <c r="K3517" s="124"/>
      <c r="L3517" s="124"/>
      <c r="M3517" s="124"/>
      <c r="N3517" s="124"/>
      <c r="O3517" s="124"/>
      <c r="P3517" s="124"/>
      <c r="Q3517" s="124"/>
      <c r="R3517" s="124"/>
      <c r="S3517" s="124"/>
      <c r="T3517" s="124"/>
      <c r="U3517" s="124"/>
      <c r="V3517" s="124"/>
      <c r="W3517" s="124"/>
      <c r="X3517" s="124"/>
      <c r="Y3517" s="124"/>
    </row>
    <row r="3518" spans="2:25" x14ac:dyDescent="0.25">
      <c r="B3518" s="124"/>
      <c r="C3518" s="124"/>
      <c r="D3518" s="124"/>
      <c r="E3518" s="124"/>
      <c r="F3518" s="124"/>
      <c r="G3518" s="124"/>
      <c r="H3518" s="124"/>
      <c r="I3518" s="124"/>
      <c r="J3518" s="124"/>
      <c r="K3518" s="124"/>
      <c r="L3518" s="124"/>
      <c r="M3518" s="124"/>
      <c r="N3518" s="124"/>
      <c r="O3518" s="124"/>
      <c r="P3518" s="124"/>
      <c r="Q3518" s="124"/>
      <c r="R3518" s="124"/>
      <c r="S3518" s="124"/>
      <c r="T3518" s="124"/>
      <c r="U3518" s="124"/>
      <c r="V3518" s="124"/>
      <c r="W3518" s="124"/>
      <c r="X3518" s="124"/>
      <c r="Y3518" s="124"/>
    </row>
    <row r="3519" spans="2:25" x14ac:dyDescent="0.25">
      <c r="B3519" s="124"/>
      <c r="C3519" s="124"/>
      <c r="D3519" s="124"/>
      <c r="E3519" s="124"/>
      <c r="F3519" s="124"/>
      <c r="G3519" s="124"/>
      <c r="H3519" s="124"/>
      <c r="I3519" s="124"/>
      <c r="J3519" s="124"/>
      <c r="K3519" s="124"/>
      <c r="L3519" s="124"/>
      <c r="M3519" s="124"/>
      <c r="N3519" s="124"/>
      <c r="O3519" s="124"/>
      <c r="P3519" s="124"/>
      <c r="Q3519" s="124"/>
      <c r="R3519" s="124"/>
      <c r="S3519" s="124"/>
      <c r="T3519" s="124"/>
      <c r="U3519" s="124"/>
      <c r="V3519" s="124"/>
      <c r="W3519" s="124"/>
      <c r="X3519" s="124"/>
      <c r="Y3519" s="124"/>
    </row>
    <row r="3520" spans="2:25" x14ac:dyDescent="0.25">
      <c r="B3520" s="124"/>
      <c r="C3520" s="124"/>
      <c r="D3520" s="124"/>
      <c r="E3520" s="124"/>
      <c r="F3520" s="124"/>
      <c r="G3520" s="124"/>
      <c r="H3520" s="124"/>
      <c r="I3520" s="124"/>
      <c r="J3520" s="124"/>
      <c r="K3520" s="124"/>
      <c r="L3520" s="124"/>
      <c r="M3520" s="124"/>
      <c r="N3520" s="124"/>
      <c r="O3520" s="124"/>
      <c r="P3520" s="124"/>
      <c r="Q3520" s="124"/>
      <c r="R3520" s="124"/>
      <c r="S3520" s="124"/>
      <c r="T3520" s="124"/>
      <c r="U3520" s="124"/>
      <c r="V3520" s="124"/>
      <c r="W3520" s="124"/>
      <c r="X3520" s="124"/>
      <c r="Y3520" s="124"/>
    </row>
    <row r="3521" spans="2:25" x14ac:dyDescent="0.25">
      <c r="B3521" s="124"/>
      <c r="C3521" s="124"/>
      <c r="D3521" s="124"/>
      <c r="E3521" s="124"/>
      <c r="F3521" s="124"/>
      <c r="G3521" s="124"/>
      <c r="H3521" s="124"/>
      <c r="I3521" s="124"/>
      <c r="J3521" s="124"/>
      <c r="K3521" s="124"/>
      <c r="L3521" s="124"/>
      <c r="M3521" s="124"/>
      <c r="N3521" s="124"/>
      <c r="O3521" s="124"/>
      <c r="P3521" s="124"/>
      <c r="Q3521" s="124"/>
      <c r="R3521" s="124"/>
      <c r="S3521" s="124"/>
      <c r="T3521" s="124"/>
      <c r="U3521" s="124"/>
      <c r="V3521" s="124"/>
      <c r="W3521" s="124"/>
      <c r="X3521" s="124"/>
      <c r="Y3521" s="124"/>
    </row>
    <row r="3522" spans="2:25" x14ac:dyDescent="0.25">
      <c r="B3522" s="124"/>
      <c r="C3522" s="124"/>
      <c r="D3522" s="124"/>
      <c r="E3522" s="124"/>
      <c r="F3522" s="124"/>
      <c r="G3522" s="124"/>
      <c r="H3522" s="124"/>
      <c r="I3522" s="124"/>
      <c r="J3522" s="124"/>
      <c r="K3522" s="124"/>
      <c r="L3522" s="124"/>
      <c r="M3522" s="124"/>
      <c r="N3522" s="124"/>
      <c r="O3522" s="124"/>
      <c r="P3522" s="124"/>
      <c r="Q3522" s="124"/>
      <c r="R3522" s="124"/>
      <c r="S3522" s="124"/>
      <c r="T3522" s="124"/>
      <c r="U3522" s="124"/>
      <c r="V3522" s="124"/>
      <c r="W3522" s="124"/>
      <c r="X3522" s="124"/>
      <c r="Y3522" s="124"/>
    </row>
    <row r="3523" spans="2:25" x14ac:dyDescent="0.25">
      <c r="B3523" s="124"/>
      <c r="C3523" s="124"/>
      <c r="D3523" s="124"/>
      <c r="E3523" s="124"/>
      <c r="F3523" s="124"/>
      <c r="G3523" s="124"/>
      <c r="H3523" s="124"/>
      <c r="I3523" s="124"/>
      <c r="J3523" s="124"/>
      <c r="K3523" s="124"/>
      <c r="L3523" s="124"/>
      <c r="M3523" s="124"/>
      <c r="N3523" s="124"/>
      <c r="O3523" s="124"/>
      <c r="P3523" s="124"/>
      <c r="Q3523" s="124"/>
      <c r="R3523" s="124"/>
      <c r="S3523" s="124"/>
      <c r="T3523" s="124"/>
      <c r="U3523" s="124"/>
      <c r="V3523" s="124"/>
      <c r="W3523" s="124"/>
      <c r="X3523" s="124"/>
      <c r="Y3523" s="124"/>
    </row>
    <row r="3524" spans="2:25" x14ac:dyDescent="0.25">
      <c r="B3524" s="124"/>
      <c r="C3524" s="124"/>
      <c r="D3524" s="124"/>
      <c r="E3524" s="124"/>
      <c r="F3524" s="124"/>
      <c r="G3524" s="124"/>
      <c r="H3524" s="124"/>
      <c r="I3524" s="124"/>
      <c r="J3524" s="124"/>
      <c r="K3524" s="124"/>
      <c r="L3524" s="124"/>
      <c r="M3524" s="124"/>
      <c r="N3524" s="124"/>
      <c r="O3524" s="124"/>
      <c r="P3524" s="124"/>
      <c r="Q3524" s="124"/>
      <c r="R3524" s="124"/>
      <c r="S3524" s="124"/>
      <c r="T3524" s="124"/>
      <c r="U3524" s="124"/>
      <c r="V3524" s="124"/>
      <c r="W3524" s="124"/>
      <c r="X3524" s="124"/>
      <c r="Y3524" s="124"/>
    </row>
    <row r="3525" spans="2:25" x14ac:dyDescent="0.25">
      <c r="B3525" s="124"/>
      <c r="C3525" s="124"/>
      <c r="D3525" s="124"/>
      <c r="E3525" s="124"/>
      <c r="F3525" s="124"/>
      <c r="G3525" s="124"/>
      <c r="H3525" s="124"/>
      <c r="I3525" s="124"/>
      <c r="J3525" s="124"/>
      <c r="K3525" s="124"/>
      <c r="L3525" s="124"/>
      <c r="M3525" s="124"/>
      <c r="N3525" s="124"/>
      <c r="O3525" s="124"/>
      <c r="P3525" s="124"/>
      <c r="Q3525" s="124"/>
      <c r="R3525" s="124"/>
      <c r="S3525" s="124"/>
      <c r="T3525" s="124"/>
      <c r="U3525" s="124"/>
      <c r="V3525" s="124"/>
      <c r="W3525" s="124"/>
      <c r="X3525" s="124"/>
      <c r="Y3525" s="124"/>
    </row>
    <row r="3526" spans="2:25" x14ac:dyDescent="0.25">
      <c r="B3526" s="124"/>
      <c r="C3526" s="124"/>
      <c r="D3526" s="124"/>
      <c r="E3526" s="124"/>
      <c r="F3526" s="124"/>
      <c r="G3526" s="124"/>
      <c r="H3526" s="124"/>
      <c r="I3526" s="124"/>
      <c r="J3526" s="124"/>
      <c r="K3526" s="124"/>
      <c r="L3526" s="124"/>
      <c r="M3526" s="124"/>
      <c r="N3526" s="124"/>
      <c r="O3526" s="124"/>
      <c r="P3526" s="124"/>
      <c r="Q3526" s="124"/>
      <c r="R3526" s="124"/>
      <c r="S3526" s="124"/>
      <c r="T3526" s="124"/>
      <c r="U3526" s="124"/>
      <c r="V3526" s="124"/>
      <c r="W3526" s="124"/>
      <c r="X3526" s="124"/>
      <c r="Y3526" s="124"/>
    </row>
    <row r="3527" spans="2:25" x14ac:dyDescent="0.25">
      <c r="B3527" s="124"/>
      <c r="C3527" s="124"/>
      <c r="D3527" s="124"/>
      <c r="E3527" s="124"/>
      <c r="F3527" s="124"/>
      <c r="G3527" s="124"/>
      <c r="H3527" s="124"/>
      <c r="I3527" s="124"/>
      <c r="J3527" s="124"/>
      <c r="K3527" s="124"/>
      <c r="L3527" s="124"/>
      <c r="M3527" s="124"/>
      <c r="N3527" s="124"/>
      <c r="O3527" s="124"/>
      <c r="P3527" s="124"/>
      <c r="Q3527" s="124"/>
      <c r="R3527" s="124"/>
      <c r="S3527" s="124"/>
      <c r="T3527" s="124"/>
      <c r="U3527" s="124"/>
      <c r="V3527" s="124"/>
      <c r="W3527" s="124"/>
      <c r="X3527" s="124"/>
      <c r="Y3527" s="124"/>
    </row>
    <row r="3528" spans="2:25" x14ac:dyDescent="0.25">
      <c r="B3528" s="124"/>
      <c r="C3528" s="124"/>
      <c r="D3528" s="124"/>
      <c r="E3528" s="124"/>
      <c r="F3528" s="124"/>
      <c r="G3528" s="124"/>
      <c r="H3528" s="124"/>
      <c r="I3528" s="124"/>
      <c r="J3528" s="124"/>
      <c r="K3528" s="124"/>
      <c r="L3528" s="124"/>
      <c r="M3528" s="124"/>
      <c r="N3528" s="124"/>
      <c r="O3528" s="124"/>
      <c r="P3528" s="124"/>
      <c r="Q3528" s="124"/>
      <c r="R3528" s="124"/>
      <c r="S3528" s="124"/>
      <c r="T3528" s="124"/>
      <c r="U3528" s="124"/>
      <c r="V3528" s="124"/>
      <c r="W3528" s="124"/>
      <c r="X3528" s="124"/>
      <c r="Y3528" s="124"/>
    </row>
    <row r="3529" spans="2:25" x14ac:dyDescent="0.25">
      <c r="B3529" s="124"/>
      <c r="C3529" s="124"/>
      <c r="D3529" s="124"/>
      <c r="E3529" s="124"/>
      <c r="F3529" s="124"/>
      <c r="G3529" s="124"/>
      <c r="H3529" s="124"/>
      <c r="I3529" s="124"/>
      <c r="J3529" s="124"/>
      <c r="K3529" s="124"/>
      <c r="L3529" s="124"/>
      <c r="M3529" s="124"/>
      <c r="N3529" s="124"/>
      <c r="O3529" s="124"/>
      <c r="P3529" s="124"/>
      <c r="Q3529" s="124"/>
      <c r="R3529" s="124"/>
      <c r="S3529" s="124"/>
      <c r="T3529" s="124"/>
      <c r="U3529" s="124"/>
      <c r="V3529" s="124"/>
      <c r="W3529" s="124"/>
      <c r="X3529" s="124"/>
      <c r="Y3529" s="124"/>
    </row>
    <row r="3530" spans="2:25" x14ac:dyDescent="0.25">
      <c r="B3530" s="124"/>
      <c r="C3530" s="124"/>
      <c r="D3530" s="124"/>
      <c r="E3530" s="124"/>
      <c r="F3530" s="124"/>
      <c r="G3530" s="124"/>
      <c r="H3530" s="124"/>
      <c r="I3530" s="124"/>
      <c r="J3530" s="124"/>
      <c r="K3530" s="124"/>
      <c r="L3530" s="124"/>
      <c r="M3530" s="124"/>
      <c r="N3530" s="124"/>
      <c r="O3530" s="124"/>
      <c r="P3530" s="124"/>
      <c r="Q3530" s="124"/>
      <c r="R3530" s="124"/>
      <c r="S3530" s="124"/>
      <c r="T3530" s="124"/>
      <c r="U3530" s="124"/>
      <c r="V3530" s="124"/>
      <c r="W3530" s="124"/>
      <c r="X3530" s="124"/>
      <c r="Y3530" s="124"/>
    </row>
    <row r="3531" spans="2:25" x14ac:dyDescent="0.25">
      <c r="B3531" s="124"/>
      <c r="C3531" s="124"/>
      <c r="D3531" s="124"/>
      <c r="E3531" s="124"/>
      <c r="F3531" s="124"/>
      <c r="G3531" s="124"/>
      <c r="H3531" s="124"/>
      <c r="I3531" s="124"/>
      <c r="J3531" s="124"/>
      <c r="K3531" s="124"/>
      <c r="L3531" s="124"/>
      <c r="M3531" s="124"/>
      <c r="N3531" s="124"/>
      <c r="O3531" s="124"/>
      <c r="P3531" s="124"/>
      <c r="Q3531" s="124"/>
      <c r="R3531" s="124"/>
      <c r="S3531" s="124"/>
      <c r="T3531" s="124"/>
      <c r="U3531" s="124"/>
      <c r="V3531" s="124"/>
      <c r="W3531" s="124"/>
      <c r="X3531" s="124"/>
      <c r="Y3531" s="124"/>
    </row>
    <row r="3532" spans="2:25" x14ac:dyDescent="0.25">
      <c r="B3532" s="124"/>
      <c r="C3532" s="124"/>
      <c r="D3532" s="124"/>
      <c r="E3532" s="124"/>
      <c r="F3532" s="124"/>
      <c r="G3532" s="124"/>
      <c r="H3532" s="124"/>
      <c r="I3532" s="124"/>
      <c r="J3532" s="124"/>
      <c r="K3532" s="124"/>
      <c r="L3532" s="124"/>
      <c r="M3532" s="124"/>
      <c r="N3532" s="124"/>
      <c r="O3532" s="124"/>
      <c r="P3532" s="124"/>
      <c r="Q3532" s="124"/>
      <c r="R3532" s="124"/>
      <c r="S3532" s="124"/>
      <c r="T3532" s="124"/>
      <c r="U3532" s="124"/>
      <c r="V3532" s="124"/>
      <c r="W3532" s="124"/>
      <c r="X3532" s="124"/>
      <c r="Y3532" s="124"/>
    </row>
    <row r="3533" spans="2:25" x14ac:dyDescent="0.25">
      <c r="B3533" s="124"/>
      <c r="C3533" s="124"/>
      <c r="D3533" s="124"/>
      <c r="E3533" s="124"/>
      <c r="F3533" s="124"/>
      <c r="G3533" s="124"/>
      <c r="H3533" s="124"/>
      <c r="I3533" s="124"/>
      <c r="J3533" s="124"/>
      <c r="K3533" s="124"/>
      <c r="L3533" s="124"/>
      <c r="M3533" s="124"/>
      <c r="N3533" s="124"/>
      <c r="O3533" s="124"/>
      <c r="P3533" s="124"/>
      <c r="Q3533" s="124"/>
      <c r="R3533" s="124"/>
      <c r="S3533" s="124"/>
      <c r="T3533" s="124"/>
      <c r="U3533" s="124"/>
      <c r="V3533" s="124"/>
      <c r="W3533" s="124"/>
      <c r="X3533" s="124"/>
      <c r="Y3533" s="124"/>
    </row>
    <row r="3534" spans="2:25" x14ac:dyDescent="0.25">
      <c r="B3534" s="124"/>
      <c r="C3534" s="124"/>
      <c r="D3534" s="124"/>
      <c r="E3534" s="124"/>
      <c r="F3534" s="124"/>
      <c r="G3534" s="124"/>
      <c r="H3534" s="124"/>
      <c r="I3534" s="124"/>
      <c r="J3534" s="124"/>
      <c r="K3534" s="124"/>
      <c r="L3534" s="124"/>
      <c r="M3534" s="124"/>
      <c r="N3534" s="124"/>
      <c r="O3534" s="124"/>
      <c r="P3534" s="124"/>
      <c r="Q3534" s="124"/>
      <c r="R3534" s="124"/>
      <c r="S3534" s="124"/>
      <c r="T3534" s="124"/>
      <c r="U3534" s="124"/>
      <c r="V3534" s="124"/>
      <c r="W3534" s="124"/>
      <c r="X3534" s="124"/>
      <c r="Y3534" s="124"/>
    </row>
    <row r="3535" spans="2:25" x14ac:dyDescent="0.25">
      <c r="B3535" s="124"/>
      <c r="C3535" s="124"/>
      <c r="D3535" s="124"/>
      <c r="E3535" s="124"/>
      <c r="F3535" s="124"/>
      <c r="G3535" s="124"/>
      <c r="H3535" s="124"/>
      <c r="I3535" s="124"/>
      <c r="J3535" s="124"/>
      <c r="K3535" s="124"/>
      <c r="L3535" s="124"/>
      <c r="M3535" s="124"/>
      <c r="N3535" s="124"/>
      <c r="O3535" s="124"/>
      <c r="P3535" s="124"/>
      <c r="Q3535" s="124"/>
      <c r="R3535" s="124"/>
      <c r="S3535" s="124"/>
      <c r="T3535" s="124"/>
      <c r="U3535" s="124"/>
      <c r="V3535" s="124"/>
      <c r="W3535" s="124"/>
      <c r="X3535" s="124"/>
      <c r="Y3535" s="124"/>
    </row>
    <row r="3536" spans="2:25" x14ac:dyDescent="0.25">
      <c r="B3536" s="124"/>
      <c r="C3536" s="124"/>
      <c r="D3536" s="124"/>
      <c r="E3536" s="124"/>
      <c r="F3536" s="124"/>
      <c r="G3536" s="124"/>
      <c r="H3536" s="124"/>
      <c r="I3536" s="124"/>
      <c r="J3536" s="124"/>
      <c r="K3536" s="124"/>
      <c r="L3536" s="124"/>
      <c r="M3536" s="124"/>
      <c r="N3536" s="124"/>
      <c r="O3536" s="124"/>
      <c r="P3536" s="124"/>
      <c r="Q3536" s="124"/>
      <c r="R3536" s="124"/>
      <c r="S3536" s="124"/>
      <c r="T3536" s="124"/>
      <c r="U3536" s="124"/>
      <c r="V3536" s="124"/>
      <c r="W3536" s="124"/>
      <c r="X3536" s="124"/>
      <c r="Y3536" s="124"/>
    </row>
    <row r="3537" spans="2:25" x14ac:dyDescent="0.25">
      <c r="B3537" s="124"/>
      <c r="C3537" s="124"/>
      <c r="D3537" s="124"/>
      <c r="E3537" s="124"/>
      <c r="F3537" s="124"/>
      <c r="G3537" s="124"/>
      <c r="H3537" s="124"/>
      <c r="I3537" s="124"/>
      <c r="J3537" s="124"/>
      <c r="K3537" s="124"/>
      <c r="L3537" s="124"/>
      <c r="M3537" s="124"/>
      <c r="N3537" s="124"/>
      <c r="O3537" s="124"/>
      <c r="P3537" s="124"/>
      <c r="Q3537" s="124"/>
      <c r="R3537" s="124"/>
      <c r="S3537" s="124"/>
      <c r="T3537" s="124"/>
      <c r="U3537" s="124"/>
      <c r="V3537" s="124"/>
      <c r="W3537" s="124"/>
      <c r="X3537" s="124"/>
      <c r="Y3537" s="124"/>
    </row>
    <row r="3538" spans="2:25" x14ac:dyDescent="0.25">
      <c r="B3538" s="124"/>
      <c r="C3538" s="124"/>
      <c r="D3538" s="124"/>
      <c r="E3538" s="124"/>
      <c r="F3538" s="124"/>
      <c r="G3538" s="124"/>
      <c r="H3538" s="124"/>
      <c r="I3538" s="124"/>
      <c r="J3538" s="124"/>
      <c r="K3538" s="124"/>
      <c r="L3538" s="124"/>
      <c r="M3538" s="124"/>
      <c r="N3538" s="124"/>
      <c r="O3538" s="124"/>
      <c r="P3538" s="124"/>
      <c r="Q3538" s="124"/>
      <c r="R3538" s="124"/>
      <c r="S3538" s="124"/>
      <c r="T3538" s="124"/>
      <c r="U3538" s="124"/>
      <c r="V3538" s="124"/>
      <c r="W3538" s="124"/>
      <c r="X3538" s="124"/>
      <c r="Y3538" s="124"/>
    </row>
    <row r="3539" spans="2:25" x14ac:dyDescent="0.25">
      <c r="B3539" s="124"/>
      <c r="C3539" s="124"/>
      <c r="D3539" s="124"/>
      <c r="E3539" s="124"/>
      <c r="F3539" s="124"/>
      <c r="G3539" s="124"/>
      <c r="H3539" s="124"/>
      <c r="I3539" s="124"/>
      <c r="J3539" s="124"/>
      <c r="K3539" s="124"/>
      <c r="L3539" s="124"/>
      <c r="M3539" s="124"/>
      <c r="N3539" s="124"/>
      <c r="O3539" s="124"/>
      <c r="P3539" s="124"/>
      <c r="Q3539" s="124"/>
      <c r="R3539" s="124"/>
      <c r="S3539" s="124"/>
      <c r="T3539" s="124"/>
      <c r="U3539" s="124"/>
      <c r="V3539" s="124"/>
      <c r="W3539" s="124"/>
      <c r="X3539" s="124"/>
      <c r="Y3539" s="124"/>
    </row>
    <row r="3540" spans="2:25" x14ac:dyDescent="0.25">
      <c r="B3540" s="124"/>
      <c r="C3540" s="124"/>
      <c r="D3540" s="124"/>
      <c r="E3540" s="124"/>
      <c r="F3540" s="124"/>
      <c r="G3540" s="124"/>
      <c r="H3540" s="124"/>
      <c r="I3540" s="124"/>
      <c r="J3540" s="124"/>
      <c r="K3540" s="124"/>
      <c r="L3540" s="124"/>
      <c r="M3540" s="124"/>
      <c r="N3540" s="124"/>
      <c r="O3540" s="124"/>
      <c r="P3540" s="124"/>
      <c r="Q3540" s="124"/>
      <c r="R3540" s="124"/>
      <c r="S3540" s="124"/>
      <c r="T3540" s="124"/>
      <c r="U3540" s="124"/>
      <c r="V3540" s="124"/>
      <c r="W3540" s="124"/>
      <c r="X3540" s="124"/>
      <c r="Y3540" s="124"/>
    </row>
    <row r="3541" spans="2:25" x14ac:dyDescent="0.25">
      <c r="B3541" s="124"/>
      <c r="C3541" s="124"/>
      <c r="D3541" s="124"/>
      <c r="E3541" s="124"/>
      <c r="F3541" s="124"/>
      <c r="G3541" s="124"/>
      <c r="H3541" s="124"/>
      <c r="I3541" s="124"/>
      <c r="J3541" s="124"/>
      <c r="K3541" s="124"/>
      <c r="L3541" s="124"/>
      <c r="M3541" s="124"/>
      <c r="N3541" s="124"/>
      <c r="O3541" s="124"/>
      <c r="P3541" s="124"/>
      <c r="Q3541" s="124"/>
      <c r="R3541" s="124"/>
      <c r="S3541" s="124"/>
      <c r="T3541" s="124"/>
      <c r="U3541" s="124"/>
      <c r="V3541" s="124"/>
      <c r="W3541" s="124"/>
      <c r="X3541" s="124"/>
      <c r="Y3541" s="124"/>
    </row>
    <row r="3542" spans="2:25" x14ac:dyDescent="0.25">
      <c r="B3542" s="124"/>
      <c r="C3542" s="124"/>
      <c r="D3542" s="124"/>
      <c r="E3542" s="124"/>
      <c r="F3542" s="124"/>
      <c r="G3542" s="124"/>
      <c r="H3542" s="124"/>
      <c r="I3542" s="124"/>
      <c r="J3542" s="124"/>
      <c r="K3542" s="124"/>
      <c r="L3542" s="124"/>
      <c r="M3542" s="124"/>
      <c r="N3542" s="124"/>
      <c r="O3542" s="124"/>
      <c r="P3542" s="124"/>
      <c r="Q3542" s="124"/>
      <c r="R3542" s="124"/>
      <c r="S3542" s="124"/>
      <c r="T3542" s="124"/>
      <c r="U3542" s="124"/>
      <c r="V3542" s="124"/>
      <c r="W3542" s="124"/>
      <c r="X3542" s="124"/>
      <c r="Y3542" s="124"/>
    </row>
    <row r="3543" spans="2:25" x14ac:dyDescent="0.25">
      <c r="B3543" s="124"/>
      <c r="C3543" s="124"/>
      <c r="D3543" s="124"/>
      <c r="E3543" s="124"/>
      <c r="F3543" s="124"/>
      <c r="G3543" s="124"/>
      <c r="H3543" s="124"/>
      <c r="I3543" s="124"/>
      <c r="J3543" s="124"/>
      <c r="K3543" s="124"/>
      <c r="L3543" s="124"/>
      <c r="M3543" s="124"/>
      <c r="N3543" s="124"/>
      <c r="O3543" s="124"/>
      <c r="P3543" s="124"/>
      <c r="Q3543" s="124"/>
      <c r="R3543" s="124"/>
      <c r="S3543" s="124"/>
      <c r="T3543" s="124"/>
      <c r="U3543" s="124"/>
      <c r="V3543" s="124"/>
      <c r="W3543" s="124"/>
      <c r="X3543" s="124"/>
      <c r="Y3543" s="124"/>
    </row>
    <row r="3544" spans="2:25" x14ac:dyDescent="0.25">
      <c r="B3544" s="124"/>
      <c r="C3544" s="124"/>
      <c r="D3544" s="124"/>
      <c r="E3544" s="124"/>
      <c r="F3544" s="124"/>
      <c r="G3544" s="124"/>
      <c r="H3544" s="124"/>
      <c r="I3544" s="124"/>
      <c r="J3544" s="124"/>
      <c r="K3544" s="124"/>
      <c r="L3544" s="124"/>
      <c r="M3544" s="124"/>
      <c r="N3544" s="124"/>
      <c r="O3544" s="124"/>
      <c r="P3544" s="124"/>
      <c r="Q3544" s="124"/>
      <c r="R3544" s="124"/>
      <c r="S3544" s="124"/>
      <c r="T3544" s="124"/>
      <c r="U3544" s="124"/>
      <c r="V3544" s="124"/>
      <c r="W3544" s="124"/>
      <c r="X3544" s="124"/>
      <c r="Y3544" s="124"/>
    </row>
    <row r="3545" spans="2:25" x14ac:dyDescent="0.25">
      <c r="B3545" s="124"/>
      <c r="C3545" s="124"/>
      <c r="D3545" s="124"/>
      <c r="E3545" s="124"/>
      <c r="F3545" s="124"/>
      <c r="G3545" s="124"/>
      <c r="H3545" s="124"/>
      <c r="I3545" s="124"/>
      <c r="J3545" s="124"/>
      <c r="K3545" s="124"/>
      <c r="L3545" s="124"/>
      <c r="M3545" s="124"/>
      <c r="N3545" s="124"/>
      <c r="O3545" s="124"/>
      <c r="P3545" s="124"/>
      <c r="Q3545" s="124"/>
      <c r="R3545" s="124"/>
      <c r="S3545" s="124"/>
      <c r="T3545" s="124"/>
      <c r="U3545" s="124"/>
      <c r="V3545" s="124"/>
      <c r="W3545" s="124"/>
      <c r="X3545" s="124"/>
      <c r="Y3545" s="124"/>
    </row>
    <row r="3546" spans="2:25" x14ac:dyDescent="0.25">
      <c r="B3546" s="124"/>
      <c r="C3546" s="124"/>
      <c r="D3546" s="124"/>
      <c r="E3546" s="124"/>
      <c r="F3546" s="124"/>
      <c r="G3546" s="124"/>
      <c r="H3546" s="124"/>
      <c r="I3546" s="124"/>
      <c r="J3546" s="124"/>
      <c r="K3546" s="124"/>
      <c r="L3546" s="124"/>
      <c r="M3546" s="124"/>
      <c r="N3546" s="124"/>
      <c r="O3546" s="124"/>
      <c r="P3546" s="124"/>
      <c r="Q3546" s="124"/>
      <c r="R3546" s="124"/>
      <c r="S3546" s="124"/>
      <c r="T3546" s="124"/>
      <c r="U3546" s="124"/>
      <c r="V3546" s="124"/>
      <c r="W3546" s="124"/>
      <c r="X3546" s="124"/>
      <c r="Y3546" s="124"/>
    </row>
    <row r="3547" spans="2:25" x14ac:dyDescent="0.25">
      <c r="B3547" s="124"/>
      <c r="C3547" s="124"/>
      <c r="D3547" s="124"/>
      <c r="E3547" s="124"/>
      <c r="F3547" s="124"/>
      <c r="G3547" s="124"/>
      <c r="H3547" s="124"/>
      <c r="I3547" s="124"/>
      <c r="J3547" s="124"/>
      <c r="K3547" s="124"/>
      <c r="L3547" s="124"/>
      <c r="M3547" s="124"/>
      <c r="N3547" s="124"/>
      <c r="O3547" s="124"/>
      <c r="P3547" s="124"/>
      <c r="Q3547" s="124"/>
      <c r="R3547" s="124"/>
      <c r="S3547" s="124"/>
      <c r="T3547" s="124"/>
      <c r="U3547" s="124"/>
      <c r="V3547" s="124"/>
      <c r="W3547" s="124"/>
      <c r="X3547" s="124"/>
      <c r="Y3547" s="124"/>
    </row>
    <row r="3548" spans="2:25" x14ac:dyDescent="0.25">
      <c r="B3548" s="124"/>
      <c r="C3548" s="124"/>
      <c r="D3548" s="124"/>
      <c r="E3548" s="124"/>
      <c r="F3548" s="124"/>
      <c r="G3548" s="124"/>
      <c r="H3548" s="124"/>
      <c r="I3548" s="124"/>
      <c r="J3548" s="124"/>
      <c r="K3548" s="124"/>
      <c r="L3548" s="124"/>
      <c r="M3548" s="124"/>
      <c r="N3548" s="124"/>
      <c r="O3548" s="124"/>
      <c r="P3548" s="124"/>
      <c r="Q3548" s="124"/>
      <c r="R3548" s="124"/>
      <c r="S3548" s="124"/>
      <c r="T3548" s="124"/>
      <c r="U3548" s="124"/>
      <c r="V3548" s="124"/>
      <c r="W3548" s="124"/>
      <c r="X3548" s="124"/>
      <c r="Y3548" s="124"/>
    </row>
    <row r="3549" spans="2:25" x14ac:dyDescent="0.25">
      <c r="B3549" s="124"/>
      <c r="C3549" s="124"/>
      <c r="D3549" s="124"/>
      <c r="E3549" s="124"/>
      <c r="F3549" s="124"/>
      <c r="G3549" s="124"/>
      <c r="H3549" s="124"/>
      <c r="I3549" s="124"/>
      <c r="J3549" s="124"/>
      <c r="K3549" s="124"/>
      <c r="L3549" s="124"/>
      <c r="M3549" s="124"/>
      <c r="N3549" s="124"/>
      <c r="O3549" s="124"/>
      <c r="P3549" s="124"/>
      <c r="Q3549" s="124"/>
      <c r="R3549" s="124"/>
      <c r="S3549" s="124"/>
      <c r="T3549" s="124"/>
      <c r="U3549" s="124"/>
      <c r="V3549" s="124"/>
      <c r="W3549" s="124"/>
      <c r="X3549" s="124"/>
      <c r="Y3549" s="124"/>
    </row>
    <row r="3550" spans="2:25" x14ac:dyDescent="0.25">
      <c r="B3550" s="124"/>
      <c r="C3550" s="124"/>
      <c r="D3550" s="124"/>
      <c r="E3550" s="124"/>
      <c r="F3550" s="124"/>
      <c r="G3550" s="124"/>
      <c r="H3550" s="124"/>
      <c r="I3550" s="124"/>
      <c r="J3550" s="124"/>
      <c r="K3550" s="124"/>
      <c r="L3550" s="124"/>
      <c r="M3550" s="124"/>
      <c r="N3550" s="124"/>
      <c r="O3550" s="124"/>
      <c r="P3550" s="124"/>
      <c r="Q3550" s="124"/>
      <c r="R3550" s="124"/>
      <c r="S3550" s="124"/>
      <c r="T3550" s="124"/>
      <c r="U3550" s="124"/>
      <c r="V3550" s="124"/>
      <c r="W3550" s="124"/>
      <c r="X3550" s="124"/>
      <c r="Y3550" s="124"/>
    </row>
    <row r="3551" spans="2:25" x14ac:dyDescent="0.25">
      <c r="B3551" s="124"/>
      <c r="C3551" s="124"/>
      <c r="D3551" s="124"/>
      <c r="E3551" s="124"/>
      <c r="F3551" s="124"/>
      <c r="G3551" s="124"/>
      <c r="H3551" s="124"/>
      <c r="I3551" s="124"/>
      <c r="J3551" s="124"/>
      <c r="K3551" s="124"/>
      <c r="L3551" s="124"/>
      <c r="M3551" s="124"/>
      <c r="N3551" s="124"/>
      <c r="O3551" s="124"/>
      <c r="P3551" s="124"/>
      <c r="Q3551" s="124"/>
      <c r="R3551" s="124"/>
      <c r="S3551" s="124"/>
      <c r="T3551" s="124"/>
      <c r="U3551" s="124"/>
      <c r="V3551" s="124"/>
      <c r="W3551" s="124"/>
      <c r="X3551" s="124"/>
      <c r="Y3551" s="124"/>
    </row>
    <row r="3552" spans="2:25" x14ac:dyDescent="0.25">
      <c r="B3552" s="124"/>
      <c r="C3552" s="124"/>
      <c r="D3552" s="124"/>
      <c r="E3552" s="124"/>
      <c r="F3552" s="124"/>
      <c r="G3552" s="124"/>
      <c r="H3552" s="124"/>
      <c r="I3552" s="124"/>
      <c r="J3552" s="124"/>
      <c r="K3552" s="124"/>
      <c r="L3552" s="124"/>
      <c r="M3552" s="124"/>
      <c r="N3552" s="124"/>
      <c r="O3552" s="124"/>
      <c r="P3552" s="124"/>
      <c r="Q3552" s="124"/>
      <c r="R3552" s="124"/>
      <c r="S3552" s="124"/>
      <c r="T3552" s="124"/>
      <c r="U3552" s="124"/>
      <c r="V3552" s="124"/>
      <c r="W3552" s="124"/>
      <c r="X3552" s="124"/>
      <c r="Y3552" s="124"/>
    </row>
    <row r="3553" spans="2:25" x14ac:dyDescent="0.25">
      <c r="B3553" s="124"/>
      <c r="C3553" s="124"/>
      <c r="D3553" s="124"/>
      <c r="E3553" s="124"/>
      <c r="F3553" s="124"/>
      <c r="G3553" s="124"/>
      <c r="H3553" s="124"/>
      <c r="I3553" s="124"/>
      <c r="J3553" s="124"/>
      <c r="K3553" s="124"/>
      <c r="L3553" s="124"/>
      <c r="M3553" s="124"/>
      <c r="N3553" s="124"/>
      <c r="O3553" s="124"/>
      <c r="P3553" s="124"/>
      <c r="Q3553" s="124"/>
      <c r="R3553" s="124"/>
      <c r="S3553" s="124"/>
      <c r="T3553" s="124"/>
      <c r="U3553" s="124"/>
      <c r="V3553" s="124"/>
      <c r="W3553" s="124"/>
      <c r="X3553" s="124"/>
      <c r="Y3553" s="124"/>
    </row>
    <row r="3554" spans="2:25" x14ac:dyDescent="0.25">
      <c r="B3554" s="124"/>
      <c r="C3554" s="124"/>
      <c r="D3554" s="124"/>
      <c r="E3554" s="124"/>
      <c r="F3554" s="124"/>
      <c r="G3554" s="124"/>
      <c r="H3554" s="124"/>
      <c r="I3554" s="124"/>
      <c r="J3554" s="124"/>
      <c r="K3554" s="124"/>
      <c r="L3554" s="124"/>
      <c r="M3554" s="124"/>
      <c r="N3554" s="124"/>
      <c r="O3554" s="124"/>
      <c r="P3554" s="124"/>
      <c r="Q3554" s="124"/>
      <c r="R3554" s="124"/>
      <c r="S3554" s="124"/>
      <c r="T3554" s="124"/>
      <c r="U3554" s="124"/>
      <c r="V3554" s="124"/>
      <c r="W3554" s="124"/>
      <c r="X3554" s="124"/>
      <c r="Y3554" s="124"/>
    </row>
    <row r="3555" spans="2:25" x14ac:dyDescent="0.25">
      <c r="B3555" s="124"/>
      <c r="C3555" s="124"/>
      <c r="D3555" s="124"/>
      <c r="E3555" s="124"/>
      <c r="F3555" s="124"/>
      <c r="G3555" s="124"/>
      <c r="H3555" s="124"/>
      <c r="I3555" s="124"/>
      <c r="J3555" s="124"/>
      <c r="K3555" s="124"/>
      <c r="L3555" s="124"/>
      <c r="M3555" s="124"/>
      <c r="N3555" s="124"/>
      <c r="O3555" s="124"/>
      <c r="P3555" s="124"/>
      <c r="Q3555" s="124"/>
      <c r="R3555" s="124"/>
      <c r="S3555" s="124"/>
      <c r="T3555" s="124"/>
      <c r="U3555" s="124"/>
      <c r="V3555" s="124"/>
      <c r="W3555" s="124"/>
      <c r="X3555" s="124"/>
      <c r="Y3555" s="124"/>
    </row>
    <row r="3556" spans="2:25" x14ac:dyDescent="0.25">
      <c r="B3556" s="124"/>
      <c r="C3556" s="124"/>
      <c r="D3556" s="124"/>
      <c r="E3556" s="124"/>
      <c r="F3556" s="124"/>
      <c r="G3556" s="124"/>
      <c r="H3556" s="124"/>
      <c r="I3556" s="124"/>
      <c r="J3556" s="124"/>
      <c r="K3556" s="124"/>
      <c r="L3556" s="124"/>
      <c r="M3556" s="124"/>
      <c r="N3556" s="124"/>
      <c r="O3556" s="124"/>
      <c r="P3556" s="124"/>
      <c r="Q3556" s="124"/>
      <c r="R3556" s="124"/>
      <c r="S3556" s="124"/>
      <c r="T3556" s="124"/>
      <c r="U3556" s="124"/>
      <c r="V3556" s="124"/>
      <c r="W3556" s="124"/>
      <c r="X3556" s="124"/>
      <c r="Y3556" s="124"/>
    </row>
    <row r="3557" spans="2:25" x14ac:dyDescent="0.25">
      <c r="B3557" s="124"/>
      <c r="C3557" s="124"/>
      <c r="D3557" s="124"/>
      <c r="E3557" s="124"/>
      <c r="F3557" s="124"/>
      <c r="G3557" s="124"/>
      <c r="H3557" s="124"/>
      <c r="I3557" s="124"/>
      <c r="J3557" s="124"/>
      <c r="K3557" s="124"/>
      <c r="L3557" s="124"/>
      <c r="M3557" s="124"/>
      <c r="N3557" s="124"/>
      <c r="O3557" s="124"/>
      <c r="P3557" s="124"/>
      <c r="Q3557" s="124"/>
      <c r="R3557" s="124"/>
      <c r="S3557" s="124"/>
      <c r="T3557" s="124"/>
      <c r="U3557" s="124"/>
      <c r="V3557" s="124"/>
      <c r="W3557" s="124"/>
      <c r="X3557" s="124"/>
      <c r="Y3557" s="124"/>
    </row>
    <row r="3558" spans="2:25" x14ac:dyDescent="0.25">
      <c r="B3558" s="124"/>
      <c r="C3558" s="124"/>
      <c r="D3558" s="124"/>
      <c r="E3558" s="124"/>
      <c r="F3558" s="124"/>
      <c r="G3558" s="124"/>
      <c r="H3558" s="124"/>
      <c r="I3558" s="124"/>
      <c r="J3558" s="124"/>
      <c r="K3558" s="124"/>
      <c r="L3558" s="124"/>
      <c r="M3558" s="124"/>
      <c r="N3558" s="124"/>
      <c r="O3558" s="124"/>
      <c r="P3558" s="124"/>
      <c r="Q3558" s="124"/>
      <c r="R3558" s="124"/>
      <c r="S3558" s="124"/>
      <c r="T3558" s="124"/>
      <c r="U3558" s="124"/>
      <c r="V3558" s="124"/>
      <c r="W3558" s="124"/>
      <c r="X3558" s="124"/>
      <c r="Y3558" s="124"/>
    </row>
    <row r="3559" spans="2:25" x14ac:dyDescent="0.25">
      <c r="B3559" s="124"/>
      <c r="C3559" s="124"/>
      <c r="D3559" s="124"/>
      <c r="E3559" s="124"/>
      <c r="F3559" s="124"/>
      <c r="G3559" s="124"/>
      <c r="H3559" s="124"/>
      <c r="I3559" s="124"/>
      <c r="J3559" s="124"/>
      <c r="K3559" s="124"/>
      <c r="L3559" s="124"/>
      <c r="M3559" s="124"/>
      <c r="N3559" s="124"/>
      <c r="O3559" s="124"/>
      <c r="P3559" s="124"/>
      <c r="Q3559" s="124"/>
      <c r="R3559" s="124"/>
      <c r="S3559" s="124"/>
      <c r="T3559" s="124"/>
      <c r="U3559" s="124"/>
      <c r="V3559" s="124"/>
      <c r="W3559" s="124"/>
      <c r="X3559" s="124"/>
      <c r="Y3559" s="124"/>
    </row>
    <row r="3560" spans="2:25" x14ac:dyDescent="0.25">
      <c r="B3560" s="124"/>
      <c r="C3560" s="124"/>
      <c r="D3560" s="124"/>
      <c r="E3560" s="124"/>
      <c r="F3560" s="124"/>
      <c r="G3560" s="124"/>
      <c r="H3560" s="124"/>
      <c r="I3560" s="124"/>
      <c r="J3560" s="124"/>
      <c r="K3560" s="124"/>
      <c r="L3560" s="124"/>
      <c r="M3560" s="124"/>
      <c r="N3560" s="124"/>
      <c r="O3560" s="124"/>
      <c r="P3560" s="124"/>
      <c r="Q3560" s="124"/>
      <c r="R3560" s="124"/>
      <c r="S3560" s="124"/>
      <c r="T3560" s="124"/>
      <c r="U3560" s="124"/>
      <c r="V3560" s="124"/>
      <c r="W3560" s="124"/>
      <c r="X3560" s="124"/>
      <c r="Y3560" s="124"/>
    </row>
    <row r="3561" spans="2:25" x14ac:dyDescent="0.25">
      <c r="B3561" s="124"/>
      <c r="C3561" s="124"/>
      <c r="D3561" s="124"/>
      <c r="E3561" s="124"/>
      <c r="F3561" s="124"/>
      <c r="G3561" s="124"/>
      <c r="H3561" s="124"/>
      <c r="I3561" s="124"/>
      <c r="J3561" s="124"/>
      <c r="K3561" s="124"/>
      <c r="L3561" s="124"/>
      <c r="M3561" s="124"/>
      <c r="N3561" s="124"/>
      <c r="O3561" s="124"/>
      <c r="P3561" s="124"/>
      <c r="Q3561" s="124"/>
      <c r="R3561" s="124"/>
      <c r="S3561" s="124"/>
      <c r="T3561" s="124"/>
      <c r="U3561" s="124"/>
      <c r="V3561" s="124"/>
      <c r="W3561" s="124"/>
      <c r="X3561" s="124"/>
      <c r="Y3561" s="124"/>
    </row>
    <row r="3562" spans="2:25" x14ac:dyDescent="0.25">
      <c r="B3562" s="124"/>
      <c r="C3562" s="124"/>
      <c r="D3562" s="124"/>
      <c r="E3562" s="124"/>
      <c r="F3562" s="124"/>
      <c r="G3562" s="124"/>
      <c r="H3562" s="124"/>
      <c r="I3562" s="124"/>
      <c r="J3562" s="124"/>
      <c r="K3562" s="124"/>
      <c r="L3562" s="124"/>
      <c r="M3562" s="124"/>
      <c r="N3562" s="124"/>
      <c r="O3562" s="124"/>
      <c r="P3562" s="124"/>
      <c r="Q3562" s="124"/>
      <c r="R3562" s="124"/>
      <c r="S3562" s="124"/>
      <c r="T3562" s="124"/>
      <c r="U3562" s="124"/>
      <c r="V3562" s="124"/>
      <c r="W3562" s="124"/>
      <c r="X3562" s="124"/>
      <c r="Y3562" s="124"/>
    </row>
    <row r="3563" spans="2:25" x14ac:dyDescent="0.25">
      <c r="B3563" s="124"/>
      <c r="C3563" s="124"/>
      <c r="D3563" s="124"/>
      <c r="E3563" s="124"/>
      <c r="F3563" s="124"/>
      <c r="G3563" s="124"/>
      <c r="H3563" s="124"/>
      <c r="I3563" s="124"/>
      <c r="J3563" s="124"/>
      <c r="K3563" s="124"/>
      <c r="L3563" s="124"/>
      <c r="M3563" s="124"/>
      <c r="N3563" s="124"/>
      <c r="O3563" s="124"/>
      <c r="P3563" s="124"/>
      <c r="Q3563" s="124"/>
      <c r="R3563" s="124"/>
      <c r="S3563" s="124"/>
      <c r="T3563" s="124"/>
      <c r="U3563" s="124"/>
      <c r="V3563" s="124"/>
      <c r="W3563" s="124"/>
      <c r="X3563" s="124"/>
      <c r="Y3563" s="124"/>
    </row>
    <row r="3564" spans="2:25" x14ac:dyDescent="0.25">
      <c r="B3564" s="124"/>
      <c r="C3564" s="124"/>
      <c r="D3564" s="124"/>
      <c r="E3564" s="124"/>
      <c r="F3564" s="124"/>
      <c r="G3564" s="124"/>
      <c r="H3564" s="124"/>
      <c r="I3564" s="124"/>
      <c r="J3564" s="124"/>
      <c r="K3564" s="124"/>
      <c r="L3564" s="124"/>
      <c r="M3564" s="124"/>
      <c r="N3564" s="124"/>
      <c r="O3564" s="124"/>
      <c r="P3564" s="124"/>
      <c r="Q3564" s="124"/>
      <c r="R3564" s="124"/>
      <c r="S3564" s="124"/>
      <c r="T3564" s="124"/>
      <c r="U3564" s="124"/>
      <c r="V3564" s="124"/>
      <c r="W3564" s="124"/>
      <c r="X3564" s="124"/>
      <c r="Y3564" s="124"/>
    </row>
    <row r="3565" spans="2:25" x14ac:dyDescent="0.25">
      <c r="B3565" s="124"/>
      <c r="C3565" s="124"/>
      <c r="D3565" s="124"/>
      <c r="E3565" s="124"/>
      <c r="F3565" s="124"/>
      <c r="G3565" s="124"/>
      <c r="H3565" s="124"/>
      <c r="I3565" s="124"/>
      <c r="J3565" s="124"/>
      <c r="K3565" s="124"/>
      <c r="L3565" s="124"/>
      <c r="M3565" s="124"/>
      <c r="N3565" s="124"/>
      <c r="O3565" s="124"/>
      <c r="P3565" s="124"/>
      <c r="Q3565" s="124"/>
      <c r="R3565" s="124"/>
      <c r="S3565" s="124"/>
      <c r="T3565" s="124"/>
      <c r="U3565" s="124"/>
      <c r="V3565" s="124"/>
      <c r="W3565" s="124"/>
      <c r="X3565" s="124"/>
      <c r="Y3565" s="124"/>
    </row>
    <row r="3566" spans="2:25" x14ac:dyDescent="0.25">
      <c r="B3566" s="124"/>
      <c r="C3566" s="124"/>
      <c r="D3566" s="124"/>
      <c r="E3566" s="124"/>
      <c r="F3566" s="124"/>
      <c r="G3566" s="124"/>
      <c r="H3566" s="124"/>
      <c r="I3566" s="124"/>
      <c r="J3566" s="124"/>
      <c r="K3566" s="124"/>
      <c r="L3566" s="124"/>
      <c r="M3566" s="124"/>
      <c r="N3566" s="124"/>
      <c r="O3566" s="124"/>
      <c r="P3566" s="124"/>
      <c r="Q3566" s="124"/>
      <c r="R3566" s="124"/>
      <c r="S3566" s="124"/>
      <c r="T3566" s="124"/>
      <c r="U3566" s="124"/>
      <c r="V3566" s="124"/>
      <c r="W3566" s="124"/>
      <c r="X3566" s="124"/>
      <c r="Y3566" s="124"/>
    </row>
    <row r="3567" spans="2:25" x14ac:dyDescent="0.25">
      <c r="B3567" s="124"/>
      <c r="C3567" s="124"/>
      <c r="D3567" s="124"/>
      <c r="E3567" s="124"/>
      <c r="F3567" s="124"/>
      <c r="G3567" s="124"/>
      <c r="H3567" s="124"/>
      <c r="I3567" s="124"/>
      <c r="J3567" s="124"/>
      <c r="K3567" s="124"/>
      <c r="L3567" s="124"/>
      <c r="M3567" s="124"/>
      <c r="N3567" s="124"/>
      <c r="O3567" s="124"/>
      <c r="P3567" s="124"/>
      <c r="Q3567" s="124"/>
      <c r="R3567" s="124"/>
      <c r="S3567" s="124"/>
      <c r="T3567" s="124"/>
      <c r="U3567" s="124"/>
      <c r="V3567" s="124"/>
      <c r="W3567" s="124"/>
      <c r="X3567" s="124"/>
      <c r="Y3567" s="124"/>
    </row>
    <row r="3568" spans="2:25" x14ac:dyDescent="0.25">
      <c r="B3568" s="124"/>
      <c r="C3568" s="124"/>
      <c r="D3568" s="124"/>
      <c r="E3568" s="124"/>
      <c r="F3568" s="124"/>
      <c r="G3568" s="124"/>
      <c r="H3568" s="124"/>
      <c r="I3568" s="124"/>
      <c r="J3568" s="124"/>
      <c r="K3568" s="124"/>
      <c r="L3568" s="124"/>
      <c r="M3568" s="124"/>
      <c r="N3568" s="124"/>
      <c r="O3568" s="124"/>
      <c r="P3568" s="124"/>
      <c r="Q3568" s="124"/>
      <c r="R3568" s="124"/>
      <c r="S3568" s="124"/>
      <c r="T3568" s="124"/>
      <c r="U3568" s="124"/>
      <c r="V3568" s="124"/>
      <c r="W3568" s="124"/>
      <c r="X3568" s="124"/>
      <c r="Y3568" s="124"/>
    </row>
    <row r="3569" spans="2:25" x14ac:dyDescent="0.25">
      <c r="B3569" s="124"/>
      <c r="C3569" s="124"/>
      <c r="D3569" s="124"/>
      <c r="E3569" s="124"/>
      <c r="F3569" s="124"/>
      <c r="G3569" s="124"/>
      <c r="H3569" s="124"/>
      <c r="I3569" s="124"/>
      <c r="J3569" s="124"/>
      <c r="K3569" s="124"/>
      <c r="L3569" s="124"/>
      <c r="M3569" s="124"/>
      <c r="N3569" s="124"/>
      <c r="O3569" s="124"/>
      <c r="P3569" s="124"/>
      <c r="Q3569" s="124"/>
      <c r="R3569" s="124"/>
      <c r="S3569" s="124"/>
      <c r="T3569" s="124"/>
      <c r="U3569" s="124"/>
      <c r="V3569" s="124"/>
      <c r="W3569" s="124"/>
      <c r="X3569" s="124"/>
      <c r="Y3569" s="124"/>
    </row>
    <row r="3570" spans="2:25" x14ac:dyDescent="0.25">
      <c r="B3570" s="124"/>
      <c r="C3570" s="124"/>
      <c r="D3570" s="124"/>
      <c r="E3570" s="124"/>
      <c r="F3570" s="124"/>
      <c r="G3570" s="124"/>
      <c r="H3570" s="124"/>
      <c r="I3570" s="124"/>
      <c r="J3570" s="124"/>
      <c r="K3570" s="124"/>
      <c r="L3570" s="124"/>
      <c r="M3570" s="124"/>
      <c r="N3570" s="124"/>
      <c r="O3570" s="124"/>
      <c r="P3570" s="124"/>
      <c r="Q3570" s="124"/>
      <c r="R3570" s="124"/>
      <c r="S3570" s="124"/>
      <c r="T3570" s="124"/>
      <c r="U3570" s="124"/>
      <c r="V3570" s="124"/>
      <c r="W3570" s="124"/>
      <c r="X3570" s="124"/>
      <c r="Y3570" s="124"/>
    </row>
    <row r="3571" spans="2:25" x14ac:dyDescent="0.25">
      <c r="B3571" s="124"/>
      <c r="C3571" s="124"/>
      <c r="D3571" s="124"/>
      <c r="E3571" s="124"/>
      <c r="F3571" s="124"/>
      <c r="G3571" s="124"/>
      <c r="H3571" s="124"/>
      <c r="I3571" s="124"/>
      <c r="J3571" s="124"/>
      <c r="K3571" s="124"/>
      <c r="L3571" s="124"/>
      <c r="M3571" s="124"/>
      <c r="N3571" s="124"/>
      <c r="O3571" s="124"/>
      <c r="P3571" s="124"/>
      <c r="Q3571" s="124"/>
      <c r="R3571" s="124"/>
      <c r="S3571" s="124"/>
      <c r="T3571" s="124"/>
      <c r="U3571" s="124"/>
      <c r="V3571" s="124"/>
      <c r="W3571" s="124"/>
      <c r="X3571" s="124"/>
      <c r="Y3571" s="124"/>
    </row>
    <row r="3572" spans="2:25" x14ac:dyDescent="0.25">
      <c r="B3572" s="124"/>
      <c r="C3572" s="124"/>
      <c r="D3572" s="124"/>
      <c r="E3572" s="124"/>
      <c r="F3572" s="124"/>
      <c r="G3572" s="124"/>
      <c r="H3572" s="124"/>
      <c r="I3572" s="124"/>
      <c r="J3572" s="124"/>
      <c r="K3572" s="124"/>
      <c r="L3572" s="124"/>
      <c r="M3572" s="124"/>
      <c r="N3572" s="124"/>
      <c r="O3572" s="124"/>
      <c r="P3572" s="124"/>
      <c r="Q3572" s="124"/>
      <c r="R3572" s="124"/>
      <c r="S3572" s="124"/>
      <c r="T3572" s="124"/>
      <c r="U3572" s="124"/>
      <c r="V3572" s="124"/>
      <c r="W3572" s="124"/>
      <c r="X3572" s="124"/>
      <c r="Y3572" s="124"/>
    </row>
    <row r="3573" spans="2:25" x14ac:dyDescent="0.25">
      <c r="B3573" s="124"/>
      <c r="C3573" s="124"/>
      <c r="D3573" s="124"/>
      <c r="E3573" s="124"/>
      <c r="F3573" s="124"/>
      <c r="G3573" s="124"/>
      <c r="H3573" s="124"/>
      <c r="I3573" s="124"/>
      <c r="J3573" s="124"/>
      <c r="K3573" s="124"/>
      <c r="L3573" s="124"/>
      <c r="M3573" s="124"/>
      <c r="N3573" s="124"/>
      <c r="O3573" s="124"/>
      <c r="P3573" s="124"/>
      <c r="Q3573" s="124"/>
      <c r="R3573" s="124"/>
      <c r="S3573" s="124"/>
      <c r="T3573" s="124"/>
      <c r="U3573" s="124"/>
      <c r="V3573" s="124"/>
      <c r="W3573" s="124"/>
      <c r="X3573" s="124"/>
      <c r="Y3573" s="124"/>
    </row>
    <row r="3574" spans="2:25" x14ac:dyDescent="0.25">
      <c r="B3574" s="124"/>
      <c r="C3574" s="124"/>
      <c r="D3574" s="124"/>
      <c r="E3574" s="124"/>
      <c r="F3574" s="124"/>
      <c r="G3574" s="124"/>
      <c r="H3574" s="124"/>
      <c r="I3574" s="124"/>
      <c r="J3574" s="124"/>
      <c r="K3574" s="124"/>
      <c r="L3574" s="124"/>
      <c r="M3574" s="124"/>
      <c r="N3574" s="124"/>
      <c r="O3574" s="124"/>
      <c r="P3574" s="124"/>
      <c r="Q3574" s="124"/>
      <c r="R3574" s="124"/>
      <c r="S3574" s="124"/>
      <c r="T3574" s="124"/>
      <c r="U3574" s="124"/>
      <c r="V3574" s="124"/>
      <c r="W3574" s="124"/>
      <c r="X3574" s="124"/>
      <c r="Y3574" s="124"/>
    </row>
    <row r="3575" spans="2:25" x14ac:dyDescent="0.25">
      <c r="B3575" s="124"/>
      <c r="C3575" s="124"/>
      <c r="D3575" s="124"/>
      <c r="E3575" s="124"/>
      <c r="F3575" s="124"/>
      <c r="G3575" s="124"/>
      <c r="H3575" s="124"/>
      <c r="I3575" s="124"/>
      <c r="J3575" s="124"/>
      <c r="K3575" s="124"/>
      <c r="L3575" s="124"/>
      <c r="M3575" s="124"/>
      <c r="N3575" s="124"/>
      <c r="O3575" s="124"/>
      <c r="P3575" s="124"/>
      <c r="Q3575" s="124"/>
      <c r="R3575" s="124"/>
      <c r="S3575" s="124"/>
      <c r="T3575" s="124"/>
      <c r="U3575" s="124"/>
      <c r="V3575" s="124"/>
      <c r="W3575" s="124"/>
      <c r="X3575" s="124"/>
      <c r="Y3575" s="124"/>
    </row>
    <row r="3576" spans="2:25" x14ac:dyDescent="0.25">
      <c r="B3576" s="124"/>
      <c r="C3576" s="124"/>
      <c r="D3576" s="124"/>
      <c r="E3576" s="124"/>
      <c r="F3576" s="124"/>
      <c r="G3576" s="124"/>
      <c r="H3576" s="124"/>
      <c r="I3576" s="124"/>
      <c r="J3576" s="124"/>
      <c r="K3576" s="124"/>
      <c r="L3576" s="124"/>
      <c r="M3576" s="124"/>
      <c r="N3576" s="124"/>
      <c r="O3576" s="124"/>
      <c r="P3576" s="124"/>
      <c r="Q3576" s="124"/>
      <c r="R3576" s="124"/>
      <c r="S3576" s="124"/>
      <c r="T3576" s="124"/>
      <c r="U3576" s="124"/>
      <c r="V3576" s="124"/>
      <c r="W3576" s="124"/>
      <c r="X3576" s="124"/>
      <c r="Y3576" s="124"/>
    </row>
    <row r="3577" spans="2:25" x14ac:dyDescent="0.25">
      <c r="B3577" s="124"/>
      <c r="C3577" s="124"/>
      <c r="D3577" s="124"/>
      <c r="E3577" s="124"/>
      <c r="F3577" s="124"/>
      <c r="G3577" s="124"/>
      <c r="H3577" s="124"/>
      <c r="I3577" s="124"/>
      <c r="J3577" s="124"/>
      <c r="K3577" s="124"/>
      <c r="L3577" s="124"/>
      <c r="M3577" s="124"/>
      <c r="N3577" s="124"/>
      <c r="O3577" s="124"/>
      <c r="P3577" s="124"/>
      <c r="Q3577" s="124"/>
      <c r="R3577" s="124"/>
      <c r="S3577" s="124"/>
      <c r="T3577" s="124"/>
      <c r="U3577" s="124"/>
      <c r="V3577" s="124"/>
      <c r="W3577" s="124"/>
      <c r="X3577" s="124"/>
      <c r="Y3577" s="124"/>
    </row>
    <row r="3578" spans="2:25" x14ac:dyDescent="0.25">
      <c r="B3578" s="124"/>
      <c r="C3578" s="124"/>
      <c r="D3578" s="124"/>
      <c r="E3578" s="124"/>
      <c r="F3578" s="124"/>
      <c r="G3578" s="124"/>
      <c r="H3578" s="124"/>
      <c r="I3578" s="124"/>
      <c r="J3578" s="124"/>
      <c r="K3578" s="124"/>
      <c r="L3578" s="124"/>
      <c r="M3578" s="124"/>
      <c r="N3578" s="124"/>
      <c r="O3578" s="124"/>
      <c r="P3578" s="124"/>
      <c r="Q3578" s="124"/>
      <c r="R3578" s="124"/>
      <c r="S3578" s="124"/>
      <c r="T3578" s="124"/>
      <c r="U3578" s="124"/>
      <c r="V3578" s="124"/>
      <c r="W3578" s="124"/>
      <c r="X3578" s="124"/>
      <c r="Y3578" s="124"/>
    </row>
    <row r="3579" spans="2:25" x14ac:dyDescent="0.25">
      <c r="B3579" s="124"/>
      <c r="C3579" s="124"/>
      <c r="D3579" s="124"/>
      <c r="E3579" s="124"/>
      <c r="F3579" s="124"/>
      <c r="G3579" s="124"/>
      <c r="H3579" s="124"/>
      <c r="I3579" s="124"/>
      <c r="J3579" s="124"/>
      <c r="K3579" s="124"/>
      <c r="L3579" s="124"/>
      <c r="M3579" s="124"/>
      <c r="N3579" s="124"/>
      <c r="O3579" s="124"/>
      <c r="P3579" s="124"/>
      <c r="Q3579" s="124"/>
      <c r="R3579" s="124"/>
      <c r="S3579" s="124"/>
      <c r="T3579" s="124"/>
      <c r="U3579" s="124"/>
      <c r="V3579" s="124"/>
      <c r="W3579" s="124"/>
      <c r="X3579" s="124"/>
      <c r="Y3579" s="124"/>
    </row>
    <row r="3580" spans="2:25" x14ac:dyDescent="0.25">
      <c r="B3580" s="124"/>
      <c r="C3580" s="124"/>
      <c r="D3580" s="124"/>
      <c r="E3580" s="124"/>
      <c r="F3580" s="124"/>
      <c r="G3580" s="124"/>
      <c r="H3580" s="124"/>
      <c r="I3580" s="124"/>
      <c r="J3580" s="124"/>
      <c r="K3580" s="124"/>
      <c r="L3580" s="124"/>
      <c r="M3580" s="124"/>
      <c r="N3580" s="124"/>
      <c r="O3580" s="124"/>
      <c r="P3580" s="124"/>
      <c r="Q3580" s="124"/>
      <c r="R3580" s="124"/>
      <c r="S3580" s="124"/>
      <c r="T3580" s="124"/>
      <c r="U3580" s="124"/>
      <c r="V3580" s="124"/>
      <c r="W3580" s="124"/>
      <c r="X3580" s="124"/>
      <c r="Y3580" s="124"/>
    </row>
    <row r="3581" spans="2:25" x14ac:dyDescent="0.25">
      <c r="B3581" s="124"/>
      <c r="C3581" s="124"/>
      <c r="D3581" s="124"/>
      <c r="E3581" s="124"/>
      <c r="F3581" s="124"/>
      <c r="G3581" s="124"/>
      <c r="H3581" s="124"/>
      <c r="I3581" s="124"/>
      <c r="J3581" s="124"/>
      <c r="K3581" s="124"/>
      <c r="L3581" s="124"/>
      <c r="M3581" s="124"/>
      <c r="N3581" s="124"/>
      <c r="O3581" s="124"/>
      <c r="P3581" s="124"/>
      <c r="Q3581" s="124"/>
      <c r="R3581" s="124"/>
      <c r="S3581" s="124"/>
      <c r="T3581" s="124"/>
      <c r="U3581" s="124"/>
      <c r="V3581" s="124"/>
      <c r="W3581" s="124"/>
      <c r="X3581" s="124"/>
      <c r="Y3581" s="124"/>
    </row>
    <row r="3582" spans="2:25" x14ac:dyDescent="0.25">
      <c r="B3582" s="124"/>
      <c r="C3582" s="124"/>
      <c r="D3582" s="124"/>
      <c r="E3582" s="124"/>
      <c r="F3582" s="124"/>
      <c r="G3582" s="124"/>
      <c r="H3582" s="124"/>
      <c r="I3582" s="124"/>
      <c r="J3582" s="124"/>
      <c r="K3582" s="124"/>
      <c r="L3582" s="124"/>
      <c r="M3582" s="124"/>
      <c r="N3582" s="124"/>
      <c r="O3582" s="124"/>
      <c r="P3582" s="124"/>
      <c r="Q3582" s="124"/>
      <c r="R3582" s="124"/>
      <c r="S3582" s="124"/>
      <c r="T3582" s="124"/>
      <c r="U3582" s="124"/>
      <c r="V3582" s="124"/>
      <c r="W3582" s="124"/>
      <c r="X3582" s="124"/>
      <c r="Y3582" s="124"/>
    </row>
    <row r="3583" spans="2:25" x14ac:dyDescent="0.25">
      <c r="B3583" s="124"/>
      <c r="C3583" s="124"/>
      <c r="D3583" s="124"/>
      <c r="E3583" s="124"/>
      <c r="F3583" s="124"/>
      <c r="G3583" s="124"/>
      <c r="H3583" s="124"/>
      <c r="I3583" s="124"/>
      <c r="J3583" s="124"/>
      <c r="K3583" s="124"/>
      <c r="L3583" s="124"/>
      <c r="M3583" s="124"/>
      <c r="N3583" s="124"/>
      <c r="O3583" s="124"/>
      <c r="P3583" s="124"/>
      <c r="Q3583" s="124"/>
      <c r="R3583" s="124"/>
      <c r="S3583" s="124"/>
      <c r="T3583" s="124"/>
      <c r="U3583" s="124"/>
      <c r="V3583" s="124"/>
      <c r="W3583" s="124"/>
      <c r="X3583" s="124"/>
      <c r="Y3583" s="124"/>
    </row>
    <row r="3584" spans="2:25" x14ac:dyDescent="0.25">
      <c r="B3584" s="124"/>
      <c r="C3584" s="124"/>
      <c r="D3584" s="124"/>
      <c r="E3584" s="124"/>
      <c r="F3584" s="124"/>
      <c r="G3584" s="124"/>
      <c r="H3584" s="124"/>
      <c r="I3584" s="124"/>
      <c r="J3584" s="124"/>
      <c r="K3584" s="124"/>
      <c r="L3584" s="124"/>
      <c r="M3584" s="124"/>
      <c r="N3584" s="124"/>
      <c r="O3584" s="124"/>
      <c r="P3584" s="124"/>
      <c r="Q3584" s="124"/>
      <c r="R3584" s="124"/>
      <c r="S3584" s="124"/>
      <c r="T3584" s="124"/>
      <c r="U3584" s="124"/>
      <c r="V3584" s="124"/>
      <c r="W3584" s="124"/>
      <c r="X3584" s="124"/>
      <c r="Y3584" s="124"/>
    </row>
    <row r="3585" spans="2:25" x14ac:dyDescent="0.25">
      <c r="B3585" s="124"/>
      <c r="C3585" s="124"/>
      <c r="D3585" s="124"/>
      <c r="E3585" s="124"/>
      <c r="F3585" s="124"/>
      <c r="G3585" s="124"/>
      <c r="H3585" s="124"/>
      <c r="I3585" s="124"/>
      <c r="J3585" s="124"/>
      <c r="K3585" s="124"/>
      <c r="L3585" s="124"/>
      <c r="M3585" s="124"/>
      <c r="N3585" s="124"/>
      <c r="O3585" s="124"/>
      <c r="P3585" s="124"/>
      <c r="Q3585" s="124"/>
      <c r="R3585" s="124"/>
      <c r="S3585" s="124"/>
      <c r="T3585" s="124"/>
      <c r="U3585" s="124"/>
      <c r="V3585" s="124"/>
      <c r="W3585" s="124"/>
      <c r="X3585" s="124"/>
      <c r="Y3585" s="124"/>
    </row>
    <row r="3586" spans="2:25" x14ac:dyDescent="0.25">
      <c r="B3586" s="124"/>
      <c r="C3586" s="124"/>
      <c r="D3586" s="124"/>
      <c r="E3586" s="124"/>
      <c r="F3586" s="124"/>
      <c r="G3586" s="124"/>
      <c r="H3586" s="124"/>
      <c r="I3586" s="124"/>
      <c r="J3586" s="124"/>
      <c r="K3586" s="124"/>
      <c r="L3586" s="124"/>
      <c r="M3586" s="124"/>
      <c r="N3586" s="124"/>
      <c r="O3586" s="124"/>
      <c r="P3586" s="124"/>
      <c r="Q3586" s="124"/>
      <c r="R3586" s="124"/>
      <c r="S3586" s="124"/>
      <c r="T3586" s="124"/>
      <c r="U3586" s="124"/>
      <c r="V3586" s="124"/>
      <c r="W3586" s="124"/>
      <c r="X3586" s="124"/>
      <c r="Y3586" s="124"/>
    </row>
    <row r="3587" spans="2:25" x14ac:dyDescent="0.25">
      <c r="B3587" s="124"/>
      <c r="C3587" s="124"/>
      <c r="D3587" s="124"/>
      <c r="E3587" s="124"/>
      <c r="F3587" s="124"/>
      <c r="G3587" s="124"/>
      <c r="H3587" s="124"/>
      <c r="I3587" s="124"/>
      <c r="J3587" s="124"/>
      <c r="K3587" s="124"/>
      <c r="L3587" s="124"/>
      <c r="M3587" s="124"/>
      <c r="N3587" s="124"/>
      <c r="O3587" s="124"/>
      <c r="P3587" s="124"/>
      <c r="Q3587" s="124"/>
      <c r="R3587" s="124"/>
      <c r="S3587" s="124"/>
      <c r="T3587" s="124"/>
      <c r="U3587" s="124"/>
      <c r="V3587" s="124"/>
      <c r="W3587" s="124"/>
      <c r="X3587" s="124"/>
      <c r="Y3587" s="124"/>
    </row>
    <row r="3588" spans="2:25" x14ac:dyDescent="0.25">
      <c r="B3588" s="124"/>
      <c r="C3588" s="124"/>
      <c r="D3588" s="124"/>
      <c r="E3588" s="124"/>
      <c r="F3588" s="124"/>
      <c r="G3588" s="124"/>
      <c r="H3588" s="124"/>
      <c r="I3588" s="124"/>
      <c r="J3588" s="124"/>
      <c r="K3588" s="124"/>
      <c r="L3588" s="124"/>
      <c r="M3588" s="124"/>
      <c r="N3588" s="124"/>
      <c r="O3588" s="124"/>
      <c r="P3588" s="124"/>
      <c r="Q3588" s="124"/>
      <c r="R3588" s="124"/>
      <c r="S3588" s="124"/>
      <c r="T3588" s="124"/>
      <c r="U3588" s="124"/>
      <c r="V3588" s="124"/>
      <c r="W3588" s="124"/>
      <c r="X3588" s="124"/>
      <c r="Y3588" s="124"/>
    </row>
    <row r="3589" spans="2:25" x14ac:dyDescent="0.25">
      <c r="B3589" s="124"/>
      <c r="C3589" s="124"/>
      <c r="D3589" s="124"/>
      <c r="E3589" s="124"/>
      <c r="F3589" s="124"/>
      <c r="G3589" s="124"/>
      <c r="H3589" s="124"/>
      <c r="I3589" s="124"/>
      <c r="J3589" s="124"/>
      <c r="K3589" s="124"/>
      <c r="L3589" s="124"/>
      <c r="M3589" s="124"/>
      <c r="N3589" s="124"/>
      <c r="O3589" s="124"/>
      <c r="P3589" s="124"/>
      <c r="Q3589" s="124"/>
      <c r="R3589" s="124"/>
      <c r="S3589" s="124"/>
      <c r="T3589" s="124"/>
      <c r="U3589" s="124"/>
      <c r="V3589" s="124"/>
      <c r="W3589" s="124"/>
      <c r="X3589" s="124"/>
      <c r="Y3589" s="124"/>
    </row>
    <row r="3590" spans="2:25" x14ac:dyDescent="0.25">
      <c r="B3590" s="124"/>
      <c r="C3590" s="124"/>
      <c r="D3590" s="124"/>
      <c r="E3590" s="124"/>
      <c r="F3590" s="124"/>
      <c r="G3590" s="124"/>
      <c r="H3590" s="124"/>
      <c r="I3590" s="124"/>
      <c r="J3590" s="124"/>
      <c r="K3590" s="124"/>
      <c r="L3590" s="124"/>
      <c r="M3590" s="124"/>
      <c r="N3590" s="124"/>
      <c r="O3590" s="124"/>
      <c r="P3590" s="124"/>
      <c r="Q3590" s="124"/>
      <c r="R3590" s="124"/>
      <c r="S3590" s="124"/>
      <c r="T3590" s="124"/>
      <c r="U3590" s="124"/>
      <c r="V3590" s="124"/>
      <c r="W3590" s="124"/>
      <c r="X3590" s="124"/>
      <c r="Y3590" s="124"/>
    </row>
    <row r="3591" spans="2:25" x14ac:dyDescent="0.25">
      <c r="B3591" s="124"/>
      <c r="C3591" s="124"/>
      <c r="D3591" s="124"/>
      <c r="E3591" s="124"/>
      <c r="F3591" s="124"/>
      <c r="G3591" s="124"/>
      <c r="H3591" s="124"/>
      <c r="I3591" s="124"/>
      <c r="J3591" s="124"/>
      <c r="K3591" s="124"/>
      <c r="L3591" s="124"/>
      <c r="M3591" s="124"/>
      <c r="N3591" s="124"/>
      <c r="O3591" s="124"/>
      <c r="P3591" s="124"/>
      <c r="Q3591" s="124"/>
      <c r="R3591" s="124"/>
      <c r="S3591" s="124"/>
      <c r="T3591" s="124"/>
      <c r="U3591" s="124"/>
      <c r="V3591" s="124"/>
      <c r="W3591" s="124"/>
      <c r="X3591" s="124"/>
      <c r="Y3591" s="124"/>
    </row>
    <row r="3592" spans="2:25" x14ac:dyDescent="0.25">
      <c r="B3592" s="124"/>
      <c r="C3592" s="124"/>
      <c r="D3592" s="124"/>
      <c r="E3592" s="124"/>
      <c r="F3592" s="124"/>
      <c r="G3592" s="124"/>
      <c r="H3592" s="124"/>
      <c r="I3592" s="124"/>
      <c r="J3592" s="124"/>
      <c r="K3592" s="124"/>
      <c r="L3592" s="124"/>
      <c r="M3592" s="124"/>
      <c r="N3592" s="124"/>
      <c r="O3592" s="124"/>
      <c r="P3592" s="124"/>
      <c r="Q3592" s="124"/>
      <c r="R3592" s="124"/>
      <c r="S3592" s="124"/>
      <c r="T3592" s="124"/>
      <c r="U3592" s="124"/>
      <c r="V3592" s="124"/>
      <c r="W3592" s="124"/>
      <c r="X3592" s="124"/>
      <c r="Y3592" s="124"/>
    </row>
    <row r="3593" spans="2:25" x14ac:dyDescent="0.25">
      <c r="B3593" s="124"/>
      <c r="C3593" s="124"/>
      <c r="D3593" s="124"/>
      <c r="E3593" s="124"/>
      <c r="F3593" s="124"/>
      <c r="G3593" s="124"/>
      <c r="H3593" s="124"/>
      <c r="I3593" s="124"/>
      <c r="J3593" s="124"/>
      <c r="K3593" s="124"/>
      <c r="L3593" s="124"/>
      <c r="M3593" s="124"/>
      <c r="N3593" s="124"/>
      <c r="O3593" s="124"/>
      <c r="P3593" s="124"/>
      <c r="Q3593" s="124"/>
      <c r="R3593" s="124"/>
      <c r="S3593" s="124"/>
      <c r="T3593" s="124"/>
      <c r="U3593" s="124"/>
      <c r="V3593" s="124"/>
      <c r="W3593" s="124"/>
      <c r="X3593" s="124"/>
      <c r="Y3593" s="124"/>
    </row>
    <row r="3594" spans="2:25" x14ac:dyDescent="0.25">
      <c r="B3594" s="124"/>
      <c r="C3594" s="124"/>
      <c r="D3594" s="124"/>
      <c r="E3594" s="124"/>
      <c r="F3594" s="124"/>
      <c r="G3594" s="124"/>
      <c r="H3594" s="124"/>
      <c r="I3594" s="124"/>
      <c r="J3594" s="124"/>
      <c r="K3594" s="124"/>
      <c r="L3594" s="124"/>
      <c r="M3594" s="124"/>
      <c r="N3594" s="124"/>
      <c r="O3594" s="124"/>
      <c r="P3594" s="124"/>
      <c r="Q3594" s="124"/>
      <c r="R3594" s="124"/>
      <c r="S3594" s="124"/>
      <c r="T3594" s="124"/>
      <c r="U3594" s="124"/>
      <c r="V3594" s="124"/>
      <c r="W3594" s="124"/>
      <c r="X3594" s="124"/>
      <c r="Y3594" s="124"/>
    </row>
    <row r="3595" spans="2:25" x14ac:dyDescent="0.25">
      <c r="B3595" s="124"/>
      <c r="C3595" s="124"/>
      <c r="D3595" s="124"/>
      <c r="E3595" s="124"/>
      <c r="F3595" s="124"/>
      <c r="G3595" s="124"/>
      <c r="H3595" s="124"/>
      <c r="I3595" s="124"/>
      <c r="J3595" s="124"/>
      <c r="K3595" s="124"/>
      <c r="L3595" s="124"/>
      <c r="M3595" s="124"/>
      <c r="N3595" s="124"/>
      <c r="O3595" s="124"/>
      <c r="P3595" s="124"/>
      <c r="Q3595" s="124"/>
      <c r="R3595" s="124"/>
      <c r="S3595" s="124"/>
      <c r="T3595" s="124"/>
      <c r="U3595" s="124"/>
      <c r="V3595" s="124"/>
      <c r="W3595" s="124"/>
      <c r="X3595" s="124"/>
      <c r="Y3595" s="124"/>
    </row>
    <row r="3596" spans="2:25" x14ac:dyDescent="0.25">
      <c r="B3596" s="124"/>
      <c r="C3596" s="124"/>
      <c r="D3596" s="124"/>
      <c r="E3596" s="124"/>
      <c r="F3596" s="124"/>
      <c r="G3596" s="124"/>
      <c r="H3596" s="124"/>
      <c r="I3596" s="124"/>
      <c r="J3596" s="124"/>
      <c r="K3596" s="124"/>
      <c r="L3596" s="124"/>
      <c r="M3596" s="124"/>
      <c r="N3596" s="124"/>
      <c r="O3596" s="124"/>
      <c r="P3596" s="124"/>
      <c r="Q3596" s="124"/>
      <c r="R3596" s="124"/>
      <c r="S3596" s="124"/>
      <c r="T3596" s="124"/>
      <c r="U3596" s="124"/>
      <c r="V3596" s="124"/>
      <c r="W3596" s="124"/>
      <c r="X3596" s="124"/>
      <c r="Y3596" s="124"/>
    </row>
    <row r="3597" spans="2:25" x14ac:dyDescent="0.25">
      <c r="B3597" s="124"/>
      <c r="C3597" s="124"/>
      <c r="D3597" s="124"/>
      <c r="E3597" s="124"/>
      <c r="F3597" s="124"/>
      <c r="G3597" s="124"/>
      <c r="H3597" s="124"/>
      <c r="I3597" s="124"/>
      <c r="J3597" s="124"/>
      <c r="K3597" s="124"/>
      <c r="L3597" s="124"/>
      <c r="M3597" s="124"/>
      <c r="N3597" s="124"/>
      <c r="O3597" s="124"/>
      <c r="P3597" s="124"/>
      <c r="Q3597" s="124"/>
      <c r="R3597" s="124"/>
      <c r="S3597" s="124"/>
      <c r="T3597" s="124"/>
      <c r="U3597" s="124"/>
      <c r="V3597" s="124"/>
      <c r="W3597" s="124"/>
      <c r="X3597" s="124"/>
      <c r="Y3597" s="124"/>
    </row>
    <row r="3598" spans="2:25" x14ac:dyDescent="0.25">
      <c r="B3598" s="124"/>
      <c r="C3598" s="124"/>
      <c r="D3598" s="124"/>
      <c r="E3598" s="124"/>
      <c r="F3598" s="124"/>
      <c r="G3598" s="124"/>
      <c r="H3598" s="124"/>
      <c r="I3598" s="124"/>
      <c r="J3598" s="124"/>
      <c r="K3598" s="124"/>
      <c r="L3598" s="124"/>
      <c r="M3598" s="124"/>
      <c r="N3598" s="124"/>
      <c r="O3598" s="124"/>
      <c r="P3598" s="124"/>
      <c r="Q3598" s="124"/>
      <c r="R3598" s="124"/>
      <c r="S3598" s="124"/>
      <c r="T3598" s="124"/>
      <c r="U3598" s="124"/>
      <c r="V3598" s="124"/>
      <c r="W3598" s="124"/>
      <c r="X3598" s="124"/>
      <c r="Y3598" s="124"/>
    </row>
    <row r="3599" spans="2:25" x14ac:dyDescent="0.25">
      <c r="B3599" s="124"/>
      <c r="C3599" s="124"/>
      <c r="D3599" s="124"/>
      <c r="E3599" s="124"/>
      <c r="F3599" s="124"/>
      <c r="G3599" s="124"/>
      <c r="H3599" s="124"/>
      <c r="I3599" s="124"/>
      <c r="J3599" s="124"/>
      <c r="K3599" s="124"/>
      <c r="L3599" s="124"/>
      <c r="M3599" s="124"/>
      <c r="N3599" s="124"/>
      <c r="O3599" s="124"/>
      <c r="P3599" s="124"/>
      <c r="Q3599" s="124"/>
      <c r="R3599" s="124"/>
      <c r="S3599" s="124"/>
      <c r="T3599" s="124"/>
      <c r="U3599" s="124"/>
      <c r="V3599" s="124"/>
      <c r="W3599" s="124"/>
      <c r="X3599" s="124"/>
      <c r="Y3599" s="124"/>
    </row>
    <row r="3600" spans="2:25" x14ac:dyDescent="0.25">
      <c r="B3600" s="124"/>
      <c r="C3600" s="124"/>
      <c r="D3600" s="124"/>
      <c r="E3600" s="124"/>
      <c r="F3600" s="124"/>
      <c r="G3600" s="124"/>
      <c r="H3600" s="124"/>
      <c r="I3600" s="124"/>
      <c r="J3600" s="124"/>
      <c r="K3600" s="124"/>
      <c r="L3600" s="124"/>
      <c r="M3600" s="124"/>
      <c r="N3600" s="124"/>
      <c r="O3600" s="124"/>
      <c r="P3600" s="124"/>
      <c r="Q3600" s="124"/>
      <c r="R3600" s="124"/>
      <c r="S3600" s="124"/>
      <c r="T3600" s="124"/>
      <c r="U3600" s="124"/>
      <c r="V3600" s="124"/>
      <c r="W3600" s="124"/>
      <c r="X3600" s="124"/>
      <c r="Y3600" s="124"/>
    </row>
    <row r="3601" spans="2:25" x14ac:dyDescent="0.25">
      <c r="B3601" s="124"/>
      <c r="C3601" s="124"/>
      <c r="D3601" s="124"/>
      <c r="E3601" s="124"/>
      <c r="F3601" s="124"/>
      <c r="G3601" s="124"/>
      <c r="H3601" s="124"/>
      <c r="I3601" s="124"/>
      <c r="J3601" s="124"/>
      <c r="K3601" s="124"/>
      <c r="L3601" s="124"/>
      <c r="M3601" s="124"/>
      <c r="N3601" s="124"/>
      <c r="O3601" s="124"/>
      <c r="P3601" s="124"/>
      <c r="Q3601" s="124"/>
      <c r="R3601" s="124"/>
      <c r="S3601" s="124"/>
      <c r="T3601" s="124"/>
      <c r="U3601" s="124"/>
      <c r="V3601" s="124"/>
      <c r="W3601" s="124"/>
      <c r="X3601" s="124"/>
      <c r="Y3601" s="124"/>
    </row>
    <row r="3602" spans="2:25" x14ac:dyDescent="0.25">
      <c r="B3602" s="124"/>
      <c r="C3602" s="124"/>
      <c r="D3602" s="124"/>
      <c r="E3602" s="124"/>
      <c r="F3602" s="124"/>
      <c r="G3602" s="124"/>
      <c r="H3602" s="124"/>
      <c r="I3602" s="124"/>
      <c r="J3602" s="124"/>
      <c r="K3602" s="124"/>
      <c r="L3602" s="124"/>
      <c r="M3602" s="124"/>
      <c r="N3602" s="124"/>
      <c r="O3602" s="124"/>
      <c r="P3602" s="124"/>
      <c r="Q3602" s="124"/>
      <c r="R3602" s="124"/>
      <c r="S3602" s="124"/>
      <c r="T3602" s="124"/>
      <c r="U3602" s="124"/>
      <c r="V3602" s="124"/>
      <c r="W3602" s="124"/>
      <c r="X3602" s="124"/>
      <c r="Y3602" s="124"/>
    </row>
    <row r="3603" spans="2:25" x14ac:dyDescent="0.25">
      <c r="B3603" s="124"/>
      <c r="C3603" s="124"/>
      <c r="D3603" s="124"/>
      <c r="E3603" s="124"/>
      <c r="F3603" s="124"/>
      <c r="G3603" s="124"/>
      <c r="H3603" s="124"/>
      <c r="I3603" s="124"/>
      <c r="J3603" s="124"/>
      <c r="K3603" s="124"/>
      <c r="L3603" s="124"/>
      <c r="M3603" s="124"/>
      <c r="N3603" s="124"/>
      <c r="O3603" s="124"/>
      <c r="P3603" s="124"/>
      <c r="Q3603" s="124"/>
      <c r="R3603" s="124"/>
      <c r="S3603" s="124"/>
      <c r="T3603" s="124"/>
      <c r="U3603" s="124"/>
      <c r="V3603" s="124"/>
      <c r="W3603" s="124"/>
      <c r="X3603" s="124"/>
      <c r="Y3603" s="124"/>
    </row>
    <row r="3604" spans="2:25" x14ac:dyDescent="0.25">
      <c r="B3604" s="124"/>
      <c r="C3604" s="124"/>
      <c r="D3604" s="124"/>
      <c r="E3604" s="124"/>
      <c r="F3604" s="124"/>
      <c r="G3604" s="124"/>
      <c r="H3604" s="124"/>
      <c r="I3604" s="124"/>
      <c r="J3604" s="124"/>
      <c r="K3604" s="124"/>
      <c r="L3604" s="124"/>
      <c r="M3604" s="124"/>
      <c r="N3604" s="124"/>
      <c r="O3604" s="124"/>
      <c r="P3604" s="124"/>
      <c r="Q3604" s="124"/>
      <c r="R3604" s="124"/>
      <c r="S3604" s="124"/>
      <c r="T3604" s="124"/>
      <c r="U3604" s="124"/>
      <c r="V3604" s="124"/>
      <c r="W3604" s="124"/>
      <c r="X3604" s="124"/>
      <c r="Y3604" s="124"/>
    </row>
    <row r="3605" spans="2:25" x14ac:dyDescent="0.25">
      <c r="B3605" s="124"/>
      <c r="C3605" s="124"/>
      <c r="D3605" s="124"/>
      <c r="E3605" s="124"/>
      <c r="F3605" s="124"/>
      <c r="G3605" s="124"/>
      <c r="H3605" s="124"/>
      <c r="I3605" s="124"/>
      <c r="J3605" s="124"/>
      <c r="K3605" s="124"/>
      <c r="L3605" s="124"/>
      <c r="M3605" s="124"/>
      <c r="N3605" s="124"/>
      <c r="O3605" s="124"/>
      <c r="P3605" s="124"/>
      <c r="Q3605" s="124"/>
      <c r="R3605" s="124"/>
      <c r="S3605" s="124"/>
      <c r="T3605" s="124"/>
      <c r="U3605" s="124"/>
      <c r="V3605" s="124"/>
      <c r="W3605" s="124"/>
      <c r="X3605" s="124"/>
      <c r="Y3605" s="124"/>
    </row>
    <row r="3606" spans="2:25" x14ac:dyDescent="0.25">
      <c r="B3606" s="124"/>
      <c r="C3606" s="124"/>
      <c r="D3606" s="124"/>
      <c r="E3606" s="124"/>
      <c r="F3606" s="124"/>
      <c r="G3606" s="124"/>
      <c r="H3606" s="124"/>
      <c r="I3606" s="124"/>
      <c r="J3606" s="124"/>
      <c r="K3606" s="124"/>
      <c r="L3606" s="124"/>
      <c r="M3606" s="124"/>
      <c r="N3606" s="124"/>
      <c r="O3606" s="124"/>
      <c r="P3606" s="124"/>
      <c r="Q3606" s="124"/>
      <c r="R3606" s="124"/>
      <c r="S3606" s="124"/>
      <c r="T3606" s="124"/>
      <c r="U3606" s="124"/>
      <c r="V3606" s="124"/>
      <c r="W3606" s="124"/>
      <c r="X3606" s="124"/>
      <c r="Y3606" s="124"/>
    </row>
    <row r="3607" spans="2:25" x14ac:dyDescent="0.25">
      <c r="B3607" s="124"/>
      <c r="C3607" s="124"/>
      <c r="D3607" s="124"/>
      <c r="E3607" s="124"/>
      <c r="F3607" s="124"/>
      <c r="G3607" s="124"/>
      <c r="H3607" s="124"/>
      <c r="I3607" s="124"/>
      <c r="J3607" s="124"/>
      <c r="K3607" s="124"/>
      <c r="L3607" s="124"/>
      <c r="M3607" s="124"/>
      <c r="N3607" s="124"/>
      <c r="O3607" s="124"/>
      <c r="P3607" s="124"/>
      <c r="Q3607" s="124"/>
      <c r="R3607" s="124"/>
      <c r="S3607" s="124"/>
      <c r="T3607" s="124"/>
      <c r="U3607" s="124"/>
      <c r="V3607" s="124"/>
      <c r="W3607" s="124"/>
      <c r="X3607" s="124"/>
      <c r="Y3607" s="124"/>
    </row>
    <row r="3608" spans="2:25" x14ac:dyDescent="0.25">
      <c r="B3608" s="124"/>
      <c r="C3608" s="124"/>
      <c r="D3608" s="124"/>
      <c r="E3608" s="124"/>
      <c r="F3608" s="124"/>
      <c r="G3608" s="124"/>
      <c r="H3608" s="124"/>
      <c r="I3608" s="124"/>
      <c r="J3608" s="124"/>
      <c r="K3608" s="124"/>
      <c r="L3608" s="124"/>
      <c r="M3608" s="124"/>
      <c r="N3608" s="124"/>
      <c r="O3608" s="124"/>
      <c r="P3608" s="124"/>
      <c r="Q3608" s="124"/>
      <c r="R3608" s="124"/>
      <c r="S3608" s="124"/>
      <c r="T3608" s="124"/>
      <c r="U3608" s="124"/>
      <c r="V3608" s="124"/>
      <c r="W3608" s="124"/>
      <c r="X3608" s="124"/>
      <c r="Y3608" s="124"/>
    </row>
    <row r="3609" spans="2:25" x14ac:dyDescent="0.25">
      <c r="B3609" s="124"/>
      <c r="C3609" s="124"/>
      <c r="D3609" s="124"/>
      <c r="E3609" s="124"/>
      <c r="F3609" s="124"/>
      <c r="G3609" s="124"/>
      <c r="H3609" s="124"/>
      <c r="I3609" s="124"/>
      <c r="J3609" s="124"/>
      <c r="K3609" s="124"/>
      <c r="L3609" s="124"/>
      <c r="M3609" s="124"/>
      <c r="N3609" s="124"/>
      <c r="O3609" s="124"/>
      <c r="P3609" s="124"/>
      <c r="Q3609" s="124"/>
      <c r="R3609" s="124"/>
      <c r="S3609" s="124"/>
      <c r="T3609" s="124"/>
      <c r="U3609" s="124"/>
      <c r="V3609" s="124"/>
      <c r="W3609" s="124"/>
      <c r="X3609" s="124"/>
      <c r="Y3609" s="124"/>
    </row>
    <row r="3610" spans="2:25" x14ac:dyDescent="0.25">
      <c r="B3610" s="124"/>
      <c r="C3610" s="124"/>
      <c r="D3610" s="124"/>
      <c r="E3610" s="124"/>
      <c r="F3610" s="124"/>
      <c r="G3610" s="124"/>
      <c r="H3610" s="124"/>
      <c r="I3610" s="124"/>
      <c r="J3610" s="124"/>
      <c r="K3610" s="124"/>
      <c r="L3610" s="124"/>
      <c r="M3610" s="124"/>
      <c r="N3610" s="124"/>
      <c r="O3610" s="124"/>
      <c r="P3610" s="124"/>
      <c r="Q3610" s="124"/>
      <c r="R3610" s="124"/>
      <c r="S3610" s="124"/>
      <c r="T3610" s="124"/>
      <c r="U3610" s="124"/>
      <c r="V3610" s="124"/>
      <c r="W3610" s="124"/>
      <c r="X3610" s="124"/>
      <c r="Y3610" s="124"/>
    </row>
    <row r="3611" spans="2:25" x14ac:dyDescent="0.25">
      <c r="B3611" s="124"/>
      <c r="C3611" s="124"/>
      <c r="D3611" s="124"/>
      <c r="E3611" s="124"/>
      <c r="F3611" s="124"/>
      <c r="G3611" s="124"/>
      <c r="H3611" s="124"/>
      <c r="I3611" s="124"/>
      <c r="J3611" s="124"/>
      <c r="K3611" s="124"/>
      <c r="L3611" s="124"/>
      <c r="M3611" s="124"/>
      <c r="N3611" s="124"/>
      <c r="O3611" s="124"/>
      <c r="P3611" s="124"/>
      <c r="Q3611" s="124"/>
      <c r="R3611" s="124"/>
      <c r="S3611" s="124"/>
      <c r="T3611" s="124"/>
      <c r="U3611" s="124"/>
      <c r="V3611" s="124"/>
      <c r="W3611" s="124"/>
      <c r="X3611" s="124"/>
      <c r="Y3611" s="124"/>
    </row>
    <row r="3612" spans="2:25" x14ac:dyDescent="0.25">
      <c r="B3612" s="124"/>
      <c r="C3612" s="124"/>
      <c r="D3612" s="124"/>
      <c r="E3612" s="124"/>
      <c r="F3612" s="124"/>
      <c r="G3612" s="124"/>
      <c r="H3612" s="124"/>
      <c r="I3612" s="124"/>
      <c r="J3612" s="124"/>
      <c r="K3612" s="124"/>
      <c r="L3612" s="124"/>
      <c r="M3612" s="124"/>
      <c r="N3612" s="124"/>
      <c r="O3612" s="124"/>
      <c r="P3612" s="124"/>
      <c r="Q3612" s="124"/>
      <c r="R3612" s="124"/>
      <c r="S3612" s="124"/>
      <c r="T3612" s="124"/>
      <c r="U3612" s="124"/>
      <c r="V3612" s="124"/>
      <c r="W3612" s="124"/>
      <c r="X3612" s="124"/>
      <c r="Y3612" s="124"/>
    </row>
    <row r="3613" spans="2:25" x14ac:dyDescent="0.25">
      <c r="B3613" s="124"/>
      <c r="C3613" s="124"/>
      <c r="D3613" s="124"/>
      <c r="E3613" s="124"/>
      <c r="F3613" s="124"/>
      <c r="G3613" s="124"/>
      <c r="H3613" s="124"/>
      <c r="I3613" s="124"/>
      <c r="J3613" s="124"/>
      <c r="K3613" s="124"/>
      <c r="L3613" s="124"/>
      <c r="M3613" s="124"/>
      <c r="N3613" s="124"/>
      <c r="O3613" s="124"/>
      <c r="P3613" s="124"/>
      <c r="Q3613" s="124"/>
      <c r="R3613" s="124"/>
      <c r="S3613" s="124"/>
      <c r="T3613" s="124"/>
      <c r="U3613" s="124"/>
      <c r="V3613" s="124"/>
      <c r="W3613" s="124"/>
      <c r="X3613" s="124"/>
      <c r="Y3613" s="124"/>
    </row>
    <row r="3614" spans="2:25" x14ac:dyDescent="0.25">
      <c r="B3614" s="124"/>
      <c r="C3614" s="124"/>
      <c r="D3614" s="124"/>
      <c r="E3614" s="124"/>
      <c r="F3614" s="124"/>
      <c r="G3614" s="124"/>
      <c r="H3614" s="124"/>
      <c r="I3614" s="124"/>
      <c r="J3614" s="124"/>
      <c r="K3614" s="124"/>
      <c r="L3614" s="124"/>
      <c r="M3614" s="124"/>
      <c r="N3614" s="124"/>
      <c r="O3614" s="124"/>
      <c r="P3614" s="124"/>
      <c r="Q3614" s="124"/>
      <c r="R3614" s="124"/>
      <c r="S3614" s="124"/>
      <c r="T3614" s="124"/>
      <c r="U3614" s="124"/>
      <c r="V3614" s="124"/>
      <c r="W3614" s="124"/>
      <c r="X3614" s="124"/>
      <c r="Y3614" s="124"/>
    </row>
    <row r="3615" spans="2:25" x14ac:dyDescent="0.25">
      <c r="B3615" s="124"/>
      <c r="C3615" s="124"/>
      <c r="D3615" s="124"/>
      <c r="E3615" s="124"/>
      <c r="F3615" s="124"/>
      <c r="G3615" s="124"/>
      <c r="H3615" s="124"/>
      <c r="I3615" s="124"/>
      <c r="J3615" s="124"/>
      <c r="K3615" s="124"/>
      <c r="L3615" s="124"/>
      <c r="M3615" s="124"/>
      <c r="N3615" s="124"/>
      <c r="O3615" s="124"/>
      <c r="P3615" s="124"/>
      <c r="Q3615" s="124"/>
      <c r="R3615" s="124"/>
      <c r="S3615" s="124"/>
      <c r="T3615" s="124"/>
      <c r="U3615" s="124"/>
      <c r="V3615" s="124"/>
      <c r="W3615" s="124"/>
      <c r="X3615" s="124"/>
      <c r="Y3615" s="124"/>
    </row>
    <row r="3616" spans="2:25" x14ac:dyDescent="0.25">
      <c r="B3616" s="124"/>
      <c r="C3616" s="124"/>
      <c r="D3616" s="124"/>
      <c r="E3616" s="124"/>
      <c r="F3616" s="124"/>
      <c r="G3616" s="124"/>
      <c r="H3616" s="124"/>
      <c r="I3616" s="124"/>
      <c r="J3616" s="124"/>
      <c r="K3616" s="124"/>
      <c r="L3616" s="124"/>
      <c r="M3616" s="124"/>
      <c r="N3616" s="124"/>
      <c r="O3616" s="124"/>
      <c r="P3616" s="124"/>
      <c r="Q3616" s="124"/>
      <c r="R3616" s="124"/>
      <c r="S3616" s="124"/>
      <c r="T3616" s="124"/>
      <c r="U3616" s="124"/>
      <c r="V3616" s="124"/>
      <c r="W3616" s="124"/>
      <c r="X3616" s="124"/>
      <c r="Y3616" s="124"/>
    </row>
    <row r="3617" spans="2:25" x14ac:dyDescent="0.25">
      <c r="B3617" s="124"/>
      <c r="C3617" s="124"/>
      <c r="D3617" s="124"/>
      <c r="E3617" s="124"/>
      <c r="F3617" s="124"/>
      <c r="G3617" s="124"/>
      <c r="H3617" s="124"/>
      <c r="I3617" s="124"/>
      <c r="J3617" s="124"/>
      <c r="K3617" s="124"/>
      <c r="L3617" s="124"/>
      <c r="M3617" s="124"/>
      <c r="N3617" s="124"/>
      <c r="O3617" s="124"/>
      <c r="P3617" s="124"/>
      <c r="Q3617" s="124"/>
      <c r="R3617" s="124"/>
      <c r="S3617" s="124"/>
      <c r="T3617" s="124"/>
      <c r="U3617" s="124"/>
      <c r="V3617" s="124"/>
      <c r="W3617" s="124"/>
      <c r="X3617" s="124"/>
      <c r="Y3617" s="124"/>
    </row>
    <row r="3618" spans="2:25" x14ac:dyDescent="0.25">
      <c r="B3618" s="124"/>
      <c r="C3618" s="124"/>
      <c r="D3618" s="124"/>
      <c r="E3618" s="124"/>
      <c r="F3618" s="124"/>
      <c r="G3618" s="124"/>
      <c r="H3618" s="124"/>
      <c r="I3618" s="124"/>
      <c r="J3618" s="124"/>
      <c r="K3618" s="124"/>
      <c r="L3618" s="124"/>
      <c r="M3618" s="124"/>
      <c r="N3618" s="124"/>
      <c r="O3618" s="124"/>
      <c r="P3618" s="124"/>
      <c r="Q3618" s="124"/>
      <c r="R3618" s="124"/>
      <c r="S3618" s="124"/>
      <c r="T3618" s="124"/>
      <c r="U3618" s="124"/>
      <c r="V3618" s="124"/>
      <c r="W3618" s="124"/>
      <c r="X3618" s="124"/>
      <c r="Y3618" s="124"/>
    </row>
    <row r="3619" spans="2:25" x14ac:dyDescent="0.25">
      <c r="B3619" s="124"/>
      <c r="C3619" s="124"/>
      <c r="D3619" s="124"/>
      <c r="E3619" s="124"/>
      <c r="F3619" s="124"/>
      <c r="G3619" s="124"/>
      <c r="H3619" s="124"/>
      <c r="I3619" s="124"/>
      <c r="J3619" s="124"/>
      <c r="K3619" s="124"/>
      <c r="L3619" s="124"/>
      <c r="M3619" s="124"/>
      <c r="N3619" s="124"/>
      <c r="O3619" s="124"/>
      <c r="P3619" s="124"/>
      <c r="Q3619" s="124"/>
      <c r="R3619" s="124"/>
      <c r="S3619" s="124"/>
      <c r="T3619" s="124"/>
      <c r="U3619" s="124"/>
      <c r="V3619" s="124"/>
      <c r="W3619" s="124"/>
      <c r="X3619" s="124"/>
      <c r="Y3619" s="124"/>
    </row>
    <row r="3620" spans="2:25" x14ac:dyDescent="0.25">
      <c r="B3620" s="124"/>
      <c r="C3620" s="124"/>
      <c r="D3620" s="124"/>
      <c r="E3620" s="124"/>
      <c r="F3620" s="124"/>
      <c r="G3620" s="124"/>
      <c r="H3620" s="124"/>
      <c r="I3620" s="124"/>
      <c r="J3620" s="124"/>
      <c r="K3620" s="124"/>
      <c r="L3620" s="124"/>
      <c r="M3620" s="124"/>
      <c r="N3620" s="124"/>
      <c r="O3620" s="124"/>
      <c r="P3620" s="124"/>
      <c r="Q3620" s="124"/>
      <c r="R3620" s="124"/>
      <c r="S3620" s="124"/>
      <c r="T3620" s="124"/>
      <c r="U3620" s="124"/>
      <c r="V3620" s="124"/>
      <c r="W3620" s="124"/>
      <c r="X3620" s="124"/>
      <c r="Y3620" s="124"/>
    </row>
    <row r="3621" spans="2:25" x14ac:dyDescent="0.25">
      <c r="B3621" s="124"/>
      <c r="C3621" s="124"/>
      <c r="D3621" s="124"/>
      <c r="E3621" s="124"/>
      <c r="F3621" s="124"/>
      <c r="G3621" s="124"/>
      <c r="H3621" s="124"/>
      <c r="I3621" s="124"/>
      <c r="J3621" s="124"/>
      <c r="K3621" s="124"/>
      <c r="L3621" s="124"/>
      <c r="M3621" s="124"/>
      <c r="N3621" s="124"/>
      <c r="O3621" s="124"/>
      <c r="P3621" s="124"/>
      <c r="Q3621" s="124"/>
      <c r="R3621" s="124"/>
      <c r="S3621" s="124"/>
      <c r="T3621" s="124"/>
      <c r="U3621" s="124"/>
      <c r="V3621" s="124"/>
      <c r="W3621" s="124"/>
      <c r="X3621" s="124"/>
      <c r="Y3621" s="124"/>
    </row>
    <row r="3622" spans="2:25" x14ac:dyDescent="0.25">
      <c r="B3622" s="124"/>
      <c r="C3622" s="124"/>
      <c r="D3622" s="124"/>
      <c r="E3622" s="124"/>
      <c r="F3622" s="124"/>
      <c r="G3622" s="124"/>
      <c r="H3622" s="124"/>
      <c r="I3622" s="124"/>
      <c r="J3622" s="124"/>
      <c r="K3622" s="124"/>
      <c r="L3622" s="124"/>
      <c r="M3622" s="124"/>
      <c r="N3622" s="124"/>
      <c r="O3622" s="124"/>
      <c r="P3622" s="124"/>
      <c r="Q3622" s="124"/>
      <c r="R3622" s="124"/>
      <c r="S3622" s="124"/>
      <c r="T3622" s="124"/>
      <c r="U3622" s="124"/>
      <c r="V3622" s="124"/>
      <c r="W3622" s="124"/>
      <c r="X3622" s="124"/>
      <c r="Y3622" s="124"/>
    </row>
    <row r="3623" spans="2:25" x14ac:dyDescent="0.25">
      <c r="B3623" s="124"/>
      <c r="C3623" s="124"/>
      <c r="D3623" s="124"/>
      <c r="E3623" s="124"/>
      <c r="F3623" s="124"/>
      <c r="G3623" s="124"/>
      <c r="H3623" s="124"/>
      <c r="I3623" s="124"/>
      <c r="J3623" s="124"/>
      <c r="K3623" s="124"/>
      <c r="L3623" s="124"/>
      <c r="M3623" s="124"/>
      <c r="N3623" s="124"/>
      <c r="O3623" s="124"/>
      <c r="P3623" s="124"/>
      <c r="Q3623" s="124"/>
      <c r="R3623" s="124"/>
      <c r="S3623" s="124"/>
      <c r="T3623" s="124"/>
      <c r="U3623" s="124"/>
      <c r="V3623" s="124"/>
      <c r="W3623" s="124"/>
      <c r="X3623" s="124"/>
      <c r="Y3623" s="124"/>
    </row>
    <row r="3624" spans="2:25" x14ac:dyDescent="0.25">
      <c r="B3624" s="124"/>
      <c r="C3624" s="124"/>
      <c r="D3624" s="124"/>
      <c r="E3624" s="124"/>
      <c r="F3624" s="124"/>
      <c r="G3624" s="124"/>
      <c r="H3624" s="124"/>
      <c r="I3624" s="124"/>
      <c r="J3624" s="124"/>
      <c r="K3624" s="124"/>
      <c r="L3624" s="124"/>
      <c r="M3624" s="124"/>
      <c r="N3624" s="124"/>
      <c r="O3624" s="124"/>
      <c r="P3624" s="124"/>
      <c r="Q3624" s="124"/>
      <c r="R3624" s="124"/>
      <c r="S3624" s="124"/>
      <c r="T3624" s="124"/>
      <c r="U3624" s="124"/>
      <c r="V3624" s="124"/>
      <c r="W3624" s="124"/>
      <c r="X3624" s="124"/>
      <c r="Y3624" s="124"/>
    </row>
    <row r="3625" spans="2:25" x14ac:dyDescent="0.25">
      <c r="B3625" s="124"/>
      <c r="C3625" s="124"/>
      <c r="D3625" s="124"/>
      <c r="E3625" s="124"/>
      <c r="F3625" s="124"/>
      <c r="G3625" s="124"/>
      <c r="H3625" s="124"/>
      <c r="I3625" s="124"/>
      <c r="J3625" s="124"/>
      <c r="K3625" s="124"/>
      <c r="L3625" s="124"/>
      <c r="M3625" s="124"/>
      <c r="N3625" s="124"/>
      <c r="O3625" s="124"/>
      <c r="P3625" s="124"/>
      <c r="Q3625" s="124"/>
      <c r="R3625" s="124"/>
      <c r="S3625" s="124"/>
      <c r="T3625" s="124"/>
      <c r="U3625" s="124"/>
      <c r="V3625" s="124"/>
      <c r="W3625" s="124"/>
      <c r="X3625" s="124"/>
      <c r="Y3625" s="124"/>
    </row>
    <row r="3626" spans="2:25" x14ac:dyDescent="0.25">
      <c r="B3626" s="124"/>
      <c r="C3626" s="124"/>
      <c r="D3626" s="124"/>
      <c r="E3626" s="124"/>
      <c r="F3626" s="124"/>
      <c r="G3626" s="124"/>
      <c r="H3626" s="124"/>
      <c r="I3626" s="124"/>
      <c r="J3626" s="124"/>
      <c r="K3626" s="124"/>
      <c r="L3626" s="124"/>
      <c r="M3626" s="124"/>
      <c r="N3626" s="124"/>
      <c r="O3626" s="124"/>
      <c r="P3626" s="124"/>
      <c r="Q3626" s="124"/>
      <c r="R3626" s="124"/>
      <c r="S3626" s="124"/>
      <c r="T3626" s="124"/>
      <c r="U3626" s="124"/>
      <c r="V3626" s="124"/>
      <c r="W3626" s="124"/>
      <c r="X3626" s="124"/>
      <c r="Y3626" s="124"/>
    </row>
    <row r="3627" spans="2:25" x14ac:dyDescent="0.25">
      <c r="B3627" s="124"/>
      <c r="C3627" s="124"/>
      <c r="D3627" s="124"/>
      <c r="E3627" s="124"/>
      <c r="F3627" s="124"/>
      <c r="G3627" s="124"/>
      <c r="H3627" s="124"/>
      <c r="I3627" s="124"/>
      <c r="J3627" s="124"/>
      <c r="K3627" s="124"/>
      <c r="L3627" s="124"/>
      <c r="M3627" s="124"/>
      <c r="N3627" s="124"/>
      <c r="O3627" s="124"/>
      <c r="P3627" s="124"/>
      <c r="Q3627" s="124"/>
      <c r="R3627" s="124"/>
      <c r="S3627" s="124"/>
      <c r="T3627" s="124"/>
      <c r="U3627" s="124"/>
      <c r="V3627" s="124"/>
      <c r="W3627" s="124"/>
      <c r="X3627" s="124"/>
      <c r="Y3627" s="124"/>
    </row>
    <row r="3628" spans="2:25" x14ac:dyDescent="0.25">
      <c r="B3628" s="124"/>
      <c r="C3628" s="124"/>
      <c r="D3628" s="124"/>
      <c r="E3628" s="124"/>
      <c r="F3628" s="124"/>
      <c r="G3628" s="124"/>
      <c r="H3628" s="124"/>
      <c r="I3628" s="124"/>
      <c r="J3628" s="124"/>
      <c r="K3628" s="124"/>
      <c r="L3628" s="124"/>
      <c r="M3628" s="124"/>
      <c r="N3628" s="124"/>
      <c r="O3628" s="124"/>
      <c r="P3628" s="124"/>
      <c r="Q3628" s="124"/>
      <c r="R3628" s="124"/>
      <c r="S3628" s="124"/>
      <c r="T3628" s="124"/>
      <c r="U3628" s="124"/>
      <c r="V3628" s="124"/>
      <c r="W3628" s="124"/>
      <c r="X3628" s="124"/>
      <c r="Y3628" s="124"/>
    </row>
    <row r="3629" spans="2:25" x14ac:dyDescent="0.25">
      <c r="B3629" s="124"/>
      <c r="C3629" s="124"/>
      <c r="D3629" s="124"/>
      <c r="E3629" s="124"/>
      <c r="F3629" s="124"/>
      <c r="G3629" s="124"/>
      <c r="H3629" s="124"/>
      <c r="I3629" s="124"/>
      <c r="J3629" s="124"/>
      <c r="K3629" s="124"/>
      <c r="L3629" s="124"/>
      <c r="M3629" s="124"/>
      <c r="N3629" s="124"/>
      <c r="O3629" s="124"/>
      <c r="P3629" s="124"/>
      <c r="Q3629" s="124"/>
      <c r="R3629" s="124"/>
      <c r="S3629" s="124"/>
      <c r="T3629" s="124"/>
      <c r="U3629" s="124"/>
      <c r="V3629" s="124"/>
      <c r="W3629" s="124"/>
      <c r="X3629" s="124"/>
      <c r="Y3629" s="124"/>
    </row>
    <row r="3630" spans="2:25" x14ac:dyDescent="0.25">
      <c r="B3630" s="124"/>
      <c r="C3630" s="124"/>
      <c r="D3630" s="124"/>
      <c r="E3630" s="124"/>
      <c r="F3630" s="124"/>
      <c r="G3630" s="124"/>
      <c r="H3630" s="124"/>
      <c r="I3630" s="124"/>
      <c r="J3630" s="124"/>
      <c r="K3630" s="124"/>
      <c r="L3630" s="124"/>
      <c r="M3630" s="124"/>
      <c r="N3630" s="124"/>
      <c r="O3630" s="124"/>
      <c r="P3630" s="124"/>
      <c r="Q3630" s="124"/>
      <c r="R3630" s="124"/>
      <c r="S3630" s="124"/>
      <c r="T3630" s="124"/>
      <c r="U3630" s="124"/>
      <c r="V3630" s="124"/>
      <c r="W3630" s="124"/>
      <c r="X3630" s="124"/>
      <c r="Y3630" s="124"/>
    </row>
    <row r="3631" spans="2:25" x14ac:dyDescent="0.25">
      <c r="B3631" s="124"/>
      <c r="C3631" s="124"/>
      <c r="D3631" s="124"/>
      <c r="E3631" s="124"/>
      <c r="F3631" s="124"/>
      <c r="G3631" s="124"/>
      <c r="H3631" s="124"/>
      <c r="I3631" s="124"/>
      <c r="J3631" s="124"/>
      <c r="K3631" s="124"/>
      <c r="L3631" s="124"/>
      <c r="M3631" s="124"/>
      <c r="N3631" s="124"/>
      <c r="O3631" s="124"/>
      <c r="P3631" s="124"/>
      <c r="Q3631" s="124"/>
      <c r="R3631" s="124"/>
      <c r="S3631" s="124"/>
      <c r="T3631" s="124"/>
      <c r="U3631" s="124"/>
      <c r="V3631" s="124"/>
      <c r="W3631" s="124"/>
      <c r="X3631" s="124"/>
      <c r="Y3631" s="124"/>
    </row>
    <row r="3632" spans="2:25" x14ac:dyDescent="0.25">
      <c r="B3632" s="124"/>
      <c r="C3632" s="124"/>
      <c r="D3632" s="124"/>
      <c r="E3632" s="124"/>
      <c r="F3632" s="124"/>
      <c r="G3632" s="124"/>
      <c r="H3632" s="124"/>
      <c r="I3632" s="124"/>
      <c r="J3632" s="124"/>
      <c r="K3632" s="124"/>
      <c r="L3632" s="124"/>
      <c r="M3632" s="124"/>
      <c r="N3632" s="124"/>
      <c r="O3632" s="124"/>
      <c r="P3632" s="124"/>
      <c r="Q3632" s="124"/>
      <c r="R3632" s="124"/>
      <c r="S3632" s="124"/>
      <c r="T3632" s="124"/>
      <c r="U3632" s="124"/>
      <c r="V3632" s="124"/>
      <c r="W3632" s="124"/>
      <c r="X3632" s="124"/>
      <c r="Y3632" s="124"/>
    </row>
    <row r="3633" spans="2:25" x14ac:dyDescent="0.25">
      <c r="B3633" s="124"/>
      <c r="C3633" s="124"/>
      <c r="D3633" s="124"/>
      <c r="E3633" s="124"/>
      <c r="F3633" s="124"/>
      <c r="G3633" s="124"/>
      <c r="H3633" s="124"/>
      <c r="I3633" s="124"/>
      <c r="J3633" s="124"/>
      <c r="K3633" s="124"/>
      <c r="L3633" s="124"/>
      <c r="M3633" s="124"/>
      <c r="N3633" s="124"/>
      <c r="O3633" s="124"/>
      <c r="P3633" s="124"/>
      <c r="Q3633" s="124"/>
      <c r="R3633" s="124"/>
      <c r="S3633" s="124"/>
      <c r="T3633" s="124"/>
      <c r="U3633" s="124"/>
      <c r="V3633" s="124"/>
      <c r="W3633" s="124"/>
      <c r="X3633" s="124"/>
      <c r="Y3633" s="124"/>
    </row>
    <row r="3634" spans="2:25" x14ac:dyDescent="0.25">
      <c r="B3634" s="124"/>
      <c r="C3634" s="124"/>
      <c r="D3634" s="124"/>
      <c r="E3634" s="124"/>
      <c r="F3634" s="124"/>
      <c r="G3634" s="124"/>
      <c r="H3634" s="124"/>
      <c r="I3634" s="124"/>
      <c r="J3634" s="124"/>
      <c r="K3634" s="124"/>
      <c r="L3634" s="124"/>
      <c r="M3634" s="124"/>
      <c r="N3634" s="124"/>
      <c r="O3634" s="124"/>
      <c r="P3634" s="124"/>
      <c r="Q3634" s="124"/>
      <c r="R3634" s="124"/>
      <c r="S3634" s="124"/>
      <c r="T3634" s="124"/>
      <c r="U3634" s="124"/>
      <c r="V3634" s="124"/>
      <c r="W3634" s="124"/>
      <c r="X3634" s="124"/>
      <c r="Y3634" s="124"/>
    </row>
    <row r="3635" spans="2:25" x14ac:dyDescent="0.25">
      <c r="B3635" s="124"/>
      <c r="C3635" s="124"/>
      <c r="D3635" s="124"/>
      <c r="E3635" s="124"/>
      <c r="F3635" s="124"/>
      <c r="G3635" s="124"/>
      <c r="H3635" s="124"/>
      <c r="I3635" s="124"/>
      <c r="J3635" s="124"/>
      <c r="K3635" s="124"/>
      <c r="L3635" s="124"/>
      <c r="M3635" s="124"/>
      <c r="N3635" s="124"/>
      <c r="O3635" s="124"/>
      <c r="P3635" s="124"/>
      <c r="Q3635" s="124"/>
      <c r="R3635" s="124"/>
      <c r="S3635" s="124"/>
      <c r="T3635" s="124"/>
      <c r="U3635" s="124"/>
      <c r="V3635" s="124"/>
      <c r="W3635" s="124"/>
      <c r="X3635" s="124"/>
      <c r="Y3635" s="124"/>
    </row>
    <row r="3636" spans="2:25" x14ac:dyDescent="0.25">
      <c r="B3636" s="124"/>
      <c r="C3636" s="124"/>
      <c r="D3636" s="124"/>
      <c r="E3636" s="124"/>
      <c r="F3636" s="124"/>
      <c r="G3636" s="124"/>
      <c r="H3636" s="124"/>
      <c r="I3636" s="124"/>
      <c r="J3636" s="124"/>
      <c r="K3636" s="124"/>
      <c r="L3636" s="124"/>
      <c r="M3636" s="124"/>
      <c r="N3636" s="124"/>
      <c r="O3636" s="124"/>
      <c r="P3636" s="124"/>
      <c r="Q3636" s="124"/>
      <c r="R3636" s="124"/>
      <c r="S3636" s="124"/>
      <c r="T3636" s="124"/>
      <c r="U3636" s="124"/>
      <c r="V3636" s="124"/>
      <c r="W3636" s="124"/>
      <c r="X3636" s="124"/>
      <c r="Y3636" s="124"/>
    </row>
    <row r="3637" spans="2:25" x14ac:dyDescent="0.25">
      <c r="B3637" s="124"/>
      <c r="C3637" s="124"/>
      <c r="D3637" s="124"/>
      <c r="E3637" s="124"/>
      <c r="F3637" s="124"/>
      <c r="G3637" s="124"/>
      <c r="H3637" s="124"/>
      <c r="I3637" s="124"/>
      <c r="J3637" s="124"/>
      <c r="K3637" s="124"/>
      <c r="L3637" s="124"/>
      <c r="M3637" s="124"/>
      <c r="N3637" s="124"/>
      <c r="O3637" s="124"/>
      <c r="P3637" s="124"/>
      <c r="Q3637" s="124"/>
      <c r="R3637" s="124"/>
      <c r="S3637" s="124"/>
      <c r="T3637" s="124"/>
      <c r="U3637" s="124"/>
      <c r="V3637" s="124"/>
      <c r="W3637" s="124"/>
      <c r="X3637" s="124"/>
      <c r="Y3637" s="124"/>
    </row>
    <row r="3638" spans="2:25" x14ac:dyDescent="0.25">
      <c r="B3638" s="124"/>
      <c r="C3638" s="124"/>
      <c r="D3638" s="124"/>
      <c r="E3638" s="124"/>
      <c r="F3638" s="124"/>
      <c r="G3638" s="124"/>
      <c r="H3638" s="124"/>
      <c r="I3638" s="124"/>
      <c r="J3638" s="124"/>
      <c r="K3638" s="124"/>
      <c r="L3638" s="124"/>
      <c r="M3638" s="124"/>
      <c r="N3638" s="124"/>
      <c r="O3638" s="124"/>
      <c r="P3638" s="124"/>
      <c r="Q3638" s="124"/>
      <c r="R3638" s="124"/>
      <c r="S3638" s="124"/>
      <c r="T3638" s="124"/>
      <c r="U3638" s="124"/>
      <c r="V3638" s="124"/>
      <c r="W3638" s="124"/>
      <c r="X3638" s="124"/>
      <c r="Y3638" s="124"/>
    </row>
    <row r="3639" spans="2:25" x14ac:dyDescent="0.25">
      <c r="B3639" s="124"/>
      <c r="C3639" s="124"/>
      <c r="D3639" s="124"/>
      <c r="E3639" s="124"/>
      <c r="F3639" s="124"/>
      <c r="G3639" s="124"/>
      <c r="H3639" s="124"/>
      <c r="I3639" s="124"/>
      <c r="J3639" s="124"/>
      <c r="K3639" s="124"/>
      <c r="L3639" s="124"/>
      <c r="M3639" s="124"/>
      <c r="N3639" s="124"/>
      <c r="O3639" s="124"/>
      <c r="P3639" s="124"/>
      <c r="Q3639" s="124"/>
      <c r="R3639" s="124"/>
      <c r="S3639" s="124"/>
      <c r="T3639" s="124"/>
      <c r="U3639" s="124"/>
      <c r="V3639" s="124"/>
      <c r="W3639" s="124"/>
      <c r="X3639" s="124"/>
      <c r="Y3639" s="124"/>
    </row>
    <row r="3640" spans="2:25" x14ac:dyDescent="0.25">
      <c r="B3640" s="124"/>
      <c r="C3640" s="124"/>
      <c r="D3640" s="124"/>
      <c r="E3640" s="124"/>
      <c r="F3640" s="124"/>
      <c r="G3640" s="124"/>
      <c r="H3640" s="124"/>
      <c r="I3640" s="124"/>
      <c r="J3640" s="124"/>
      <c r="K3640" s="124"/>
      <c r="L3640" s="124"/>
      <c r="M3640" s="124"/>
      <c r="N3640" s="124"/>
      <c r="O3640" s="124"/>
      <c r="P3640" s="124"/>
      <c r="Q3640" s="124"/>
      <c r="R3640" s="124"/>
      <c r="S3640" s="124"/>
      <c r="T3640" s="124"/>
      <c r="U3640" s="124"/>
      <c r="V3640" s="124"/>
      <c r="W3640" s="124"/>
      <c r="X3640" s="124"/>
      <c r="Y3640" s="124"/>
    </row>
    <row r="3641" spans="2:25" x14ac:dyDescent="0.25">
      <c r="B3641" s="124"/>
      <c r="C3641" s="124"/>
      <c r="D3641" s="124"/>
      <c r="E3641" s="124"/>
      <c r="F3641" s="124"/>
      <c r="G3641" s="124"/>
      <c r="H3641" s="124"/>
      <c r="I3641" s="124"/>
      <c r="J3641" s="124"/>
      <c r="K3641" s="124"/>
      <c r="L3641" s="124"/>
      <c r="M3641" s="124"/>
      <c r="N3641" s="124"/>
      <c r="O3641" s="124"/>
      <c r="P3641" s="124"/>
      <c r="Q3641" s="124"/>
      <c r="R3641" s="124"/>
      <c r="S3641" s="124"/>
      <c r="T3641" s="124"/>
      <c r="U3641" s="124"/>
      <c r="V3641" s="124"/>
      <c r="W3641" s="124"/>
      <c r="X3641" s="124"/>
      <c r="Y3641" s="124"/>
    </row>
    <row r="3642" spans="2:25" x14ac:dyDescent="0.25">
      <c r="B3642" s="124"/>
      <c r="C3642" s="124"/>
      <c r="D3642" s="124"/>
      <c r="E3642" s="124"/>
      <c r="F3642" s="124"/>
      <c r="G3642" s="124"/>
      <c r="H3642" s="124"/>
      <c r="I3642" s="124"/>
      <c r="J3642" s="124"/>
      <c r="K3642" s="124"/>
      <c r="L3642" s="124"/>
      <c r="M3642" s="124"/>
      <c r="N3642" s="124"/>
      <c r="O3642" s="124"/>
      <c r="P3642" s="124"/>
      <c r="Q3642" s="124"/>
      <c r="R3642" s="124"/>
      <c r="S3642" s="124"/>
      <c r="T3642" s="124"/>
      <c r="U3642" s="124"/>
      <c r="V3642" s="124"/>
      <c r="W3642" s="124"/>
      <c r="X3642" s="124"/>
      <c r="Y3642" s="124"/>
    </row>
    <row r="3643" spans="2:25" x14ac:dyDescent="0.25">
      <c r="B3643" s="124"/>
      <c r="C3643" s="124"/>
      <c r="D3643" s="124"/>
      <c r="E3643" s="124"/>
      <c r="F3643" s="124"/>
      <c r="G3643" s="124"/>
      <c r="H3643" s="124"/>
      <c r="I3643" s="124"/>
      <c r="J3643" s="124"/>
      <c r="K3643" s="124"/>
      <c r="L3643" s="124"/>
      <c r="M3643" s="124"/>
      <c r="N3643" s="124"/>
      <c r="O3643" s="124"/>
      <c r="P3643" s="124"/>
      <c r="Q3643" s="124"/>
      <c r="R3643" s="124"/>
      <c r="S3643" s="124"/>
      <c r="T3643" s="124"/>
      <c r="U3643" s="124"/>
      <c r="V3643" s="124"/>
      <c r="W3643" s="124"/>
      <c r="X3643" s="124"/>
      <c r="Y3643" s="124"/>
    </row>
    <row r="3644" spans="2:25" x14ac:dyDescent="0.25">
      <c r="B3644" s="124"/>
      <c r="C3644" s="124"/>
      <c r="D3644" s="124"/>
      <c r="E3644" s="124"/>
      <c r="F3644" s="124"/>
      <c r="G3644" s="124"/>
      <c r="H3644" s="124"/>
      <c r="I3644" s="124"/>
      <c r="J3644" s="124"/>
      <c r="K3644" s="124"/>
      <c r="L3644" s="124"/>
      <c r="M3644" s="124"/>
      <c r="N3644" s="124"/>
      <c r="O3644" s="124"/>
      <c r="P3644" s="124"/>
      <c r="Q3644" s="124"/>
      <c r="R3644" s="124"/>
      <c r="S3644" s="124"/>
      <c r="T3644" s="124"/>
      <c r="U3644" s="124"/>
      <c r="V3644" s="124"/>
      <c r="W3644" s="124"/>
      <c r="X3644" s="124"/>
      <c r="Y3644" s="124"/>
    </row>
    <row r="3645" spans="2:25" x14ac:dyDescent="0.25">
      <c r="B3645" s="124"/>
      <c r="C3645" s="124"/>
      <c r="D3645" s="124"/>
      <c r="E3645" s="124"/>
      <c r="F3645" s="124"/>
      <c r="G3645" s="124"/>
      <c r="H3645" s="124"/>
      <c r="I3645" s="124"/>
      <c r="J3645" s="124"/>
      <c r="K3645" s="124"/>
      <c r="L3645" s="124"/>
      <c r="M3645" s="124"/>
      <c r="N3645" s="124"/>
      <c r="O3645" s="124"/>
      <c r="P3645" s="124"/>
      <c r="Q3645" s="124"/>
      <c r="R3645" s="124"/>
      <c r="S3645" s="124"/>
      <c r="T3645" s="124"/>
      <c r="U3645" s="124"/>
      <c r="V3645" s="124"/>
      <c r="W3645" s="124"/>
      <c r="X3645" s="124"/>
      <c r="Y3645" s="124"/>
    </row>
    <row r="3646" spans="2:25" x14ac:dyDescent="0.25">
      <c r="B3646" s="124"/>
      <c r="C3646" s="124"/>
      <c r="D3646" s="124"/>
      <c r="E3646" s="124"/>
      <c r="F3646" s="124"/>
      <c r="G3646" s="124"/>
      <c r="H3646" s="124"/>
      <c r="I3646" s="124"/>
      <c r="J3646" s="124"/>
      <c r="K3646" s="124"/>
      <c r="L3646" s="124"/>
      <c r="M3646" s="124"/>
      <c r="N3646" s="124"/>
      <c r="O3646" s="124"/>
      <c r="P3646" s="124"/>
      <c r="Q3646" s="124"/>
      <c r="R3646" s="124"/>
      <c r="S3646" s="124"/>
      <c r="T3646" s="124"/>
      <c r="U3646" s="124"/>
      <c r="V3646" s="124"/>
      <c r="W3646" s="124"/>
      <c r="X3646" s="124"/>
      <c r="Y3646" s="124"/>
    </row>
    <row r="3647" spans="2:25" x14ac:dyDescent="0.25">
      <c r="B3647" s="124"/>
      <c r="C3647" s="124"/>
      <c r="D3647" s="124"/>
      <c r="E3647" s="124"/>
      <c r="F3647" s="124"/>
      <c r="G3647" s="124"/>
      <c r="H3647" s="124"/>
      <c r="I3647" s="124"/>
      <c r="J3647" s="124"/>
      <c r="K3647" s="124"/>
      <c r="L3647" s="124"/>
      <c r="M3647" s="124"/>
      <c r="N3647" s="124"/>
      <c r="O3647" s="124"/>
      <c r="P3647" s="124"/>
      <c r="Q3647" s="124"/>
      <c r="R3647" s="124"/>
      <c r="S3647" s="124"/>
      <c r="T3647" s="124"/>
      <c r="U3647" s="124"/>
      <c r="V3647" s="124"/>
      <c r="W3647" s="124"/>
      <c r="X3647" s="124"/>
      <c r="Y3647" s="124"/>
    </row>
    <row r="3648" spans="2:25" x14ac:dyDescent="0.25">
      <c r="B3648" s="124"/>
      <c r="C3648" s="124"/>
      <c r="D3648" s="124"/>
      <c r="E3648" s="124"/>
      <c r="F3648" s="124"/>
      <c r="G3648" s="124"/>
      <c r="H3648" s="124"/>
      <c r="I3648" s="124"/>
      <c r="J3648" s="124"/>
      <c r="K3648" s="124"/>
      <c r="L3648" s="124"/>
      <c r="M3648" s="124"/>
      <c r="N3648" s="124"/>
      <c r="O3648" s="124"/>
      <c r="P3648" s="124"/>
      <c r="Q3648" s="124"/>
      <c r="R3648" s="124"/>
      <c r="S3648" s="124"/>
      <c r="T3648" s="124"/>
      <c r="U3648" s="124"/>
      <c r="V3648" s="124"/>
      <c r="W3648" s="124"/>
      <c r="X3648" s="124"/>
      <c r="Y3648" s="124"/>
    </row>
    <row r="3649" spans="2:25" x14ac:dyDescent="0.25">
      <c r="B3649" s="124"/>
      <c r="C3649" s="124"/>
      <c r="D3649" s="124"/>
      <c r="E3649" s="124"/>
      <c r="F3649" s="124"/>
      <c r="G3649" s="124"/>
      <c r="H3649" s="124"/>
      <c r="I3649" s="124"/>
      <c r="J3649" s="124"/>
      <c r="K3649" s="124"/>
      <c r="L3649" s="124"/>
      <c r="M3649" s="124"/>
      <c r="N3649" s="124"/>
      <c r="O3649" s="124"/>
      <c r="P3649" s="124"/>
      <c r="Q3649" s="124"/>
      <c r="R3649" s="124"/>
      <c r="S3649" s="124"/>
      <c r="T3649" s="124"/>
      <c r="U3649" s="124"/>
      <c r="V3649" s="124"/>
      <c r="W3649" s="124"/>
      <c r="X3649" s="124"/>
      <c r="Y3649" s="124"/>
    </row>
    <row r="3650" spans="2:25" x14ac:dyDescent="0.25">
      <c r="B3650" s="124"/>
      <c r="C3650" s="124"/>
      <c r="D3650" s="124"/>
      <c r="E3650" s="124"/>
      <c r="F3650" s="124"/>
      <c r="G3650" s="124"/>
      <c r="H3650" s="124"/>
      <c r="I3650" s="124"/>
      <c r="J3650" s="124"/>
      <c r="K3650" s="124"/>
      <c r="L3650" s="124"/>
      <c r="M3650" s="124"/>
      <c r="N3650" s="124"/>
      <c r="O3650" s="124"/>
      <c r="P3650" s="124"/>
      <c r="Q3650" s="124"/>
      <c r="R3650" s="124"/>
      <c r="S3650" s="124"/>
      <c r="T3650" s="124"/>
      <c r="U3650" s="124"/>
      <c r="V3650" s="124"/>
      <c r="W3650" s="124"/>
      <c r="X3650" s="124"/>
      <c r="Y3650" s="124"/>
    </row>
    <row r="3651" spans="2:25" x14ac:dyDescent="0.25">
      <c r="B3651" s="124"/>
      <c r="C3651" s="124"/>
      <c r="D3651" s="124"/>
      <c r="E3651" s="124"/>
      <c r="F3651" s="124"/>
      <c r="G3651" s="124"/>
      <c r="H3651" s="124"/>
      <c r="I3651" s="124"/>
      <c r="J3651" s="124"/>
      <c r="K3651" s="124"/>
      <c r="L3651" s="124"/>
      <c r="M3651" s="124"/>
      <c r="N3651" s="124"/>
      <c r="O3651" s="124"/>
      <c r="P3651" s="124"/>
      <c r="Q3651" s="124"/>
      <c r="R3651" s="124"/>
      <c r="S3651" s="124"/>
      <c r="T3651" s="124"/>
      <c r="U3651" s="124"/>
      <c r="V3651" s="124"/>
      <c r="W3651" s="124"/>
      <c r="X3651" s="124"/>
      <c r="Y3651" s="124"/>
    </row>
    <row r="3652" spans="2:25" x14ac:dyDescent="0.25">
      <c r="B3652" s="124"/>
      <c r="C3652" s="124"/>
      <c r="D3652" s="124"/>
      <c r="E3652" s="124"/>
      <c r="F3652" s="124"/>
      <c r="G3652" s="124"/>
      <c r="H3652" s="124"/>
      <c r="I3652" s="124"/>
      <c r="J3652" s="124"/>
      <c r="K3652" s="124"/>
      <c r="L3652" s="124"/>
      <c r="M3652" s="124"/>
      <c r="N3652" s="124"/>
      <c r="O3652" s="124"/>
      <c r="P3652" s="124"/>
      <c r="Q3652" s="124"/>
      <c r="R3652" s="124"/>
      <c r="S3652" s="124"/>
      <c r="T3652" s="124"/>
      <c r="U3652" s="124"/>
      <c r="V3652" s="124"/>
      <c r="W3652" s="124"/>
      <c r="X3652" s="124"/>
      <c r="Y3652" s="124"/>
    </row>
    <row r="3653" spans="2:25" x14ac:dyDescent="0.25">
      <c r="B3653" s="124"/>
      <c r="C3653" s="124"/>
      <c r="D3653" s="124"/>
      <c r="E3653" s="124"/>
      <c r="F3653" s="124"/>
      <c r="G3653" s="124"/>
      <c r="H3653" s="124"/>
      <c r="I3653" s="124"/>
      <c r="J3653" s="124"/>
      <c r="K3653" s="124"/>
      <c r="L3653" s="124"/>
      <c r="M3653" s="124"/>
      <c r="N3653" s="124"/>
      <c r="O3653" s="124"/>
      <c r="P3653" s="124"/>
      <c r="Q3653" s="124"/>
      <c r="R3653" s="124"/>
      <c r="S3653" s="124"/>
      <c r="T3653" s="124"/>
      <c r="U3653" s="124"/>
      <c r="V3653" s="124"/>
      <c r="W3653" s="124"/>
      <c r="X3653" s="124"/>
      <c r="Y3653" s="124"/>
    </row>
  </sheetData>
  <mergeCells count="3">
    <mergeCell ref="B1:F1"/>
    <mergeCell ref="O1:Y1"/>
    <mergeCell ref="G1:N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CCA85F1-8943-4A50-806C-5981973ED7B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Intro</vt:lpstr>
      <vt:lpstr>Main</vt:lpstr>
      <vt:lpstr>Bat Elec-The</vt:lpstr>
      <vt:lpstr>Bat Age</vt:lpstr>
      <vt:lpstr>Veh Dyn</vt:lpstr>
      <vt:lpstr>Chrg</vt:lpstr>
      <vt:lpstr>DayTrip</vt:lpstr>
      <vt:lpstr>Results</vt:lpstr>
      <vt:lpstr>Main!cycMps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Shawn</dc:creator>
  <cp:lastModifiedBy>Ou, Shiqi(Shawn)</cp:lastModifiedBy>
  <dcterms:created xsi:type="dcterms:W3CDTF">2020-08-24T13:41:07Z</dcterms:created>
  <dcterms:modified xsi:type="dcterms:W3CDTF">2023-03-29T20:47:27Z</dcterms:modified>
</cp:coreProperties>
</file>